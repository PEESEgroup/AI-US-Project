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out Nuclear-CC\Without Nuclear-LC\SSP2-45\"/>
    </mc:Choice>
  </mc:AlternateContent>
  <xr:revisionPtr revIDLastSave="0" documentId="13_ncr:1_{865CD348-D2F1-471B-90DE-4730E6B51880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A95" i="23" l="1"/>
  <c r="AA99" i="23"/>
  <c r="AA95" i="24"/>
  <c r="AA99" i="24"/>
  <c r="AA40" i="23"/>
  <c r="AA44" i="23"/>
  <c r="AA40" i="24"/>
  <c r="AA44" i="24"/>
  <c r="AA73" i="23"/>
  <c r="AA77" i="23"/>
  <c r="AA73" i="24"/>
  <c r="AA77" i="24"/>
  <c r="AA51" i="23"/>
  <c r="AA55" i="23"/>
  <c r="AA51" i="24"/>
  <c r="AA55" i="24"/>
  <c r="AA84" i="23"/>
  <c r="AA88" i="23"/>
  <c r="AA84" i="24"/>
  <c r="AA88" i="24"/>
  <c r="AA29" i="23"/>
  <c r="AA29" i="24"/>
  <c r="AA33" i="24"/>
  <c r="AA33" i="23"/>
  <c r="AA18" i="23"/>
  <c r="AA22" i="23"/>
  <c r="AA18" i="24"/>
  <c r="AA22" i="24"/>
  <c r="AA18" i="25"/>
  <c r="AA22" i="25"/>
  <c r="AA18" i="14"/>
  <c r="AA19" i="23"/>
  <c r="AA23" i="23"/>
  <c r="AA30" i="23"/>
  <c r="AA34" i="23"/>
  <c r="AA41" i="23"/>
  <c r="AA45" i="23"/>
  <c r="AA52" i="23"/>
  <c r="AA56" i="23"/>
  <c r="AA74" i="23"/>
  <c r="AA78" i="23"/>
  <c r="AA85" i="23"/>
  <c r="AA89" i="23"/>
  <c r="AA96" i="23"/>
  <c r="AA100" i="23"/>
  <c r="AA19" i="24"/>
  <c r="AA23" i="24"/>
  <c r="AA30" i="24"/>
  <c r="AA34" i="24"/>
  <c r="AA41" i="24"/>
  <c r="AA45" i="24"/>
  <c r="AA52" i="24"/>
  <c r="AA56" i="24"/>
  <c r="AA74" i="24"/>
  <c r="AA78" i="24"/>
  <c r="AA85" i="24"/>
  <c r="AA89" i="24"/>
  <c r="AA96" i="24"/>
  <c r="AA100" i="24"/>
  <c r="AA19" i="25"/>
  <c r="AA23" i="25"/>
  <c r="AA30" i="25"/>
  <c r="AA34" i="25"/>
  <c r="AA41" i="25"/>
  <c r="AA45" i="25"/>
  <c r="AA52" i="25"/>
  <c r="AA56" i="25"/>
  <c r="AA74" i="25"/>
  <c r="AA78" i="25"/>
  <c r="AA85" i="25"/>
  <c r="AA89" i="25"/>
  <c r="AA96" i="25"/>
  <c r="AA100" i="25"/>
  <c r="AA19" i="26"/>
  <c r="AA23" i="26"/>
  <c r="AA30" i="26"/>
  <c r="AA34" i="26"/>
  <c r="AA41" i="26"/>
  <c r="AA45" i="26"/>
  <c r="AA52" i="26"/>
  <c r="AA56" i="26"/>
  <c r="AA74" i="26"/>
  <c r="AA78" i="26"/>
  <c r="AA85" i="26"/>
  <c r="AA89" i="26"/>
  <c r="AA96" i="26"/>
  <c r="AA100" i="26"/>
  <c r="AA19" i="27"/>
  <c r="AA23" i="27"/>
  <c r="AA30" i="27"/>
  <c r="AA34" i="27"/>
  <c r="AA41" i="27"/>
  <c r="AA45" i="27"/>
  <c r="AA52" i="27"/>
  <c r="AA56" i="27"/>
  <c r="AA74" i="27"/>
  <c r="AA78" i="27"/>
  <c r="AA85" i="27"/>
  <c r="AA89" i="27"/>
  <c r="AA29" i="25"/>
  <c r="AA33" i="25"/>
  <c r="AA40" i="25"/>
  <c r="AA44" i="25"/>
  <c r="AA51" i="25"/>
  <c r="AA55" i="25"/>
  <c r="AA73" i="25"/>
  <c r="AA77" i="25"/>
  <c r="AA84" i="25"/>
  <c r="AA88" i="25"/>
  <c r="AA95" i="25"/>
  <c r="AA99" i="25"/>
  <c r="AA18" i="26"/>
  <c r="AA22" i="26"/>
  <c r="AA29" i="26"/>
  <c r="AA33" i="26"/>
  <c r="AA40" i="26"/>
  <c r="AA44" i="26"/>
  <c r="AA51" i="26"/>
  <c r="AA55" i="26"/>
  <c r="AA73" i="26"/>
  <c r="AA77" i="26"/>
  <c r="AA84" i="26"/>
  <c r="AA88" i="26"/>
  <c r="AA95" i="26"/>
  <c r="AA99" i="26"/>
  <c r="AA18" i="27"/>
  <c r="AA22" i="27"/>
  <c r="AA29" i="27"/>
  <c r="AA33" i="27"/>
  <c r="AA40" i="27"/>
  <c r="AA44" i="27"/>
  <c r="AA51" i="27"/>
  <c r="AA55" i="27"/>
  <c r="AA73" i="27"/>
  <c r="AA77" i="27"/>
  <c r="AA84" i="27"/>
  <c r="AA88" i="27"/>
  <c r="AA95" i="27"/>
  <c r="AA99" i="27"/>
  <c r="AA18" i="28"/>
  <c r="AA22" i="28"/>
  <c r="AA29" i="28"/>
  <c r="AA33" i="28"/>
  <c r="AA40" i="28"/>
  <c r="AA44" i="28"/>
  <c r="AA51" i="28"/>
  <c r="AA55" i="28"/>
  <c r="AA73" i="28"/>
  <c r="AA77" i="28"/>
  <c r="AA84" i="28"/>
  <c r="AA88" i="28"/>
  <c r="AA95" i="28"/>
  <c r="AA72" i="26"/>
  <c r="AA17" i="23"/>
  <c r="AA21" i="23"/>
  <c r="AA39" i="23"/>
  <c r="AA43" i="23"/>
  <c r="AA50" i="23"/>
  <c r="AA72" i="23"/>
  <c r="AA83" i="23"/>
  <c r="AA87" i="23"/>
  <c r="AA94" i="23"/>
  <c r="AA98" i="23"/>
  <c r="AA21" i="24"/>
  <c r="AA28" i="24"/>
  <c r="AA32" i="24"/>
  <c r="AA50" i="24"/>
  <c r="AA54" i="24"/>
  <c r="AA87" i="24"/>
  <c r="AA94" i="24"/>
  <c r="AA98" i="26"/>
  <c r="AA17" i="27"/>
  <c r="AA39" i="24"/>
  <c r="AA28" i="23"/>
  <c r="AA54" i="23"/>
  <c r="AA83" i="24"/>
  <c r="AA17" i="25"/>
  <c r="AA21" i="27"/>
  <c r="AA32" i="23"/>
  <c r="AA76" i="23"/>
  <c r="AA17" i="24"/>
  <c r="AA43" i="24"/>
  <c r="AA72" i="24"/>
  <c r="AA76" i="24"/>
  <c r="AA98" i="24"/>
  <c r="AA21" i="25"/>
  <c r="AA28" i="25"/>
  <c r="AA39" i="25"/>
  <c r="AA76" i="26"/>
  <c r="AA32" i="25"/>
  <c r="AA43" i="25"/>
  <c r="AA50" i="25"/>
  <c r="AA54" i="25"/>
  <c r="AA72" i="25"/>
  <c r="AA76" i="25"/>
  <c r="AA83" i="25"/>
  <c r="AA87" i="25"/>
  <c r="AA94" i="25"/>
  <c r="AA98" i="25"/>
  <c r="AA17" i="26"/>
  <c r="AA21" i="26"/>
  <c r="AA28" i="26"/>
  <c r="AA32" i="26"/>
  <c r="AA39" i="26"/>
  <c r="AA43" i="26"/>
  <c r="AA50" i="26"/>
  <c r="AA54" i="26"/>
  <c r="AA96" i="27"/>
  <c r="AA100" i="27"/>
  <c r="AA19" i="28"/>
  <c r="AA23" i="28"/>
  <c r="AA30" i="28"/>
  <c r="AA34" i="28"/>
  <c r="AA41" i="28"/>
  <c r="AA45" i="28"/>
  <c r="AA52" i="28"/>
  <c r="AA56" i="28"/>
  <c r="AA74" i="28"/>
  <c r="AA78" i="28"/>
  <c r="AA85" i="28"/>
  <c r="AA89" i="28"/>
  <c r="AA96" i="28"/>
  <c r="AA100" i="28"/>
  <c r="AA19" i="29"/>
  <c r="AA23" i="29"/>
  <c r="AA30" i="29"/>
  <c r="AA34" i="29"/>
  <c r="AA41" i="29"/>
  <c r="AA45" i="29"/>
  <c r="AA52" i="29"/>
  <c r="AA56" i="29"/>
  <c r="AA74" i="29"/>
  <c r="AA78" i="29"/>
  <c r="AA85" i="29"/>
  <c r="AA89" i="29"/>
  <c r="AA96" i="29"/>
  <c r="AA100" i="29"/>
  <c r="AA19" i="30"/>
  <c r="AA23" i="30"/>
  <c r="AA30" i="30"/>
  <c r="AA34" i="30"/>
  <c r="AA41" i="30"/>
  <c r="AA45" i="30"/>
  <c r="AA52" i="30"/>
  <c r="AA56" i="30"/>
  <c r="AA74" i="30"/>
  <c r="AA78" i="30"/>
  <c r="AA85" i="30"/>
  <c r="AA89" i="30"/>
  <c r="AA96" i="30"/>
  <c r="AA100" i="30"/>
  <c r="AA19" i="31"/>
  <c r="AA23" i="31"/>
  <c r="AA30" i="31"/>
  <c r="AA34" i="31"/>
  <c r="AA41" i="31"/>
  <c r="AA45" i="31"/>
  <c r="AA52" i="31"/>
  <c r="AA56" i="31"/>
  <c r="AA74" i="31"/>
  <c r="AA78" i="31"/>
  <c r="AA85" i="31"/>
  <c r="AA89" i="31"/>
  <c r="AA96" i="31"/>
  <c r="AA100" i="31"/>
  <c r="AA19" i="32"/>
  <c r="AA23" i="32"/>
  <c r="AA30" i="32"/>
  <c r="AA34" i="32"/>
  <c r="AA41" i="32"/>
  <c r="AA45" i="32"/>
  <c r="AA52" i="32"/>
  <c r="AA56" i="32"/>
  <c r="AA74" i="32"/>
  <c r="AA78" i="32"/>
  <c r="AA85" i="32"/>
  <c r="AA89" i="32"/>
  <c r="AA96" i="32"/>
  <c r="AA100" i="32"/>
  <c r="AA99" i="28"/>
  <c r="AA18" i="29"/>
  <c r="AA22" i="29"/>
  <c r="AA29" i="29"/>
  <c r="AA33" i="29"/>
  <c r="AA40" i="29"/>
  <c r="AA44" i="29"/>
  <c r="AA51" i="29"/>
  <c r="AA55" i="29"/>
  <c r="AA73" i="29"/>
  <c r="AA77" i="29"/>
  <c r="AA84" i="29"/>
  <c r="AA88" i="29"/>
  <c r="AA95" i="29"/>
  <c r="AA99" i="29"/>
  <c r="AA18" i="30"/>
  <c r="AA22" i="30"/>
  <c r="AA29" i="30"/>
  <c r="AA33" i="30"/>
  <c r="AA40" i="30"/>
  <c r="AA44" i="30"/>
  <c r="AA51" i="30"/>
  <c r="AA55" i="30"/>
  <c r="AA73" i="30"/>
  <c r="AA77" i="30"/>
  <c r="AA84" i="30"/>
  <c r="AA88" i="30"/>
  <c r="AA95" i="30"/>
  <c r="AA99" i="30"/>
  <c r="AA18" i="31"/>
  <c r="AA22" i="31"/>
  <c r="AA29" i="31"/>
  <c r="AA33" i="31"/>
  <c r="AA40" i="31"/>
  <c r="AA44" i="31"/>
  <c r="AA51" i="31"/>
  <c r="AA55" i="31"/>
  <c r="AA73" i="31"/>
  <c r="AA77" i="31"/>
  <c r="AA84" i="31"/>
  <c r="AA88" i="31"/>
  <c r="AA95" i="31"/>
  <c r="AA99" i="31"/>
  <c r="AA18" i="32"/>
  <c r="AA22" i="32"/>
  <c r="AA29" i="32"/>
  <c r="AA33" i="32"/>
  <c r="AA40" i="32"/>
  <c r="AA44" i="32"/>
  <c r="AA51" i="32"/>
  <c r="AA55" i="32"/>
  <c r="AA73" i="32"/>
  <c r="AA77" i="32"/>
  <c r="AA84" i="32"/>
  <c r="AA88" i="32"/>
  <c r="AA95" i="32"/>
  <c r="AA99" i="32"/>
  <c r="AA83" i="26"/>
  <c r="AA87" i="26"/>
  <c r="AA94" i="26"/>
  <c r="AA28" i="27"/>
  <c r="AA32" i="27"/>
  <c r="AA39" i="27"/>
  <c r="AA43" i="27"/>
  <c r="AA50" i="27"/>
  <c r="AA54" i="27"/>
  <c r="AA72" i="27"/>
  <c r="AA76" i="27"/>
  <c r="AA83" i="27"/>
  <c r="AA87" i="27"/>
  <c r="AA94" i="27"/>
  <c r="AA98" i="27"/>
  <c r="AA17" i="28"/>
  <c r="AA21" i="28"/>
  <c r="AA28" i="28"/>
  <c r="AA32" i="28"/>
  <c r="AA39" i="28"/>
  <c r="AA43" i="28"/>
  <c r="AA50" i="28"/>
  <c r="AA54" i="28"/>
  <c r="AA72" i="28"/>
  <c r="AA76" i="28"/>
  <c r="AA83" i="28"/>
  <c r="AA87" i="28"/>
  <c r="AA94" i="28"/>
  <c r="AA98" i="28"/>
  <c r="AA17" i="29"/>
  <c r="AA21" i="29"/>
  <c r="AA28" i="29"/>
  <c r="AA32" i="29"/>
  <c r="AA39" i="29"/>
  <c r="AA43" i="29"/>
  <c r="AA50" i="29"/>
  <c r="AA54" i="29"/>
  <c r="AA72" i="29"/>
  <c r="AA76" i="29"/>
  <c r="AA83" i="29"/>
  <c r="AA87" i="29"/>
  <c r="AA94" i="29"/>
  <c r="AA98" i="29"/>
  <c r="AA17" i="30"/>
  <c r="AA21" i="30"/>
  <c r="AA28" i="30"/>
  <c r="AA32" i="30"/>
  <c r="AA39" i="30"/>
  <c r="AA43" i="30"/>
  <c r="AA50" i="30"/>
  <c r="AA54" i="30"/>
  <c r="AA72" i="30"/>
  <c r="AA76" i="30"/>
  <c r="AA83" i="30"/>
  <c r="AA87" i="30"/>
  <c r="AA94" i="30"/>
  <c r="AA98" i="30"/>
  <c r="AA17" i="31"/>
  <c r="AA21" i="31"/>
  <c r="AA28" i="31"/>
  <c r="AA32" i="31"/>
  <c r="AA39" i="31"/>
  <c r="AA43" i="31"/>
  <c r="AA50" i="31"/>
  <c r="AA54" i="31"/>
  <c r="AA72" i="31"/>
  <c r="AA76" i="31"/>
  <c r="AA83" i="31"/>
  <c r="AA87" i="31"/>
  <c r="AA94" i="31"/>
  <c r="AA98" i="31"/>
  <c r="AA17" i="32"/>
  <c r="AA21" i="32"/>
  <c r="AA28" i="32"/>
  <c r="AA32" i="32"/>
  <c r="AA39" i="32"/>
  <c r="AA43" i="32"/>
  <c r="AA50" i="32"/>
  <c r="AA54" i="32"/>
  <c r="AA72" i="32"/>
  <c r="AA76" i="32"/>
  <c r="AA83" i="32"/>
  <c r="AA87" i="32"/>
  <c r="AA94" i="32"/>
  <c r="AA98" i="32"/>
  <c r="AA31" i="23"/>
  <c r="AA75" i="23"/>
  <c r="AA82" i="23"/>
  <c r="AA97" i="23"/>
  <c r="AA16" i="24"/>
  <c r="AA20" i="24"/>
  <c r="AA31" i="24"/>
  <c r="AA38" i="24"/>
  <c r="AA49" i="24"/>
  <c r="AA82" i="24"/>
  <c r="AA86" i="24"/>
  <c r="AA38" i="25"/>
  <c r="AA42" i="23"/>
  <c r="AA49" i="23"/>
  <c r="AA53" i="23"/>
  <c r="AA86" i="23"/>
  <c r="AA93" i="23"/>
  <c r="AA27" i="24"/>
  <c r="AA53" i="24"/>
  <c r="AA71" i="24"/>
  <c r="AA75" i="24"/>
  <c r="AA27" i="25"/>
  <c r="AA75" i="25"/>
  <c r="AA97" i="25"/>
  <c r="AA16" i="26"/>
  <c r="AA20" i="26"/>
  <c r="AA27" i="26"/>
  <c r="AA49" i="26"/>
  <c r="AA82" i="26"/>
  <c r="AA16" i="23"/>
  <c r="AA20" i="23"/>
  <c r="AA27" i="23"/>
  <c r="AA38" i="23"/>
  <c r="AA71" i="23"/>
  <c r="AA42" i="24"/>
  <c r="AA93" i="24"/>
  <c r="AA97" i="24"/>
  <c r="AA16" i="25"/>
  <c r="AA20" i="25"/>
  <c r="AA31" i="25"/>
  <c r="AA42" i="25"/>
  <c r="AA49" i="25"/>
  <c r="AA53" i="25"/>
  <c r="AA71" i="25"/>
  <c r="AA82" i="25"/>
  <c r="AA86" i="25"/>
  <c r="AA93" i="25"/>
  <c r="AA31" i="26"/>
  <c r="AA38" i="26"/>
  <c r="AA42" i="26"/>
  <c r="AA53" i="26"/>
  <c r="AA71" i="26"/>
  <c r="AA75" i="26"/>
  <c r="AA97" i="26"/>
  <c r="AA93" i="26"/>
  <c r="AA17" i="14"/>
  <c r="AA86" i="26"/>
  <c r="AA16" i="27"/>
  <c r="AA20" i="27"/>
  <c r="AA27" i="27"/>
  <c r="AA31" i="27"/>
  <c r="AA38" i="27"/>
  <c r="AA42" i="27"/>
  <c r="AA49" i="27"/>
  <c r="AA53" i="27"/>
  <c r="AA71" i="27"/>
  <c r="AA75" i="27"/>
  <c r="AA82" i="27"/>
  <c r="AA86" i="27"/>
  <c r="AA93" i="27"/>
  <c r="AA97" i="27"/>
  <c r="AA16" i="28"/>
  <c r="AA20" i="28"/>
  <c r="AA27" i="28"/>
  <c r="AA31" i="28"/>
  <c r="AA38" i="28"/>
  <c r="AA42" i="28"/>
  <c r="AA49" i="28"/>
  <c r="AA53" i="28"/>
  <c r="AA71" i="28"/>
  <c r="AA75" i="28"/>
  <c r="AA82" i="28"/>
  <c r="AA86" i="28"/>
  <c r="AA93" i="28"/>
  <c r="AA97" i="28"/>
  <c r="AA16" i="29"/>
  <c r="AA20" i="29"/>
  <c r="AA27" i="29"/>
  <c r="AA31" i="29"/>
  <c r="AA38" i="29"/>
  <c r="AA42" i="29"/>
  <c r="AA49" i="29"/>
  <c r="AA53" i="29"/>
  <c r="AA71" i="29"/>
  <c r="AA75" i="29"/>
  <c r="AA82" i="29"/>
  <c r="AA86" i="29"/>
  <c r="AA93" i="29"/>
  <c r="AA97" i="29"/>
  <c r="AA16" i="30"/>
  <c r="AA20" i="30"/>
  <c r="AA27" i="30"/>
  <c r="AA31" i="30"/>
  <c r="AA38" i="30"/>
  <c r="AA42" i="30"/>
  <c r="AA49" i="30"/>
  <c r="AA53" i="30"/>
  <c r="AA71" i="30"/>
  <c r="AA75" i="30"/>
  <c r="AA82" i="30"/>
  <c r="AA86" i="30"/>
  <c r="AA93" i="30"/>
  <c r="AA97" i="30"/>
  <c r="AA16" i="31"/>
  <c r="AA20" i="31"/>
  <c r="AA27" i="31"/>
  <c r="AA31" i="31"/>
  <c r="AA38" i="31"/>
  <c r="AA42" i="31"/>
  <c r="AA49" i="31"/>
  <c r="AA53" i="31"/>
  <c r="AA71" i="31"/>
  <c r="AA75" i="31"/>
  <c r="AA82" i="31"/>
  <c r="AA86" i="31"/>
  <c r="AA93" i="31"/>
  <c r="AA97" i="31"/>
  <c r="AA16" i="32"/>
  <c r="AA20" i="32"/>
  <c r="AA27" i="32"/>
  <c r="AA31" i="32"/>
  <c r="AA38" i="32"/>
  <c r="AA42" i="32"/>
  <c r="AA49" i="32"/>
  <c r="AA53" i="32"/>
  <c r="AA71" i="32"/>
  <c r="AA75" i="32"/>
  <c r="AA82" i="32"/>
  <c r="AA86" i="32"/>
  <c r="AA93" i="32"/>
  <c r="AA97" i="32"/>
  <c r="AA16" i="14"/>
  <c r="AA63" i="23"/>
  <c r="AA67" i="23"/>
  <c r="AA63" i="24"/>
  <c r="AA67" i="24"/>
  <c r="AA63" i="25"/>
  <c r="AA67" i="25"/>
  <c r="AA63" i="26"/>
  <c r="AA67" i="26"/>
  <c r="AA63" i="27"/>
  <c r="AA67" i="27"/>
  <c r="AA63" i="28"/>
  <c r="AA67" i="28"/>
  <c r="AA63" i="29"/>
  <c r="AA67" i="29"/>
  <c r="AA63" i="30"/>
  <c r="AA67" i="30"/>
  <c r="AA63" i="31"/>
  <c r="AA67" i="31"/>
  <c r="AA63" i="32"/>
  <c r="AA67" i="32"/>
  <c r="AA62" i="23"/>
  <c r="AA66" i="23"/>
  <c r="AA62" i="27"/>
  <c r="AA66" i="31"/>
  <c r="AA62" i="32"/>
  <c r="AA62" i="24"/>
  <c r="AA66" i="24"/>
  <c r="AA66" i="25"/>
  <c r="AA66" i="26"/>
  <c r="AA62" i="28"/>
  <c r="AA62" i="29"/>
  <c r="AA62" i="30"/>
  <c r="AA62" i="31"/>
  <c r="AA62" i="25"/>
  <c r="AA62" i="26"/>
  <c r="AA66" i="27"/>
  <c r="AA66" i="28"/>
  <c r="AA66" i="29"/>
  <c r="AA66" i="30"/>
  <c r="AA66" i="32"/>
  <c r="AA61" i="23"/>
  <c r="AA65" i="23"/>
  <c r="AA61" i="24"/>
  <c r="AA65" i="24"/>
  <c r="AA61" i="25"/>
  <c r="AA65" i="25"/>
  <c r="AA61" i="26"/>
  <c r="AA65" i="26"/>
  <c r="AA61" i="27"/>
  <c r="AA65" i="27"/>
  <c r="AA61" i="28"/>
  <c r="AA65" i="28"/>
  <c r="AA61" i="29"/>
  <c r="AA65" i="29"/>
  <c r="AA61" i="30"/>
  <c r="AA65" i="30"/>
  <c r="AA61" i="31"/>
  <c r="AA65" i="31"/>
  <c r="AA61" i="32"/>
  <c r="AA65" i="32"/>
  <c r="AA60" i="24"/>
  <c r="AA64" i="24"/>
  <c r="AA60" i="25"/>
  <c r="AA64" i="25"/>
  <c r="AA60" i="26"/>
  <c r="AA64" i="26"/>
  <c r="AA60" i="27"/>
  <c r="AA64" i="27"/>
  <c r="AA60" i="28"/>
  <c r="AA64" i="28"/>
  <c r="AA60" i="29"/>
  <c r="AA64" i="29"/>
  <c r="AA60" i="30"/>
  <c r="AA64" i="30"/>
  <c r="AA60" i="31"/>
  <c r="AA64" i="31"/>
  <c r="AA60" i="32"/>
  <c r="AA64" i="32"/>
  <c r="AA60" i="23"/>
  <c r="AA64" i="23"/>
  <c r="N68" i="29"/>
  <c r="B68" i="31"/>
  <c r="V68" i="31"/>
  <c r="S68" i="31"/>
  <c r="C68" i="32"/>
  <c r="W68" i="32"/>
  <c r="T68" i="31"/>
  <c r="D68" i="32"/>
  <c r="X68" i="32"/>
  <c r="L68" i="29"/>
  <c r="P68" i="30"/>
  <c r="M68" i="29"/>
  <c r="Q68" i="30"/>
  <c r="U68" i="31"/>
  <c r="E68" i="32"/>
  <c r="Y68" i="32"/>
  <c r="F68" i="32"/>
  <c r="G68" i="27"/>
  <c r="L68" i="28"/>
  <c r="I68" i="26"/>
  <c r="R68" i="23"/>
  <c r="B68" i="24"/>
  <c r="V68" i="24"/>
  <c r="F68" i="25"/>
  <c r="O68" i="29"/>
  <c r="S68" i="30"/>
  <c r="U68" i="23"/>
  <c r="E68" i="24"/>
  <c r="Y68" i="24"/>
  <c r="I68" i="25"/>
  <c r="M68" i="28"/>
  <c r="O68" i="28"/>
  <c r="F68" i="26"/>
  <c r="V68" i="30"/>
  <c r="H68" i="25"/>
  <c r="C68" i="23"/>
  <c r="W68" i="23"/>
  <c r="G68" i="24"/>
  <c r="I68" i="27"/>
  <c r="G68" i="25"/>
  <c r="D68" i="23"/>
  <c r="X68" i="23"/>
  <c r="H68" i="24"/>
  <c r="G68" i="30"/>
  <c r="H68" i="27"/>
  <c r="B68" i="30"/>
  <c r="N68" i="28"/>
  <c r="G68" i="26"/>
  <c r="H68" i="26"/>
  <c r="H68" i="32"/>
  <c r="K68" i="32"/>
  <c r="L68" i="32"/>
  <c r="M68" i="32"/>
  <c r="O68" i="32"/>
  <c r="P68" i="32"/>
  <c r="G68" i="32"/>
  <c r="N68" i="32"/>
  <c r="Q68" i="32"/>
  <c r="R68" i="32"/>
  <c r="S68" i="32"/>
  <c r="T68" i="32"/>
  <c r="U68" i="32"/>
  <c r="I68" i="32"/>
  <c r="J68" i="32"/>
  <c r="B68" i="32"/>
  <c r="V68" i="32"/>
  <c r="F68" i="31"/>
  <c r="G68" i="31"/>
  <c r="H68" i="31"/>
  <c r="I68" i="31"/>
  <c r="K68" i="31"/>
  <c r="L68" i="31"/>
  <c r="M68" i="31"/>
  <c r="W68" i="31"/>
  <c r="X68" i="31"/>
  <c r="N68" i="31"/>
  <c r="E68" i="31"/>
  <c r="J68" i="31"/>
  <c r="O68" i="31"/>
  <c r="C68" i="31"/>
  <c r="Y68" i="31"/>
  <c r="P68" i="31"/>
  <c r="Q68" i="31"/>
  <c r="D68" i="31"/>
  <c r="R68" i="31"/>
  <c r="R68" i="30"/>
  <c r="T68" i="30"/>
  <c r="U68" i="30"/>
  <c r="F68" i="30"/>
  <c r="H68" i="30"/>
  <c r="I68" i="30"/>
  <c r="J68" i="30"/>
  <c r="C68" i="30"/>
  <c r="D68" i="30"/>
  <c r="Y68" i="30"/>
  <c r="K68" i="30"/>
  <c r="W68" i="30"/>
  <c r="X68" i="30"/>
  <c r="E68" i="30"/>
  <c r="L68" i="30"/>
  <c r="M68" i="30"/>
  <c r="N68" i="30"/>
  <c r="O68" i="30"/>
  <c r="Q68" i="29"/>
  <c r="S68" i="29"/>
  <c r="T68" i="29"/>
  <c r="U68" i="29"/>
  <c r="B68" i="29"/>
  <c r="V68" i="29"/>
  <c r="C68" i="29"/>
  <c r="W68" i="29"/>
  <c r="D68" i="29"/>
  <c r="X68" i="29"/>
  <c r="E68" i="29"/>
  <c r="Y68" i="29"/>
  <c r="G68" i="29"/>
  <c r="P68" i="29"/>
  <c r="F68" i="29"/>
  <c r="H68" i="29"/>
  <c r="R68" i="29"/>
  <c r="I68" i="29"/>
  <c r="J68" i="29"/>
  <c r="K68" i="29"/>
  <c r="I68" i="28"/>
  <c r="J68" i="28"/>
  <c r="K68" i="28"/>
  <c r="Q68" i="28"/>
  <c r="R68" i="28"/>
  <c r="S68" i="28"/>
  <c r="U68" i="28"/>
  <c r="B68" i="28"/>
  <c r="V68" i="28"/>
  <c r="C68" i="28"/>
  <c r="W68" i="28"/>
  <c r="T68" i="28"/>
  <c r="D68" i="28"/>
  <c r="X68" i="28"/>
  <c r="P68" i="28"/>
  <c r="E68" i="28"/>
  <c r="Y68" i="28"/>
  <c r="F68" i="28"/>
  <c r="G68" i="28"/>
  <c r="H68" i="28"/>
  <c r="K68" i="27"/>
  <c r="O68" i="27"/>
  <c r="P68" i="27"/>
  <c r="Q68" i="27"/>
  <c r="J68" i="27"/>
  <c r="R68" i="27"/>
  <c r="S68" i="27"/>
  <c r="T68" i="27"/>
  <c r="U68" i="27"/>
  <c r="L68" i="27"/>
  <c r="M68" i="27"/>
  <c r="B68" i="27"/>
  <c r="V68" i="27"/>
  <c r="N68" i="27"/>
  <c r="C68" i="27"/>
  <c r="W68" i="27"/>
  <c r="D68" i="27"/>
  <c r="X68" i="27"/>
  <c r="E68" i="27"/>
  <c r="Y68" i="27"/>
  <c r="F68" i="27"/>
  <c r="K68" i="26"/>
  <c r="L68" i="26"/>
  <c r="M68" i="26"/>
  <c r="N68" i="26"/>
  <c r="O68" i="26"/>
  <c r="P68" i="26"/>
  <c r="S68" i="26"/>
  <c r="U68" i="26"/>
  <c r="J68" i="26"/>
  <c r="Q68" i="26"/>
  <c r="R68" i="26"/>
  <c r="T68" i="26"/>
  <c r="B68" i="26"/>
  <c r="V68" i="26"/>
  <c r="C68" i="26"/>
  <c r="W68" i="26"/>
  <c r="D68" i="26"/>
  <c r="X68" i="26"/>
  <c r="E68" i="26"/>
  <c r="Y68" i="26"/>
  <c r="B68" i="25"/>
  <c r="V68" i="25"/>
  <c r="C68" i="25"/>
  <c r="W68" i="25"/>
  <c r="D68" i="25"/>
  <c r="X68" i="25"/>
  <c r="E68" i="25"/>
  <c r="Y68" i="25"/>
  <c r="K68" i="25"/>
  <c r="L68" i="25"/>
  <c r="N68" i="25"/>
  <c r="O68" i="25"/>
  <c r="M68" i="25"/>
  <c r="P68" i="25"/>
  <c r="Q68" i="25"/>
  <c r="R68" i="25"/>
  <c r="S68" i="25"/>
  <c r="T68" i="25"/>
  <c r="J68" i="25"/>
  <c r="U68" i="25"/>
  <c r="C68" i="24"/>
  <c r="W68" i="24"/>
  <c r="D68" i="24"/>
  <c r="X68" i="24"/>
  <c r="I68" i="24"/>
  <c r="J68" i="24"/>
  <c r="K68" i="24"/>
  <c r="L68" i="24"/>
  <c r="M68" i="24"/>
  <c r="N68" i="24"/>
  <c r="F68" i="24"/>
  <c r="O68" i="24"/>
  <c r="P68" i="24"/>
  <c r="Q68" i="24"/>
  <c r="R68" i="24"/>
  <c r="S68" i="24"/>
  <c r="T68" i="24"/>
  <c r="U68" i="24"/>
  <c r="S68" i="23"/>
  <c r="T68" i="23"/>
  <c r="B68" i="23"/>
  <c r="E68" i="23"/>
  <c r="F68" i="23"/>
  <c r="G68" i="23"/>
  <c r="H68" i="23"/>
  <c r="I68" i="23"/>
  <c r="L68" i="23"/>
  <c r="V68" i="23"/>
  <c r="J68" i="23"/>
  <c r="K68" i="23"/>
  <c r="M68" i="23"/>
  <c r="Y68" i="23"/>
  <c r="N68" i="23"/>
  <c r="O68" i="23"/>
  <c r="P68" i="23"/>
  <c r="Q68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A104" i="12" l="1"/>
  <c r="AA108" i="12"/>
  <c r="AA115" i="12"/>
  <c r="AA119" i="12"/>
  <c r="AA126" i="12"/>
  <c r="AA130" i="12"/>
  <c r="AA137" i="12"/>
  <c r="AA141" i="12"/>
  <c r="AA148" i="12"/>
  <c r="AA152" i="12"/>
  <c r="AA107" i="12"/>
  <c r="AA111" i="12"/>
  <c r="AA118" i="12"/>
  <c r="AA122" i="12"/>
  <c r="AA129" i="12"/>
  <c r="AA133" i="12"/>
  <c r="AA140" i="12"/>
  <c r="AA144" i="12"/>
  <c r="AA151" i="12"/>
  <c r="AA155" i="12"/>
  <c r="AA154" i="12"/>
  <c r="AA110" i="12"/>
  <c r="AA132" i="12"/>
  <c r="AA139" i="12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7" i="14" l="1"/>
  <c r="AA63" i="14"/>
  <c r="AA66" i="15"/>
  <c r="AA62" i="15"/>
  <c r="AA65" i="16"/>
  <c r="AA61" i="16"/>
  <c r="AA64" i="17"/>
  <c r="AA67" i="18"/>
  <c r="AA63" i="18"/>
  <c r="AA66" i="19"/>
  <c r="AA62" i="19"/>
  <c r="AA65" i="20"/>
  <c r="AA61" i="20"/>
  <c r="AA64" i="21"/>
  <c r="AA67" i="22"/>
  <c r="AA63" i="22"/>
  <c r="AA64" i="14"/>
  <c r="AA67" i="15"/>
  <c r="AA63" i="15"/>
  <c r="AA66" i="16"/>
  <c r="AA62" i="16"/>
  <c r="AA65" i="17"/>
  <c r="AA61" i="17"/>
  <c r="AA64" i="18"/>
  <c r="AA67" i="19"/>
  <c r="AA63" i="19"/>
  <c r="AA66" i="20"/>
  <c r="AA62" i="20"/>
  <c r="AA65" i="21"/>
  <c r="AA61" i="21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AA66" i="14"/>
  <c r="AA62" i="14"/>
  <c r="AA65" i="15"/>
  <c r="AA61" i="15"/>
  <c r="AA64" i="16"/>
  <c r="AA67" i="17"/>
  <c r="AA63" i="17"/>
  <c r="AA66" i="18"/>
  <c r="AA62" i="18"/>
  <c r="AA65" i="19"/>
  <c r="AA61" i="19"/>
  <c r="AA64" i="20"/>
  <c r="AA67" i="21"/>
  <c r="AA63" i="21"/>
  <c r="AA66" i="22"/>
  <c r="AA62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39" i="14" l="1"/>
  <c r="AA32" i="14"/>
  <c r="AA43" i="14"/>
  <c r="AA50" i="14"/>
  <c r="AA54" i="14"/>
  <c r="AA71" i="14"/>
  <c r="AA75" i="14"/>
  <c r="AA82" i="14"/>
  <c r="AA86" i="14"/>
  <c r="AA93" i="14"/>
  <c r="AA97" i="14"/>
  <c r="AA16" i="15"/>
  <c r="AA20" i="15"/>
  <c r="AA27" i="15"/>
  <c r="AA31" i="15"/>
  <c r="AA38" i="15"/>
  <c r="AA42" i="15"/>
  <c r="AA49" i="15"/>
  <c r="AA53" i="15"/>
  <c r="AA74" i="15"/>
  <c r="AA78" i="15"/>
  <c r="AA85" i="15"/>
  <c r="AA89" i="15"/>
  <c r="AA96" i="15"/>
  <c r="AA100" i="15"/>
  <c r="AA19" i="16"/>
  <c r="AA23" i="16"/>
  <c r="AA30" i="16"/>
  <c r="AA34" i="16"/>
  <c r="AA41" i="16"/>
  <c r="AA45" i="16"/>
  <c r="AA52" i="16"/>
  <c r="AA56" i="16"/>
  <c r="AA73" i="16"/>
  <c r="AA77" i="16"/>
  <c r="AA84" i="16"/>
  <c r="AA88" i="16"/>
  <c r="AA95" i="16"/>
  <c r="AA21" i="14"/>
  <c r="AA28" i="14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31" i="14"/>
  <c r="AA38" i="14"/>
  <c r="AA42" i="14"/>
  <c r="AA53" i="14"/>
  <c r="AA74" i="14"/>
  <c r="AA78" i="14"/>
  <c r="AA85" i="14"/>
  <c r="AA89" i="14"/>
  <c r="AA96" i="14"/>
  <c r="AA30" i="15"/>
  <c r="AA34" i="15"/>
  <c r="AA41" i="15"/>
  <c r="AA45" i="15"/>
  <c r="AA52" i="15"/>
  <c r="AA56" i="15"/>
  <c r="AA73" i="15"/>
  <c r="AA77" i="15"/>
  <c r="AA84" i="15"/>
  <c r="AA88" i="15"/>
  <c r="AA95" i="15"/>
  <c r="AA99" i="15"/>
  <c r="AA18" i="16"/>
  <c r="AA22" i="16"/>
  <c r="AA29" i="16"/>
  <c r="AA33" i="16"/>
  <c r="AA40" i="16"/>
  <c r="AA44" i="16"/>
  <c r="AA51" i="16"/>
  <c r="AA55" i="16"/>
  <c r="AA72" i="16"/>
  <c r="AA76" i="16"/>
  <c r="AA83" i="16"/>
  <c r="AA87" i="16"/>
  <c r="AA94" i="16"/>
  <c r="AA27" i="14"/>
  <c r="AA20" i="14"/>
  <c r="AA100" i="14"/>
  <c r="AA23" i="15"/>
  <c r="AA49" i="14"/>
  <c r="AA19" i="15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00" i="22"/>
  <c r="AA30" i="14"/>
  <c r="AA45" i="14"/>
  <c r="AA52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7" i="16"/>
  <c r="AA19" i="14"/>
  <c r="AA23" i="14"/>
  <c r="AA34" i="14"/>
  <c r="AA41" i="14"/>
  <c r="AA56" i="14"/>
  <c r="AA22" i="14"/>
  <c r="AA29" i="14"/>
  <c r="AA33" i="14"/>
  <c r="AA40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99" i="17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16"/>
  <c r="AA60" i="20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<sst xmlns="http://schemas.openxmlformats.org/spreadsheetml/2006/main" count="887" uniqueCount="55">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</sst>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1717.6897117981662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535.89590283840755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369.72735539137568</v>
      </c>
      <c r="N16" s="2">
        <f>N5/'Output-Calculation-sheet'!N4*'Output-Calculation-sheet'!N22</f>
        <v>0</v>
      </c>
      <c r="O16" s="2">
        <f>O5/'Output-Calculation-sheet'!O4*'Output-Calculation-sheet'!O22</f>
        <v>333.74363847429015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40.042689274825726</v>
      </c>
      <c r="Y16" s="2">
        <f>Y5/'Output-Calculation-sheet'!Y4*'Output-Calculation-sheet'!Y22</f>
        <v>0</v>
      </c>
      <c r="AA16" s="2">
        <f t="shared" ref="AA16:AA23" si="0">SUM(B16:Y16)/1000</f>
        <v>2.9970992977770647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4616.1594293206508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1361.2688260627315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939.68456778777102</v>
      </c>
      <c r="N17" s="2">
        <f>N6/'Output-Calculation-sheet'!N5*'Output-Calculation-sheet'!N23</f>
        <v>0</v>
      </c>
      <c r="O17" s="2">
        <f>O6/'Output-Calculation-sheet'!O5*'Output-Calculation-sheet'!O23</f>
        <v>840.69886949421243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104.48753231084714</v>
      </c>
      <c r="Y17" s="2">
        <f>Y6/'Output-Calculation-sheet'!Y5*'Output-Calculation-sheet'!Y23</f>
        <v>0</v>
      </c>
      <c r="AA17" s="2">
        <f t="shared" si="0"/>
        <v>7.8622992249762129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6481.2862677930789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2591.5684409748651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1790.5458483949694</v>
      </c>
      <c r="N18" s="2">
        <f>N7/'Output-Calculation-sheet'!N6*'Output-Calculation-sheet'!N24</f>
        <v>553.84537548532228</v>
      </c>
      <c r="O18" s="2">
        <f>O7/'Output-Calculation-sheet'!O6*'Output-Calculation-sheet'!O24</f>
        <v>1149.1498259999978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121.07977262799619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200.41278358151175</v>
      </c>
      <c r="Y18" s="2">
        <f>Y7/'Output-Calculation-sheet'!Y6*'Output-Calculation-sheet'!Y24</f>
        <v>0</v>
      </c>
      <c r="AA18" s="2">
        <f t="shared" si="0"/>
        <v>12.88788831485774</v>
      </c>
    </row>
    <row r="19" spans="1:27" x14ac:dyDescent="0.25">
      <c r="A19" s="2">
        <v>2031</v>
      </c>
      <c r="B19" s="2">
        <f>B8/'Output-Calculation-sheet'!B7*'Output-Calculation-sheet'!B25</f>
        <v>826.69037179480028</v>
      </c>
      <c r="C19" s="2">
        <f>C8/'Output-Calculation-sheet'!C7*'Output-Calculation-sheet'!C25</f>
        <v>7704.5601789187504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3709.3233518018751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2577.1718344289097</v>
      </c>
      <c r="N19" s="2">
        <f>N8/'Output-Calculation-sheet'!N7*'Output-Calculation-sheet'!N25</f>
        <v>882.343766091769</v>
      </c>
      <c r="O19" s="2">
        <f>O8/'Output-Calculation-sheet'!O7*'Output-Calculation-sheet'!O25</f>
        <v>1366.7292480711933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314.83418457568757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288.37664161000532</v>
      </c>
      <c r="Y19" s="2">
        <f>Y8/'Output-Calculation-sheet'!Y7*'Output-Calculation-sheet'!Y25</f>
        <v>0</v>
      </c>
      <c r="AA19" s="2">
        <f t="shared" si="0"/>
        <v>17.67002957729299</v>
      </c>
    </row>
    <row r="20" spans="1:27" x14ac:dyDescent="0.25">
      <c r="A20" s="2">
        <v>2032</v>
      </c>
      <c r="B20" s="2">
        <f>B9/'Output-Calculation-sheet'!B8*'Output-Calculation-sheet'!B26</f>
        <v>4283.433888701773</v>
      </c>
      <c r="C20" s="2">
        <f>C9/'Output-Calculation-sheet'!C8*'Output-Calculation-sheet'!C26</f>
        <v>8706.299813844711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4660.0760840292733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3241.0152368153695</v>
      </c>
      <c r="N20" s="2">
        <f>N9/'Output-Calculation-sheet'!N8*'Output-Calculation-sheet'!N26</f>
        <v>1461.310752837835</v>
      </c>
      <c r="O20" s="2">
        <f>O9/'Output-Calculation-sheet'!O8*'Output-Calculation-sheet'!O26</f>
        <v>1515.9904350723707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528.36687522582577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362.23850237630558</v>
      </c>
      <c r="Y20" s="2">
        <f>Y9/'Output-Calculation-sheet'!Y8*'Output-Calculation-sheet'!Y26</f>
        <v>0</v>
      </c>
      <c r="AA20" s="2">
        <f t="shared" si="0"/>
        <v>24.758731588903466</v>
      </c>
    </row>
    <row r="21" spans="1:27" x14ac:dyDescent="0.25">
      <c r="A21" s="2">
        <v>2033</v>
      </c>
      <c r="B21" s="2">
        <f>B10/'Output-Calculation-sheet'!B9*'Output-Calculation-sheet'!B27</f>
        <v>9677.6803616609432</v>
      </c>
      <c r="C21" s="2">
        <f>C10/'Output-Calculation-sheet'!C9*'Output-Calculation-sheet'!C27</f>
        <v>9865.8629954367916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5594.9136524583637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3886.0578585788385</v>
      </c>
      <c r="N21" s="2">
        <f>N10/'Output-Calculation-sheet'!N9*'Output-Calculation-sheet'!N27</f>
        <v>2114.559390834535</v>
      </c>
      <c r="O21" s="2">
        <f>O10/'Output-Calculation-sheet'!O9*'Output-Calculation-sheet'!O27</f>
        <v>1640.404168461193</v>
      </c>
      <c r="P21" s="2">
        <f>P10/'Output-Calculation-sheet'!P9*'Output-Calculation-sheet'!P27</f>
        <v>0</v>
      </c>
      <c r="Q21" s="2">
        <f>Q10/'Output-Calculation-sheet'!Q9*'Output-Calculation-sheet'!Q27</f>
        <v>144.4076770960657</v>
      </c>
      <c r="R21" s="2">
        <f>R10/'Output-Calculation-sheet'!R9*'Output-Calculation-sheet'!R27</f>
        <v>0</v>
      </c>
      <c r="S21" s="2">
        <f>S10/'Output-Calculation-sheet'!S9*'Output-Calculation-sheet'!S27</f>
        <v>925.31926130677004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456.93963023864609</v>
      </c>
      <c r="Y21" s="2">
        <f>Y10/'Output-Calculation-sheet'!Y9*'Output-Calculation-sheet'!Y27</f>
        <v>0</v>
      </c>
      <c r="AA21" s="2">
        <f t="shared" si="0"/>
        <v>34.306144996072149</v>
      </c>
    </row>
    <row r="22" spans="1:27" x14ac:dyDescent="0.25">
      <c r="A22" s="2">
        <v>2034</v>
      </c>
      <c r="B22" s="2">
        <f>B11/'Output-Calculation-sheet'!B10*'Output-Calculation-sheet'!B28</f>
        <v>15978.321269801912</v>
      </c>
      <c r="C22" s="2">
        <f>C11/'Output-Calculation-sheet'!C10*'Output-Calculation-sheet'!C28</f>
        <v>11408.850205610283</v>
      </c>
      <c r="D22" s="2">
        <f>D11/'Output-Calculation-sheet'!D10*'Output-Calculation-sheet'!D28</f>
        <v>0</v>
      </c>
      <c r="E22" s="2">
        <f>E11/'Output-Calculation-sheet'!E10*'Output-Calculation-sheet'!E28</f>
        <v>924.15981333169498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6717.1283828564283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458.91000137166873</v>
      </c>
      <c r="M22" s="2">
        <f>M11/'Output-Calculation-sheet'!M10*'Output-Calculation-sheet'!M28</f>
        <v>4666.6723918756188</v>
      </c>
      <c r="N22" s="2">
        <f>N11/'Output-Calculation-sheet'!N10*'Output-Calculation-sheet'!N28</f>
        <v>2709.4232294305752</v>
      </c>
      <c r="O22" s="2">
        <f>O11/'Output-Calculation-sheet'!O10*'Output-Calculation-sheet'!O28</f>
        <v>1755.945291308163</v>
      </c>
      <c r="P22" s="2">
        <f>P11/'Output-Calculation-sheet'!P10*'Output-Calculation-sheet'!P28</f>
        <v>0</v>
      </c>
      <c r="Q22" s="2">
        <f>Q11/'Output-Calculation-sheet'!Q10*'Output-Calculation-sheet'!Q28</f>
        <v>405.07164345491526</v>
      </c>
      <c r="R22" s="2">
        <f>R11/'Output-Calculation-sheet'!R10*'Output-Calculation-sheet'!R28</f>
        <v>0</v>
      </c>
      <c r="S22" s="2">
        <f>S11/'Output-Calculation-sheet'!S10*'Output-Calculation-sheet'!S28</f>
        <v>1265.5361457043975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486.00636172023059</v>
      </c>
      <c r="Y22" s="2">
        <f>Y11/'Output-Calculation-sheet'!Y10*'Output-Calculation-sheet'!Y28</f>
        <v>51.16970462579237</v>
      </c>
      <c r="AA22" s="2">
        <f t="shared" si="0"/>
        <v>46.827194441091677</v>
      </c>
    </row>
    <row r="23" spans="1:27" x14ac:dyDescent="0.25">
      <c r="A23" s="2">
        <v>2035</v>
      </c>
      <c r="B23" s="2">
        <f>B12/'Output-Calculation-sheet'!B11*'Output-Calculation-sheet'!B29</f>
        <v>18658.345237485097</v>
      </c>
      <c r="C23" s="2">
        <f>C12/'Output-Calculation-sheet'!C11*'Output-Calculation-sheet'!C29</f>
        <v>13609.672404796132</v>
      </c>
      <c r="D23" s="2">
        <f>D12/'Output-Calculation-sheet'!D11*'Output-Calculation-sheet'!D29</f>
        <v>0</v>
      </c>
      <c r="E23" s="2">
        <f>E12/'Output-Calculation-sheet'!E11*'Output-Calculation-sheet'!E29</f>
        <v>2373.5126976669121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6831.6986092895295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561.79243957189692</v>
      </c>
      <c r="M23" s="2">
        <f>M12/'Output-Calculation-sheet'!M11*'Output-Calculation-sheet'!M29</f>
        <v>4816.7869639376095</v>
      </c>
      <c r="N23" s="2">
        <f>N12/'Output-Calculation-sheet'!N11*'Output-Calculation-sheet'!N29</f>
        <v>2838.2225962993857</v>
      </c>
      <c r="O23" s="2">
        <f>O12/'Output-Calculation-sheet'!O11*'Output-Calculation-sheet'!O29</f>
        <v>1877.7332022646965</v>
      </c>
      <c r="P23" s="2">
        <f>P12/'Output-Calculation-sheet'!P11*'Output-Calculation-sheet'!P29</f>
        <v>400.35242271465717</v>
      </c>
      <c r="Q23" s="2">
        <f>Q12/'Output-Calculation-sheet'!Q11*'Output-Calculation-sheet'!Q29</f>
        <v>606.39724223677194</v>
      </c>
      <c r="R23" s="2">
        <f>R12/'Output-Calculation-sheet'!R11*'Output-Calculation-sheet'!R29</f>
        <v>0</v>
      </c>
      <c r="S23" s="2">
        <f>S12/'Output-Calculation-sheet'!S11*'Output-Calculation-sheet'!S29</f>
        <v>1387.9811225150174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500.38403493639134</v>
      </c>
      <c r="Y23" s="2">
        <f>Y12/'Output-Calculation-sheet'!Y11*'Output-Calculation-sheet'!Y29</f>
        <v>127.06121109125307</v>
      </c>
      <c r="AA23" s="2">
        <f t="shared" si="0"/>
        <v>54.589940184805343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2168.4179502480833</v>
      </c>
      <c r="C27" s="2">
        <f>C5/'Output-Calculation-sheet'!C4*'Output-Calculation-sheet'!C13</f>
        <v>0</v>
      </c>
      <c r="D27" s="2">
        <f>D5/'Output-Calculation-sheet'!D4*'Output-Calculation-sheet'!D13</f>
        <v>387.3625095680614</v>
      </c>
      <c r="E27" s="2">
        <f>E5/'Output-Calculation-sheet'!E4*'Output-Calculation-sheet'!E13</f>
        <v>416.75420472560523</v>
      </c>
      <c r="F27" s="2">
        <f>F5/'Output-Calculation-sheet'!F4*'Output-Calculation-sheet'!F13</f>
        <v>210.27226744087841</v>
      </c>
      <c r="G27" s="2">
        <f>G5/'Output-Calculation-sheet'!G4*'Output-Calculation-sheet'!G13</f>
        <v>137.6969820975693</v>
      </c>
      <c r="H27" s="2">
        <f>H5/'Output-Calculation-sheet'!H4*'Output-Calculation-sheet'!H13</f>
        <v>0</v>
      </c>
      <c r="I27" s="2">
        <f>I5/'Output-Calculation-sheet'!I4*'Output-Calculation-sheet'!I13</f>
        <v>134.23708372142337</v>
      </c>
      <c r="J27" s="2">
        <f>J5/'Output-Calculation-sheet'!J4*'Output-Calculation-sheet'!J13</f>
        <v>119.49712886588522</v>
      </c>
      <c r="K27" s="2">
        <f>K5/'Output-Calculation-sheet'!K4*'Output-Calculation-sheet'!K13</f>
        <v>159.54426378509521</v>
      </c>
      <c r="L27" s="2">
        <f>L5/'Output-Calculation-sheet'!L4*'Output-Calculation-sheet'!L13</f>
        <v>134.76318599199658</v>
      </c>
      <c r="M27" s="2">
        <f>M5/'Output-Calculation-sheet'!M4*'Output-Calculation-sheet'!M13</f>
        <v>0</v>
      </c>
      <c r="N27" s="2">
        <f>N5/'Output-Calculation-sheet'!N4*'Output-Calculation-sheet'!N13</f>
        <v>258.66272783157029</v>
      </c>
      <c r="O27" s="2">
        <f>O5/'Output-Calculation-sheet'!O4*'Output-Calculation-sheet'!O13</f>
        <v>0</v>
      </c>
      <c r="P27" s="2">
        <f>P5/'Output-Calculation-sheet'!P4*'Output-Calculation-sheet'!P13</f>
        <v>158.02181472811503</v>
      </c>
      <c r="Q27" s="2">
        <f>Q5/'Output-Calculation-sheet'!Q4*'Output-Calculation-sheet'!Q13</f>
        <v>175.86098471331613</v>
      </c>
      <c r="R27" s="2">
        <f>R5/'Output-Calculation-sheet'!R4*'Output-Calculation-sheet'!R13</f>
        <v>118.88956965713226</v>
      </c>
      <c r="S27" s="2">
        <f>S5/'Output-Calculation-sheet'!S4*'Output-Calculation-sheet'!S13</f>
        <v>137.21645831932483</v>
      </c>
      <c r="T27" s="2">
        <f>T5/'Output-Calculation-sheet'!T4*'Output-Calculation-sheet'!T13</f>
        <v>36.035341649726895</v>
      </c>
      <c r="U27" s="2">
        <f>U5/'Output-Calculation-sheet'!U4*'Output-Calculation-sheet'!U13</f>
        <v>35.972209631230882</v>
      </c>
      <c r="V27" s="2">
        <f>V5/'Output-Calculation-sheet'!V4*'Output-Calculation-sheet'!V13</f>
        <v>27.996477773935315</v>
      </c>
      <c r="W27" s="2">
        <f>W5/'Output-Calculation-sheet'!W4*'Output-Calculation-sheet'!W13</f>
        <v>16.980248955133693</v>
      </c>
      <c r="X27" s="2">
        <f>X5/'Output-Calculation-sheet'!X4*'Output-Calculation-sheet'!X13</f>
        <v>0</v>
      </c>
      <c r="Y27" s="2">
        <f>Y5/'Output-Calculation-sheet'!Y4*'Output-Calculation-sheet'!Y13</f>
        <v>14.356919846048267</v>
      </c>
      <c r="AA27" s="2">
        <f t="shared" ref="AA27:AA34" si="1">SUM(B27:Y27)/1000</f>
        <v>4.8485383295501316</v>
      </c>
    </row>
    <row r="28" spans="1:27" x14ac:dyDescent="0.25">
      <c r="A28" s="2">
        <v>2029</v>
      </c>
      <c r="B28" s="2">
        <f>B6/'Output-Calculation-sheet'!B5*'Output-Calculation-sheet'!B14</f>
        <v>5450.6267810248974</v>
      </c>
      <c r="C28" s="2">
        <f>C6/'Output-Calculation-sheet'!C5*'Output-Calculation-sheet'!C14</f>
        <v>0</v>
      </c>
      <c r="D28" s="2">
        <f>D6/'Output-Calculation-sheet'!D5*'Output-Calculation-sheet'!D14</f>
        <v>973.62094107687381</v>
      </c>
      <c r="E28" s="2">
        <f>E6/'Output-Calculation-sheet'!E5*'Output-Calculation-sheet'!E14</f>
        <v>1047.5874761883697</v>
      </c>
      <c r="F28" s="2">
        <f>F6/'Output-Calculation-sheet'!F5*'Output-Calculation-sheet'!F14</f>
        <v>528.5134562351293</v>
      </c>
      <c r="G28" s="2">
        <f>G6/'Output-Calculation-sheet'!G5*'Output-Calculation-sheet'!G14</f>
        <v>346.11354143701686</v>
      </c>
      <c r="H28" s="2">
        <f>H6/'Output-Calculation-sheet'!H5*'Output-Calculation-sheet'!H14</f>
        <v>0</v>
      </c>
      <c r="I28" s="2">
        <f>I6/'Output-Calculation-sheet'!I5*'Output-Calculation-sheet'!I14</f>
        <v>337.41678089994491</v>
      </c>
      <c r="J28" s="2">
        <f>J6/'Output-Calculation-sheet'!J5*'Output-Calculation-sheet'!J14</f>
        <v>300.35096003923604</v>
      </c>
      <c r="K28" s="2">
        <f>K6/'Output-Calculation-sheet'!K5*'Output-Calculation-sheet'!K14</f>
        <v>401.0286159757141</v>
      </c>
      <c r="L28" s="2">
        <f>L6/'Output-Calculation-sheet'!L5*'Output-Calculation-sheet'!L14</f>
        <v>338.73918548174697</v>
      </c>
      <c r="M28" s="2">
        <f>M6/'Output-Calculation-sheet'!M5*'Output-Calculation-sheet'!M14</f>
        <v>0</v>
      </c>
      <c r="N28" s="2">
        <f>N6/'Output-Calculation-sheet'!N5*'Output-Calculation-sheet'!N14</f>
        <v>650.18315222105377</v>
      </c>
      <c r="O28" s="2">
        <f>O6/'Output-Calculation-sheet'!O5*'Output-Calculation-sheet'!O14</f>
        <v>0</v>
      </c>
      <c r="P28" s="2">
        <f>P6/'Output-Calculation-sheet'!P5*'Output-Calculation-sheet'!P14</f>
        <v>397.20180563650507</v>
      </c>
      <c r="Q28" s="2">
        <f>Q6/'Output-Calculation-sheet'!Q5*'Output-Calculation-sheet'!Q14</f>
        <v>442.052222801384</v>
      </c>
      <c r="R28" s="2">
        <f>R6/'Output-Calculation-sheet'!R5*'Output-Calculation-sheet'!R14</f>
        <v>298.83944707513916</v>
      </c>
      <c r="S28" s="2">
        <f>S6/'Output-Calculation-sheet'!S5*'Output-Calculation-sheet'!S14</f>
        <v>344.9123012191252</v>
      </c>
      <c r="T28" s="2">
        <f>T6/'Output-Calculation-sheet'!T5*'Output-Calculation-sheet'!T14</f>
        <v>90.578017944083726</v>
      </c>
      <c r="U28" s="2">
        <f>U6/'Output-Calculation-sheet'!U5*'Output-Calculation-sheet'!U14</f>
        <v>90.416112033859392</v>
      </c>
      <c r="V28" s="2">
        <f>V6/'Output-Calculation-sheet'!V5*'Output-Calculation-sheet'!V14</f>
        <v>70.36914132381834</v>
      </c>
      <c r="W28" s="2">
        <f>W6/'Output-Calculation-sheet'!W5*'Output-Calculation-sheet'!W14</f>
        <v>42.683506039201419</v>
      </c>
      <c r="X28" s="2">
        <f>X6/'Output-Calculation-sheet'!X5*'Output-Calculation-sheet'!X14</f>
        <v>0</v>
      </c>
      <c r="Y28" s="2">
        <f>Y6/'Output-Calculation-sheet'!Y5*'Output-Calculation-sheet'!Y14</f>
        <v>36.087387656195219</v>
      </c>
      <c r="AA28" s="2">
        <f t="shared" si="1"/>
        <v>12.187320832309293</v>
      </c>
    </row>
    <row r="29" spans="1:27" x14ac:dyDescent="0.25">
      <c r="A29" s="2">
        <v>2030</v>
      </c>
      <c r="B29" s="2">
        <f>B7/'Output-Calculation-sheet'!B6*'Output-Calculation-sheet'!B15</f>
        <v>9680.8503427449596</v>
      </c>
      <c r="C29" s="2">
        <f>C7/'Output-Calculation-sheet'!C6*'Output-Calculation-sheet'!C15</f>
        <v>0</v>
      </c>
      <c r="D29" s="2">
        <f>D7/'Output-Calculation-sheet'!D6*'Output-Calculation-sheet'!D15</f>
        <v>1693.4769059434007</v>
      </c>
      <c r="E29" s="2">
        <f>E7/'Output-Calculation-sheet'!E6*'Output-Calculation-sheet'!E15</f>
        <v>1822.0781812598548</v>
      </c>
      <c r="F29" s="2">
        <f>F7/'Output-Calculation-sheet'!F6*'Output-Calculation-sheet'!F15</f>
        <v>919.27371928240984</v>
      </c>
      <c r="G29" s="2">
        <f>G7/'Output-Calculation-sheet'!G6*'Output-Calculation-sheet'!G15</f>
        <v>602.00580669751787</v>
      </c>
      <c r="H29" s="2">
        <f>H7/'Output-Calculation-sheet'!H6*'Output-Calculation-sheet'!H15</f>
        <v>0</v>
      </c>
      <c r="I29" s="2">
        <f>I7/'Output-Calculation-sheet'!I6*'Output-Calculation-sheet'!I15</f>
        <v>586.87926665797454</v>
      </c>
      <c r="J29" s="2">
        <f>J7/'Output-Calculation-sheet'!J6*'Output-Calculation-sheet'!J15</f>
        <v>522.4186255892356</v>
      </c>
      <c r="K29" s="2">
        <f>K7/'Output-Calculation-sheet'!K6*'Output-Calculation-sheet'!K15</f>
        <v>697.53927685320855</v>
      </c>
      <c r="L29" s="2">
        <f>L7/'Output-Calculation-sheet'!L6*'Output-Calculation-sheet'!L15</f>
        <v>589.19368683115022</v>
      </c>
      <c r="M29" s="2">
        <f>M7/'Output-Calculation-sheet'!M6*'Output-Calculation-sheet'!M15</f>
        <v>0</v>
      </c>
      <c r="N29" s="2">
        <f>N7/'Output-Calculation-sheet'!N6*'Output-Calculation-sheet'!N15</f>
        <v>760.16919619477528</v>
      </c>
      <c r="O29" s="2">
        <f>O7/'Output-Calculation-sheet'!O6*'Output-Calculation-sheet'!O15</f>
        <v>0</v>
      </c>
      <c r="P29" s="2">
        <f>P7/'Output-Calculation-sheet'!P6*'Output-Calculation-sheet'!P15</f>
        <v>690.86517803126105</v>
      </c>
      <c r="Q29" s="2">
        <f>Q7/'Output-Calculation-sheet'!Q6*'Output-Calculation-sheet'!Q15</f>
        <v>778.47067775385005</v>
      </c>
      <c r="R29" s="2">
        <f>R7/'Output-Calculation-sheet'!R6*'Output-Calculation-sheet'!R15</f>
        <v>519.78053693760717</v>
      </c>
      <c r="S29" s="2">
        <f>S7/'Output-Calculation-sheet'!S6*'Output-Calculation-sheet'!S15</f>
        <v>536.87830172164774</v>
      </c>
      <c r="T29" s="2">
        <f>T7/'Output-Calculation-sheet'!T6*'Output-Calculation-sheet'!T15</f>
        <v>157.54510076403079</v>
      </c>
      <c r="U29" s="2">
        <f>U7/'Output-Calculation-sheet'!U6*'Output-Calculation-sheet'!U15</f>
        <v>157.26535861244582</v>
      </c>
      <c r="V29" s="2">
        <f>V7/'Output-Calculation-sheet'!V6*'Output-Calculation-sheet'!V15</f>
        <v>122.39662581881235</v>
      </c>
      <c r="W29" s="2">
        <f>W7/'Output-Calculation-sheet'!W6*'Output-Calculation-sheet'!W15</f>
        <v>74.239474152718984</v>
      </c>
      <c r="X29" s="2">
        <f>X7/'Output-Calculation-sheet'!X6*'Output-Calculation-sheet'!X15</f>
        <v>0</v>
      </c>
      <c r="Y29" s="2">
        <f>Y7/'Output-Calculation-sheet'!Y6*'Output-Calculation-sheet'!Y15</f>
        <v>62.767890638936969</v>
      </c>
      <c r="AA29" s="2">
        <f t="shared" si="1"/>
        <v>20.974094152485797</v>
      </c>
    </row>
    <row r="30" spans="1:27" x14ac:dyDescent="0.25">
      <c r="A30" s="2">
        <v>2031</v>
      </c>
      <c r="B30" s="2">
        <f>B8/'Output-Calculation-sheet'!B7*'Output-Calculation-sheet'!B16</f>
        <v>14408.944633028175</v>
      </c>
      <c r="C30" s="2">
        <f>C8/'Output-Calculation-sheet'!C7*'Output-Calculation-sheet'!C16</f>
        <v>0</v>
      </c>
      <c r="D30" s="2">
        <f>D8/'Output-Calculation-sheet'!D7*'Output-Calculation-sheet'!D16</f>
        <v>2426.2757949240959</v>
      </c>
      <c r="E30" s="2">
        <f>E8/'Output-Calculation-sheet'!E7*'Output-Calculation-sheet'!E16</f>
        <v>2610.5356759530309</v>
      </c>
      <c r="F30" s="2">
        <f>F8/'Output-Calculation-sheet'!F7*'Output-Calculation-sheet'!F16</f>
        <v>1317.0291398891804</v>
      </c>
      <c r="G30" s="2">
        <f>G8/'Output-Calculation-sheet'!G7*'Output-Calculation-sheet'!G16</f>
        <v>862.49766094885206</v>
      </c>
      <c r="H30" s="2">
        <f>H8/'Output-Calculation-sheet'!H7*'Output-Calculation-sheet'!H16</f>
        <v>0</v>
      </c>
      <c r="I30" s="2">
        <f>I8/'Output-Calculation-sheet'!I7*'Output-Calculation-sheet'!I16</f>
        <v>840.80607652168567</v>
      </c>
      <c r="J30" s="2">
        <f>J8/'Output-Calculation-sheet'!J7*'Output-Calculation-sheet'!J16</f>
        <v>748.47908150005264</v>
      </c>
      <c r="K30" s="2">
        <f>K8/'Output-Calculation-sheet'!K7*'Output-Calculation-sheet'!K16</f>
        <v>999.36263795074433</v>
      </c>
      <c r="L30" s="2">
        <f>L8/'Output-Calculation-sheet'!L7*'Output-Calculation-sheet'!L16</f>
        <v>844.13652323847998</v>
      </c>
      <c r="M30" s="2">
        <f>M8/'Output-Calculation-sheet'!M7*'Output-Calculation-sheet'!M16</f>
        <v>0</v>
      </c>
      <c r="N30" s="2">
        <f>N8/'Output-Calculation-sheet'!N7*'Output-Calculation-sheet'!N16</f>
        <v>1199.024813794683</v>
      </c>
      <c r="O30" s="2">
        <f>O8/'Output-Calculation-sheet'!O7*'Output-Calculation-sheet'!O16</f>
        <v>0</v>
      </c>
      <c r="P30" s="2">
        <f>P8/'Output-Calculation-sheet'!P7*'Output-Calculation-sheet'!P16</f>
        <v>1077.6441594926641</v>
      </c>
      <c r="Q30" s="2">
        <f>Q8/'Output-Calculation-sheet'!Q7*'Output-Calculation-sheet'!Q16</f>
        <v>1185.0526728597515</v>
      </c>
      <c r="R30" s="2">
        <f>R8/'Output-Calculation-sheet'!R7*'Output-Calculation-sheet'!R16</f>
        <v>751.92107162365403</v>
      </c>
      <c r="S30" s="2">
        <f>S8/'Output-Calculation-sheet'!S7*'Output-Calculation-sheet'!S16</f>
        <v>756.21211026712785</v>
      </c>
      <c r="T30" s="2">
        <f>T8/'Output-Calculation-sheet'!T7*'Output-Calculation-sheet'!T16</f>
        <v>225.71589740695438</v>
      </c>
      <c r="U30" s="2">
        <f>U8/'Output-Calculation-sheet'!U7*'Output-Calculation-sheet'!U16</f>
        <v>225.31243596397678</v>
      </c>
      <c r="V30" s="2">
        <f>V8/'Output-Calculation-sheet'!V7*'Output-Calculation-sheet'!V16</f>
        <v>175.35638606563165</v>
      </c>
      <c r="W30" s="2">
        <f>W8/'Output-Calculation-sheet'!W7*'Output-Calculation-sheet'!W16</f>
        <v>106.36248830891378</v>
      </c>
      <c r="X30" s="2">
        <f>X8/'Output-Calculation-sheet'!X7*'Output-Calculation-sheet'!X16</f>
        <v>0</v>
      </c>
      <c r="Y30" s="2">
        <f>Y8/'Output-Calculation-sheet'!Y7*'Output-Calculation-sheet'!Y16</f>
        <v>90.0237542843726</v>
      </c>
      <c r="AA30" s="2">
        <f t="shared" si="1"/>
        <v>30.850693014022028</v>
      </c>
    </row>
    <row r="31" spans="1:27" x14ac:dyDescent="0.25">
      <c r="A31" s="2">
        <v>2032</v>
      </c>
      <c r="B31" s="2">
        <f>B9/'Output-Calculation-sheet'!B8*'Output-Calculation-sheet'!B17</f>
        <v>18137.47427774081</v>
      </c>
      <c r="C31" s="2">
        <f>C9/'Output-Calculation-sheet'!C8*'Output-Calculation-sheet'!C17</f>
        <v>0</v>
      </c>
      <c r="D31" s="2">
        <f>D9/'Output-Calculation-sheet'!D8*'Output-Calculation-sheet'!D17</f>
        <v>3041.8925748761212</v>
      </c>
      <c r="E31" s="2">
        <f>E9/'Output-Calculation-sheet'!E8*'Output-Calculation-sheet'!E17</f>
        <v>3575.3291134201008</v>
      </c>
      <c r="F31" s="2">
        <f>F9/'Output-Calculation-sheet'!F8*'Output-Calculation-sheet'!F17</f>
        <v>1651.237980855102</v>
      </c>
      <c r="G31" s="2">
        <f>G9/'Output-Calculation-sheet'!G8*'Output-Calculation-sheet'!G17</f>
        <v>1081.3547386840125</v>
      </c>
      <c r="H31" s="2">
        <f>H9/'Output-Calculation-sheet'!H8*'Output-Calculation-sheet'!H17</f>
        <v>0</v>
      </c>
      <c r="I31" s="2">
        <f>I9/'Output-Calculation-sheet'!I8*'Output-Calculation-sheet'!I17</f>
        <v>1054.1638951851369</v>
      </c>
      <c r="J31" s="2">
        <f>J9/'Output-Calculation-sheet'!J8*'Output-Calculation-sheet'!J17</f>
        <v>938.40905655705978</v>
      </c>
      <c r="K31" s="2">
        <f>K9/'Output-Calculation-sheet'!K8*'Output-Calculation-sheet'!K17</f>
        <v>1336.0453353746086</v>
      </c>
      <c r="L31" s="2">
        <f>L9/'Output-Calculation-sheet'!L8*'Output-Calculation-sheet'!L17</f>
        <v>1139.4118002429004</v>
      </c>
      <c r="M31" s="2">
        <f>M9/'Output-Calculation-sheet'!M8*'Output-Calculation-sheet'!M17</f>
        <v>0</v>
      </c>
      <c r="N31" s="2">
        <f>N9/'Output-Calculation-sheet'!N8*'Output-Calculation-sheet'!N17</f>
        <v>1238.6571612956586</v>
      </c>
      <c r="O31" s="2">
        <f>O9/'Output-Calculation-sheet'!O8*'Output-Calculation-sheet'!O17</f>
        <v>0</v>
      </c>
      <c r="P31" s="2">
        <f>P9/'Output-Calculation-sheet'!P8*'Output-Calculation-sheet'!P17</f>
        <v>1537.3657904666709</v>
      </c>
      <c r="Q31" s="2">
        <f>Q9/'Output-Calculation-sheet'!Q8*'Output-Calculation-sheet'!Q17</f>
        <v>1638.9731811166532</v>
      </c>
      <c r="R31" s="2">
        <f>R9/'Output-Calculation-sheet'!R8*'Output-Calculation-sheet'!R17</f>
        <v>1072.3028738148926</v>
      </c>
      <c r="S31" s="2">
        <f>S9/'Output-Calculation-sheet'!S8*'Output-Calculation-sheet'!S17</f>
        <v>925.95117683478315</v>
      </c>
      <c r="T31" s="2">
        <f>T9/'Output-Calculation-sheet'!T8*'Output-Calculation-sheet'!T17</f>
        <v>290.97721913279247</v>
      </c>
      <c r="U31" s="2">
        <f>U9/'Output-Calculation-sheet'!U8*'Output-Calculation-sheet'!U17</f>
        <v>334.42558877545628</v>
      </c>
      <c r="V31" s="2">
        <f>V9/'Output-Calculation-sheet'!V8*'Output-Calculation-sheet'!V17</f>
        <v>239.5331811084221</v>
      </c>
      <c r="W31" s="2">
        <f>W9/'Output-Calculation-sheet'!W8*'Output-Calculation-sheet'!W17</f>
        <v>133.35377353537737</v>
      </c>
      <c r="X31" s="2">
        <f>X9/'Output-Calculation-sheet'!X8*'Output-Calculation-sheet'!X17</f>
        <v>0</v>
      </c>
      <c r="Y31" s="2">
        <f>Y9/'Output-Calculation-sheet'!Y8*'Output-Calculation-sheet'!Y17</f>
        <v>128.8486366709657</v>
      </c>
      <c r="AA31" s="2">
        <f t="shared" si="1"/>
        <v>39.495707355687529</v>
      </c>
    </row>
    <row r="32" spans="1:27" x14ac:dyDescent="0.25">
      <c r="A32" s="2">
        <v>2033</v>
      </c>
      <c r="B32" s="2">
        <f>B10/'Output-Calculation-sheet'!B9*'Output-Calculation-sheet'!B18</f>
        <v>19614.704947759496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1203.1720190491353</v>
      </c>
      <c r="O32" s="2">
        <f>O10/'Output-Calculation-sheet'!O9*'Output-Calculation-sheet'!O18</f>
        <v>0</v>
      </c>
      <c r="P32" s="2">
        <f>P10/'Output-Calculation-sheet'!P9*'Output-Calculation-sheet'!P18</f>
        <v>1925.3690331876114</v>
      </c>
      <c r="Q32" s="2">
        <f>Q10/'Output-Calculation-sheet'!Q9*'Output-Calculation-sheet'!Q18</f>
        <v>2097.9802912873065</v>
      </c>
      <c r="R32" s="2">
        <f>R10/'Output-Calculation-sheet'!R9*'Output-Calculation-sheet'!R18</f>
        <v>1382.3274531266895</v>
      </c>
      <c r="S32" s="2">
        <f>S10/'Output-Calculation-sheet'!S9*'Output-Calculation-sheet'!S18</f>
        <v>904.71308718756063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446.91542760200883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47.159989950138268</v>
      </c>
    </row>
    <row r="33" spans="1:27" x14ac:dyDescent="0.25">
      <c r="A33" s="2">
        <v>2034</v>
      </c>
      <c r="B33" s="2">
        <f>B11/'Output-Calculation-sheet'!B10*'Output-Calculation-sheet'!B19</f>
        <v>18310.670716674984</v>
      </c>
      <c r="C33" s="2">
        <f>C11/'Output-Calculation-sheet'!C10*'Output-Calculation-sheet'!C19</f>
        <v>0</v>
      </c>
      <c r="D33" s="2">
        <f>D11/'Output-Calculation-sheet'!D10*'Output-Calculation-sheet'!D19</f>
        <v>5543.1553138686522</v>
      </c>
      <c r="E33" s="2">
        <f>E11/'Output-Calculation-sheet'!E10*'Output-Calculation-sheet'!E19</f>
        <v>6873.8145427143863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1883.5067646580569</v>
      </c>
      <c r="H33" s="2">
        <f>H11/'Output-Calculation-sheet'!H10*'Output-Calculation-sheet'!H19</f>
        <v>0</v>
      </c>
      <c r="I33" s="2">
        <f>I11/'Output-Calculation-sheet'!I10*'Output-Calculation-sheet'!I19</f>
        <v>2058.2673214813312</v>
      </c>
      <c r="J33" s="2">
        <f>J11/'Output-Calculation-sheet'!J10*'Output-Calculation-sheet'!J19</f>
        <v>1741.3495675975466</v>
      </c>
      <c r="K33" s="2">
        <f>K11/'Output-Calculation-sheet'!K10*'Output-Calculation-sheet'!K19</f>
        <v>2411.0642861638335</v>
      </c>
      <c r="L33" s="2">
        <f>L11/'Output-Calculation-sheet'!L10*'Output-Calculation-sheet'!L19</f>
        <v>1904.5888553808686</v>
      </c>
      <c r="M33" s="2">
        <f>M11/'Output-Calculation-sheet'!M10*'Output-Calculation-sheet'!M19</f>
        <v>0</v>
      </c>
      <c r="N33" s="2">
        <f>N11/'Output-Calculation-sheet'!N10*'Output-Calculation-sheet'!N19</f>
        <v>1139.1526366054964</v>
      </c>
      <c r="O33" s="2">
        <f>O11/'Output-Calculation-sheet'!O10*'Output-Calculation-sheet'!O19</f>
        <v>0</v>
      </c>
      <c r="P33" s="2">
        <f>P11/'Output-Calculation-sheet'!P10*'Output-Calculation-sheet'!P19</f>
        <v>2439.9017398475426</v>
      </c>
      <c r="Q33" s="2">
        <f>Q11/'Output-Calculation-sheet'!Q10*'Output-Calculation-sheet'!Q19</f>
        <v>2014.9269720737575</v>
      </c>
      <c r="R33" s="2">
        <f>R11/'Output-Calculation-sheet'!R10*'Output-Calculation-sheet'!R19</f>
        <v>1742.1301200923381</v>
      </c>
      <c r="S33" s="2">
        <f>S11/'Output-Calculation-sheet'!S10*'Output-Calculation-sheet'!S19</f>
        <v>855.76980140333035</v>
      </c>
      <c r="T33" s="2">
        <f>T11/'Output-Calculation-sheet'!T10*'Output-Calculation-sheet'!T19</f>
        <v>511.15443309597055</v>
      </c>
      <c r="U33" s="2">
        <f>U11/'Output-Calculation-sheet'!U10*'Output-Calculation-sheet'!U19</f>
        <v>550.24043473475592</v>
      </c>
      <c r="V33" s="2">
        <f>V11/'Output-Calculation-sheet'!V10*'Output-Calculation-sheet'!V19</f>
        <v>400.94079217131036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0</v>
      </c>
      <c r="Y33" s="2">
        <f>Y11/'Output-Calculation-sheet'!Y10*'Output-Calculation-sheet'!Y19</f>
        <v>224.9795235299913</v>
      </c>
      <c r="AA33" s="2">
        <f t="shared" si="1"/>
        <v>54.000684899903753</v>
      </c>
    </row>
    <row r="34" spans="1:27" x14ac:dyDescent="0.25">
      <c r="A34" s="2">
        <v>2035</v>
      </c>
      <c r="B34" s="2">
        <f>B12/'Output-Calculation-sheet'!B11*'Output-Calculation-sheet'!B20</f>
        <v>17715.434222006206</v>
      </c>
      <c r="C34" s="2">
        <f>C12/'Output-Calculation-sheet'!C11*'Output-Calculation-sheet'!C20</f>
        <v>0</v>
      </c>
      <c r="D34" s="2">
        <f>D12/'Output-Calculation-sheet'!D11*'Output-Calculation-sheet'!D20</f>
        <v>5434.9667017501479</v>
      </c>
      <c r="E34" s="2">
        <f>E12/'Output-Calculation-sheet'!E11*'Output-Calculation-sheet'!E20</f>
        <v>6406.4666669565595</v>
      </c>
      <c r="F34" s="2">
        <f>F12/'Output-Calculation-sheet'!F11*'Output-Calculation-sheet'!F20</f>
        <v>3666.0239095979405</v>
      </c>
      <c r="G34" s="2">
        <f>G12/'Output-Calculation-sheet'!G11*'Output-Calculation-sheet'!G20</f>
        <v>1963.2779160700115</v>
      </c>
      <c r="H34" s="2">
        <f>H12/'Output-Calculation-sheet'!H11*'Output-Calculation-sheet'!H20</f>
        <v>0</v>
      </c>
      <c r="I34" s="2">
        <f>I12/'Output-Calculation-sheet'!I11*'Output-Calculation-sheet'!I20</f>
        <v>2183.6807308218272</v>
      </c>
      <c r="J34" s="2">
        <f>J12/'Output-Calculation-sheet'!J11*'Output-Calculation-sheet'!J20</f>
        <v>1702.1693304226851</v>
      </c>
      <c r="K34" s="2">
        <f>K12/'Output-Calculation-sheet'!K11*'Output-Calculation-sheet'!K20</f>
        <v>2516.021839106585</v>
      </c>
      <c r="L34" s="2">
        <f>L12/'Output-Calculation-sheet'!L11*'Output-Calculation-sheet'!L20</f>
        <v>1922.8634236766056</v>
      </c>
      <c r="M34" s="2">
        <f>M12/'Output-Calculation-sheet'!M11*'Output-Calculation-sheet'!M20</f>
        <v>0</v>
      </c>
      <c r="N34" s="2">
        <f>N12/'Output-Calculation-sheet'!N11*'Output-Calculation-sheet'!N20</f>
        <v>1115.8437744562109</v>
      </c>
      <c r="O34" s="2">
        <f>O12/'Output-Calculation-sheet'!O11*'Output-Calculation-sheet'!O20</f>
        <v>0</v>
      </c>
      <c r="P34" s="2">
        <f>P12/'Output-Calculation-sheet'!P11*'Output-Calculation-sheet'!P20</f>
        <v>2392.1772740084884</v>
      </c>
      <c r="Q34" s="2">
        <f>Q12/'Output-Calculation-sheet'!Q11*'Output-Calculation-sheet'!Q20</f>
        <v>1970.6999338025257</v>
      </c>
      <c r="R34" s="2">
        <f>R12/'Output-Calculation-sheet'!R11*'Output-Calculation-sheet'!R20</f>
        <v>1849.8888439302975</v>
      </c>
      <c r="S34" s="2">
        <f>S12/'Output-Calculation-sheet'!S11*'Output-Calculation-sheet'!S20</f>
        <v>789.31026185955045</v>
      </c>
      <c r="T34" s="2">
        <f>T12/'Output-Calculation-sheet'!T11*'Output-Calculation-sheet'!T20</f>
        <v>591.38513169093528</v>
      </c>
      <c r="U34" s="2">
        <f>U12/'Output-Calculation-sheet'!U11*'Output-Calculation-sheet'!U20</f>
        <v>551.69851678887915</v>
      </c>
      <c r="V34" s="2">
        <f>V12/'Output-Calculation-sheet'!V11*'Output-Calculation-sheet'!V20</f>
        <v>409.70142915498883</v>
      </c>
      <c r="W34" s="2">
        <f>W12/'Output-Calculation-sheet'!W11*'Output-Calculation-sheet'!W20</f>
        <v>326.26808153012962</v>
      </c>
      <c r="X34" s="2">
        <f>X12/'Output-Calculation-sheet'!X11*'Output-Calculation-sheet'!X20</f>
        <v>12.789230212164297</v>
      </c>
      <c r="Y34" s="2">
        <f>Y12/'Output-Calculation-sheet'!Y11*'Output-Calculation-sheet'!Y20</f>
        <v>190.91005670940172</v>
      </c>
      <c r="AA34" s="2">
        <f t="shared" si="1"/>
        <v>53.711577274552134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0.12246316269146462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0.12246316269146462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0.73094321013059538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0.1420026016909833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0.87294581182157871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1.5708406846169789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0.30517208582839467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1.8760127704453735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2.3633260864631249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0.4591306797445634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2.8224567662076883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3.1444981658762687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0.45816854959960807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3.6026667154758769</v>
      </c>
    </row>
    <row r="44" spans="1:27" x14ac:dyDescent="0.25">
      <c r="A44" s="2">
        <v>2034</v>
      </c>
      <c r="B44" s="2">
        <f>B11/'Output-Calculation-sheet'!B10*'Output-Calculation-sheet'!B37*0.0114</f>
        <v>1.6549722204875512</v>
      </c>
      <c r="C44" s="2">
        <f>C11/'Output-Calculation-sheet'!C10*'Output-Calculation-sheet'!C37*0.0114</f>
        <v>3.1419469101088833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0.24179727800059136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0.17545019839147571</v>
      </c>
      <c r="M44" s="2">
        <f>M11/'Output-Calculation-sheet'!M10*'Output-Calculation-sheet'!M37*0.0114</f>
        <v>0.16638018848282113</v>
      </c>
      <c r="N44" s="2">
        <f>N11/'Output-Calculation-sheet'!N10*'Output-Calculation-sheet'!N37*0.0114</f>
        <v>0.16352502747972875</v>
      </c>
      <c r="O44" s="2">
        <f>O11/'Output-Calculation-sheet'!O10*'Output-Calculation-sheet'!O37*0.0114</f>
        <v>0.61039575910513288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0.14327252444497637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9.3737936449656181E-2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4.5712689427829689E-2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1.8252316837184868E-2</v>
      </c>
      <c r="Y44" s="2">
        <f>Y11/'Output-Calculation-sheet'!Y10*'Output-Calculation-sheet'!Y37*0.0114</f>
        <v>0</v>
      </c>
      <c r="AA44" s="2">
        <f t="shared" si="2"/>
        <v>6.4554430492158303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3.1415044452703058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0.61030980009030966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3.6499492907415942E-2</v>
      </c>
      <c r="Y45" s="2">
        <f>Y12/'Output-Calculation-sheet'!Y11*'Output-Calculation-sheet'!Y38*0.0114</f>
        <v>1.7611343819184479E-2</v>
      </c>
      <c r="AA45" s="2">
        <f t="shared" si="2"/>
        <v>9.4149842310624354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1460.5723037892799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1018.5979765442904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146.01047319229338</v>
      </c>
      <c r="Y51" s="2">
        <f>Y7/'Output-Calculation-sheet'!Y6*'Output-Calculation-sheet'!Y42</f>
        <v>0</v>
      </c>
      <c r="AA51" s="2">
        <f t="shared" si="3"/>
        <v>2.6251807535258638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5259.7067504880843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3590.0058963035144</v>
      </c>
      <c r="N52" s="2">
        <f>N8/'Output-Calculation-sheet'!N7*'Output-Calculation-sheet'!N43</f>
        <v>114.7447068084294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462.67313661482348</v>
      </c>
      <c r="Y52" s="2">
        <f>Y8/'Output-Calculation-sheet'!Y7*'Output-Calculation-sheet'!Y43</f>
        <v>0</v>
      </c>
      <c r="AA52" s="2">
        <f t="shared" si="3"/>
        <v>9.4271304902148518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483.72171360356356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9317.1740758881715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6367.2156696926486</v>
      </c>
      <c r="N53" s="2">
        <f>N9/'Output-Calculation-sheet'!N8*'Output-Calculation-sheet'!N44</f>
        <v>2273.0030021104758</v>
      </c>
      <c r="O53" s="2">
        <f>O9/'Output-Calculation-sheet'!O8*'Output-Calculation-sheet'!O44</f>
        <v>0</v>
      </c>
      <c r="P53" s="2">
        <f>P9/'Output-Calculation-sheet'!P8*'Output-Calculation-sheet'!P44</f>
        <v>106.32127669055531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700.95962907079934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798.05547114896501</v>
      </c>
      <c r="Y53" s="2">
        <f>Y9/'Output-Calculation-sheet'!Y8*'Output-Calculation-sheet'!Y44</f>
        <v>0</v>
      </c>
      <c r="AA53" s="2">
        <f t="shared" si="3"/>
        <v>20.046450838205178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3723.7478280113705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0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540.85272320623858</v>
      </c>
      <c r="R54" s="2">
        <f>R10/'Output-Calculation-sheet'!R9*'Output-Calculation-sheet'!R45</f>
        <v>923.03181255865275</v>
      </c>
      <c r="S54" s="2">
        <f>S10/'Output-Calculation-sheet'!S9*'Output-Calculation-sheet'!S45</f>
        <v>2213.6824433176316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329.07756672651351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56.959821350916208</v>
      </c>
    </row>
    <row r="55" spans="1:27" x14ac:dyDescent="0.25">
      <c r="A55" s="2">
        <v>2034</v>
      </c>
      <c r="B55" s="2">
        <f>B11/'Output-Calculation-sheet'!B10*'Output-Calculation-sheet'!B46</f>
        <v>43551.900539146081</v>
      </c>
      <c r="C55" s="2">
        <f>C11/'Output-Calculation-sheet'!C10*'Output-Calculation-sheet'!C46</f>
        <v>8957.3047875911143</v>
      </c>
      <c r="D55" s="2">
        <f>D11/'Output-Calculation-sheet'!D10*'Output-Calculation-sheet'!D46</f>
        <v>4821.8334448636124</v>
      </c>
      <c r="E55" s="2">
        <f>E11/'Output-Calculation-sheet'!E10*'Output-Calculation-sheet'!E46</f>
        <v>5966.3897249526808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15653.192207406704</v>
      </c>
      <c r="I55" s="2">
        <f>I11/'Output-Calculation-sheet'!I10*'Output-Calculation-sheet'!I46</f>
        <v>1161.8949258723324</v>
      </c>
      <c r="J55" s="2">
        <f>J11/'Output-Calculation-sheet'!J10*'Output-Calculation-sheet'!J46</f>
        <v>838.05870825763043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446.3206801186663</v>
      </c>
      <c r="M55" s="2">
        <f>M11/'Output-Calculation-sheet'!M10*'Output-Calculation-sheet'!M46</f>
        <v>10858.496511510431</v>
      </c>
      <c r="N55" s="2">
        <f>N11/'Output-Calculation-sheet'!N10*'Output-Calculation-sheet'!N46</f>
        <v>7717.2337529907072</v>
      </c>
      <c r="O55" s="2">
        <f>O11/'Output-Calculation-sheet'!O10*'Output-Calculation-sheet'!O46</f>
        <v>0</v>
      </c>
      <c r="P55" s="2">
        <f>P11/'Output-Calculation-sheet'!P10*'Output-Calculation-sheet'!P46</f>
        <v>3140.6171578837266</v>
      </c>
      <c r="Q55" s="2">
        <f>Q11/'Output-Calculation-sheet'!Q10*'Output-Calculation-sheet'!Q46</f>
        <v>1156.2344078015637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3486.3934258468612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753.85838705543699</v>
      </c>
      <c r="V55" s="2">
        <f>V11/'Output-Calculation-sheet'!V10*'Output-Calculation-sheet'!V46</f>
        <v>389.59011508806987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1107.9476536256077</v>
      </c>
      <c r="Y55" s="2">
        <f>Y11/'Output-Calculation-sheet'!Y10*'Output-Calculation-sheet'!Y46</f>
        <v>295.1088104211106</v>
      </c>
      <c r="AA55" s="2">
        <f t="shared" si="3"/>
        <v>118.12604212718387</v>
      </c>
    </row>
    <row r="56" spans="1:27" x14ac:dyDescent="0.25">
      <c r="A56" s="2">
        <v>2035</v>
      </c>
      <c r="B56" s="2">
        <f>B12/'Output-Calculation-sheet'!B11*'Output-Calculation-sheet'!B47</f>
        <v>52690.378481963933</v>
      </c>
      <c r="C56" s="2">
        <f>C12/'Output-Calculation-sheet'!C11*'Output-Calculation-sheet'!C47</f>
        <v>19221.04693487753</v>
      </c>
      <c r="D56" s="2">
        <f>D12/'Output-Calculation-sheet'!D11*'Output-Calculation-sheet'!D47</f>
        <v>4210.8816997996828</v>
      </c>
      <c r="E56" s="2">
        <f>E12/'Output-Calculation-sheet'!E11*'Output-Calculation-sheet'!E47</f>
        <v>10573.087745543073</v>
      </c>
      <c r="F56" s="2">
        <f>F12/'Output-Calculation-sheet'!F11*'Output-Calculation-sheet'!F47</f>
        <v>1281.1439476395651</v>
      </c>
      <c r="G56" s="2">
        <f>G12/'Output-Calculation-sheet'!G11*'Output-Calculation-sheet'!G47</f>
        <v>3371.3361701450895</v>
      </c>
      <c r="H56" s="2">
        <f>H12/'Output-Calculation-sheet'!H11*'Output-Calculation-sheet'!H47</f>
        <v>15841.853551228751</v>
      </c>
      <c r="I56" s="2">
        <f>I12/'Output-Calculation-sheet'!I11*'Output-Calculation-sheet'!I47</f>
        <v>1909.9650218637996</v>
      </c>
      <c r="J56" s="2">
        <f>J12/'Output-Calculation-sheet'!J11*'Output-Calculation-sheet'!J47</f>
        <v>662.55775377361272</v>
      </c>
      <c r="K56" s="2">
        <f>K12/'Output-Calculation-sheet'!K11*'Output-Calculation-sheet'!K47</f>
        <v>2806.1161962191745</v>
      </c>
      <c r="L56" s="2">
        <f>L12/'Output-Calculation-sheet'!L11*'Output-Calculation-sheet'!L47</f>
        <v>723.24544373504864</v>
      </c>
      <c r="M56" s="2">
        <f>M12/'Output-Calculation-sheet'!M11*'Output-Calculation-sheet'!M47</f>
        <v>11032.079739994404</v>
      </c>
      <c r="N56" s="2">
        <f>N12/'Output-Calculation-sheet'!N11*'Output-Calculation-sheet'!N47</f>
        <v>8089.0462692420788</v>
      </c>
      <c r="O56" s="2">
        <f>O12/'Output-Calculation-sheet'!O11*'Output-Calculation-sheet'!O47</f>
        <v>0</v>
      </c>
      <c r="P56" s="2">
        <f>P12/'Output-Calculation-sheet'!P11*'Output-Calculation-sheet'!P47</f>
        <v>4253.1482556064648</v>
      </c>
      <c r="Q56" s="2">
        <f>Q12/'Output-Calculation-sheet'!Q11*'Output-Calculation-sheet'!Q47</f>
        <v>1507.9194535178863</v>
      </c>
      <c r="R56" s="2">
        <f>R12/'Output-Calculation-sheet'!R11*'Output-Calculation-sheet'!R47</f>
        <v>2915.9974501488036</v>
      </c>
      <c r="S56" s="2">
        <f>S12/'Output-Calculation-sheet'!S11*'Output-Calculation-sheet'!S47</f>
        <v>3839.4255805721523</v>
      </c>
      <c r="T56" s="2">
        <f>T12/'Output-Calculation-sheet'!T11*'Output-Calculation-sheet'!T47</f>
        <v>1051.1546379276645</v>
      </c>
      <c r="U56" s="2">
        <f>U12/'Output-Calculation-sheet'!U11*'Output-Calculation-sheet'!U47</f>
        <v>793.84542836108005</v>
      </c>
      <c r="V56" s="2">
        <f>V12/'Output-Calculation-sheet'!V11*'Output-Calculation-sheet'!V47</f>
        <v>442.09159443389757</v>
      </c>
      <c r="W56" s="2">
        <f>W12/'Output-Calculation-sheet'!W11*'Output-Calculation-sheet'!W47</f>
        <v>428.32791562588807</v>
      </c>
      <c r="X56" s="2">
        <f>X12/'Output-Calculation-sheet'!X11*'Output-Calculation-sheet'!X47</f>
        <v>1123.800176359912</v>
      </c>
      <c r="Y56" s="2">
        <f>Y12/'Output-Calculation-sheet'!Y11*'Output-Calculation-sheet'!Y47</f>
        <v>497.44322015591246</v>
      </c>
      <c r="AA56" s="2">
        <f t="shared" si="3"/>
        <v>149.2658926687354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2.7638499921964845</v>
      </c>
      <c r="C60" s="2">
        <f>C5*'Output-Calculation-sheet'!C49/10^9</f>
        <v>1.2626230053275509</v>
      </c>
      <c r="D60" s="2">
        <f>D5*'Output-Calculation-sheet'!D49/10^9</f>
        <v>1.0081769149874762</v>
      </c>
      <c r="E60" s="2">
        <f>E5*'Output-Calculation-sheet'!E49/10^9</f>
        <v>0.88279008108688162</v>
      </c>
      <c r="F60" s="2">
        <f>F5*'Output-Calculation-sheet'!F49/10^9</f>
        <v>0.47190629832700559</v>
      </c>
      <c r="G60" s="2">
        <f>G5*'Output-Calculation-sheet'!G49/10^9</f>
        <v>0.36163021794468814</v>
      </c>
      <c r="H60" s="2">
        <f>H5*'Output-Calculation-sheet'!H49/10^9</f>
        <v>0.38427830390190987</v>
      </c>
      <c r="I60" s="2">
        <f>I5*'Output-Calculation-sheet'!I49/10^9</f>
        <v>0.33057128340988434</v>
      </c>
      <c r="J60" s="2">
        <f>J5*'Output-Calculation-sheet'!J49/10^9</f>
        <v>0.3481262506088415</v>
      </c>
      <c r="K60" s="2">
        <f>K5*'Output-Calculation-sheet'!K49/10^9</f>
        <v>0.32243841214460228</v>
      </c>
      <c r="L60" s="2">
        <f>L5*'Output-Calculation-sheet'!L49/10^9</f>
        <v>0.25951097129478295</v>
      </c>
      <c r="M60" s="2">
        <f>M5*'Output-Calculation-sheet'!M49/10^9</f>
        <v>0.2653204136827913</v>
      </c>
      <c r="N60" s="2">
        <f>N5*'Output-Calculation-sheet'!N49/10^9</f>
        <v>0.28051172925661949</v>
      </c>
      <c r="O60" s="2">
        <f>O5*'Output-Calculation-sheet'!O49/10^9</f>
        <v>0.24802484197338365</v>
      </c>
      <c r="P60" s="2">
        <f>P5*'Output-Calculation-sheet'!P49/10^9</f>
        <v>0.2268544564505183</v>
      </c>
      <c r="Q60" s="2">
        <f>Q5*'Output-Calculation-sheet'!Q49/10^9</f>
        <v>0.22573746551292323</v>
      </c>
      <c r="R60" s="2">
        <f>R5*'Output-Calculation-sheet'!R49/10^9</f>
        <v>0.21088284640035346</v>
      </c>
      <c r="S60" s="2">
        <f>S5*'Output-Calculation-sheet'!S49/10^9</f>
        <v>0.15928180584949161</v>
      </c>
      <c r="T60" s="2">
        <f>T5*'Output-Calculation-sheet'!T49/10^9</f>
        <v>7.6560430990993439E-2</v>
      </c>
      <c r="U60" s="2">
        <f>U5*'Output-Calculation-sheet'!U49/10^9</f>
        <v>6.725463827472343E-2</v>
      </c>
      <c r="V60" s="2">
        <f>V5*'Output-Calculation-sheet'!V49/10^9</f>
        <v>5.1824564253282322E-2</v>
      </c>
      <c r="W60" s="2">
        <f>W5*'Output-Calculation-sheet'!W49/10^9</f>
        <v>4.3961539209611607E-2</v>
      </c>
      <c r="X60" s="2">
        <f>X5*'Output-Calculation-sheet'!X49/10^9</f>
        <v>3.1430618158516714E-2</v>
      </c>
      <c r="Y60" s="2">
        <f>Y5*'Output-Calculation-sheet'!Y49/10^9</f>
        <v>2.6207308036816663E-2</v>
      </c>
      <c r="AA60" s="2">
        <f t="shared" ref="AA60:AA67" si="4">SUM(B60:Y60)</f>
        <v>10.309754389280135</v>
      </c>
    </row>
    <row r="61" spans="1:27" x14ac:dyDescent="0.25">
      <c r="A61" s="2">
        <v>2029</v>
      </c>
      <c r="B61" s="2">
        <f>B6*'Output-Calculation-sheet'!B50/10^9</f>
        <v>3.3541700810561501</v>
      </c>
      <c r="C61" s="2">
        <f>C6*'Output-Calculation-sheet'!C50/10^9</f>
        <v>1.6411103075092852</v>
      </c>
      <c r="D61" s="2">
        <f>D6*'Output-Calculation-sheet'!D50/10^9</f>
        <v>1.1533700176248505</v>
      </c>
      <c r="E61" s="2">
        <f>E6*'Output-Calculation-sheet'!E50/10^9</f>
        <v>1.0234082589928215</v>
      </c>
      <c r="F61" s="2">
        <f>F6*'Output-Calculation-sheet'!F50/10^9</f>
        <v>0.5448993972619437</v>
      </c>
      <c r="G61" s="2">
        <f>G6*'Output-Calculation-sheet'!G50/10^9</f>
        <v>0.41349415720495675</v>
      </c>
      <c r="H61" s="2">
        <f>H6*'Output-Calculation-sheet'!H50/10^9</f>
        <v>0.48019319297658036</v>
      </c>
      <c r="I61" s="2">
        <f>I6*'Output-Calculation-sheet'!I50/10^9</f>
        <v>0.37943445737148312</v>
      </c>
      <c r="J61" s="2">
        <f>J6*'Output-Calculation-sheet'!J50/10^9</f>
        <v>0.39578395964269414</v>
      </c>
      <c r="K61" s="2">
        <f>K6*'Output-Calculation-sheet'!K50/10^9</f>
        <v>0.37507161199291744</v>
      </c>
      <c r="L61" s="2">
        <f>L6*'Output-Calculation-sheet'!L50/10^9</f>
        <v>0.30297673378556905</v>
      </c>
      <c r="M61" s="2">
        <f>M6*'Output-Calculation-sheet'!M50/10^9</f>
        <v>0.33183169046014938</v>
      </c>
      <c r="N61" s="2">
        <f>N6*'Output-Calculation-sheet'!N50/10^9</f>
        <v>0.34712979729790411</v>
      </c>
      <c r="O61" s="2">
        <f>O6*'Output-Calculation-sheet'!O50/10^9</f>
        <v>0.3264677738850883</v>
      </c>
      <c r="P61" s="2">
        <f>P6*'Output-Calculation-sheet'!P50/10^9</f>
        <v>0.27183863683849485</v>
      </c>
      <c r="Q61" s="2">
        <f>Q6*'Output-Calculation-sheet'!Q50/10^9</f>
        <v>0.27373591440873729</v>
      </c>
      <c r="R61" s="2">
        <f>R6*'Output-Calculation-sheet'!R50/10^9</f>
        <v>0.24783306449800926</v>
      </c>
      <c r="S61" s="2">
        <f>S6*'Output-Calculation-sheet'!S50/10^9</f>
        <v>0.19543081403274562</v>
      </c>
      <c r="T61" s="2">
        <f>T6*'Output-Calculation-sheet'!T50/10^9</f>
        <v>8.8736686100816267E-2</v>
      </c>
      <c r="U61" s="2">
        <f>U6*'Output-Calculation-sheet'!U50/10^9</f>
        <v>7.8700824731835234E-2</v>
      </c>
      <c r="V61" s="2">
        <f>V6*'Output-Calculation-sheet'!V50/10^9</f>
        <v>6.0692873025492464E-2</v>
      </c>
      <c r="W61" s="2">
        <f>W6*'Output-Calculation-sheet'!W50/10^9</f>
        <v>5.030838180126767E-2</v>
      </c>
      <c r="X61" s="2">
        <f>X6*'Output-Calculation-sheet'!X50/10^9</f>
        <v>3.9672580819814368E-2</v>
      </c>
      <c r="Y61" s="2">
        <f>Y6*'Output-Calculation-sheet'!Y50/10^9</f>
        <v>3.0726642480365159E-2</v>
      </c>
      <c r="AA61" s="2">
        <f t="shared" si="4"/>
        <v>12.407017855799971</v>
      </c>
    </row>
    <row r="62" spans="1:27" x14ac:dyDescent="0.25">
      <c r="A62" s="2">
        <v>2030</v>
      </c>
      <c r="B62" s="2">
        <f>B7*'Output-Calculation-sheet'!B51/10^9</f>
        <v>3.7605379415962985</v>
      </c>
      <c r="C62" s="2">
        <f>C7*'Output-Calculation-sheet'!C51/10^9</f>
        <v>2.1183947275041652</v>
      </c>
      <c r="D62" s="2">
        <f>D7*'Output-Calculation-sheet'!D51/10^9</f>
        <v>1.2029676735098962</v>
      </c>
      <c r="E62" s="2">
        <f>E7*'Output-Calculation-sheet'!E51/10^9</f>
        <v>1.084105376317746</v>
      </c>
      <c r="F62" s="2">
        <f>F7*'Output-Calculation-sheet'!F51/10^9</f>
        <v>0.574558826693785</v>
      </c>
      <c r="G62" s="2">
        <f>G7*'Output-Calculation-sheet'!G51/10^9</f>
        <v>0.43100776142877845</v>
      </c>
      <c r="H62" s="2">
        <f>H7*'Output-Calculation-sheet'!H51/10^9</f>
        <v>0.59898245213142132</v>
      </c>
      <c r="I62" s="2">
        <f>I7*'Output-Calculation-sheet'!I51/10^9</f>
        <v>0.39730547859096005</v>
      </c>
      <c r="J62" s="2">
        <f>J7*'Output-Calculation-sheet'!J51/10^9</f>
        <v>0.40973689010337205</v>
      </c>
      <c r="K62" s="2">
        <f>K7*'Output-Calculation-sheet'!K51/10^9</f>
        <v>0.39887094857367422</v>
      </c>
      <c r="L62" s="2">
        <f>L7*'Output-Calculation-sheet'!L51/10^9</f>
        <v>0.32354572201251025</v>
      </c>
      <c r="M62" s="2">
        <f>M7*'Output-Calculation-sheet'!M51/10^9</f>
        <v>0.41453324532164953</v>
      </c>
      <c r="N62" s="2">
        <f>N7*'Output-Calculation-sheet'!N51/10^9</f>
        <v>0.39756870876560535</v>
      </c>
      <c r="O62" s="2">
        <f>O7*'Output-Calculation-sheet'!O51/10^9</f>
        <v>0.41124155704104731</v>
      </c>
      <c r="P62" s="2">
        <f>P7*'Output-Calculation-sheet'!P51/10^9</f>
        <v>0.2987691521679457</v>
      </c>
      <c r="Q62" s="2">
        <f>Q7*'Output-Calculation-sheet'!Q51/10^9</f>
        <v>0.3058329110457354</v>
      </c>
      <c r="R62" s="2">
        <f>R7*'Output-Calculation-sheet'!R51/10^9</f>
        <v>0.26663441275517813</v>
      </c>
      <c r="S62" s="2">
        <f>S7*'Output-Calculation-sheet'!S51/10^9</f>
        <v>0.22315055394774411</v>
      </c>
      <c r="T62" s="2">
        <f>T7*'Output-Calculation-sheet'!T51/10^9</f>
        <v>9.3976448342581217E-2</v>
      </c>
      <c r="U62" s="2">
        <f>U7*'Output-Calculation-sheet'!U51/10^9</f>
        <v>8.4264150808629631E-2</v>
      </c>
      <c r="V62" s="2">
        <f>V7*'Output-Calculation-sheet'!V51/10^9</f>
        <v>6.5041514173462572E-2</v>
      </c>
      <c r="W62" s="2">
        <f>W7*'Output-Calculation-sheet'!W51/10^9</f>
        <v>5.2491221652034126E-2</v>
      </c>
      <c r="X62" s="2">
        <f>X7*'Output-Calculation-sheet'!X51/10^9</f>
        <v>5.0501336318796795E-2</v>
      </c>
      <c r="Y62" s="2">
        <f>Y7*'Output-Calculation-sheet'!Y51/10^9</f>
        <v>3.2970151402774373E-2</v>
      </c>
      <c r="AA62" s="2">
        <f t="shared" si="4"/>
        <v>13.996989162205788</v>
      </c>
    </row>
    <row r="63" spans="1:27" x14ac:dyDescent="0.25">
      <c r="A63" s="2">
        <v>2031</v>
      </c>
      <c r="B63" s="2">
        <f>B8*'Output-Calculation-sheet'!B52/10^9</f>
        <v>4.0204398683919331</v>
      </c>
      <c r="C63" s="2">
        <f>C8*'Output-Calculation-sheet'!C52/10^9</f>
        <v>2.5148356682933191</v>
      </c>
      <c r="D63" s="2">
        <f>D8*'Output-Calculation-sheet'!D52/10^9</f>
        <v>1.148275915427192</v>
      </c>
      <c r="E63" s="2">
        <f>E8*'Output-Calculation-sheet'!E52/10^9</f>
        <v>1.0547697819054909</v>
      </c>
      <c r="F63" s="2">
        <f>F8*'Output-Calculation-sheet'!F52/10^9</f>
        <v>0.55588252699064911</v>
      </c>
      <c r="G63" s="2">
        <f>G8*'Output-Calculation-sheet'!G52/10^9</f>
        <v>0.41109220990703449</v>
      </c>
      <c r="H63" s="2">
        <f>H8*'Output-Calculation-sheet'!H52/10^9</f>
        <v>0.70929917585037439</v>
      </c>
      <c r="I63" s="2">
        <f>I8*'Output-Calculation-sheet'!I52/10^9</f>
        <v>0.3811006492564456</v>
      </c>
      <c r="J63" s="2">
        <f>J8*'Output-Calculation-sheet'!J52/10^9</f>
        <v>0.38744191524332289</v>
      </c>
      <c r="K63" s="2">
        <f>K8*'Output-Calculation-sheet'!K52/10^9</f>
        <v>0.38990743745708917</v>
      </c>
      <c r="L63" s="2">
        <f>L8*'Output-Calculation-sheet'!L52/10^9</f>
        <v>0.31785129050469957</v>
      </c>
      <c r="M63" s="2">
        <f>M8*'Output-Calculation-sheet'!M52/10^9</f>
        <v>0.49108619679301918</v>
      </c>
      <c r="N63" s="2">
        <f>N8*'Output-Calculation-sheet'!N52/10^9</f>
        <v>0.4406185194224348</v>
      </c>
      <c r="O63" s="2">
        <f>O8*'Output-Calculation-sheet'!O52/10^9</f>
        <v>0.47650343496340902</v>
      </c>
      <c r="P63" s="2">
        <f>P8*'Output-Calculation-sheet'!P52/10^9</f>
        <v>0.31388669285702753</v>
      </c>
      <c r="Q63" s="2">
        <f>Q8*'Output-Calculation-sheet'!Q52/10^9</f>
        <v>0.32370661842937987</v>
      </c>
      <c r="R63" s="2">
        <f>R8*'Output-Calculation-sheet'!R52/10^9</f>
        <v>0.26511218619417948</v>
      </c>
      <c r="S63" s="2">
        <f>S8*'Output-Calculation-sheet'!S52/10^9</f>
        <v>0.243775120589103</v>
      </c>
      <c r="T63" s="2">
        <f>T8*'Output-Calculation-sheet'!T52/10^9</f>
        <v>9.1406227011420413E-2</v>
      </c>
      <c r="U63" s="2">
        <f>U8*'Output-Calculation-sheet'!U52/10^9</f>
        <v>8.3038361812199563E-2</v>
      </c>
      <c r="V63" s="2">
        <f>V8*'Output-Calculation-sheet'!V52/10^9</f>
        <v>6.4163256618128911E-2</v>
      </c>
      <c r="W63" s="2">
        <f>W8*'Output-Calculation-sheet'!W52/10^9</f>
        <v>5.012800647317267E-2</v>
      </c>
      <c r="X63" s="2">
        <f>X8*'Output-Calculation-sheet'!X52/10^9</f>
        <v>6.0128582207280866E-2</v>
      </c>
      <c r="Y63" s="2">
        <f>Y8*'Output-Calculation-sheet'!Y52/10^9</f>
        <v>3.2585206627899439E-2</v>
      </c>
      <c r="AA63" s="2">
        <f t="shared" si="4"/>
        <v>14.827034849226203</v>
      </c>
    </row>
    <row r="64" spans="1:27" x14ac:dyDescent="0.25">
      <c r="A64" s="2">
        <v>2032</v>
      </c>
      <c r="B64" s="2">
        <f>B9*'Output-Calculation-sheet'!B53/10^9</f>
        <v>4.1736577629174159</v>
      </c>
      <c r="C64" s="2">
        <f>C9*'Output-Calculation-sheet'!C53/10^9</f>
        <v>2.7636962394160101</v>
      </c>
      <c r="D64" s="2">
        <f>D9*'Output-Calculation-sheet'!D53/10^9</f>
        <v>1.0055928362473048</v>
      </c>
      <c r="E64" s="2">
        <f>E9*'Output-Calculation-sheet'!E53/10^9</f>
        <v>0.98176616121840099</v>
      </c>
      <c r="F64" s="2">
        <f>F9*'Output-Calculation-sheet'!F53/10^9</f>
        <v>0.49513712824940892</v>
      </c>
      <c r="G64" s="2">
        <f>G9*'Output-Calculation-sheet'!G53/10^9</f>
        <v>0.35965228219607698</v>
      </c>
      <c r="H64" s="2">
        <f>H9*'Output-Calculation-sheet'!H53/10^9</f>
        <v>0.77215654915333221</v>
      </c>
      <c r="I64" s="2">
        <f>I9*'Output-Calculation-sheet'!I53/10^9</f>
        <v>0.33582429574898248</v>
      </c>
      <c r="J64" s="2">
        <f>J9*'Output-Calculation-sheet'!J53/10^9</f>
        <v>0.33519788983170379</v>
      </c>
      <c r="K64" s="2">
        <f>K9*'Output-Calculation-sheet'!K53/10^9</f>
        <v>0.3615381552659348</v>
      </c>
      <c r="L64" s="2">
        <f>L9*'Output-Calculation-sheet'!L53/10^9</f>
        <v>0.29802285243000121</v>
      </c>
      <c r="M64" s="2">
        <f>M9*'Output-Calculation-sheet'!M53/10^9</f>
        <v>0.53494196171783592</v>
      </c>
      <c r="N64" s="2">
        <f>N9*'Output-Calculation-sheet'!N53/10^9</f>
        <v>0.47533538076046589</v>
      </c>
      <c r="O64" s="2">
        <f>O9*'Output-Calculation-sheet'!O53/10^9</f>
        <v>0.51142383113758805</v>
      </c>
      <c r="P64" s="2">
        <f>P9*'Output-Calculation-sheet'!P53/10^9</f>
        <v>0.32335331573645959</v>
      </c>
      <c r="Q64" s="2">
        <f>Q9*'Output-Calculation-sheet'!Q53/10^9</f>
        <v>0.33087859746889908</v>
      </c>
      <c r="R64" s="2">
        <f>R9*'Output-Calculation-sheet'!R53/10^9</f>
        <v>0.25869277421342862</v>
      </c>
      <c r="S64" s="2">
        <f>S9*'Output-Calculation-sheet'!S53/10^9</f>
        <v>0.26181827942618119</v>
      </c>
      <c r="T64" s="2">
        <f>T9*'Output-Calculation-sheet'!T53/10^9</f>
        <v>8.2896495706648227E-2</v>
      </c>
      <c r="U64" s="2">
        <f>U9*'Output-Calculation-sheet'!U53/10^9</f>
        <v>8.1773356354126456E-2</v>
      </c>
      <c r="V64" s="2">
        <f>V9*'Output-Calculation-sheet'!V53/10^9</f>
        <v>6.0841688535752635E-2</v>
      </c>
      <c r="W64" s="2">
        <f>W9*'Output-Calculation-sheet'!W53/10^9</f>
        <v>4.3925181499142839E-2</v>
      </c>
      <c r="X64" s="2">
        <f>X9*'Output-Calculation-sheet'!X53/10^9</f>
        <v>6.5645950799919597E-2</v>
      </c>
      <c r="Y64" s="2">
        <f>Y9*'Output-Calculation-sheet'!Y53/10^9</f>
        <v>3.1662763134971669E-2</v>
      </c>
      <c r="AA64" s="2">
        <f t="shared" si="4"/>
        <v>14.945431729165994</v>
      </c>
    </row>
    <row r="65" spans="1:27" x14ac:dyDescent="0.25">
      <c r="A65" s="2">
        <v>2033</v>
      </c>
      <c r="B65" s="2">
        <f>B10*'Output-Calculation-sheet'!B54/10^9</f>
        <v>4.5350874583267249</v>
      </c>
      <c r="C65" s="2">
        <f>C10*'Output-Calculation-sheet'!C54/10^9</f>
        <v>2.9952301968886901</v>
      </c>
      <c r="D65" s="2">
        <f>D10*'Output-Calculation-sheet'!D54/10^9</f>
        <v>0.87116380988067887</v>
      </c>
      <c r="E65" s="2">
        <f>E10*'Output-Calculation-sheet'!E54/10^9</f>
        <v>0.98857189612047458</v>
      </c>
      <c r="F65" s="2">
        <f>F10*'Output-Calculation-sheet'!F54/10^9</f>
        <v>0.44845911974383773</v>
      </c>
      <c r="G65" s="2">
        <f>G10*'Output-Calculation-sheet'!G54/10^9</f>
        <v>0.3095115007188442</v>
      </c>
      <c r="H65" s="2">
        <f>H10*'Output-Calculation-sheet'!H54/10^9</f>
        <v>0.82268807047148218</v>
      </c>
      <c r="I65" s="2">
        <f>I10*'Output-Calculation-sheet'!I54/10^9</f>
        <v>0.30445634373959879</v>
      </c>
      <c r="J65" s="2">
        <f>J10*'Output-Calculation-sheet'!J54/10^9</f>
        <v>0.28078781531264618</v>
      </c>
      <c r="K65" s="2">
        <f>K10*'Output-Calculation-sheet'!K54/10^9</f>
        <v>0.35809679182572868</v>
      </c>
      <c r="L65" s="2">
        <f>L10*'Output-Calculation-sheet'!L54/10^9</f>
        <v>0.29784934929724399</v>
      </c>
      <c r="M65" s="2">
        <f>M10*'Output-Calculation-sheet'!M54/10^9</f>
        <v>0.57009094090863233</v>
      </c>
      <c r="N65" s="2">
        <f>N10*'Output-Calculation-sheet'!N54/10^9</f>
        <v>0.5125334066606787</v>
      </c>
      <c r="O65" s="2">
        <f>O10*'Output-Calculation-sheet'!O54/10^9</f>
        <v>0.54256584335142621</v>
      </c>
      <c r="P65" s="2">
        <f>P10*'Output-Calculation-sheet'!P54/10^9</f>
        <v>0.34584863667652621</v>
      </c>
      <c r="Q65" s="2">
        <f>Q10*'Output-Calculation-sheet'!Q54/10^9</f>
        <v>0.35880052389254624</v>
      </c>
      <c r="R65" s="2">
        <f>R10*'Output-Calculation-sheet'!R54/10^9</f>
        <v>0.2681186077539614</v>
      </c>
      <c r="S65" s="2">
        <f>S10*'Output-Calculation-sheet'!S54/10^9</f>
        <v>0.28353967378540845</v>
      </c>
      <c r="T65" s="2">
        <f>T10*'Output-Calculation-sheet'!T54/10^9</f>
        <v>8.0477260430040928E-2</v>
      </c>
      <c r="U65" s="2">
        <f>U10*'Output-Calculation-sheet'!U54/10^9</f>
        <v>8.7010021911212376E-2</v>
      </c>
      <c r="V65" s="2">
        <f>V10*'Output-Calculation-sheet'!V54/10^9</f>
        <v>6.0725251236799456E-2</v>
      </c>
      <c r="W65" s="2">
        <f>W10*'Output-Calculation-sheet'!W54/10^9</f>
        <v>3.7984943716341965E-2</v>
      </c>
      <c r="X65" s="2">
        <f>X10*'Output-Calculation-sheet'!X54/10^9</f>
        <v>7.049067766730549E-2</v>
      </c>
      <c r="Y65" s="2">
        <f>Y10*'Output-Calculation-sheet'!Y54/10^9</f>
        <v>3.350958304829979E-2</v>
      </c>
      <c r="AA65" s="2">
        <f t="shared" si="4"/>
        <v>15.463597723365128</v>
      </c>
    </row>
    <row r="66" spans="1:27" x14ac:dyDescent="0.25">
      <c r="A66" s="2">
        <v>2034</v>
      </c>
      <c r="B66" s="2">
        <f>B11*'Output-Calculation-sheet'!B55/10^9</f>
        <v>5.0569184230326387</v>
      </c>
      <c r="C66" s="2">
        <f>C11*'Output-Calculation-sheet'!C55/10^9</f>
        <v>3.2202822068519836</v>
      </c>
      <c r="D66" s="2">
        <f>D11*'Output-Calculation-sheet'!D55/10^9</f>
        <v>0.94898151704800926</v>
      </c>
      <c r="E66" s="2">
        <f>E11*'Output-Calculation-sheet'!E55/10^9</f>
        <v>1.1694408887832606</v>
      </c>
      <c r="F66" s="2">
        <f>F11*'Output-Calculation-sheet'!F55/10^9</f>
        <v>0.46832495158983989</v>
      </c>
      <c r="G66" s="2">
        <f>G11*'Output-Calculation-sheet'!G55/10^9</f>
        <v>0.33735358882155969</v>
      </c>
      <c r="H66" s="2">
        <f>H11*'Output-Calculation-sheet'!H55/10^9</f>
        <v>0.88896735567776175</v>
      </c>
      <c r="I66" s="2">
        <f>I11*'Output-Calculation-sheet'!I55/10^9</f>
        <v>0.33160026793104075</v>
      </c>
      <c r="J66" s="2">
        <f>J11*'Output-Calculation-sheet'!J55/10^9</f>
        <v>0.29276321069703221</v>
      </c>
      <c r="K66" s="2">
        <f>K11*'Output-Calculation-sheet'!K55/10^9</f>
        <v>0.39099843015280261</v>
      </c>
      <c r="L66" s="2">
        <f>L11*'Output-Calculation-sheet'!L55/10^9</f>
        <v>0.34293890624972229</v>
      </c>
      <c r="M66" s="2">
        <f>M11*'Output-Calculation-sheet'!M55/10^9</f>
        <v>0.61706494596242079</v>
      </c>
      <c r="N66" s="2">
        <f>N11*'Output-Calculation-sheet'!N55/10^9</f>
        <v>0.55265891264988953</v>
      </c>
      <c r="O66" s="2">
        <f>O11*'Output-Calculation-sheet'!O55/10^9</f>
        <v>0.5731134350206436</v>
      </c>
      <c r="P66" s="2">
        <f>P11*'Output-Calculation-sheet'!P55/10^9</f>
        <v>0.38827093757022396</v>
      </c>
      <c r="Q66" s="2">
        <f>Q11*'Output-Calculation-sheet'!Q55/10^9</f>
        <v>0.40316200781167416</v>
      </c>
      <c r="R66" s="2">
        <f>R11*'Output-Calculation-sheet'!R55/10^9</f>
        <v>0.29385361341144794</v>
      </c>
      <c r="S66" s="2">
        <f>S11*'Output-Calculation-sheet'!S55/10^9</f>
        <v>0.31120985456872841</v>
      </c>
      <c r="T66" s="2">
        <f>T11*'Output-Calculation-sheet'!T55/10^9</f>
        <v>8.6511355555873276E-2</v>
      </c>
      <c r="U66" s="2">
        <f>U11*'Output-Calculation-sheet'!U55/10^9</f>
        <v>0.10000058526049188</v>
      </c>
      <c r="V66" s="2">
        <f>V11*'Output-Calculation-sheet'!V55/10^9</f>
        <v>6.4614411805008293E-2</v>
      </c>
      <c r="W66" s="2">
        <f>W11*'Output-Calculation-sheet'!W55/10^9</f>
        <v>3.9367131582901387E-2</v>
      </c>
      <c r="X66" s="2">
        <f>X11*'Output-Calculation-sheet'!X55/10^9</f>
        <v>7.7889505811882892E-2</v>
      </c>
      <c r="Y66" s="2">
        <f>Y11*'Output-Calculation-sheet'!Y55/10^9</f>
        <v>4.0822579753299677E-2</v>
      </c>
      <c r="AA66" s="2">
        <f t="shared" si="4"/>
        <v>16.997109023600132</v>
      </c>
    </row>
    <row r="67" spans="1:27" x14ac:dyDescent="0.25">
      <c r="A67" s="2">
        <v>2035</v>
      </c>
      <c r="B67" s="2">
        <f>B12*'Output-Calculation-sheet'!B56/10^9</f>
        <v>5.6282519159616751</v>
      </c>
      <c r="C67" s="2">
        <f>C12*'Output-Calculation-sheet'!C56/10^9</f>
        <v>3.4322463588030887</v>
      </c>
      <c r="D67" s="2">
        <f>D12*'Output-Calculation-sheet'!D56/10^9</f>
        <v>1.1463251466761029</v>
      </c>
      <c r="E67" s="2">
        <f>E12*'Output-Calculation-sheet'!E56/10^9</f>
        <v>1.5490134456331082</v>
      </c>
      <c r="F67" s="2">
        <f>F12*'Output-Calculation-sheet'!F56/10^9</f>
        <v>0.61474238847961271</v>
      </c>
      <c r="G67" s="2">
        <f>G12*'Output-Calculation-sheet'!G56/10^9</f>
        <v>0.44585802194323942</v>
      </c>
      <c r="H67" s="2">
        <f>H12*'Output-Calculation-sheet'!H56/10^9</f>
        <v>0.97115138531181278</v>
      </c>
      <c r="I67" s="2">
        <f>I12*'Output-Calculation-sheet'!I56/10^9</f>
        <v>0.42126834239203853</v>
      </c>
      <c r="J67" s="2">
        <f>J12*'Output-Calculation-sheet'!J56/10^9</f>
        <v>0.34819162262521508</v>
      </c>
      <c r="K67" s="2">
        <f>K12*'Output-Calculation-sheet'!K56/10^9</f>
        <v>0.47018782297005846</v>
      </c>
      <c r="L67" s="2">
        <f>L12*'Output-Calculation-sheet'!L56/10^9</f>
        <v>0.40549229313230051</v>
      </c>
      <c r="M67" s="2">
        <f>M12*'Output-Calculation-sheet'!M56/10^9</f>
        <v>0.68054437025213665</v>
      </c>
      <c r="N67" s="2">
        <f>N12*'Output-Calculation-sheet'!N56/10^9</f>
        <v>0.59576591967916148</v>
      </c>
      <c r="O67" s="2">
        <f>O12*'Output-Calculation-sheet'!O56/10^9</f>
        <v>0.60287665317289929</v>
      </c>
      <c r="P67" s="2">
        <f>P12*'Output-Calculation-sheet'!P56/10^9</f>
        <v>0.47508657964559298</v>
      </c>
      <c r="Q67" s="2">
        <f>Q12*'Output-Calculation-sheet'!Q56/10^9</f>
        <v>0.44498032538085808</v>
      </c>
      <c r="R67" s="2">
        <f>R12*'Output-Calculation-sheet'!R56/10^9</f>
        <v>0.3497302864598249</v>
      </c>
      <c r="S67" s="2">
        <f>S12*'Output-Calculation-sheet'!S56/10^9</f>
        <v>0.33905264423599263</v>
      </c>
      <c r="T67" s="2">
        <f>T12*'Output-Calculation-sheet'!T56/10^9</f>
        <v>0.1075093456584386</v>
      </c>
      <c r="U67" s="2">
        <f>U12*'Output-Calculation-sheet'!U56/10^9</f>
        <v>0.11596294105457744</v>
      </c>
      <c r="V67" s="2">
        <f>V12*'Output-Calculation-sheet'!V56/10^9</f>
        <v>7.3175078506116417E-2</v>
      </c>
      <c r="W67" s="2">
        <f>W12*'Output-Calculation-sheet'!W56/10^9</f>
        <v>5.6892326059711062E-2</v>
      </c>
      <c r="X67" s="2">
        <f>X12*'Output-Calculation-sheet'!X56/10^9</f>
        <v>8.5358446533716811E-2</v>
      </c>
      <c r="Y67" s="2">
        <f>Y12*'Output-Calculation-sheet'!Y56/10^9</f>
        <v>5.3417961110354378E-2</v>
      </c>
      <c r="AA67" s="2">
        <f t="shared" si="4"/>
        <v>19.413081621677634</v>
      </c>
    </row>
    <row r="68" spans="1:27" x14ac:dyDescent="0.25">
      <c r="B68" s="2">
        <f>SUM(B60:B67)</f>
        <v>33.292913443479321</v>
      </c>
      <c r="C68" s="2">
        <f t="shared" ref="C68:Y68" si="5">SUM(C60:C67)</f>
        <v>19.948418710594094</v>
      </c>
      <c r="D68" s="2">
        <f t="shared" si="5"/>
        <v>8.4848538314015105</v>
      </c>
      <c r="E68" s="2">
        <f t="shared" si="5"/>
        <v>8.7338658900581834</v>
      </c>
      <c r="F68" s="2">
        <f t="shared" si="5"/>
        <v>4.1739106373360828</v>
      </c>
      <c r="G68" s="2">
        <f t="shared" si="5"/>
        <v>3.0695997401651782</v>
      </c>
      <c r="H68" s="2">
        <f t="shared" si="5"/>
        <v>5.6277164854746751</v>
      </c>
      <c r="I68" s="2">
        <f t="shared" si="5"/>
        <v>2.8815611184404339</v>
      </c>
      <c r="J68" s="2">
        <f t="shared" si="5"/>
        <v>2.7980295540648275</v>
      </c>
      <c r="K68" s="2">
        <f t="shared" si="5"/>
        <v>3.0671096103828077</v>
      </c>
      <c r="L68" s="2">
        <f t="shared" si="5"/>
        <v>2.5481881187068298</v>
      </c>
      <c r="M68" s="2">
        <f t="shared" si="5"/>
        <v>3.9054137650986349</v>
      </c>
      <c r="N68" s="2">
        <f t="shared" si="5"/>
        <v>3.6021223744927595</v>
      </c>
      <c r="O68" s="2">
        <f t="shared" si="5"/>
        <v>3.6922173705454853</v>
      </c>
      <c r="P68" s="2">
        <f t="shared" si="5"/>
        <v>2.6439084079427895</v>
      </c>
      <c r="Q68" s="2">
        <f t="shared" si="5"/>
        <v>2.6668343639507532</v>
      </c>
      <c r="R68" s="2">
        <f t="shared" si="5"/>
        <v>2.1608577916863831</v>
      </c>
      <c r="S68" s="2">
        <f t="shared" si="5"/>
        <v>2.0172587464353953</v>
      </c>
      <c r="T68" s="2">
        <f t="shared" si="5"/>
        <v>0.70807424979681244</v>
      </c>
      <c r="U68" s="2">
        <f t="shared" si="5"/>
        <v>0.69800488020779605</v>
      </c>
      <c r="V68" s="2">
        <f t="shared" si="5"/>
        <v>0.50107863815404297</v>
      </c>
      <c r="W68" s="2">
        <f t="shared" si="5"/>
        <v>0.37505873199418333</v>
      </c>
      <c r="X68" s="2">
        <f t="shared" si="5"/>
        <v>0.48111769831723361</v>
      </c>
      <c r="Y68" s="2">
        <f t="shared" si="5"/>
        <v>0.28190219559478114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381.5843830967317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258.30286554527811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34.747512814190472</v>
      </c>
      <c r="Y73" s="2">
        <f>Y7/'Output-Calculation-sheet'!Y6*'Output-Calculation-sheet'!Y60</f>
        <v>0</v>
      </c>
      <c r="AA73" s="2">
        <f t="shared" si="6"/>
        <v>0.67463476145620027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1126.3195419281078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752.57322791250385</v>
      </c>
      <c r="N74" s="2">
        <f>N8/'Output-Calculation-sheet'!N7*'Output-Calculation-sheet'!N61</f>
        <v>31.54045128396703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92.662702931716211</v>
      </c>
      <c r="Y74" s="2">
        <f>Y8/'Output-Calculation-sheet'!Y7*'Output-Calculation-sheet'!Y61</f>
        <v>0</v>
      </c>
      <c r="AA74" s="2">
        <f t="shared" si="6"/>
        <v>2.0030959240562951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132.88526503709326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1774.0707779794466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1205.1602348601016</v>
      </c>
      <c r="N75" s="2">
        <f>N9/'Output-Calculation-sheet'!N8*'Output-Calculation-sheet'!N62</f>
        <v>466.10947638214822</v>
      </c>
      <c r="O75" s="2">
        <f>O9/'Output-Calculation-sheet'!O8*'Output-Calculation-sheet'!O62</f>
        <v>0</v>
      </c>
      <c r="P75" s="2">
        <f>P9/'Output-Calculation-sheet'!P8*'Output-Calculation-sheet'!P62</f>
        <v>31.205294708677982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154.17813206009021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145.69249297442232</v>
      </c>
      <c r="Y75" s="2">
        <f>Y9/'Output-Calculation-sheet'!Y8*'Output-Calculation-sheet'!Y62</f>
        <v>0</v>
      </c>
      <c r="AA75" s="2">
        <f t="shared" si="6"/>
        <v>3.9093016740019801</v>
      </c>
    </row>
    <row r="76" spans="1:27" x14ac:dyDescent="0.25">
      <c r="A76" s="2">
        <v>2033</v>
      </c>
      <c r="B76" s="2">
        <f>B10/'Output-Calculation-sheet'!B9*'Output-Calculation-sheet'!B63</f>
        <v>3732.232177788982</v>
      </c>
      <c r="C76" s="2">
        <f>C10/'Output-Calculation-sheet'!C9*'Output-Calculation-sheet'!C63</f>
        <v>936.45362045174841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2436.4724004549794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1658.9304758172698</v>
      </c>
      <c r="N76" s="2">
        <f>N10/'Output-Calculation-sheet'!N9*'Output-Calculation-sheet'!N63</f>
        <v>949.70339754416534</v>
      </c>
      <c r="O76" s="2">
        <f>O10/'Output-Calculation-sheet'!O9*'Output-Calculation-sheet'!O63</f>
        <v>0</v>
      </c>
      <c r="P76" s="2">
        <f>P10/'Output-Calculation-sheet'!P9*'Output-Calculation-sheet'!P63</f>
        <v>325.5101225447508</v>
      </c>
      <c r="Q76" s="2">
        <f>Q10/'Output-Calculation-sheet'!Q9*'Output-Calculation-sheet'!Q63</f>
        <v>144.93595184896481</v>
      </c>
      <c r="R76" s="2">
        <f>R10/'Output-Calculation-sheet'!R9*'Output-Calculation-sheet'!R63</f>
        <v>249.84225953445696</v>
      </c>
      <c r="S76" s="2">
        <f>S10/'Output-Calculation-sheet'!S9*'Output-Calculation-sheet'!S63</f>
        <v>421.00290006574988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87.747329225307539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195.37665186355832</v>
      </c>
      <c r="Y76" s="2">
        <f>Y10/'Output-Calculation-sheet'!Y9*'Output-Calculation-sheet'!Y63</f>
        <v>3.7065455842437656</v>
      </c>
      <c r="AA76" s="2">
        <f t="shared" si="6"/>
        <v>11.229642237421055</v>
      </c>
    </row>
    <row r="77" spans="1:27" x14ac:dyDescent="0.25">
      <c r="A77" s="2">
        <v>2034</v>
      </c>
      <c r="B77" s="2">
        <f>B11/'Output-Calculation-sheet'!B10*'Output-Calculation-sheet'!B64</f>
        <v>7431.8414810016839</v>
      </c>
      <c r="C77" s="2">
        <f>C11/'Output-Calculation-sheet'!C10*'Output-Calculation-sheet'!C64</f>
        <v>2024.2819796510719</v>
      </c>
      <c r="D77" s="2">
        <f>D11/'Output-Calculation-sheet'!D10*'Output-Calculation-sheet'!D64</f>
        <v>1107.1906163269105</v>
      </c>
      <c r="E77" s="2">
        <f>E11/'Output-Calculation-sheet'!E10*'Output-Calculation-sheet'!E64</f>
        <v>1373.3367958769131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590.94272104761342</v>
      </c>
      <c r="H77" s="2">
        <f>H11/'Output-Calculation-sheet'!H10*'Output-Calculation-sheet'!H64</f>
        <v>2911.7906946032617</v>
      </c>
      <c r="I77" s="2">
        <f>I11/'Output-Calculation-sheet'!I10*'Output-Calculation-sheet'!I64</f>
        <v>344.84647537204086</v>
      </c>
      <c r="J77" s="2">
        <f>J11/'Output-Calculation-sheet'!J10*'Output-Calculation-sheet'!J64</f>
        <v>236.70286073927724</v>
      </c>
      <c r="K77" s="2">
        <f>K11/'Output-Calculation-sheet'!K10*'Output-Calculation-sheet'!K64</f>
        <v>534.55332751545529</v>
      </c>
      <c r="L77" s="2">
        <f>L11/'Output-Calculation-sheet'!L10*'Output-Calculation-sheet'!L64</f>
        <v>131.06437627208837</v>
      </c>
      <c r="M77" s="2">
        <f>M11/'Output-Calculation-sheet'!M10*'Output-Calculation-sheet'!M64</f>
        <v>1995.3217077569202</v>
      </c>
      <c r="N77" s="2">
        <f>N11/'Output-Calculation-sheet'!N10*'Output-Calculation-sheet'!N64</f>
        <v>1350.9175471917449</v>
      </c>
      <c r="O77" s="2">
        <f>O11/'Output-Calculation-sheet'!O10*'Output-Calculation-sheet'!O64</f>
        <v>0</v>
      </c>
      <c r="P77" s="2">
        <f>P11/'Output-Calculation-sheet'!P10*'Output-Calculation-sheet'!P64</f>
        <v>656.81303557175909</v>
      </c>
      <c r="Q77" s="2">
        <f>Q11/'Output-Calculation-sheet'!Q10*'Output-Calculation-sheet'!Q64</f>
        <v>268.02016283452338</v>
      </c>
      <c r="R77" s="2">
        <f>R11/'Output-Calculation-sheet'!R10*'Output-Calculation-sheet'!R64</f>
        <v>557.86899725608737</v>
      </c>
      <c r="S77" s="2">
        <f>S11/'Output-Calculation-sheet'!S10*'Output-Calculation-sheet'!S64</f>
        <v>622.73235781388246</v>
      </c>
      <c r="T77" s="2">
        <f>T11/'Output-Calculation-sheet'!T10*'Output-Calculation-sheet'!T64</f>
        <v>154.56454997302833</v>
      </c>
      <c r="U77" s="2">
        <f>U11/'Output-Calculation-sheet'!U10*'Output-Calculation-sheet'!U64</f>
        <v>165.0548879147654</v>
      </c>
      <c r="V77" s="2">
        <f>V11/'Output-Calculation-sheet'!V10*'Output-Calculation-sheet'!V64</f>
        <v>79.958733144265764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204.28345241870653</v>
      </c>
      <c r="Y77" s="2">
        <f>Y11/'Output-Calculation-sheet'!Y10*'Output-Calculation-sheet'!Y64</f>
        <v>51.053824202852134</v>
      </c>
      <c r="AA77" s="2">
        <f t="shared" si="6"/>
        <v>22.896134502040351</v>
      </c>
    </row>
    <row r="78" spans="1:27" x14ac:dyDescent="0.25">
      <c r="A78" s="2">
        <v>2035</v>
      </c>
      <c r="B78" s="2">
        <f>B12/'Output-Calculation-sheet'!B11*'Output-Calculation-sheet'!B65</f>
        <v>9104.4038829868423</v>
      </c>
      <c r="C78" s="2">
        <f>C12/'Output-Calculation-sheet'!C11*'Output-Calculation-sheet'!C65</f>
        <v>3916.6155530276787</v>
      </c>
      <c r="D78" s="2">
        <f>D12/'Output-Calculation-sheet'!D11*'Output-Calculation-sheet'!D65</f>
        <v>995.2937629280151</v>
      </c>
      <c r="E78" s="2">
        <f>E12/'Output-Calculation-sheet'!E11*'Output-Calculation-sheet'!E65</f>
        <v>1839.9597697370068</v>
      </c>
      <c r="F78" s="2">
        <f>F12/'Output-Calculation-sheet'!F11*'Output-Calculation-sheet'!F65</f>
        <v>400.20496650074034</v>
      </c>
      <c r="G78" s="2">
        <f>G12/'Output-Calculation-sheet'!G11*'Output-Calculation-sheet'!G65</f>
        <v>760.76170940722079</v>
      </c>
      <c r="H78" s="2">
        <f>H12/'Output-Calculation-sheet'!H11*'Output-Calculation-sheet'!H65</f>
        <v>2940.2437776479351</v>
      </c>
      <c r="I78" s="2">
        <f>I12/'Output-Calculation-sheet'!I11*'Output-Calculation-sheet'!I65</f>
        <v>500.43052608936563</v>
      </c>
      <c r="J78" s="2">
        <f>J12/'Output-Calculation-sheet'!J11*'Output-Calculation-sheet'!J65</f>
        <v>204.04830116951467</v>
      </c>
      <c r="K78" s="2">
        <f>K12/'Output-Calculation-sheet'!K11*'Output-Calculation-sheet'!K65</f>
        <v>619.93880158403465</v>
      </c>
      <c r="L78" s="2">
        <f>L12/'Output-Calculation-sheet'!L11*'Output-Calculation-sheet'!L65</f>
        <v>198.44623920015295</v>
      </c>
      <c r="M78" s="2">
        <f>M12/'Output-Calculation-sheet'!M11*'Output-Calculation-sheet'!M65</f>
        <v>2047.8079126893579</v>
      </c>
      <c r="N78" s="2">
        <f>N12/'Output-Calculation-sheet'!N11*'Output-Calculation-sheet'!N65</f>
        <v>1419.1686672721698</v>
      </c>
      <c r="O78" s="2">
        <f>O12/'Output-Calculation-sheet'!O11*'Output-Calculation-sheet'!O65</f>
        <v>0</v>
      </c>
      <c r="P78" s="2">
        <f>P12/'Output-Calculation-sheet'!P11*'Output-Calculation-sheet'!P65</f>
        <v>817.59819130438666</v>
      </c>
      <c r="Q78" s="2">
        <f>Q12/'Output-Calculation-sheet'!Q11*'Output-Calculation-sheet'!Q65</f>
        <v>330.56107620201266</v>
      </c>
      <c r="R78" s="2">
        <f>R12/'Output-Calculation-sheet'!R11*'Output-Calculation-sheet'!R65</f>
        <v>643.66282177387177</v>
      </c>
      <c r="S78" s="2">
        <f>S12/'Output-Calculation-sheet'!S11*'Output-Calculation-sheet'!S65</f>
        <v>670.32917620207684</v>
      </c>
      <c r="T78" s="2">
        <f>T12/'Output-Calculation-sheet'!T11*'Output-Calculation-sheet'!T65</f>
        <v>237.79146453961877</v>
      </c>
      <c r="U78" s="2">
        <f>U12/'Output-Calculation-sheet'!U11*'Output-Calculation-sheet'!U65</f>
        <v>171.71518106705403</v>
      </c>
      <c r="V78" s="2">
        <f>V12/'Output-Calculation-sheet'!V11*'Output-Calculation-sheet'!V65</f>
        <v>86.495375028472637</v>
      </c>
      <c r="W78" s="2">
        <f>W12/'Output-Calculation-sheet'!W11*'Output-Calculation-sheet'!W65</f>
        <v>94.138444706152214</v>
      </c>
      <c r="X78" s="2">
        <f>X12/'Output-Calculation-sheet'!X11*'Output-Calculation-sheet'!X65</f>
        <v>206.89929657162978</v>
      </c>
      <c r="Y78" s="2">
        <f>Y12/'Output-Calculation-sheet'!Y11*'Output-Calculation-sheet'!Y65</f>
        <v>79.444154026452779</v>
      </c>
      <c r="AA78" s="2">
        <f t="shared" si="6"/>
        <v>28.285959051661763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10.742382692233738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1.0742382692233737E-2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384.70695270031331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87.194579985691504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0.47190153268600482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895.65477631669842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174.00162788461097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1.0696564042013095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1243.8558349805921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228.22285250460752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1.4720786874851997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1586.0407415603986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281.33156554361898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1.8673723071040176</v>
      </c>
    </row>
    <row r="88" spans="1:27" x14ac:dyDescent="0.25">
      <c r="A88" s="2">
        <v>2034</v>
      </c>
      <c r="B88" s="2">
        <f>B11/'Output-Calculation-sheet'!B10*'Output-Calculation-sheet'!B73</f>
        <v>145.1730017971536</v>
      </c>
      <c r="C88" s="2">
        <f>C11/'Output-Calculation-sheet'!C10*'Output-Calculation-sheet'!C73</f>
        <v>1791.4609575182228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21.210287543911523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15.390368279954011</v>
      </c>
      <c r="M88" s="2">
        <f>M11/'Output-Calculation-sheet'!M10*'Output-Calculation-sheet'!M73</f>
        <v>14.594753375686063</v>
      </c>
      <c r="N88" s="2">
        <f>N11/'Output-Calculation-sheet'!N10*'Output-Calculation-sheet'!N73</f>
        <v>14.344300656116555</v>
      </c>
      <c r="O88" s="2">
        <f>O11/'Output-Calculation-sheet'!O10*'Output-Calculation-sheet'!O73</f>
        <v>334.64679775500707</v>
      </c>
      <c r="P88" s="2">
        <f>P11/'Output-Calculation-sheet'!P10*'Output-Calculation-sheet'!P73</f>
        <v>0</v>
      </c>
      <c r="Q88" s="2">
        <f>Q11/'Output-Calculation-sheet'!Q10*'Output-Calculation-sheet'!Q73</f>
        <v>25.13553060438182</v>
      </c>
      <c r="R88" s="2">
        <f>R11/'Output-Calculation-sheet'!R10*'Output-Calculation-sheet'!R73</f>
        <v>0</v>
      </c>
      <c r="S88" s="2">
        <f>S11/'Output-Calculation-sheet'!S10*'Output-Calculation-sheet'!S73</f>
        <v>8.2226260043558046</v>
      </c>
      <c r="T88" s="2">
        <f>T11/'Output-Calculation-sheet'!T10*'Output-Calculation-sheet'!T73</f>
        <v>0</v>
      </c>
      <c r="U88" s="2">
        <f>U11/'Output-Calculation-sheet'!U10*'Output-Calculation-sheet'!U73</f>
        <v>4.0098850375289201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8.0054021215723097</v>
      </c>
      <c r="Y88" s="2">
        <f>Y11/'Output-Calculation-sheet'!Y10*'Output-Calculation-sheet'!Y73</f>
        <v>0</v>
      </c>
      <c r="AA88" s="2">
        <f t="shared" si="7"/>
        <v>2.3821939106938901</v>
      </c>
    </row>
    <row r="89" spans="1:27" x14ac:dyDescent="0.25">
      <c r="A89" s="2">
        <v>2035</v>
      </c>
      <c r="B89" s="2">
        <f>B12/'Output-Calculation-sheet'!B11*'Output-Calculation-sheet'!B74</f>
        <v>435.45767340466062</v>
      </c>
      <c r="C89" s="2">
        <f>C12/'Output-Calculation-sheet'!C11*'Output-Calculation-sheet'!C74</f>
        <v>1860.1013162784704</v>
      </c>
      <c r="D89" s="2">
        <f>D12/'Output-Calculation-sheet'!D11*'Output-Calculation-sheet'!D74</f>
        <v>122.05454202317922</v>
      </c>
      <c r="E89" s="2">
        <f>E12/'Output-Calculation-sheet'!E11*'Output-Calculation-sheet'!E74</f>
        <v>145.50120750747345</v>
      </c>
      <c r="F89" s="2">
        <f>F12/'Output-Calculation-sheet'!F11*'Output-Calculation-sheet'!F74</f>
        <v>61.006854649503104</v>
      </c>
      <c r="G89" s="2">
        <f>G12/'Output-Calculation-sheet'!G11*'Output-Calculation-sheet'!G74</f>
        <v>43.783586625260902</v>
      </c>
      <c r="H89" s="2">
        <f>H12/'Output-Calculation-sheet'!H11*'Output-Calculation-sheet'!H74</f>
        <v>127.24380362432731</v>
      </c>
      <c r="I89" s="2">
        <f>I12/'Output-Calculation-sheet'!I11*'Output-Calculation-sheet'!I74</f>
        <v>39.38072210028453</v>
      </c>
      <c r="J89" s="2">
        <f>J12/'Output-Calculation-sheet'!J11*'Output-Calculation-sheet'!J74</f>
        <v>38.973985516094864</v>
      </c>
      <c r="K89" s="2">
        <f>K12/'Output-Calculation-sheet'!K11*'Output-Calculation-sheet'!K74</f>
        <v>38.705050982333439</v>
      </c>
      <c r="L89" s="2">
        <f>L12/'Output-Calculation-sheet'!L11*'Output-Calculation-sheet'!L74</f>
        <v>30.776401861065899</v>
      </c>
      <c r="M89" s="2">
        <f>M12/'Output-Calculation-sheet'!M11*'Output-Calculation-sheet'!M74</f>
        <v>87.556188412653995</v>
      </c>
      <c r="N89" s="2">
        <f>N12/'Output-Calculation-sheet'!N11*'Output-Calculation-sheet'!N74</f>
        <v>57.369122476894177</v>
      </c>
      <c r="O89" s="2">
        <f>O12/'Output-Calculation-sheet'!O11*'Output-Calculation-sheet'!O74</f>
        <v>374.75163163440061</v>
      </c>
      <c r="P89" s="2">
        <f>P12/'Output-Calculation-sheet'!P11*'Output-Calculation-sheet'!P74</f>
        <v>39.749049117817428</v>
      </c>
      <c r="Q89" s="2">
        <f>Q12/'Output-Calculation-sheet'!Q11*'Output-Calculation-sheet'!Q74</f>
        <v>50.263981783929545</v>
      </c>
      <c r="R89" s="2">
        <f>R12/'Output-Calculation-sheet'!R11*'Output-Calculation-sheet'!R74</f>
        <v>24.923055129476953</v>
      </c>
      <c r="S89" s="2">
        <f>S12/'Output-Calculation-sheet'!S11*'Output-Calculation-sheet'!S74</f>
        <v>32.885872210468115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12.027961035773941</v>
      </c>
      <c r="V89" s="2">
        <f>V12/'Output-Calculation-sheet'!V11*'Output-Calculation-sheet'!V74</f>
        <v>6.1830992228517143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17.609404472876115</v>
      </c>
      <c r="Y89" s="2">
        <f>Y12/'Output-Calculation-sheet'!Y11*'Output-Calculation-sheet'!Y74</f>
        <v>4.6345641629432839</v>
      </c>
      <c r="AA89" s="2">
        <f t="shared" si="7"/>
        <v>3.6582264510647327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1512185079.9993777</v>
      </c>
      <c r="C93" s="2">
        <f>C5/'Output-Calculation-sheet'!C4*'Output-Calculation-sheet'!C76</f>
        <v>500978386.9022913</v>
      </c>
      <c r="D93" s="2">
        <f>D5/'Output-Calculation-sheet'!D4*'Output-Calculation-sheet'!D76</f>
        <v>554538331.66197765</v>
      </c>
      <c r="E93" s="2">
        <f>E5/'Output-Calculation-sheet'!E4*'Output-Calculation-sheet'!E76</f>
        <v>927913225.91342366</v>
      </c>
      <c r="F93" s="2">
        <f>F5/'Output-Calculation-sheet'!F4*'Output-Calculation-sheet'!F76</f>
        <v>398703998.22793609</v>
      </c>
      <c r="G93" s="2">
        <f>G5/'Output-Calculation-sheet'!G4*'Output-Calculation-sheet'!G76</f>
        <v>310093352.02917457</v>
      </c>
      <c r="H93" s="2">
        <f>H5/'Output-Calculation-sheet'!H4*'Output-Calculation-sheet'!H76</f>
        <v>262303762.71750346</v>
      </c>
      <c r="I93" s="2">
        <f>I5/'Output-Calculation-sheet'!I4*'Output-Calculation-sheet'!I76</f>
        <v>215239449.63515487</v>
      </c>
      <c r="J93" s="2">
        <f>J5/'Output-Calculation-sheet'!J4*'Output-Calculation-sheet'!J76</f>
        <v>146059043.26117927</v>
      </c>
      <c r="K93" s="2">
        <f>K5/'Output-Calculation-sheet'!K4*'Output-Calculation-sheet'!K76</f>
        <v>213473907.97107509</v>
      </c>
      <c r="L93" s="2">
        <f>L5/'Output-Calculation-sheet'!L4*'Output-Calculation-sheet'!L76</f>
        <v>142495387.16887274</v>
      </c>
      <c r="M93" s="2">
        <f>M5/'Output-Calculation-sheet'!M4*'Output-Calculation-sheet'!M76</f>
        <v>191630472.05834448</v>
      </c>
      <c r="N93" s="2">
        <f>N5/'Output-Calculation-sheet'!N4*'Output-Calculation-sheet'!N76</f>
        <v>144703477.33169055</v>
      </c>
      <c r="O93" s="2">
        <f>O5/'Output-Calculation-sheet'!O4*'Output-Calculation-sheet'!O76</f>
        <v>70627991.05585213</v>
      </c>
      <c r="P93" s="2">
        <f>P5/'Output-Calculation-sheet'!P4*'Output-Calculation-sheet'!P76</f>
        <v>250721176.69381493</v>
      </c>
      <c r="Q93" s="2">
        <f>Q5/'Output-Calculation-sheet'!Q4*'Output-Calculation-sheet'!Q76</f>
        <v>115105163.44663581</v>
      </c>
      <c r="R93" s="2">
        <f>R5/'Output-Calculation-sheet'!R4*'Output-Calculation-sheet'!R76</f>
        <v>144028120.15889674</v>
      </c>
      <c r="S93" s="2">
        <f>S5/'Output-Calculation-sheet'!S4*'Output-Calculation-sheet'!S76</f>
        <v>84852108.183889881</v>
      </c>
      <c r="T93" s="2">
        <f>T5/'Output-Calculation-sheet'!T4*'Output-Calculation-sheet'!T76</f>
        <v>65248494.441724457</v>
      </c>
      <c r="U93" s="2">
        <f>U5/'Output-Calculation-sheet'!U4*'Output-Calculation-sheet'!U76</f>
        <v>42300235.706169784</v>
      </c>
      <c r="V93" s="2">
        <f>V5/'Output-Calculation-sheet'!V4*'Output-Calculation-sheet'!V76</f>
        <v>21681791.263111036</v>
      </c>
      <c r="W93" s="2">
        <f>W5/'Output-Calculation-sheet'!W4*'Output-Calculation-sheet'!W76</f>
        <v>60733590.845468201</v>
      </c>
      <c r="X93" s="2">
        <f>X5/'Output-Calculation-sheet'!X4*'Output-Calculation-sheet'!X76</f>
        <v>21079076.052219581</v>
      </c>
      <c r="Y93" s="2">
        <f>Y5/'Output-Calculation-sheet'!Y4*'Output-Calculation-sheet'!Y76</f>
        <v>33201965.560764529</v>
      </c>
      <c r="AA93" s="2">
        <f t="shared" ref="AA93:AA100" si="8">SUM(B93:Y93)/10^9</f>
        <v>6.4298975882865506</v>
      </c>
    </row>
    <row r="94" spans="1:27" x14ac:dyDescent="0.25">
      <c r="A94" s="2">
        <v>2029</v>
      </c>
      <c r="B94" s="2">
        <f>B6/'Output-Calculation-sheet'!B5*'Output-Calculation-sheet'!B77</f>
        <v>3727707946.5696206</v>
      </c>
      <c r="C94" s="2">
        <f>C6/'Output-Calculation-sheet'!C5*'Output-Calculation-sheet'!C77</f>
        <v>1243357195.2352567</v>
      </c>
      <c r="D94" s="2">
        <f>D6/'Output-Calculation-sheet'!D5*'Output-Calculation-sheet'!D77</f>
        <v>1368019957.3684998</v>
      </c>
      <c r="E94" s="2">
        <f>E6/'Output-Calculation-sheet'!E5*'Output-Calculation-sheet'!E77</f>
        <v>2326692524.2435932</v>
      </c>
      <c r="F94" s="2">
        <f>F6/'Output-Calculation-sheet'!F5*'Output-Calculation-sheet'!F77</f>
        <v>982371050.97501707</v>
      </c>
      <c r="G94" s="2">
        <f>G6/'Output-Calculation-sheet'!G5*'Output-Calculation-sheet'!G77</f>
        <v>774684443.43810356</v>
      </c>
      <c r="H94" s="2">
        <f>H6/'Output-Calculation-sheet'!H5*'Output-Calculation-sheet'!H77</f>
        <v>651114864.57237291</v>
      </c>
      <c r="I94" s="2">
        <f>I6/'Output-Calculation-sheet'!I5*'Output-Calculation-sheet'!I77</f>
        <v>529052918.18320042</v>
      </c>
      <c r="J94" s="2">
        <f>J6/'Output-Calculation-sheet'!J5*'Output-Calculation-sheet'!J77</f>
        <v>363455317.68464047</v>
      </c>
      <c r="K94" s="2">
        <f>K6/'Output-Calculation-sheet'!K5*'Output-Calculation-sheet'!K77</f>
        <v>523663719.7126084</v>
      </c>
      <c r="L94" s="2">
        <f>L6/'Output-Calculation-sheet'!L5*'Output-Calculation-sheet'!L77</f>
        <v>353910318.84799778</v>
      </c>
      <c r="M94" s="2">
        <f>M6/'Output-Calculation-sheet'!M5*'Output-Calculation-sheet'!M77</f>
        <v>479904049.89874363</v>
      </c>
      <c r="N94" s="2">
        <f>N6/'Output-Calculation-sheet'!N5*'Output-Calculation-sheet'!N77</f>
        <v>363050410.7119475</v>
      </c>
      <c r="O94" s="2">
        <f>O6/'Output-Calculation-sheet'!O5*'Output-Calculation-sheet'!O77</f>
        <v>178309909.86506093</v>
      </c>
      <c r="P94" s="2">
        <f>P6/'Output-Calculation-sheet'!P5*'Output-Calculation-sheet'!P77</f>
        <v>620880339.56339359</v>
      </c>
      <c r="Q94" s="2">
        <f>Q6/'Output-Calculation-sheet'!Q5*'Output-Calculation-sheet'!Q77</f>
        <v>286822794.51741165</v>
      </c>
      <c r="R94" s="2">
        <f>R6/'Output-Calculation-sheet'!R5*'Output-Calculation-sheet'!R77</f>
        <v>356105538.81639683</v>
      </c>
      <c r="S94" s="2">
        <f>S6/'Output-Calculation-sheet'!S5*'Output-Calculation-sheet'!S77</f>
        <v>209091724.44197592</v>
      </c>
      <c r="T94" s="2">
        <f>T6/'Output-Calculation-sheet'!T5*'Output-Calculation-sheet'!T77</f>
        <v>161293702.68131304</v>
      </c>
      <c r="U94" s="2">
        <f>U6/'Output-Calculation-sheet'!U5*'Output-Calculation-sheet'!U77</f>
        <v>102101534.50405879</v>
      </c>
      <c r="V94" s="2">
        <f>V6/'Output-Calculation-sheet'!V5*'Output-Calculation-sheet'!V77</f>
        <v>52370482.204133481</v>
      </c>
      <c r="W94" s="2">
        <f>W6/'Output-Calculation-sheet'!W5*'Output-Calculation-sheet'!W77</f>
        <v>151963895.97324616</v>
      </c>
      <c r="X94" s="2">
        <f>X6/'Output-Calculation-sheet'!X5*'Output-Calculation-sheet'!X77</f>
        <v>52552217.668047063</v>
      </c>
      <c r="Y94" s="2">
        <f>Y6/'Output-Calculation-sheet'!Y5*'Output-Calculation-sheet'!Y77</f>
        <v>83322447.603265926</v>
      </c>
      <c r="AA94" s="2">
        <f t="shared" si="8"/>
        <v>15.941799305279906</v>
      </c>
    </row>
    <row r="95" spans="1:27" x14ac:dyDescent="0.25">
      <c r="A95" s="2">
        <v>2030</v>
      </c>
      <c r="B95" s="2">
        <f>B7/'Output-Calculation-sheet'!B6*'Output-Calculation-sheet'!B78</f>
        <v>6352098713.1286945</v>
      </c>
      <c r="C95" s="2">
        <f>C7/'Output-Calculation-sheet'!C6*'Output-Calculation-sheet'!C78</f>
        <v>2132900622.4783857</v>
      </c>
      <c r="D95" s="2">
        <f>D7/'Output-Calculation-sheet'!D6*'Output-Calculation-sheet'!D78</f>
        <v>2334976136.0426636</v>
      </c>
      <c r="E95" s="2">
        <f>E7/'Output-Calculation-sheet'!E6*'Output-Calculation-sheet'!E78</f>
        <v>4036587477.7192836</v>
      </c>
      <c r="F95" s="2">
        <f>F7/'Output-Calculation-sheet'!F6*'Output-Calculation-sheet'!F78</f>
        <v>1673644819.3962274</v>
      </c>
      <c r="G95" s="2">
        <f>G7/'Output-Calculation-sheet'!G6*'Output-Calculation-sheet'!G78</f>
        <v>1338978312.0530484</v>
      </c>
      <c r="H95" s="2">
        <f>H7/'Output-Calculation-sheet'!H6*'Output-Calculation-sheet'!H78</f>
        <v>1117490382.9921544</v>
      </c>
      <c r="I95" s="2">
        <f>I7/'Output-Calculation-sheet'!I6*'Output-Calculation-sheet'!I78</f>
        <v>899338186.38511896</v>
      </c>
      <c r="J95" s="2">
        <f>J7/'Output-Calculation-sheet'!J6*'Output-Calculation-sheet'!J78</f>
        <v>625808907.93892527</v>
      </c>
      <c r="K95" s="2">
        <f>K7/'Output-Calculation-sheet'!K6*'Output-Calculation-sheet'!K78</f>
        <v>888317025.54461288</v>
      </c>
      <c r="L95" s="2">
        <f>L7/'Output-Calculation-sheet'!L6*'Output-Calculation-sheet'!L78</f>
        <v>607939899.38440168</v>
      </c>
      <c r="M95" s="2">
        <f>M7/'Output-Calculation-sheet'!M6*'Output-Calculation-sheet'!M78</f>
        <v>831443364.78224981</v>
      </c>
      <c r="N95" s="2">
        <f>N7/'Output-Calculation-sheet'!N6*'Output-Calculation-sheet'!N78</f>
        <v>630245389.73211181</v>
      </c>
      <c r="O95" s="2">
        <f>O7/'Output-Calculation-sheet'!O6*'Output-Calculation-sheet'!O78</f>
        <v>311397380.68447161</v>
      </c>
      <c r="P95" s="2">
        <f>P7/'Output-Calculation-sheet'!P6*'Output-Calculation-sheet'!P78</f>
        <v>1062896292.2001245</v>
      </c>
      <c r="Q95" s="2">
        <f>Q7/'Output-Calculation-sheet'!Q6*'Output-Calculation-sheet'!Q78</f>
        <v>494450509.10767478</v>
      </c>
      <c r="R95" s="2">
        <f>R7/'Output-Calculation-sheet'!R6*'Output-Calculation-sheet'!R78</f>
        <v>608772063.27317905</v>
      </c>
      <c r="S95" s="2">
        <f>S7/'Output-Calculation-sheet'!S6*'Output-Calculation-sheet'!S78</f>
        <v>356202015.19922531</v>
      </c>
      <c r="T95" s="2">
        <f>T7/'Output-Calculation-sheet'!T6*'Output-Calculation-sheet'!T78</f>
        <v>275730143.09130037</v>
      </c>
      <c r="U95" s="2">
        <f>U7/'Output-Calculation-sheet'!U6*'Output-Calculation-sheet'!U78</f>
        <v>170216074.69786829</v>
      </c>
      <c r="V95" s="2">
        <f>V7/'Output-Calculation-sheet'!V6*'Output-Calculation-sheet'!V78</f>
        <v>87357768.346902832</v>
      </c>
      <c r="W95" s="2">
        <f>W7/'Output-Calculation-sheet'!W6*'Output-Calculation-sheet'!W78</f>
        <v>263069396.70700568</v>
      </c>
      <c r="X95" s="2">
        <f>X7/'Output-Calculation-sheet'!X6*'Output-Calculation-sheet'!X78</f>
        <v>90645968.683765665</v>
      </c>
      <c r="Y95" s="2">
        <f>Y7/'Output-Calculation-sheet'!Y6*'Output-Calculation-sheet'!Y78</f>
        <v>144676997.33239493</v>
      </c>
      <c r="AA95" s="2">
        <f t="shared" si="8"/>
        <v>27.335183846901788</v>
      </c>
    </row>
    <row r="96" spans="1:27" x14ac:dyDescent="0.25">
      <c r="A96" s="2">
        <v>2031</v>
      </c>
      <c r="B96" s="2">
        <f>B8/'Output-Calculation-sheet'!B7*'Output-Calculation-sheet'!B79</f>
        <v>9089901200.707077</v>
      </c>
      <c r="C96" s="2">
        <f>C8/'Output-Calculation-sheet'!C7*'Output-Calculation-sheet'!C79</f>
        <v>3075154888.3100033</v>
      </c>
      <c r="D96" s="2">
        <f>D8/'Output-Calculation-sheet'!D7*'Output-Calculation-sheet'!D79</f>
        <v>3210259180.7717209</v>
      </c>
      <c r="E96" s="2">
        <f>E8/'Output-Calculation-sheet'!E7*'Output-Calculation-sheet'!E79</f>
        <v>5707567486.1438093</v>
      </c>
      <c r="F96" s="2">
        <f>F8/'Output-Calculation-sheet'!F7*'Output-Calculation-sheet'!F79</f>
        <v>2362305939.015861</v>
      </c>
      <c r="G96" s="2">
        <f>G8/'Output-Calculation-sheet'!G7*'Output-Calculation-sheet'!G79</f>
        <v>1840042080.0305898</v>
      </c>
      <c r="H96" s="2">
        <f>H8/'Output-Calculation-sheet'!H7*'Output-Calculation-sheet'!H79</f>
        <v>1574972103.5748422</v>
      </c>
      <c r="I96" s="2">
        <f>I8/'Output-Calculation-sheet'!I7*'Output-Calculation-sheet'!I79</f>
        <v>1281784928.6755536</v>
      </c>
      <c r="J96" s="2">
        <f>J8/'Output-Calculation-sheet'!J7*'Output-Calculation-sheet'!J79</f>
        <v>866776076.58176303</v>
      </c>
      <c r="K96" s="2">
        <f>K8/'Output-Calculation-sheet'!K7*'Output-Calculation-sheet'!K79</f>
        <v>1240098002.0053749</v>
      </c>
      <c r="L96" s="2">
        <f>L8/'Output-Calculation-sheet'!L7*'Output-Calculation-sheet'!L79</f>
        <v>875012071.16966081</v>
      </c>
      <c r="M96" s="2">
        <f>M8/'Output-Calculation-sheet'!M7*'Output-Calculation-sheet'!M79</f>
        <v>1175686215.1188698</v>
      </c>
      <c r="N96" s="2">
        <f>N8/'Output-Calculation-sheet'!N7*'Output-Calculation-sheet'!N79</f>
        <v>874804178.26915407</v>
      </c>
      <c r="O96" s="2">
        <f>O8/'Output-Calculation-sheet'!O7*'Output-Calculation-sheet'!O79</f>
        <v>442243474.3633697</v>
      </c>
      <c r="P96" s="2">
        <f>P8/'Output-Calculation-sheet'!P7*'Output-Calculation-sheet'!P79</f>
        <v>1479211667.9777641</v>
      </c>
      <c r="Q96" s="2">
        <f>Q8/'Output-Calculation-sheet'!Q7*'Output-Calculation-sheet'!Q79</f>
        <v>689375906.86181653</v>
      </c>
      <c r="R96" s="2">
        <f>R8/'Output-Calculation-sheet'!R7*'Output-Calculation-sheet'!R79</f>
        <v>860078392.55341554</v>
      </c>
      <c r="S96" s="2">
        <f>S8/'Output-Calculation-sheet'!S7*'Output-Calculation-sheet'!S79</f>
        <v>501153748.93856186</v>
      </c>
      <c r="T96" s="2">
        <f>T8/'Output-Calculation-sheet'!T7*'Output-Calculation-sheet'!T79</f>
        <v>382766092.02208257</v>
      </c>
      <c r="U96" s="2">
        <f>U8/'Output-Calculation-sheet'!U7*'Output-Calculation-sheet'!U79</f>
        <v>240443821.5805603</v>
      </c>
      <c r="V96" s="2">
        <f>V8/'Output-Calculation-sheet'!V7*'Output-Calculation-sheet'!V79</f>
        <v>124754793.1692827</v>
      </c>
      <c r="W96" s="2">
        <f>W8/'Output-Calculation-sheet'!W7*'Output-Calculation-sheet'!W79</f>
        <v>368640299.59681481</v>
      </c>
      <c r="X96" s="2">
        <f>X8/'Output-Calculation-sheet'!X7*'Output-Calculation-sheet'!X79</f>
        <v>129566632.96969111</v>
      </c>
      <c r="Y96" s="2">
        <f>Y8/'Output-Calculation-sheet'!Y7*'Output-Calculation-sheet'!Y79</f>
        <v>202640427.35892552</v>
      </c>
      <c r="AA96" s="2">
        <f t="shared" si="8"/>
        <v>38.595239607766551</v>
      </c>
    </row>
    <row r="97" spans="1:27" x14ac:dyDescent="0.25">
      <c r="A97" s="2">
        <v>2032</v>
      </c>
      <c r="B97" s="2">
        <f>B9/'Output-Calculation-sheet'!B8*'Output-Calculation-sheet'!B80</f>
        <v>11390054010.937407</v>
      </c>
      <c r="C97" s="2">
        <f>C9/'Output-Calculation-sheet'!C8*'Output-Calculation-sheet'!C80</f>
        <v>3879513791.0474262</v>
      </c>
      <c r="D97" s="2">
        <f>D9/'Output-Calculation-sheet'!D8*'Output-Calculation-sheet'!D80</f>
        <v>3865557849.1345859</v>
      </c>
      <c r="E97" s="2">
        <f>E9/'Output-Calculation-sheet'!E8*'Output-Calculation-sheet'!E80</f>
        <v>7069527012.1333494</v>
      </c>
      <c r="F97" s="2">
        <f>F9/'Output-Calculation-sheet'!F8*'Output-Calculation-sheet'!F80</f>
        <v>2920422181.3340278</v>
      </c>
      <c r="G97" s="2">
        <f>G9/'Output-Calculation-sheet'!G8*'Output-Calculation-sheet'!G80</f>
        <v>2210599142.3004236</v>
      </c>
      <c r="H97" s="2">
        <f>H9/'Output-Calculation-sheet'!H8*'Output-Calculation-sheet'!H80</f>
        <v>1944880743.4574022</v>
      </c>
      <c r="I97" s="2">
        <f>I9/'Output-Calculation-sheet'!I8*'Output-Calculation-sheet'!I80</f>
        <v>1599844901.1225145</v>
      </c>
      <c r="J97" s="2">
        <f>J9/'Output-Calculation-sheet'!J8*'Output-Calculation-sheet'!J80</f>
        <v>1051750356.1218991</v>
      </c>
      <c r="K97" s="2">
        <f>K9/'Output-Calculation-sheet'!K8*'Output-Calculation-sheet'!K80</f>
        <v>1516319735.6244693</v>
      </c>
      <c r="L97" s="2">
        <f>L9/'Output-Calculation-sheet'!L8*'Output-Calculation-sheet'!L80</f>
        <v>1103629586.6724226</v>
      </c>
      <c r="M97" s="2">
        <f>M9/'Output-Calculation-sheet'!M8*'Output-Calculation-sheet'!M80</f>
        <v>1456115770.4193056</v>
      </c>
      <c r="N97" s="2">
        <f>N9/'Output-Calculation-sheet'!N8*'Output-Calculation-sheet'!N80</f>
        <v>1063887255.2119298</v>
      </c>
      <c r="O97" s="2">
        <f>O9/'Output-Calculation-sheet'!O8*'Output-Calculation-sheet'!O80</f>
        <v>550385587.31853068</v>
      </c>
      <c r="P97" s="2">
        <f>P9/'Output-Calculation-sheet'!P8*'Output-Calculation-sheet'!P80</f>
        <v>1800758147.2441008</v>
      </c>
      <c r="Q97" s="2">
        <f>Q9/'Output-Calculation-sheet'!Q8*'Output-Calculation-sheet'!Q80</f>
        <v>842325607.21923745</v>
      </c>
      <c r="R97" s="2">
        <f>R9/'Output-Calculation-sheet'!R8*'Output-Calculation-sheet'!R80</f>
        <v>1064276258.0057344</v>
      </c>
      <c r="S97" s="2">
        <f>S9/'Output-Calculation-sheet'!S8*'Output-Calculation-sheet'!S80</f>
        <v>617702860.49747968</v>
      </c>
      <c r="T97" s="2">
        <f>T9/'Output-Calculation-sheet'!T8*'Output-Calculation-sheet'!T80</f>
        <v>465151977.99076462</v>
      </c>
      <c r="U97" s="2">
        <f>U9/'Output-Calculation-sheet'!U8*'Output-Calculation-sheet'!U80</f>
        <v>297368323.53220868</v>
      </c>
      <c r="V97" s="2">
        <f>V9/'Output-Calculation-sheet'!V8*'Output-Calculation-sheet'!V80</f>
        <v>155922227.05439362</v>
      </c>
      <c r="W97" s="2">
        <f>W9/'Output-Calculation-sheet'!W8*'Output-Calculation-sheet'!W80</f>
        <v>451553782.28848684</v>
      </c>
      <c r="X97" s="2">
        <f>X9/'Output-Calculation-sheet'!X8*'Output-Calculation-sheet'!X80</f>
        <v>162151383.47598547</v>
      </c>
      <c r="Y97" s="2">
        <f>Y9/'Output-Calculation-sheet'!Y8*'Output-Calculation-sheet'!Y80</f>
        <v>248203187.73839882</v>
      </c>
      <c r="AA97" s="2">
        <f t="shared" si="8"/>
        <v>47.727901677882485</v>
      </c>
    </row>
    <row r="98" spans="1:27" x14ac:dyDescent="0.25">
      <c r="A98" s="2">
        <v>2033</v>
      </c>
      <c r="B98" s="2">
        <f>B10/'Output-Calculation-sheet'!B9*'Output-Calculation-sheet'!B81</f>
        <v>13633391709.656487</v>
      </c>
      <c r="C98" s="2">
        <f>C10/'Output-Calculation-sheet'!C9*'Output-Calculation-sheet'!C81</f>
        <v>4674202740.296442</v>
      </c>
      <c r="D98" s="2">
        <f>D10/'Output-Calculation-sheet'!D9*'Output-Calculation-sheet'!D81</f>
        <v>4448417361.2204561</v>
      </c>
      <c r="E98" s="2">
        <f>E10/'Output-Calculation-sheet'!E9*'Output-Calculation-sheet'!E81</f>
        <v>8367752949.6577644</v>
      </c>
      <c r="F98" s="2">
        <f>F10/'Output-Calculation-sheet'!F9*'Output-Calculation-sheet'!F81</f>
        <v>3451063574.0875449</v>
      </c>
      <c r="G98" s="2">
        <f>G10/'Output-Calculation-sheet'!G9*'Output-Calculation-sheet'!G81</f>
        <v>2533876465.2410111</v>
      </c>
      <c r="H98" s="2">
        <f>H10/'Output-Calculation-sheet'!H9*'Output-Calculation-sheet'!H81</f>
        <v>2295712779.9022913</v>
      </c>
      <c r="I98" s="2">
        <f>I10/'Output-Calculation-sheet'!I9*'Output-Calculation-sheet'!I81</f>
        <v>1908415074.2833745</v>
      </c>
      <c r="J98" s="2">
        <f>J10/'Output-Calculation-sheet'!J9*'Output-Calculation-sheet'!J81</f>
        <v>1220288699.4494917</v>
      </c>
      <c r="K98" s="2">
        <f>K10/'Output-Calculation-sheet'!K9*'Output-Calculation-sheet'!K81</f>
        <v>1772517728.7534008</v>
      </c>
      <c r="L98" s="2">
        <f>L10/'Output-Calculation-sheet'!L9*'Output-Calculation-sheet'!L81</f>
        <v>1329414829.1345115</v>
      </c>
      <c r="M98" s="2">
        <f>M10/'Output-Calculation-sheet'!M9*'Output-Calculation-sheet'!M81</f>
        <v>1723983909.3508899</v>
      </c>
      <c r="N98" s="2">
        <f>N10/'Output-Calculation-sheet'!N9*'Output-Calculation-sheet'!N81</f>
        <v>1236823940.7956247</v>
      </c>
      <c r="O98" s="2">
        <f>O10/'Output-Calculation-sheet'!O9*'Output-Calculation-sheet'!O81</f>
        <v>654968151.7095114</v>
      </c>
      <c r="P98" s="2">
        <f>P10/'Output-Calculation-sheet'!P9*'Output-Calculation-sheet'!P81</f>
        <v>2093088176.8780322</v>
      </c>
      <c r="Q98" s="2">
        <f>Q10/'Output-Calculation-sheet'!Q9*'Output-Calculation-sheet'!Q81</f>
        <v>984116999.75001717</v>
      </c>
      <c r="R98" s="2">
        <f>R10/'Output-Calculation-sheet'!R9*'Output-Calculation-sheet'!R81</f>
        <v>1258834527.9883523</v>
      </c>
      <c r="S98" s="2">
        <f>S10/'Output-Calculation-sheet'!S9*'Output-Calculation-sheet'!S81</f>
        <v>727830478.56133175</v>
      </c>
      <c r="T98" s="2">
        <f>T10/'Output-Calculation-sheet'!T9*'Output-Calculation-sheet'!T81</f>
        <v>540080157.74528909</v>
      </c>
      <c r="U98" s="2">
        <f>U10/'Output-Calculation-sheet'!U9*'Output-Calculation-sheet'!U81</f>
        <v>351411178.28920931</v>
      </c>
      <c r="V98" s="2">
        <f>V10/'Output-Calculation-sheet'!V9*'Output-Calculation-sheet'!V81</f>
        <v>186113277.70410722</v>
      </c>
      <c r="W98" s="2">
        <f>W10/'Output-Calculation-sheet'!W9*'Output-Calculation-sheet'!W81</f>
        <v>527695351.42945176</v>
      </c>
      <c r="X98" s="2">
        <f>X10/'Output-Calculation-sheet'!X9*'Output-Calculation-sheet'!X81</f>
        <v>193912076.0874649</v>
      </c>
      <c r="Y98" s="2">
        <f>Y10/'Output-Calculation-sheet'!Y9*'Output-Calculation-sheet'!Y81</f>
        <v>290159583.74137294</v>
      </c>
      <c r="AA98" s="2">
        <f t="shared" si="8"/>
        <v>56.404071721713422</v>
      </c>
    </row>
    <row r="99" spans="1:27" x14ac:dyDescent="0.25">
      <c r="A99" s="2">
        <v>2034</v>
      </c>
      <c r="B99" s="2">
        <f>B11/'Output-Calculation-sheet'!B10*'Output-Calculation-sheet'!B82</f>
        <v>15887326832.275457</v>
      </c>
      <c r="C99" s="2">
        <f>C11/'Output-Calculation-sheet'!C10*'Output-Calculation-sheet'!C82</f>
        <v>5481779578.9109955</v>
      </c>
      <c r="D99" s="2">
        <f>D11/'Output-Calculation-sheet'!D10*'Output-Calculation-sheet'!D82</f>
        <v>4986877479.377327</v>
      </c>
      <c r="E99" s="2">
        <f>E11/'Output-Calculation-sheet'!E10*'Output-Calculation-sheet'!E82</f>
        <v>9646677189.8544083</v>
      </c>
      <c r="F99" s="2">
        <f>F11/'Output-Calculation-sheet'!F10*'Output-Calculation-sheet'!F82</f>
        <v>3972972029.0132527</v>
      </c>
      <c r="G99" s="2">
        <f>G11/'Output-Calculation-sheet'!G10*'Output-Calculation-sheet'!G82</f>
        <v>2824500394.7669907</v>
      </c>
      <c r="H99" s="2">
        <f>H11/'Output-Calculation-sheet'!H10*'Output-Calculation-sheet'!H82</f>
        <v>2640008433.1018424</v>
      </c>
      <c r="I99" s="2">
        <f>I11/'Output-Calculation-sheet'!I10*'Output-Calculation-sheet'!I82</f>
        <v>2217423294.5646367</v>
      </c>
      <c r="J99" s="2">
        <f>J11/'Output-Calculation-sheet'!J10*'Output-Calculation-sheet'!J82</f>
        <v>1379901668.1341212</v>
      </c>
      <c r="K99" s="2">
        <f>K11/'Output-Calculation-sheet'!K10*'Output-Calculation-sheet'!K82</f>
        <v>2018977220.5974789</v>
      </c>
      <c r="L99" s="2">
        <f>L11/'Output-Calculation-sheet'!L10*'Output-Calculation-sheet'!L82</f>
        <v>1558798060.8668621</v>
      </c>
      <c r="M99" s="2">
        <f>M11/'Output-Calculation-sheet'!M10*'Output-Calculation-sheet'!M82</f>
        <v>1988669419.1682823</v>
      </c>
      <c r="N99" s="2">
        <f>N11/'Output-Calculation-sheet'!N10*'Output-Calculation-sheet'!N82</f>
        <v>1401019463.9664354</v>
      </c>
      <c r="O99" s="2">
        <f>O11/'Output-Calculation-sheet'!O10*'Output-Calculation-sheet'!O82</f>
        <v>759562962.89979804</v>
      </c>
      <c r="P99" s="2">
        <f>P11/'Output-Calculation-sheet'!P10*'Output-Calculation-sheet'!P82</f>
        <v>2367729827.4974065</v>
      </c>
      <c r="Q99" s="2">
        <f>Q11/'Output-Calculation-sheet'!Q10*'Output-Calculation-sheet'!Q82</f>
        <v>1120558543.7935405</v>
      </c>
      <c r="R99" s="2">
        <f>R11/'Output-Calculation-sheet'!R10*'Output-Calculation-sheet'!R82</f>
        <v>1450557852.7992136</v>
      </c>
      <c r="S99" s="2">
        <f>S11/'Output-Calculation-sheet'!S10*'Output-Calculation-sheet'!S82</f>
        <v>835561875.73502553</v>
      </c>
      <c r="T99" s="2">
        <f>T11/'Output-Calculation-sheet'!T10*'Output-Calculation-sheet'!T82</f>
        <v>610698042.49419034</v>
      </c>
      <c r="U99" s="2">
        <f>U11/'Output-Calculation-sheet'!U10*'Output-Calculation-sheet'!U82</f>
        <v>404416554.47147548</v>
      </c>
      <c r="V99" s="2">
        <f>V11/'Output-Calculation-sheet'!V10*'Output-Calculation-sheet'!V82</f>
        <v>216236489.6462613</v>
      </c>
      <c r="W99" s="2">
        <f>W11/'Output-Calculation-sheet'!W10*'Output-Calculation-sheet'!W82</f>
        <v>599631356.62061727</v>
      </c>
      <c r="X99" s="2">
        <f>X11/'Output-Calculation-sheet'!X10*'Output-Calculation-sheet'!X82</f>
        <v>225837677.41495511</v>
      </c>
      <c r="Y99" s="2">
        <f>Y11/'Output-Calculation-sheet'!Y10*'Output-Calculation-sheet'!Y82</f>
        <v>329987427.16104358</v>
      </c>
      <c r="AA99" s="2">
        <f t="shared" si="8"/>
        <v>64.925709675131628</v>
      </c>
    </row>
    <row r="100" spans="1:27" x14ac:dyDescent="0.25">
      <c r="A100" s="2">
        <v>2035</v>
      </c>
      <c r="B100" s="2">
        <f>B12/'Output-Calculation-sheet'!B11*'Output-Calculation-sheet'!B83</f>
        <v>18149817766.483135</v>
      </c>
      <c r="C100" s="2">
        <f>C12/'Output-Calculation-sheet'!C11*'Output-Calculation-sheet'!C83</f>
        <v>6301321932.4625797</v>
      </c>
      <c r="D100" s="2">
        <f>D12/'Output-Calculation-sheet'!D11*'Output-Calculation-sheet'!D83</f>
        <v>5484492773.2668934</v>
      </c>
      <c r="E100" s="2">
        <f>E12/'Output-Calculation-sheet'!E11*'Output-Calculation-sheet'!E83</f>
        <v>10907240968.664486</v>
      </c>
      <c r="F100" s="2">
        <f>F12/'Output-Calculation-sheet'!F11*'Output-Calculation-sheet'!F83</f>
        <v>4486804031.36689</v>
      </c>
      <c r="G100" s="2">
        <f>G12/'Output-Calculation-sheet'!G11*'Output-Calculation-sheet'!G83</f>
        <v>3083308034.7101417</v>
      </c>
      <c r="H100" s="2">
        <f>H12/'Output-Calculation-sheet'!H11*'Output-Calculation-sheet'!H83</f>
        <v>2978245139.6003408</v>
      </c>
      <c r="I100" s="2">
        <f>I12/'Output-Calculation-sheet'!I11*'Output-Calculation-sheet'!I83</f>
        <v>2526982175.7310576</v>
      </c>
      <c r="J100" s="2">
        <f>J12/'Output-Calculation-sheet'!J11*'Output-Calculation-sheet'!J83</f>
        <v>1531459961.0734208</v>
      </c>
      <c r="K100" s="2">
        <f>K12/'Output-Calculation-sheet'!K11*'Output-Calculation-sheet'!K83</f>
        <v>2256492860.754745</v>
      </c>
      <c r="L100" s="2">
        <f>L12/'Output-Calculation-sheet'!L11*'Output-Calculation-sheet'!L83</f>
        <v>1791526667.5546002</v>
      </c>
      <c r="M100" s="2">
        <f>M12/'Output-Calculation-sheet'!M11*'Output-Calculation-sheet'!M83</f>
        <v>2250554481.8475065</v>
      </c>
      <c r="N100" s="2">
        <f>N12/'Output-Calculation-sheet'!N11*'Output-Calculation-sheet'!N83</f>
        <v>1557205947.0918868</v>
      </c>
      <c r="O100" s="2">
        <f>O12/'Output-Calculation-sheet'!O11*'Output-Calculation-sheet'!O83</f>
        <v>864348176.0609268</v>
      </c>
      <c r="P100" s="2">
        <f>P12/'Output-Calculation-sheet'!P11*'Output-Calculation-sheet'!P83</f>
        <v>2625086827.3143396</v>
      </c>
      <c r="Q100" s="2">
        <f>Q12/'Output-Calculation-sheet'!Q11*'Output-Calculation-sheet'!Q83</f>
        <v>1252178450.4204786</v>
      </c>
      <c r="R100" s="2">
        <f>R12/'Output-Calculation-sheet'!R11*'Output-Calculation-sheet'!R83</f>
        <v>1639657889.3021333</v>
      </c>
      <c r="S100" s="2">
        <f>S12/'Output-Calculation-sheet'!S11*'Output-Calculation-sheet'!S83</f>
        <v>941079384.25766611</v>
      </c>
      <c r="T100" s="2">
        <f>T12/'Output-Calculation-sheet'!T11*'Output-Calculation-sheet'!T83</f>
        <v>677251095.66028333</v>
      </c>
      <c r="U100" s="2">
        <f>U12/'Output-Calculation-sheet'!U11*'Output-Calculation-sheet'!U83</f>
        <v>456390557.26954448</v>
      </c>
      <c r="V100" s="2">
        <f>V12/'Output-Calculation-sheet'!V11*'Output-Calculation-sheet'!V83</f>
        <v>246249222.60715249</v>
      </c>
      <c r="W100" s="2">
        <f>W12/'Output-Calculation-sheet'!W11*'Output-Calculation-sheet'!W83</f>
        <v>667149640.72162545</v>
      </c>
      <c r="X100" s="2">
        <f>X12/'Output-Calculation-sheet'!X11*'Output-Calculation-sheet'!X83</f>
        <v>257926388.0836733</v>
      </c>
      <c r="Y100" s="2">
        <f>Y12/'Output-Calculation-sheet'!Y11*'Output-Calculation-sheet'!Y83</f>
        <v>367639273.99302953</v>
      </c>
      <c r="AA100" s="2">
        <f t="shared" si="8"/>
        <v>73.300409646298519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1047.4197671319919</v>
      </c>
      <c r="C19" s="2">
        <f>C8/'Output-Calculation-sheet'!C7*'Output-Calculation-sheet'!C25</f>
        <v>9761.7063217237937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4699.7264440451972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3265.2862725570635</v>
      </c>
      <c r="N19" s="2">
        <f>N8/'Output-Calculation-sheet'!N7*'Output-Calculation-sheet'!N25</f>
        <v>1117.9328241161672</v>
      </c>
      <c r="O19" s="2">
        <f>O8/'Output-Calculation-sheet'!O7*'Output-Calculation-sheet'!O25</f>
        <v>1731.6510262956658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398.89607952916936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365.37427446467512</v>
      </c>
      <c r="Y19" s="2">
        <f>Y8/'Output-Calculation-sheet'!Y7*'Output-Calculation-sheet'!Y25</f>
        <v>0</v>
      </c>
      <c r="AA19" s="2">
        <f t="shared" si="0"/>
        <v>22.38799300986372</v>
      </c>
    </row>
    <row r="20" spans="1:27" x14ac:dyDescent="0.25">
      <c r="A20" s="2">
        <v>2032</v>
      </c>
      <c r="B20" s="2">
        <f>B9/'Output-Calculation-sheet'!B8*'Output-Calculation-sheet'!B26</f>
        <v>5708.0489700975231</v>
      </c>
      <c r="C20" s="2">
        <f>C9/'Output-Calculation-sheet'!C8*'Output-Calculation-sheet'!C26</f>
        <v>11601.903280650014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6209.9575208061215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4318.9352667192225</v>
      </c>
      <c r="N20" s="2">
        <f>N9/'Output-Calculation-sheet'!N8*'Output-Calculation-sheet'!N26</f>
        <v>1947.3239355297972</v>
      </c>
      <c r="O20" s="2">
        <f>O9/'Output-Calculation-sheet'!O8*'Output-Calculation-sheet'!O26</f>
        <v>2020.1893775965816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704.09490990895063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482.71437452847277</v>
      </c>
      <c r="Y20" s="2">
        <f>Y9/'Output-Calculation-sheet'!Y8*'Output-Calculation-sheet'!Y26</f>
        <v>0</v>
      </c>
      <c r="AA20" s="2">
        <f t="shared" si="0"/>
        <v>32.993167635836684</v>
      </c>
    </row>
    <row r="21" spans="1:27" x14ac:dyDescent="0.25">
      <c r="A21" s="2">
        <v>2033</v>
      </c>
      <c r="B21" s="2">
        <f>B10/'Output-Calculation-sheet'!B9*'Output-Calculation-sheet'!B27</f>
        <v>13011.732378073832</v>
      </c>
      <c r="C21" s="2">
        <f>C10/'Output-Calculation-sheet'!C9*'Output-Calculation-sheet'!C27</f>
        <v>13264.745701245021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7522.4140913583051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5224.8413847035117</v>
      </c>
      <c r="N21" s="2">
        <f>N10/'Output-Calculation-sheet'!N9*'Output-Calculation-sheet'!N27</f>
        <v>2843.0450131502039</v>
      </c>
      <c r="O21" s="2">
        <f>O10/'Output-Calculation-sheet'!O9*'Output-Calculation-sheet'!O27</f>
        <v>2205.5388516913695</v>
      </c>
      <c r="P21" s="2">
        <f>P10/'Output-Calculation-sheet'!P9*'Output-Calculation-sheet'!P27</f>
        <v>0</v>
      </c>
      <c r="Q21" s="2">
        <f>Q10/'Output-Calculation-sheet'!Q9*'Output-Calculation-sheet'!Q27</f>
        <v>194.15748169955319</v>
      </c>
      <c r="R21" s="2">
        <f>R10/'Output-Calculation-sheet'!R9*'Output-Calculation-sheet'!R27</f>
        <v>0</v>
      </c>
      <c r="S21" s="2">
        <f>S10/'Output-Calculation-sheet'!S9*'Output-Calculation-sheet'!S27</f>
        <v>1244.1004602816083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614.35963571965522</v>
      </c>
      <c r="Y21" s="2">
        <f>Y10/'Output-Calculation-sheet'!Y9*'Output-Calculation-sheet'!Y27</f>
        <v>0</v>
      </c>
      <c r="AA21" s="2">
        <f t="shared" si="0"/>
        <v>46.12493499792307</v>
      </c>
    </row>
    <row r="22" spans="1:27" x14ac:dyDescent="0.25">
      <c r="A22" s="2">
        <v>2034</v>
      </c>
      <c r="B22" s="2">
        <f>B11/'Output-Calculation-sheet'!B10*'Output-Calculation-sheet'!B28</f>
        <v>20678.902506487844</v>
      </c>
      <c r="C22" s="2">
        <f>C11/'Output-Calculation-sheet'!C10*'Output-Calculation-sheet'!C28</f>
        <v>14765.161942188413</v>
      </c>
      <c r="D22" s="2">
        <f>D11/'Output-Calculation-sheet'!D10*'Output-Calculation-sheet'!D28</f>
        <v>0</v>
      </c>
      <c r="E22" s="2">
        <f>E11/'Output-Calculation-sheet'!E10*'Output-Calculation-sheet'!E28</f>
        <v>1196.0336982595318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8693.2062891468213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593.91440548588912</v>
      </c>
      <c r="M22" s="2">
        <f>M11/'Output-Calculation-sheet'!M10*'Output-Calculation-sheet'!M28</f>
        <v>6039.5370572312131</v>
      </c>
      <c r="N22" s="2">
        <f>N11/'Output-Calculation-sheet'!N10*'Output-Calculation-sheet'!N28</f>
        <v>3506.4946976687556</v>
      </c>
      <c r="O22" s="2">
        <f>O11/'Output-Calculation-sheet'!O10*'Output-Calculation-sheet'!O28</f>
        <v>2272.5179242899312</v>
      </c>
      <c r="P22" s="2">
        <f>P11/'Output-Calculation-sheet'!P10*'Output-Calculation-sheet'!P28</f>
        <v>0</v>
      </c>
      <c r="Q22" s="2">
        <f>Q11/'Output-Calculation-sheet'!Q10*'Output-Calculation-sheet'!Q28</f>
        <v>524.23761430920581</v>
      </c>
      <c r="R22" s="2">
        <f>R11/'Output-Calculation-sheet'!R10*'Output-Calculation-sheet'!R28</f>
        <v>0</v>
      </c>
      <c r="S22" s="2">
        <f>S11/'Output-Calculation-sheet'!S10*'Output-Calculation-sheet'!S28</f>
        <v>1637.8378012036339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628.98210655831338</v>
      </c>
      <c r="Y22" s="2">
        <f>Y11/'Output-Calculation-sheet'!Y10*'Output-Calculation-sheet'!Y28</f>
        <v>66.223060318755145</v>
      </c>
      <c r="AA22" s="2">
        <f t="shared" si="0"/>
        <v>60.603049103148315</v>
      </c>
    </row>
    <row r="23" spans="1:27" x14ac:dyDescent="0.25">
      <c r="A23" s="2">
        <v>2035</v>
      </c>
      <c r="B23" s="2">
        <f>B12/'Output-Calculation-sheet'!B11*'Output-Calculation-sheet'!B29</f>
        <v>22101.418326924962</v>
      </c>
      <c r="C23" s="2">
        <f>C12/'Output-Calculation-sheet'!C11*'Output-Calculation-sheet'!C29</f>
        <v>16121.100734405174</v>
      </c>
      <c r="D23" s="2">
        <f>D12/'Output-Calculation-sheet'!D11*'Output-Calculation-sheet'!D29</f>
        <v>0</v>
      </c>
      <c r="E23" s="2">
        <f>E12/'Output-Calculation-sheet'!E11*'Output-Calculation-sheet'!E29</f>
        <v>2811.5031835735967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8092.3697640686887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665.46146305286084</v>
      </c>
      <c r="M23" s="2">
        <f>M12/'Output-Calculation-sheet'!M11*'Output-Calculation-sheet'!M29</f>
        <v>5705.6412198755679</v>
      </c>
      <c r="N23" s="2">
        <f>N12/'Output-Calculation-sheet'!N11*'Output-Calculation-sheet'!N29</f>
        <v>3361.9672113109009</v>
      </c>
      <c r="O23" s="2">
        <f>O12/'Output-Calculation-sheet'!O11*'Output-Calculation-sheet'!O29</f>
        <v>2224.2362053754237</v>
      </c>
      <c r="P23" s="2">
        <f>P12/'Output-Calculation-sheet'!P11*'Output-Calculation-sheet'!P29</f>
        <v>474.2304990068443</v>
      </c>
      <c r="Q23" s="2">
        <f>Q12/'Output-Calculation-sheet'!Q11*'Output-Calculation-sheet'!Q29</f>
        <v>718.29730623930709</v>
      </c>
      <c r="R23" s="2">
        <f>R12/'Output-Calculation-sheet'!R11*'Output-Calculation-sheet'!R29</f>
        <v>0</v>
      </c>
      <c r="S23" s="2">
        <f>S12/'Output-Calculation-sheet'!S11*'Output-Calculation-sheet'!S29</f>
        <v>1644.1088975537723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592.72120541673814</v>
      </c>
      <c r="Y23" s="2">
        <f>Y12/'Output-Calculation-sheet'!Y11*'Output-Calculation-sheet'!Y29</f>
        <v>150.5081476256367</v>
      </c>
      <c r="AA23" s="2">
        <f t="shared" si="0"/>
        <v>64.663564164429474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18256.186290615587</v>
      </c>
      <c r="C30" s="2">
        <f>C8/'Output-Calculation-sheet'!C7*'Output-Calculation-sheet'!C16</f>
        <v>0</v>
      </c>
      <c r="D30" s="2">
        <f>D8/'Output-Calculation-sheet'!D7*'Output-Calculation-sheet'!D16</f>
        <v>3074.1004308541637</v>
      </c>
      <c r="E30" s="2">
        <f>E8/'Output-Calculation-sheet'!E7*'Output-Calculation-sheet'!E16</f>
        <v>3307.558383509504</v>
      </c>
      <c r="F30" s="2">
        <f>F8/'Output-Calculation-sheet'!F7*'Output-Calculation-sheet'!F16</f>
        <v>1668.6808048989658</v>
      </c>
      <c r="G30" s="2">
        <f>G8/'Output-Calculation-sheet'!G7*'Output-Calculation-sheet'!G16</f>
        <v>1092.787735293927</v>
      </c>
      <c r="H30" s="2">
        <f>H8/'Output-Calculation-sheet'!H7*'Output-Calculation-sheet'!H16</f>
        <v>0</v>
      </c>
      <c r="I30" s="2">
        <f>I8/'Output-Calculation-sheet'!I7*'Output-Calculation-sheet'!I16</f>
        <v>1065.3044173739431</v>
      </c>
      <c r="J30" s="2">
        <f>J8/'Output-Calculation-sheet'!J7*'Output-Calculation-sheet'!J16</f>
        <v>948.3257722548492</v>
      </c>
      <c r="K30" s="2">
        <f>K8/'Output-Calculation-sheet'!K7*'Output-Calculation-sheet'!K16</f>
        <v>1266.196168766563</v>
      </c>
      <c r="L30" s="2">
        <f>L8/'Output-Calculation-sheet'!L7*'Output-Calculation-sheet'!L16</f>
        <v>1069.524105716238</v>
      </c>
      <c r="M30" s="2">
        <f>M8/'Output-Calculation-sheet'!M7*'Output-Calculation-sheet'!M16</f>
        <v>0</v>
      </c>
      <c r="N30" s="2">
        <f>N8/'Output-Calculation-sheet'!N7*'Output-Calculation-sheet'!N16</f>
        <v>1519.1688860772651</v>
      </c>
      <c r="O30" s="2">
        <f>O8/'Output-Calculation-sheet'!O7*'Output-Calculation-sheet'!O16</f>
        <v>0</v>
      </c>
      <c r="P30" s="2">
        <f>P8/'Output-Calculation-sheet'!P7*'Output-Calculation-sheet'!P16</f>
        <v>1365.3791468943498</v>
      </c>
      <c r="Q30" s="2">
        <f>Q8/'Output-Calculation-sheet'!Q7*'Output-Calculation-sheet'!Q16</f>
        <v>1501.4661316921756</v>
      </c>
      <c r="R30" s="2">
        <f>R8/'Output-Calculation-sheet'!R7*'Output-Calculation-sheet'!R16</f>
        <v>952.68678650726611</v>
      </c>
      <c r="S30" s="2">
        <f>S8/'Output-Calculation-sheet'!S7*'Output-Calculation-sheet'!S16</f>
        <v>958.12354838335284</v>
      </c>
      <c r="T30" s="2">
        <f>T8/'Output-Calculation-sheet'!T7*'Output-Calculation-sheet'!T16</f>
        <v>285.98287916030586</v>
      </c>
      <c r="U30" s="2">
        <f>U8/'Output-Calculation-sheet'!U7*'Output-Calculation-sheet'!U16</f>
        <v>285.47169201567652</v>
      </c>
      <c r="V30" s="2">
        <f>V8/'Output-Calculation-sheet'!V7*'Output-Calculation-sheet'!V16</f>
        <v>222.17719151513506</v>
      </c>
      <c r="W30" s="2">
        <f>W8/'Output-Calculation-sheet'!W7*'Output-Calculation-sheet'!W16</f>
        <v>134.76166716957329</v>
      </c>
      <c r="X30" s="2">
        <f>X8/'Output-Calculation-sheet'!X7*'Output-Calculation-sheet'!X16</f>
        <v>0</v>
      </c>
      <c r="Y30" s="2">
        <f>Y8/'Output-Calculation-sheet'!Y7*'Output-Calculation-sheet'!Y16</f>
        <v>114.06043056261743</v>
      </c>
      <c r="AA30" s="2">
        <f t="shared" si="1"/>
        <v>39.087942469261463</v>
      </c>
    </row>
    <row r="31" spans="1:27" x14ac:dyDescent="0.25">
      <c r="A31" s="2">
        <v>2032</v>
      </c>
      <c r="B31" s="2">
        <f>B9/'Output-Calculation-sheet'!B8*'Output-Calculation-sheet'!B17</f>
        <v>24169.765207373512</v>
      </c>
      <c r="C31" s="2">
        <f>C9/'Output-Calculation-sheet'!C8*'Output-Calculation-sheet'!C17</f>
        <v>0</v>
      </c>
      <c r="D31" s="2">
        <f>D9/'Output-Calculation-sheet'!D8*'Output-Calculation-sheet'!D17</f>
        <v>4053.5869655808833</v>
      </c>
      <c r="E31" s="2">
        <f>E9/'Output-Calculation-sheet'!E8*'Output-Calculation-sheet'!E17</f>
        <v>4764.4376436967987</v>
      </c>
      <c r="F31" s="2">
        <f>F9/'Output-Calculation-sheet'!F8*'Output-Calculation-sheet'!F17</f>
        <v>2200.4185195589703</v>
      </c>
      <c r="G31" s="2">
        <f>G9/'Output-Calculation-sheet'!G8*'Output-Calculation-sheet'!G17</f>
        <v>1440.9994324264208</v>
      </c>
      <c r="H31" s="2">
        <f>H9/'Output-Calculation-sheet'!H8*'Output-Calculation-sheet'!H17</f>
        <v>0</v>
      </c>
      <c r="I31" s="2">
        <f>I9/'Output-Calculation-sheet'!I8*'Output-Calculation-sheet'!I17</f>
        <v>1404.7652637051012</v>
      </c>
      <c r="J31" s="2">
        <f>J9/'Output-Calculation-sheet'!J8*'Output-Calculation-sheet'!J17</f>
        <v>1250.5118528709593</v>
      </c>
      <c r="K31" s="2">
        <f>K9/'Output-Calculation-sheet'!K8*'Output-Calculation-sheet'!K17</f>
        <v>1780.3968495239208</v>
      </c>
      <c r="L31" s="2">
        <f>L9/'Output-Calculation-sheet'!L8*'Output-Calculation-sheet'!L17</f>
        <v>1518.3655267910847</v>
      </c>
      <c r="M31" s="2">
        <f>M9/'Output-Calculation-sheet'!M8*'Output-Calculation-sheet'!M17</f>
        <v>0</v>
      </c>
      <c r="N31" s="2">
        <f>N9/'Output-Calculation-sheet'!N8*'Output-Calculation-sheet'!N17</f>
        <v>1650.6186199083565</v>
      </c>
      <c r="O31" s="2">
        <f>O9/'Output-Calculation-sheet'!O8*'Output-Calculation-sheet'!O17</f>
        <v>0</v>
      </c>
      <c r="P31" s="2">
        <f>P9/'Output-Calculation-sheet'!P8*'Output-Calculation-sheet'!P17</f>
        <v>2048.6739015822859</v>
      </c>
      <c r="Q31" s="2">
        <f>Q9/'Output-Calculation-sheet'!Q8*'Output-Calculation-sheet'!Q17</f>
        <v>2184.0746049954319</v>
      </c>
      <c r="R31" s="2">
        <f>R9/'Output-Calculation-sheet'!R8*'Output-Calculation-sheet'!R17</f>
        <v>1428.9370335926426</v>
      </c>
      <c r="S31" s="2">
        <f>S9/'Output-Calculation-sheet'!S8*'Output-Calculation-sheet'!S17</f>
        <v>1233.9106424015031</v>
      </c>
      <c r="T31" s="2">
        <f>T9/'Output-Calculation-sheet'!T8*'Output-Calculation-sheet'!T17</f>
        <v>387.75250398370633</v>
      </c>
      <c r="U31" s="2">
        <f>U9/'Output-Calculation-sheet'!U8*'Output-Calculation-sheet'!U17</f>
        <v>445.65124318110054</v>
      </c>
      <c r="V31" s="2">
        <f>V9/'Output-Calculation-sheet'!V8*'Output-Calculation-sheet'!V17</f>
        <v>319.19883982252941</v>
      </c>
      <c r="W31" s="2">
        <f>W9/'Output-Calculation-sheet'!W8*'Output-Calculation-sheet'!W17</f>
        <v>177.70552539517101</v>
      </c>
      <c r="X31" s="2">
        <f>X9/'Output-Calculation-sheet'!X8*'Output-Calculation-sheet'!X17</f>
        <v>0</v>
      </c>
      <c r="Y31" s="2">
        <f>Y9/'Output-Calculation-sheet'!Y8*'Output-Calculation-sheet'!Y17</f>
        <v>171.7020378878974</v>
      </c>
      <c r="AA31" s="2">
        <f t="shared" si="1"/>
        <v>52.631472214278268</v>
      </c>
    </row>
    <row r="32" spans="1:27" x14ac:dyDescent="0.25">
      <c r="A32" s="2">
        <v>2033</v>
      </c>
      <c r="B32" s="2">
        <f>B10/'Output-Calculation-sheet'!B9*'Output-Calculation-sheet'!B18</f>
        <v>26372.155508071006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1617.6761095225133</v>
      </c>
      <c r="O32" s="2">
        <f>O10/'Output-Calculation-sheet'!O9*'Output-Calculation-sheet'!O18</f>
        <v>0</v>
      </c>
      <c r="P32" s="2">
        <f>P10/'Output-Calculation-sheet'!P9*'Output-Calculation-sheet'!P18</f>
        <v>2588.6767957449169</v>
      </c>
      <c r="Q32" s="2">
        <f>Q10/'Output-Calculation-sheet'!Q9*'Output-Calculation-sheet'!Q18</f>
        <v>2820.7542576885353</v>
      </c>
      <c r="R32" s="2">
        <f>R10/'Output-Calculation-sheet'!R9*'Output-Calculation-sheet'!R18</f>
        <v>1858.5522776929095</v>
      </c>
      <c r="S32" s="2">
        <f>S10/'Output-Calculation-sheet'!S9*'Output-Calculation-sheet'!S18</f>
        <v>1216.3952651361544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600.88200087977907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63.407050579477414</v>
      </c>
    </row>
    <row r="33" spans="1:27" x14ac:dyDescent="0.25">
      <c r="A33" s="2">
        <v>2034</v>
      </c>
      <c r="B33" s="2">
        <f>B11/'Output-Calculation-sheet'!B10*'Output-Calculation-sheet'!B19</f>
        <v>23697.39399933958</v>
      </c>
      <c r="C33" s="2">
        <f>C11/'Output-Calculation-sheet'!C10*'Output-Calculation-sheet'!C19</f>
        <v>0</v>
      </c>
      <c r="D33" s="2">
        <f>D11/'Output-Calculation-sheet'!D10*'Output-Calculation-sheet'!D19</f>
        <v>7173.8680414723522</v>
      </c>
      <c r="E33" s="2">
        <f>E11/'Output-Calculation-sheet'!E10*'Output-Calculation-sheet'!E19</f>
        <v>8895.9871551156557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2437.6060600487071</v>
      </c>
      <c r="H33" s="2">
        <f>H11/'Output-Calculation-sheet'!H10*'Output-Calculation-sheet'!H19</f>
        <v>0</v>
      </c>
      <c r="I33" s="2">
        <f>I11/'Output-Calculation-sheet'!I10*'Output-Calculation-sheet'!I19</f>
        <v>2663.7785380898135</v>
      </c>
      <c r="J33" s="2">
        <f>J11/'Output-Calculation-sheet'!J10*'Output-Calculation-sheet'!J19</f>
        <v>2253.6283587012163</v>
      </c>
      <c r="K33" s="2">
        <f>K11/'Output-Calculation-sheet'!K10*'Output-Calculation-sheet'!K19</f>
        <v>3120.3630511977258</v>
      </c>
      <c r="L33" s="2">
        <f>L11/'Output-Calculation-sheet'!L10*'Output-Calculation-sheet'!L19</f>
        <v>2464.8901840394979</v>
      </c>
      <c r="M33" s="2">
        <f>M11/'Output-Calculation-sheet'!M10*'Output-Calculation-sheet'!M19</f>
        <v>0</v>
      </c>
      <c r="N33" s="2">
        <f>N11/'Output-Calculation-sheet'!N10*'Output-Calculation-sheet'!N19</f>
        <v>1474.2741690201142</v>
      </c>
      <c r="O33" s="2">
        <f>O11/'Output-Calculation-sheet'!O10*'Output-Calculation-sheet'!O19</f>
        <v>0</v>
      </c>
      <c r="P33" s="2">
        <f>P11/'Output-Calculation-sheet'!P10*'Output-Calculation-sheet'!P19</f>
        <v>3157.684049016676</v>
      </c>
      <c r="Q33" s="2">
        <f>Q11/'Output-Calculation-sheet'!Q10*'Output-Calculation-sheet'!Q19</f>
        <v>2607.6881112631759</v>
      </c>
      <c r="R33" s="2">
        <f>R11/'Output-Calculation-sheet'!R10*'Output-Calculation-sheet'!R19</f>
        <v>2254.6385379727708</v>
      </c>
      <c r="S33" s="2">
        <f>S11/'Output-Calculation-sheet'!S10*'Output-Calculation-sheet'!S19</f>
        <v>1107.5243758342151</v>
      </c>
      <c r="T33" s="2">
        <f>T11/'Output-Calculation-sheet'!T10*'Output-Calculation-sheet'!T19</f>
        <v>661.52836141350645</v>
      </c>
      <c r="U33" s="2">
        <f>U11/'Output-Calculation-sheet'!U10*'Output-Calculation-sheet'!U19</f>
        <v>712.11287549412043</v>
      </c>
      <c r="V33" s="2">
        <f>V11/'Output-Calculation-sheet'!V10*'Output-Calculation-sheet'!V19</f>
        <v>518.89152885253725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0</v>
      </c>
      <c r="Y33" s="2">
        <f>Y11/'Output-Calculation-sheet'!Y10*'Output-Calculation-sheet'!Y19</f>
        <v>291.16510767782637</v>
      </c>
      <c r="AA33" s="2">
        <f t="shared" si="1"/>
        <v>69.886872311118751</v>
      </c>
    </row>
    <row r="34" spans="1:27" x14ac:dyDescent="0.25">
      <c r="A34" s="2">
        <v>2035</v>
      </c>
      <c r="B34" s="2">
        <f>B12/'Output-Calculation-sheet'!B11*'Output-Calculation-sheet'!B20</f>
        <v>20984.50948356745</v>
      </c>
      <c r="C34" s="2">
        <f>C12/'Output-Calculation-sheet'!C11*'Output-Calculation-sheet'!C20</f>
        <v>0</v>
      </c>
      <c r="D34" s="2">
        <f>D12/'Output-Calculation-sheet'!D11*'Output-Calculation-sheet'!D20</f>
        <v>6437.8952763164943</v>
      </c>
      <c r="E34" s="2">
        <f>E12/'Output-Calculation-sheet'!E11*'Output-Calculation-sheet'!E20</f>
        <v>7588.6686628268417</v>
      </c>
      <c r="F34" s="2">
        <f>F12/'Output-Calculation-sheet'!F11*'Output-Calculation-sheet'!F20</f>
        <v>4342.5248590509009</v>
      </c>
      <c r="G34" s="2">
        <f>G12/'Output-Calculation-sheet'!G11*'Output-Calculation-sheet'!G20</f>
        <v>2325.5667082364148</v>
      </c>
      <c r="H34" s="2">
        <f>H12/'Output-Calculation-sheet'!H11*'Output-Calculation-sheet'!H20</f>
        <v>0</v>
      </c>
      <c r="I34" s="2">
        <f>I12/'Output-Calculation-sheet'!I11*'Output-Calculation-sheet'!I20</f>
        <v>2586.6410289899632</v>
      </c>
      <c r="J34" s="2">
        <f>J12/'Output-Calculation-sheet'!J11*'Output-Calculation-sheet'!J20</f>
        <v>2016.2750745630574</v>
      </c>
      <c r="K34" s="2">
        <f>K12/'Output-Calculation-sheet'!K11*'Output-Calculation-sheet'!K20</f>
        <v>2980.3099084079827</v>
      </c>
      <c r="L34" s="2">
        <f>L12/'Output-Calculation-sheet'!L11*'Output-Calculation-sheet'!L20</f>
        <v>2277.6944242000745</v>
      </c>
      <c r="M34" s="2">
        <f>M12/'Output-Calculation-sheet'!M11*'Output-Calculation-sheet'!M20</f>
        <v>0</v>
      </c>
      <c r="N34" s="2">
        <f>N12/'Output-Calculation-sheet'!N11*'Output-Calculation-sheet'!N20</f>
        <v>1321.7533351888878</v>
      </c>
      <c r="O34" s="2">
        <f>O12/'Output-Calculation-sheet'!O11*'Output-Calculation-sheet'!O20</f>
        <v>0</v>
      </c>
      <c r="P34" s="2">
        <f>P12/'Output-Calculation-sheet'!P11*'Output-Calculation-sheet'!P20</f>
        <v>2833.6119828464953</v>
      </c>
      <c r="Q34" s="2">
        <f>Q12/'Output-Calculation-sheet'!Q11*'Output-Calculation-sheet'!Q20</f>
        <v>2334.3583302504935</v>
      </c>
      <c r="R34" s="2">
        <f>R12/'Output-Calculation-sheet'!R11*'Output-Calculation-sheet'!R20</f>
        <v>2191.2536550066488</v>
      </c>
      <c r="S34" s="2">
        <f>S12/'Output-Calculation-sheet'!S11*'Output-Calculation-sheet'!S20</f>
        <v>934.96374223183579</v>
      </c>
      <c r="T34" s="2">
        <f>T12/'Output-Calculation-sheet'!T11*'Output-Calculation-sheet'!T20</f>
        <v>700.51497179750424</v>
      </c>
      <c r="U34" s="2">
        <f>U12/'Output-Calculation-sheet'!U11*'Output-Calculation-sheet'!U20</f>
        <v>653.50488238358685</v>
      </c>
      <c r="V34" s="2">
        <f>V12/'Output-Calculation-sheet'!V11*'Output-Calculation-sheet'!V20</f>
        <v>485.30470197870113</v>
      </c>
      <c r="W34" s="2">
        <f>W12/'Output-Calculation-sheet'!W11*'Output-Calculation-sheet'!W20</f>
        <v>386.47518120382921</v>
      </c>
      <c r="X34" s="2">
        <f>X12/'Output-Calculation-sheet'!X11*'Output-Calculation-sheet'!X20</f>
        <v>15.149260205053928</v>
      </c>
      <c r="Y34" s="2">
        <f>Y12/'Output-Calculation-sheet'!Y11*'Output-Calculation-sheet'!Y20</f>
        <v>226.13918718121937</v>
      </c>
      <c r="AA34" s="2">
        <f t="shared" si="1"/>
        <v>63.623114656433451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1.9902609734172345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0.38665416458110469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2.3769151379983393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3.1493379807780815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0.61183164529952083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3.7611696260776024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4.2278073948191306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0.61601192937283455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4.8438193241919656</v>
      </c>
    </row>
    <row r="44" spans="1:27" x14ac:dyDescent="0.25">
      <c r="A44" s="2">
        <v>2034</v>
      </c>
      <c r="B44" s="2">
        <f>B11/'Output-Calculation-sheet'!B10*'Output-Calculation-sheet'!B37*0.0114</f>
        <v>2.1418400982515755</v>
      </c>
      <c r="C44" s="2">
        <f>C11/'Output-Calculation-sheet'!C10*'Output-Calculation-sheet'!C37*0.0114</f>
        <v>4.0662603246997922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0.31293039197792732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0.22706500176199396</v>
      </c>
      <c r="M44" s="2">
        <f>M11/'Output-Calculation-sheet'!M10*'Output-Calculation-sheet'!M37*0.0114</f>
        <v>0.21532673167298147</v>
      </c>
      <c r="N44" s="2">
        <f>N11/'Output-Calculation-sheet'!N10*'Output-Calculation-sheet'!N37*0.0114</f>
        <v>0.21163162534570676</v>
      </c>
      <c r="O44" s="2">
        <f>O11/'Output-Calculation-sheet'!O10*'Output-Calculation-sheet'!O37*0.0114</f>
        <v>0.78996498942377102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0.18542114123436898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0.12131422420860008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5.9160673516684567E-2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2.3621873288216313E-2</v>
      </c>
      <c r="Y44" s="2">
        <f>Y11/'Output-Calculation-sheet'!Y10*'Output-Calculation-sheet'!Y37*0.0114</f>
        <v>0</v>
      </c>
      <c r="AA44" s="2">
        <f t="shared" si="2"/>
        <v>8.3545370753816197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3.7212144505356943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0.72293185859369291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4.323483948870066E-2</v>
      </c>
      <c r="Y45" s="2">
        <f>Y12/'Output-Calculation-sheet'!Y11*'Output-Calculation-sheet'!Y38*0.0114</f>
        <v>2.0861211007346784E-2</v>
      </c>
      <c r="AA45" s="2">
        <f t="shared" si="2"/>
        <v>11.152355816316755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6664.0679603152066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4548.5507853986064</v>
      </c>
      <c r="N52" s="2">
        <f>N8/'Output-Calculation-sheet'!N7*'Output-Calculation-sheet'!N43</f>
        <v>145.38196909682426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586.20858007478591</v>
      </c>
      <c r="Y52" s="2">
        <f>Y8/'Output-Calculation-sheet'!Y7*'Output-Calculation-sheet'!Y43</f>
        <v>0</v>
      </c>
      <c r="AA52" s="2">
        <f t="shared" si="3"/>
        <v>11.944209294885423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644.60134109492901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12415.946474246046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8484.8698007553976</v>
      </c>
      <c r="N53" s="2">
        <f>N9/'Output-Calculation-sheet'!N8*'Output-Calculation-sheet'!N44</f>
        <v>3028.9745989654052</v>
      </c>
      <c r="O53" s="2">
        <f>O9/'Output-Calculation-sheet'!O8*'Output-Calculation-sheet'!O44</f>
        <v>0</v>
      </c>
      <c r="P53" s="2">
        <f>P9/'Output-Calculation-sheet'!P8*'Output-Calculation-sheet'!P44</f>
        <v>141.68236739073703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934.08979635499372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1063.4784681019507</v>
      </c>
      <c r="Y53" s="2">
        <f>Y9/'Output-Calculation-sheet'!Y8*'Output-Calculation-sheet'!Y44</f>
        <v>0</v>
      </c>
      <c r="AA53" s="2">
        <f t="shared" si="3"/>
        <v>26.713642846909462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5006.6140201805492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0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727.18157939907564</v>
      </c>
      <c r="R54" s="2">
        <f>R10/'Output-Calculation-sheet'!R9*'Output-Calculation-sheet'!R45</f>
        <v>1241.0249638995442</v>
      </c>
      <c r="S54" s="2">
        <f>S10/'Output-Calculation-sheet'!S9*'Output-Calculation-sheet'!S45</f>
        <v>2976.3168906258575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442.44788728879325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76.583016179903865</v>
      </c>
    </row>
    <row r="55" spans="1:27" x14ac:dyDescent="0.25">
      <c r="A55" s="2">
        <v>2034</v>
      </c>
      <c r="B55" s="2">
        <f>B11/'Output-Calculation-sheet'!B10*'Output-Calculation-sheet'!B46</f>
        <v>56364.213111883568</v>
      </c>
      <c r="C55" s="2">
        <f>C11/'Output-Calculation-sheet'!C10*'Output-Calculation-sheet'!C46</f>
        <v>11592.408820416074</v>
      </c>
      <c r="D55" s="2">
        <f>D11/'Output-Calculation-sheet'!D10*'Output-Calculation-sheet'!D46</f>
        <v>6240.3441528806607</v>
      </c>
      <c r="E55" s="2">
        <f>E11/'Output-Calculation-sheet'!E10*'Output-Calculation-sheet'!E46</f>
        <v>7721.6116358346844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20258.12537541319</v>
      </c>
      <c r="I55" s="2">
        <f>I11/'Output-Calculation-sheet'!I10*'Output-Calculation-sheet'!I46</f>
        <v>1503.7068969382876</v>
      </c>
      <c r="J55" s="2">
        <f>J11/'Output-Calculation-sheet'!J10*'Output-Calculation-sheet'!J46</f>
        <v>1084.6029460883108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577.62149571033547</v>
      </c>
      <c r="M55" s="2">
        <f>M11/'Output-Calculation-sheet'!M10*'Output-Calculation-sheet'!M46</f>
        <v>14052.902488131422</v>
      </c>
      <c r="N55" s="2">
        <f>N11/'Output-Calculation-sheet'!N10*'Output-Calculation-sheet'!N46</f>
        <v>9987.5275821044052</v>
      </c>
      <c r="O55" s="2">
        <f>O11/'Output-Calculation-sheet'!O10*'Output-Calculation-sheet'!O46</f>
        <v>0</v>
      </c>
      <c r="P55" s="2">
        <f>P11/'Output-Calculation-sheet'!P10*'Output-Calculation-sheet'!P46</f>
        <v>4064.5393794166484</v>
      </c>
      <c r="Q55" s="2">
        <f>Q11/'Output-Calculation-sheet'!Q10*'Output-Calculation-sheet'!Q46</f>
        <v>1496.3811397861355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4512.0378126707392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975.63215974883315</v>
      </c>
      <c r="V55" s="2">
        <f>V11/'Output-Calculation-sheet'!V10*'Output-Calculation-sheet'!V46</f>
        <v>504.20165368833204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1433.8891504776918</v>
      </c>
      <c r="Y55" s="2">
        <f>Y11/'Output-Calculation-sheet'!Y10*'Output-Calculation-sheet'!Y46</f>
        <v>381.9253735395323</v>
      </c>
      <c r="AA55" s="2">
        <f t="shared" si="3"/>
        <v>152.87694291401581</v>
      </c>
    </row>
    <row r="56" spans="1:27" x14ac:dyDescent="0.25">
      <c r="A56" s="2">
        <v>2035</v>
      </c>
      <c r="B56" s="2">
        <f>B12/'Output-Calculation-sheet'!B11*'Output-Calculation-sheet'!B47</f>
        <v>62413.471388358448</v>
      </c>
      <c r="C56" s="2">
        <f>C12/'Output-Calculation-sheet'!C11*'Output-Calculation-sheet'!C47</f>
        <v>22767.956835514447</v>
      </c>
      <c r="D56" s="2">
        <f>D12/'Output-Calculation-sheet'!D11*'Output-Calculation-sheet'!D47</f>
        <v>4987.9266777362855</v>
      </c>
      <c r="E56" s="2">
        <f>E12/'Output-Calculation-sheet'!E11*'Output-Calculation-sheet'!E47</f>
        <v>12524.167191528955</v>
      </c>
      <c r="F56" s="2">
        <f>F12/'Output-Calculation-sheet'!F11*'Output-Calculation-sheet'!F47</f>
        <v>1517.5567802713992</v>
      </c>
      <c r="G56" s="2">
        <f>G12/'Output-Calculation-sheet'!G11*'Output-Calculation-sheet'!G47</f>
        <v>3993.4576227786033</v>
      </c>
      <c r="H56" s="2">
        <f>H12/'Output-Calculation-sheet'!H11*'Output-Calculation-sheet'!H47</f>
        <v>18765.192087140364</v>
      </c>
      <c r="I56" s="2">
        <f>I12/'Output-Calculation-sheet'!I11*'Output-Calculation-sheet'!I47</f>
        <v>2262.4158466742992</v>
      </c>
      <c r="J56" s="2">
        <f>J12/'Output-Calculation-sheet'!J11*'Output-Calculation-sheet'!J47</f>
        <v>784.82126338188129</v>
      </c>
      <c r="K56" s="2">
        <f>K12/'Output-Calculation-sheet'!K11*'Output-Calculation-sheet'!K47</f>
        <v>3323.93613352171</v>
      </c>
      <c r="L56" s="2">
        <f>L12/'Output-Calculation-sheet'!L11*'Output-Calculation-sheet'!L47</f>
        <v>856.70781098620739</v>
      </c>
      <c r="M56" s="2">
        <f>M12/'Output-Calculation-sheet'!M11*'Output-Calculation-sheet'!M47</f>
        <v>13067.858175319858</v>
      </c>
      <c r="N56" s="2">
        <f>N12/'Output-Calculation-sheet'!N11*'Output-Calculation-sheet'!N47</f>
        <v>9581.7390656486768</v>
      </c>
      <c r="O56" s="2">
        <f>O12/'Output-Calculation-sheet'!O11*'Output-Calculation-sheet'!O47</f>
        <v>0</v>
      </c>
      <c r="P56" s="2">
        <f>P12/'Output-Calculation-sheet'!P11*'Output-Calculation-sheet'!P47</f>
        <v>5037.9927912760459</v>
      </c>
      <c r="Q56" s="2">
        <f>Q12/'Output-Calculation-sheet'!Q11*'Output-Calculation-sheet'!Q47</f>
        <v>1786.1797614587906</v>
      </c>
      <c r="R56" s="2">
        <f>R12/'Output-Calculation-sheet'!R11*'Output-Calculation-sheet'!R47</f>
        <v>3454.0940617021165</v>
      </c>
      <c r="S56" s="2">
        <f>S12/'Output-Calculation-sheet'!S11*'Output-Calculation-sheet'!S47</f>
        <v>4547.9247924324245</v>
      </c>
      <c r="T56" s="2">
        <f>T12/'Output-Calculation-sheet'!T11*'Output-Calculation-sheet'!T47</f>
        <v>1245.1269436505524</v>
      </c>
      <c r="U56" s="2">
        <f>U12/'Output-Calculation-sheet'!U11*'Output-Calculation-sheet'!U47</f>
        <v>940.33579483118353</v>
      </c>
      <c r="V56" s="2">
        <f>V12/'Output-Calculation-sheet'!V11*'Output-Calculation-sheet'!V47</f>
        <v>523.67190889848746</v>
      </c>
      <c r="W56" s="2">
        <f>W12/'Output-Calculation-sheet'!W11*'Output-Calculation-sheet'!W47</f>
        <v>507.36838255778548</v>
      </c>
      <c r="X56" s="2">
        <f>X12/'Output-Calculation-sheet'!X11*'Output-Calculation-sheet'!X47</f>
        <v>1331.1779526784151</v>
      </c>
      <c r="Y56" s="2">
        <f>Y12/'Output-Calculation-sheet'!Y11*'Output-Calculation-sheet'!Y47</f>
        <v>589.2377144180407</v>
      </c>
      <c r="AA56" s="2">
        <f t="shared" si="3"/>
        <v>176.81031698276493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5.0939122244483137</v>
      </c>
      <c r="C63" s="2">
        <f>C8*'Output-Calculation-sheet'!C52/10^9</f>
        <v>3.1863061188679778</v>
      </c>
      <c r="D63" s="2">
        <f>D8*'Output-Calculation-sheet'!D52/10^9</f>
        <v>1.4548698436257619</v>
      </c>
      <c r="E63" s="2">
        <f>E8*'Output-Calculation-sheet'!E52/10^9</f>
        <v>1.3363972256538381</v>
      </c>
      <c r="F63" s="2">
        <f>F8*'Output-Calculation-sheet'!F52/10^9</f>
        <v>0.70430522338031065</v>
      </c>
      <c r="G63" s="2">
        <f>G8*'Output-Calculation-sheet'!G52/10^9</f>
        <v>0.52085535463025978</v>
      </c>
      <c r="H63" s="2">
        <f>H8*'Output-Calculation-sheet'!H52/10^9</f>
        <v>0.89868468648443711</v>
      </c>
      <c r="I63" s="2">
        <f>I8*'Output-Calculation-sheet'!I52/10^9</f>
        <v>0.48285593605185856</v>
      </c>
      <c r="J63" s="2">
        <f>J8*'Output-Calculation-sheet'!J52/10^9</f>
        <v>0.49089034357601635</v>
      </c>
      <c r="K63" s="2">
        <f>K8*'Output-Calculation-sheet'!K52/10^9</f>
        <v>0.49401416936510245</v>
      </c>
      <c r="L63" s="2">
        <f>L8*'Output-Calculation-sheet'!L52/10^9</f>
        <v>0.40271876393121142</v>
      </c>
      <c r="M63" s="2">
        <f>M8*'Output-Calculation-sheet'!M52/10^9</f>
        <v>0.62220803270024849</v>
      </c>
      <c r="N63" s="2">
        <f>N8*'Output-Calculation-sheet'!N52/10^9</f>
        <v>0.55826529829483185</v>
      </c>
      <c r="O63" s="2">
        <f>O8*'Output-Calculation-sheet'!O52/10^9</f>
        <v>0.60373161937690212</v>
      </c>
      <c r="P63" s="2">
        <f>P8*'Output-Calculation-sheet'!P52/10^9</f>
        <v>0.39769560400752541</v>
      </c>
      <c r="Q63" s="2">
        <f>Q8*'Output-Calculation-sheet'!Q52/10^9</f>
        <v>0.41013748612829576</v>
      </c>
      <c r="R63" s="2">
        <f>R8*'Output-Calculation-sheet'!R52/10^9</f>
        <v>0.33589812316852152</v>
      </c>
      <c r="S63" s="2">
        <f>S8*'Output-Calculation-sheet'!S52/10^9</f>
        <v>0.30886398191098113</v>
      </c>
      <c r="T63" s="2">
        <f>T8*'Output-Calculation-sheet'!T52/10^9</f>
        <v>0.11581202863516661</v>
      </c>
      <c r="U63" s="2">
        <f>U8*'Output-Calculation-sheet'!U52/10^9</f>
        <v>0.10520991239262334</v>
      </c>
      <c r="V63" s="2">
        <f>V8*'Output-Calculation-sheet'!V52/10^9</f>
        <v>8.1295084106861398E-2</v>
      </c>
      <c r="W63" s="2">
        <f>W8*'Output-Calculation-sheet'!W52/10^9</f>
        <v>6.3512370118608594E-2</v>
      </c>
      <c r="X63" s="2">
        <f>X8*'Output-Calculation-sheet'!X52/10^9</f>
        <v>7.6183136664327467E-2</v>
      </c>
      <c r="Y63" s="2">
        <f>Y8*'Output-Calculation-sheet'!Y52/10^9</f>
        <v>4.1285577651089492E-2</v>
      </c>
      <c r="AA63" s="2">
        <f t="shared" si="4"/>
        <v>18.785908145171071</v>
      </c>
    </row>
    <row r="64" spans="1:27" x14ac:dyDescent="0.25">
      <c r="A64" s="2">
        <v>2032</v>
      </c>
      <c r="B64" s="2">
        <f>B9*'Output-Calculation-sheet'!B53/10^9</f>
        <v>5.5617627151894045</v>
      </c>
      <c r="C64" s="2">
        <f>C9*'Output-Calculation-sheet'!C53/10^9</f>
        <v>3.6828661029812566</v>
      </c>
      <c r="D64" s="2">
        <f>D9*'Output-Calculation-sheet'!D53/10^9</f>
        <v>1.3400400945650055</v>
      </c>
      <c r="E64" s="2">
        <f>E9*'Output-Calculation-sheet'!E53/10^9</f>
        <v>1.3082889735267391</v>
      </c>
      <c r="F64" s="2">
        <f>F9*'Output-Calculation-sheet'!F53/10^9</f>
        <v>0.65981337599625489</v>
      </c>
      <c r="G64" s="2">
        <f>G9*'Output-Calculation-sheet'!G53/10^9</f>
        <v>0.47926801074190006</v>
      </c>
      <c r="H64" s="2">
        <f>H9*'Output-Calculation-sheet'!H53/10^9</f>
        <v>1.0289658973783218</v>
      </c>
      <c r="I64" s="2">
        <f>I9*'Output-Calculation-sheet'!I53/10^9</f>
        <v>0.44751514212460075</v>
      </c>
      <c r="J64" s="2">
        <f>J9*'Output-Calculation-sheet'!J53/10^9</f>
        <v>0.44668040164677597</v>
      </c>
      <c r="K64" s="2">
        <f>K9*'Output-Calculation-sheet'!K53/10^9</f>
        <v>0.48178110096666832</v>
      </c>
      <c r="L64" s="2">
        <f>L9*'Output-Calculation-sheet'!L53/10^9</f>
        <v>0.39714142439914579</v>
      </c>
      <c r="M64" s="2">
        <f>M9*'Output-Calculation-sheet'!M53/10^9</f>
        <v>0.7128567856969753</v>
      </c>
      <c r="N64" s="2">
        <f>N9*'Output-Calculation-sheet'!N53/10^9</f>
        <v>0.63342582168882755</v>
      </c>
      <c r="O64" s="2">
        <f>O9*'Output-Calculation-sheet'!O53/10^9</f>
        <v>0.68151682702706584</v>
      </c>
      <c r="P64" s="2">
        <f>P9*'Output-Calculation-sheet'!P53/10^9</f>
        <v>0.43089647437666384</v>
      </c>
      <c r="Q64" s="2">
        <f>Q9*'Output-Calculation-sheet'!Q53/10^9</f>
        <v>0.4409245681347686</v>
      </c>
      <c r="R64" s="2">
        <f>R9*'Output-Calculation-sheet'!R53/10^9</f>
        <v>0.34473066744778696</v>
      </c>
      <c r="S64" s="2">
        <f>S9*'Output-Calculation-sheet'!S53/10^9</f>
        <v>0.34889567554041662</v>
      </c>
      <c r="T64" s="2">
        <f>T9*'Output-Calculation-sheet'!T53/10^9</f>
        <v>0.11046680519363357</v>
      </c>
      <c r="U64" s="2">
        <f>U9*'Output-Calculation-sheet'!U53/10^9</f>
        <v>0.10897012412162084</v>
      </c>
      <c r="V64" s="2">
        <f>V9*'Output-Calculation-sheet'!V53/10^9</f>
        <v>8.1076852499468166E-2</v>
      </c>
      <c r="W64" s="2">
        <f>W9*'Output-Calculation-sheet'!W53/10^9</f>
        <v>5.8534132551656966E-2</v>
      </c>
      <c r="X64" s="2">
        <f>X9*'Output-Calculation-sheet'!X53/10^9</f>
        <v>8.7478950671542002E-2</v>
      </c>
      <c r="Y64" s="2">
        <f>Y9*'Output-Calculation-sheet'!Y53/10^9</f>
        <v>4.2193391376887442E-2</v>
      </c>
      <c r="AA64" s="2">
        <f t="shared" si="4"/>
        <v>19.916090315843391</v>
      </c>
    </row>
    <row r="65" spans="1:27" x14ac:dyDescent="0.25">
      <c r="A65" s="2">
        <v>2033</v>
      </c>
      <c r="B65" s="2">
        <f>B10*'Output-Calculation-sheet'!B54/10^9</f>
        <v>6.0974677932821146</v>
      </c>
      <c r="C65" s="2">
        <f>C10*'Output-Calculation-sheet'!C54/10^9</f>
        <v>4.0271152049035246</v>
      </c>
      <c r="D65" s="2">
        <f>D10*'Output-Calculation-sheet'!D54/10^9</f>
        <v>1.1712879458735441</v>
      </c>
      <c r="E65" s="2">
        <f>E10*'Output-Calculation-sheet'!E54/10^9</f>
        <v>1.329144223419773</v>
      </c>
      <c r="F65" s="2">
        <f>F10*'Output-Calculation-sheet'!F54/10^9</f>
        <v>0.60295750950095495</v>
      </c>
      <c r="G65" s="2">
        <f>G10*'Output-Calculation-sheet'!G54/10^9</f>
        <v>0.41614112729369174</v>
      </c>
      <c r="H65" s="2">
        <f>H10*'Output-Calculation-sheet'!H54/10^9</f>
        <v>1.106111857756344</v>
      </c>
      <c r="I65" s="2">
        <f>I10*'Output-Calculation-sheet'!I54/10^9</f>
        <v>0.40934442113219555</v>
      </c>
      <c r="J65" s="2">
        <f>J10*'Output-Calculation-sheet'!J54/10^9</f>
        <v>0.37752186178270641</v>
      </c>
      <c r="K65" s="2">
        <f>K10*'Output-Calculation-sheet'!K54/10^9</f>
        <v>0.48146450870004903</v>
      </c>
      <c r="L65" s="2">
        <f>L10*'Output-Calculation-sheet'!L54/10^9</f>
        <v>0.40046125488835937</v>
      </c>
      <c r="M65" s="2">
        <f>M10*'Output-Calculation-sheet'!M54/10^9</f>
        <v>0.76649263842749271</v>
      </c>
      <c r="N65" s="2">
        <f>N10*'Output-Calculation-sheet'!N54/10^9</f>
        <v>0.68910599162903852</v>
      </c>
      <c r="O65" s="2">
        <f>O10*'Output-Calculation-sheet'!O54/10^9</f>
        <v>0.72948488556622026</v>
      </c>
      <c r="P65" s="2">
        <f>P10*'Output-Calculation-sheet'!P54/10^9</f>
        <v>0.46499674876473363</v>
      </c>
      <c r="Q65" s="2">
        <f>Q10*'Output-Calculation-sheet'!Q54/10^9</f>
        <v>0.48241068309071977</v>
      </c>
      <c r="R65" s="2">
        <f>R10*'Output-Calculation-sheet'!R54/10^9</f>
        <v>0.36048799291791739</v>
      </c>
      <c r="S65" s="2">
        <f>S10*'Output-Calculation-sheet'!S54/10^9</f>
        <v>0.38122176141276304</v>
      </c>
      <c r="T65" s="2">
        <f>T10*'Output-Calculation-sheet'!T54/10^9</f>
        <v>0.10820243447847512</v>
      </c>
      <c r="U65" s="2">
        <f>U10*'Output-Calculation-sheet'!U54/10^9</f>
        <v>0.11698579380697061</v>
      </c>
      <c r="V65" s="2">
        <f>V10*'Output-Calculation-sheet'!V54/10^9</f>
        <v>8.1645672119400603E-2</v>
      </c>
      <c r="W65" s="2">
        <f>W10*'Output-Calculation-sheet'!W54/10^9</f>
        <v>5.1071114519472792E-2</v>
      </c>
      <c r="X65" s="2">
        <f>X10*'Output-Calculation-sheet'!X54/10^9</f>
        <v>9.4775379913315139E-2</v>
      </c>
      <c r="Y65" s="2">
        <f>Y10*'Output-Calculation-sheet'!Y54/10^9</f>
        <v>4.5053949958157584E-2</v>
      </c>
      <c r="AA65" s="2">
        <f t="shared" si="4"/>
        <v>20.790952755137933</v>
      </c>
    </row>
    <row r="66" spans="1:27" x14ac:dyDescent="0.25">
      <c r="A66" s="2">
        <v>2034</v>
      </c>
      <c r="B66" s="2">
        <f>B11*'Output-Calculation-sheet'!B55/10^9</f>
        <v>6.5445875876077295</v>
      </c>
      <c r="C66" s="2">
        <f>C11*'Output-Calculation-sheet'!C55/10^9</f>
        <v>4.1676406848023806</v>
      </c>
      <c r="D66" s="2">
        <f>D11*'Output-Calculation-sheet'!D55/10^9</f>
        <v>1.2281575730100462</v>
      </c>
      <c r="E66" s="2">
        <f>E11*'Output-Calculation-sheet'!E55/10^9</f>
        <v>1.5134727683785854</v>
      </c>
      <c r="F66" s="2">
        <f>F11*'Output-Calculation-sheet'!F55/10^9</f>
        <v>0.60609909212333646</v>
      </c>
      <c r="G66" s="2">
        <f>G11*'Output-Calculation-sheet'!G55/10^9</f>
        <v>0.43659792888501009</v>
      </c>
      <c r="H66" s="2">
        <f>H11*'Output-Calculation-sheet'!H55/10^9</f>
        <v>1.1504881501070625</v>
      </c>
      <c r="I66" s="2">
        <f>I11*'Output-Calculation-sheet'!I55/10^9</f>
        <v>0.42915206772258419</v>
      </c>
      <c r="J66" s="2">
        <f>J11*'Output-Calculation-sheet'!J55/10^9</f>
        <v>0.37888973373767565</v>
      </c>
      <c r="K66" s="2">
        <f>K11*'Output-Calculation-sheet'!K55/10^9</f>
        <v>0.50602427381408122</v>
      </c>
      <c r="L66" s="2">
        <f>L11*'Output-Calculation-sheet'!L55/10^9</f>
        <v>0.44382636249918755</v>
      </c>
      <c r="M66" s="2">
        <f>M11*'Output-Calculation-sheet'!M55/10^9</f>
        <v>0.7985961505132686</v>
      </c>
      <c r="N66" s="2">
        <f>N11*'Output-Calculation-sheet'!N55/10^9</f>
        <v>0.71524283315216686</v>
      </c>
      <c r="O66" s="2">
        <f>O11*'Output-Calculation-sheet'!O55/10^9</f>
        <v>0.74171476764261912</v>
      </c>
      <c r="P66" s="2">
        <f>P11*'Output-Calculation-sheet'!P55/10^9</f>
        <v>0.50249439403197238</v>
      </c>
      <c r="Q66" s="2">
        <f>Q11*'Output-Calculation-sheet'!Q55/10^9</f>
        <v>0.52176619264840052</v>
      </c>
      <c r="R66" s="2">
        <f>R11*'Output-Calculation-sheet'!R55/10^9</f>
        <v>0.38030091649232645</v>
      </c>
      <c r="S66" s="2">
        <f>S11*'Output-Calculation-sheet'!S55/10^9</f>
        <v>0.40276310214438282</v>
      </c>
      <c r="T66" s="2">
        <f>T11*'Output-Calculation-sheet'!T55/10^9</f>
        <v>0.11196169216005422</v>
      </c>
      <c r="U66" s="2">
        <f>U11*'Output-Calculation-sheet'!U55/10^9</f>
        <v>0.12941924988713618</v>
      </c>
      <c r="V66" s="2">
        <f>V11*'Output-Calculation-sheet'!V55/10^9</f>
        <v>8.3622997664659429E-2</v>
      </c>
      <c r="W66" s="2">
        <f>W11*'Output-Calculation-sheet'!W55/10^9</f>
        <v>5.0948348216119467E-2</v>
      </c>
      <c r="X66" s="2">
        <f>X11*'Output-Calculation-sheet'!X55/10^9</f>
        <v>0.10080342419991986</v>
      </c>
      <c r="Y66" s="2">
        <f>Y11*'Output-Calculation-sheet'!Y55/10^9</f>
        <v>5.2831967296666692E-2</v>
      </c>
      <c r="AA66" s="2">
        <f t="shared" si="4"/>
        <v>21.997402258737377</v>
      </c>
    </row>
    <row r="67" spans="1:27" x14ac:dyDescent="0.25">
      <c r="A67" s="2">
        <v>2035</v>
      </c>
      <c r="B67" s="2">
        <f>B12*'Output-Calculation-sheet'!B56/10^9</f>
        <v>6.666847915005798</v>
      </c>
      <c r="C67" s="2">
        <f>C12*'Output-Calculation-sheet'!C56/10^9</f>
        <v>4.0656077273440294</v>
      </c>
      <c r="D67" s="2">
        <f>D12*'Output-Calculation-sheet'!D56/10^9</f>
        <v>1.3578595144902061</v>
      </c>
      <c r="E67" s="2">
        <f>E12*'Output-Calculation-sheet'!E56/10^9</f>
        <v>1.8348569350720862</v>
      </c>
      <c r="F67" s="2">
        <f>F12*'Output-Calculation-sheet'!F56/10^9</f>
        <v>0.72818240407434154</v>
      </c>
      <c r="G67" s="2">
        <f>G12*'Output-Calculation-sheet'!G56/10^9</f>
        <v>0.52813336509529774</v>
      </c>
      <c r="H67" s="2">
        <f>H12*'Output-Calculation-sheet'!H56/10^9</f>
        <v>1.1503604822590425</v>
      </c>
      <c r="I67" s="2">
        <f>I12*'Output-Calculation-sheet'!I56/10^9</f>
        <v>0.4990060878706119</v>
      </c>
      <c r="J67" s="2">
        <f>J12*'Output-Calculation-sheet'!J56/10^9</f>
        <v>0.4124443304924037</v>
      </c>
      <c r="K67" s="2">
        <f>K12*'Output-Calculation-sheet'!K56/10^9</f>
        <v>0.55695280773398759</v>
      </c>
      <c r="L67" s="2">
        <f>L12*'Output-Calculation-sheet'!L56/10^9</f>
        <v>0.48031884311242451</v>
      </c>
      <c r="M67" s="2">
        <f>M12*'Output-Calculation-sheet'!M56/10^9</f>
        <v>0.80612699709074065</v>
      </c>
      <c r="N67" s="2">
        <f>N12*'Output-Calculation-sheet'!N56/10^9</f>
        <v>0.7057041580140202</v>
      </c>
      <c r="O67" s="2">
        <f>O12*'Output-Calculation-sheet'!O56/10^9</f>
        <v>0.71412705369721519</v>
      </c>
      <c r="P67" s="2">
        <f>P12*'Output-Calculation-sheet'!P56/10^9</f>
        <v>0.56275554475003819</v>
      </c>
      <c r="Q67" s="2">
        <f>Q12*'Output-Calculation-sheet'!Q56/10^9</f>
        <v>0.52709370489808349</v>
      </c>
      <c r="R67" s="2">
        <f>R12*'Output-Calculation-sheet'!R56/10^9</f>
        <v>0.41426692797574871</v>
      </c>
      <c r="S67" s="2">
        <f>S12*'Output-Calculation-sheet'!S56/10^9</f>
        <v>0.40161891259547577</v>
      </c>
      <c r="T67" s="2">
        <f>T12*'Output-Calculation-sheet'!T56/10^9</f>
        <v>0.12734832549230901</v>
      </c>
      <c r="U67" s="2">
        <f>U12*'Output-Calculation-sheet'!U56/10^9</f>
        <v>0.13736188488562931</v>
      </c>
      <c r="V67" s="2">
        <f>V12*'Output-Calculation-sheet'!V56/10^9</f>
        <v>8.6678266512086599E-2</v>
      </c>
      <c r="W67" s="2">
        <f>W12*'Output-Calculation-sheet'!W56/10^9</f>
        <v>6.7390815307208377E-2</v>
      </c>
      <c r="X67" s="2">
        <f>X12*'Output-Calculation-sheet'!X56/10^9</f>
        <v>0.10110986320416135</v>
      </c>
      <c r="Y67" s="2">
        <f>Y12*'Output-Calculation-sheet'!Y56/10^9</f>
        <v>6.3275316735991682E-2</v>
      </c>
      <c r="AA67" s="2">
        <f t="shared" si="4"/>
        <v>22.995428183708942</v>
      </c>
    </row>
    <row r="68" spans="1:27" x14ac:dyDescent="0.25">
      <c r="B68" s="2">
        <f>SUM(B60:B67)</f>
        <v>41.278133903083315</v>
      </c>
      <c r="C68" s="2">
        <f t="shared" ref="C68:Y68" si="5">SUM(C60:C67)</f>
        <v>24.902514598783739</v>
      </c>
      <c r="D68" s="2">
        <f t="shared" si="5"/>
        <v>10.396619476749299</v>
      </c>
      <c r="E68" s="2">
        <f t="shared" si="5"/>
        <v>10.740704527784759</v>
      </c>
      <c r="F68" s="2">
        <f t="shared" si="5"/>
        <v>5.1203466919822906</v>
      </c>
      <c r="G68" s="2">
        <f t="shared" si="5"/>
        <v>3.7591341579157111</v>
      </c>
      <c r="H68" s="2">
        <f t="shared" si="5"/>
        <v>7.0147415963076334</v>
      </c>
      <c r="I68" s="2">
        <f t="shared" si="5"/>
        <v>3.5332844149480676</v>
      </c>
      <c r="J68" s="2">
        <f t="shared" si="5"/>
        <v>3.4243045039177851</v>
      </c>
      <c r="K68" s="2">
        <f t="shared" si="5"/>
        <v>3.7737907381742253</v>
      </c>
      <c r="L68" s="2">
        <f t="shared" si="5"/>
        <v>3.1376570960045673</v>
      </c>
      <c r="M68" s="2">
        <f t="shared" si="5"/>
        <v>4.8678025526071265</v>
      </c>
      <c r="N68" s="2">
        <f t="shared" si="5"/>
        <v>4.4767138178212829</v>
      </c>
      <c r="O68" s="2">
        <f t="shared" si="5"/>
        <v>4.6033987100555764</v>
      </c>
      <c r="P68" s="2">
        <f t="shared" si="5"/>
        <v>3.2716210978982132</v>
      </c>
      <c r="Q68" s="2">
        <f t="shared" si="5"/>
        <v>3.3045503994205152</v>
      </c>
      <c r="R68" s="2">
        <f t="shared" si="5"/>
        <v>2.6653357166091451</v>
      </c>
      <c r="S68" s="2">
        <f t="shared" si="5"/>
        <v>2.5055094257898527</v>
      </c>
      <c r="T68" s="2">
        <f t="shared" si="5"/>
        <v>0.87019297134429774</v>
      </c>
      <c r="U68" s="2">
        <f t="shared" si="5"/>
        <v>0.86122873411932555</v>
      </c>
      <c r="V68" s="2">
        <f t="shared" si="5"/>
        <v>0.61738332095241244</v>
      </c>
      <c r="W68" s="2">
        <f t="shared" si="5"/>
        <v>0.45915287642494029</v>
      </c>
      <c r="X68" s="2">
        <f t="shared" si="5"/>
        <v>0.60003496986013494</v>
      </c>
      <c r="Y68" s="2">
        <f t="shared" si="5"/>
        <v>0.34746292523326766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1427.0510369695955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953.51307094398669</v>
      </c>
      <c r="N74" s="2">
        <f>N8/'Output-Calculation-sheet'!N7*'Output-Calculation-sheet'!N61</f>
        <v>39.961868755489569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117.40398828625817</v>
      </c>
      <c r="Y74" s="2">
        <f>Y8/'Output-Calculation-sheet'!Y7*'Output-Calculation-sheet'!Y61</f>
        <v>0</v>
      </c>
      <c r="AA74" s="2">
        <f t="shared" si="6"/>
        <v>2.5379299649553295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177.08119698936406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2364.1039269535295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1605.9810460809094</v>
      </c>
      <c r="N75" s="2">
        <f>N9/'Output-Calculation-sheet'!N8*'Output-Calculation-sheet'!N62</f>
        <v>621.13150004100714</v>
      </c>
      <c r="O75" s="2">
        <f>O9/'Output-Calculation-sheet'!O8*'Output-Calculation-sheet'!O62</f>
        <v>0</v>
      </c>
      <c r="P75" s="2">
        <f>P9/'Output-Calculation-sheet'!P8*'Output-Calculation-sheet'!P62</f>
        <v>41.583774829181316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205.45579803121134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194.14794440206478</v>
      </c>
      <c r="Y75" s="2">
        <f>Y9/'Output-Calculation-sheet'!Y8*'Output-Calculation-sheet'!Y62</f>
        <v>0</v>
      </c>
      <c r="AA75" s="2">
        <f t="shared" si="6"/>
        <v>5.2094851873272674</v>
      </c>
    </row>
    <row r="76" spans="1:27" x14ac:dyDescent="0.25">
      <c r="A76" s="2">
        <v>2033</v>
      </c>
      <c r="B76" s="2">
        <f>B10/'Output-Calculation-sheet'!B9*'Output-Calculation-sheet'!B63</f>
        <v>5018.0213083511335</v>
      </c>
      <c r="C76" s="2">
        <f>C10/'Output-Calculation-sheet'!C9*'Output-Calculation-sheet'!C63</f>
        <v>1259.0707110009605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3275.8600859433959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2230.4476463883084</v>
      </c>
      <c r="N76" s="2">
        <f>N10/'Output-Calculation-sheet'!N9*'Output-Calculation-sheet'!N63</f>
        <v>1276.8851610709025</v>
      </c>
      <c r="O76" s="2">
        <f>O10/'Output-Calculation-sheet'!O9*'Output-Calculation-sheet'!O63</f>
        <v>0</v>
      </c>
      <c r="P76" s="2">
        <f>P10/'Output-Calculation-sheet'!P9*'Output-Calculation-sheet'!P63</f>
        <v>437.65142499285867</v>
      </c>
      <c r="Q76" s="2">
        <f>Q10/'Output-Calculation-sheet'!Q9*'Output-Calculation-sheet'!Q63</f>
        <v>194.86775207943134</v>
      </c>
      <c r="R76" s="2">
        <f>R10/'Output-Calculation-sheet'!R9*'Output-Calculation-sheet'!R63</f>
        <v>335.9152706338902</v>
      </c>
      <c r="S76" s="2">
        <f>S10/'Output-Calculation-sheet'!S9*'Output-Calculation-sheet'!S63</f>
        <v>566.04236359675929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117.97711043377394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262.68574823403401</v>
      </c>
      <c r="Y76" s="2">
        <f>Y10/'Output-Calculation-sheet'!Y9*'Output-Calculation-sheet'!Y63</f>
        <v>4.9834854414466232</v>
      </c>
      <c r="AA76" s="2">
        <f t="shared" si="6"/>
        <v>15.098359734393993</v>
      </c>
    </row>
    <row r="77" spans="1:27" x14ac:dyDescent="0.25">
      <c r="A77" s="2">
        <v>2034</v>
      </c>
      <c r="B77" s="2">
        <f>B11/'Output-Calculation-sheet'!B10*'Output-Calculation-sheet'!B64</f>
        <v>9618.1772061221855</v>
      </c>
      <c r="C77" s="2">
        <f>C11/'Output-Calculation-sheet'!C10*'Output-Calculation-sheet'!C64</f>
        <v>2619.795221038491</v>
      </c>
      <c r="D77" s="2">
        <f>D11/'Output-Calculation-sheet'!D10*'Output-Calculation-sheet'!D64</f>
        <v>1432.9094042184201</v>
      </c>
      <c r="E77" s="2">
        <f>E11/'Output-Calculation-sheet'!E10*'Output-Calculation-sheet'!E64</f>
        <v>1777.3517775101755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764.78916083364834</v>
      </c>
      <c r="H77" s="2">
        <f>H11/'Output-Calculation-sheet'!H10*'Output-Calculation-sheet'!H64</f>
        <v>3768.3956203082298</v>
      </c>
      <c r="I77" s="2">
        <f>I11/'Output-Calculation-sheet'!I10*'Output-Calculation-sheet'!I64</f>
        <v>446.29510969976866</v>
      </c>
      <c r="J77" s="2">
        <f>J11/'Output-Calculation-sheet'!J10*'Output-Calculation-sheet'!J64</f>
        <v>306.33727395912871</v>
      </c>
      <c r="K77" s="2">
        <f>K11/'Output-Calculation-sheet'!K10*'Output-Calculation-sheet'!K64</f>
        <v>691.81085782159914</v>
      </c>
      <c r="L77" s="2">
        <f>L11/'Output-Calculation-sheet'!L10*'Output-Calculation-sheet'!L64</f>
        <v>169.62153991273161</v>
      </c>
      <c r="M77" s="2">
        <f>M11/'Output-Calculation-sheet'!M10*'Output-Calculation-sheet'!M64</f>
        <v>2582.3152737431283</v>
      </c>
      <c r="N77" s="2">
        <f>N11/'Output-Calculation-sheet'!N10*'Output-Calculation-sheet'!N64</f>
        <v>1748.3371238428042</v>
      </c>
      <c r="O77" s="2">
        <f>O11/'Output-Calculation-sheet'!O10*'Output-Calculation-sheet'!O64</f>
        <v>0</v>
      </c>
      <c r="P77" s="2">
        <f>P11/'Output-Calculation-sheet'!P10*'Output-Calculation-sheet'!P64</f>
        <v>850.03752886407665</v>
      </c>
      <c r="Q77" s="2">
        <f>Q11/'Output-Calculation-sheet'!Q10*'Output-Calculation-sheet'!Q64</f>
        <v>346.8676542073818</v>
      </c>
      <c r="R77" s="2">
        <f>R11/'Output-Calculation-sheet'!R10*'Output-Calculation-sheet'!R64</f>
        <v>721.98564610497283</v>
      </c>
      <c r="S77" s="2">
        <f>S11/'Output-Calculation-sheet'!S10*'Output-Calculation-sheet'!S64</f>
        <v>805.93082949246639</v>
      </c>
      <c r="T77" s="2">
        <f>T11/'Output-Calculation-sheet'!T10*'Output-Calculation-sheet'!T64</f>
        <v>200.03511044004969</v>
      </c>
      <c r="U77" s="2">
        <f>U11/'Output-Calculation-sheet'!U10*'Output-Calculation-sheet'!U64</f>
        <v>213.61154765734824</v>
      </c>
      <c r="V77" s="2">
        <f>V11/'Output-Calculation-sheet'!V10*'Output-Calculation-sheet'!V64</f>
        <v>103.481387018891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264.38056444884273</v>
      </c>
      <c r="Y77" s="2">
        <f>Y11/'Output-Calculation-sheet'!Y10*'Output-Calculation-sheet'!Y64</f>
        <v>66.073089622339083</v>
      </c>
      <c r="AA77" s="2">
        <f t="shared" si="6"/>
        <v>29.631832102284083</v>
      </c>
    </row>
    <row r="78" spans="1:27" x14ac:dyDescent="0.25">
      <c r="A78" s="2">
        <v>2035</v>
      </c>
      <c r="B78" s="2">
        <f>B12/'Output-Calculation-sheet'!B11*'Output-Calculation-sheet'!B65</f>
        <v>10784.463266920129</v>
      </c>
      <c r="C78" s="2">
        <f>C12/'Output-Calculation-sheet'!C11*'Output-Calculation-sheet'!C65</f>
        <v>4639.3588317413323</v>
      </c>
      <c r="D78" s="2">
        <f>D12/'Output-Calculation-sheet'!D11*'Output-Calculation-sheet'!D65</f>
        <v>1178.9579157565374</v>
      </c>
      <c r="E78" s="2">
        <f>E12/'Output-Calculation-sheet'!E11*'Output-Calculation-sheet'!E65</f>
        <v>2179.4923428671282</v>
      </c>
      <c r="F78" s="2">
        <f>F12/'Output-Calculation-sheet'!F11*'Output-Calculation-sheet'!F65</f>
        <v>474.05583231335135</v>
      </c>
      <c r="G78" s="2">
        <f>G12/'Output-Calculation-sheet'!G11*'Output-Calculation-sheet'!G65</f>
        <v>901.14705096869625</v>
      </c>
      <c r="H78" s="2">
        <f>H12/'Output-Calculation-sheet'!H11*'Output-Calculation-sheet'!H65</f>
        <v>3482.8146272254371</v>
      </c>
      <c r="I78" s="2">
        <f>I12/'Output-Calculation-sheet'!I11*'Output-Calculation-sheet'!I65</f>
        <v>592.77627570337438</v>
      </c>
      <c r="J78" s="2">
        <f>J12/'Output-Calculation-sheet'!J11*'Output-Calculation-sheet'!J65</f>
        <v>241.70186614328469</v>
      </c>
      <c r="K78" s="2">
        <f>K12/'Output-Calculation-sheet'!K11*'Output-Calculation-sheet'!K65</f>
        <v>734.33772483609971</v>
      </c>
      <c r="L78" s="2">
        <f>L12/'Output-Calculation-sheet'!L11*'Output-Calculation-sheet'!L65</f>
        <v>235.06604107400278</v>
      </c>
      <c r="M78" s="2">
        <f>M12/'Output-Calculation-sheet'!M11*'Output-Calculation-sheet'!M65</f>
        <v>2425.6952455037181</v>
      </c>
      <c r="N78" s="2">
        <f>N12/'Output-Calculation-sheet'!N11*'Output-Calculation-sheet'!N65</f>
        <v>1681.0515612516608</v>
      </c>
      <c r="O78" s="2">
        <f>O12/'Output-Calculation-sheet'!O11*'Output-Calculation-sheet'!O65</f>
        <v>0</v>
      </c>
      <c r="P78" s="2">
        <f>P12/'Output-Calculation-sheet'!P11*'Output-Calculation-sheet'!P65</f>
        <v>968.47171704445793</v>
      </c>
      <c r="Q78" s="2">
        <f>Q12/'Output-Calculation-sheet'!Q11*'Output-Calculation-sheet'!Q65</f>
        <v>391.56037337445787</v>
      </c>
      <c r="R78" s="2">
        <f>R12/'Output-Calculation-sheet'!R11*'Output-Calculation-sheet'!R65</f>
        <v>762.439600320674</v>
      </c>
      <c r="S78" s="2">
        <f>S12/'Output-Calculation-sheet'!S11*'Output-Calculation-sheet'!S65</f>
        <v>794.02676665136039</v>
      </c>
      <c r="T78" s="2">
        <f>T12/'Output-Calculation-sheet'!T11*'Output-Calculation-sheet'!T65</f>
        <v>281.67174341933418</v>
      </c>
      <c r="U78" s="2">
        <f>U12/'Output-Calculation-sheet'!U11*'Output-Calculation-sheet'!U65</f>
        <v>203.40223109507454</v>
      </c>
      <c r="V78" s="2">
        <f>V12/'Output-Calculation-sheet'!V11*'Output-Calculation-sheet'!V65</f>
        <v>102.45659207805514</v>
      </c>
      <c r="W78" s="2">
        <f>W12/'Output-Calculation-sheet'!W11*'Output-Calculation-sheet'!W65</f>
        <v>111.5100573290283</v>
      </c>
      <c r="X78" s="2">
        <f>X12/'Output-Calculation-sheet'!X11*'Output-Calculation-sheet'!X65</f>
        <v>245.07896315956751</v>
      </c>
      <c r="Y78" s="2">
        <f>Y12/'Output-Calculation-sheet'!Y11*'Output-Calculation-sheet'!Y65</f>
        <v>94.104190881825289</v>
      </c>
      <c r="AA78" s="2">
        <f t="shared" si="6"/>
        <v>33.50564081765858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1134.7979234396512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220.46070787519125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1.3552586313148425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1657.5463056726744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304.12684123075599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1.9616731469034303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2132.4467122991232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378.25293908858259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2.5106996513877058</v>
      </c>
    </row>
    <row r="88" spans="1:27" x14ac:dyDescent="0.25">
      <c r="A88" s="2">
        <v>2034</v>
      </c>
      <c r="B88" s="2">
        <f>B11/'Output-Calculation-sheet'!B10*'Output-Calculation-sheet'!B73</f>
        <v>187.88071037294523</v>
      </c>
      <c r="C88" s="2">
        <f>C11/'Output-Calculation-sheet'!C10*'Output-Calculation-sheet'!C73</f>
        <v>2318.4817640832148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27.450034384028712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19.917982610701223</v>
      </c>
      <c r="M88" s="2">
        <f>M11/'Output-Calculation-sheet'!M10*'Output-Calculation-sheet'!M73</f>
        <v>18.888309795875568</v>
      </c>
      <c r="N88" s="2">
        <f>N11/'Output-Calculation-sheet'!N10*'Output-Calculation-sheet'!N73</f>
        <v>18.5641776619041</v>
      </c>
      <c r="O88" s="2">
        <f>O11/'Output-Calculation-sheet'!O10*'Output-Calculation-sheet'!O73</f>
        <v>433.09484069285691</v>
      </c>
      <c r="P88" s="2">
        <f>P11/'Output-Calculation-sheet'!P10*'Output-Calculation-sheet'!P73</f>
        <v>0</v>
      </c>
      <c r="Q88" s="2">
        <f>Q11/'Output-Calculation-sheet'!Q10*'Output-Calculation-sheet'!Q73</f>
        <v>32.530024777959468</v>
      </c>
      <c r="R88" s="2">
        <f>R11/'Output-Calculation-sheet'!R10*'Output-Calculation-sheet'!R73</f>
        <v>0</v>
      </c>
      <c r="S88" s="2">
        <f>S11/'Output-Calculation-sheet'!S10*'Output-Calculation-sheet'!S73</f>
        <v>10.64159861478948</v>
      </c>
      <c r="T88" s="2">
        <f>T11/'Output-Calculation-sheet'!T10*'Output-Calculation-sheet'!T73</f>
        <v>0</v>
      </c>
      <c r="U88" s="2">
        <f>U11/'Output-Calculation-sheet'!U10*'Output-Calculation-sheet'!U73</f>
        <v>5.1895327646214531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10.36047074044575</v>
      </c>
      <c r="Y88" s="2">
        <f>Y11/'Output-Calculation-sheet'!Y10*'Output-Calculation-sheet'!Y73</f>
        <v>0</v>
      </c>
      <c r="AA88" s="2">
        <f t="shared" si="7"/>
        <v>3.0829994464993424</v>
      </c>
    </row>
    <row r="89" spans="1:27" x14ac:dyDescent="0.25">
      <c r="A89" s="2">
        <v>2035</v>
      </c>
      <c r="B89" s="2">
        <f>B12/'Output-Calculation-sheet'!B11*'Output-Calculation-sheet'!B74</f>
        <v>515.81381312692929</v>
      </c>
      <c r="C89" s="2">
        <f>C12/'Output-Calculation-sheet'!C11*'Output-Calculation-sheet'!C74</f>
        <v>2203.350661501398</v>
      </c>
      <c r="D89" s="2">
        <f>D12/'Output-Calculation-sheet'!D11*'Output-Calculation-sheet'!D74</f>
        <v>144.57758486192131</v>
      </c>
      <c r="E89" s="2">
        <f>E12/'Output-Calculation-sheet'!E11*'Output-Calculation-sheet'!E74</f>
        <v>172.35092465406819</v>
      </c>
      <c r="F89" s="2">
        <f>F12/'Output-Calculation-sheet'!F11*'Output-Calculation-sheet'!F74</f>
        <v>72.264608584352345</v>
      </c>
      <c r="G89" s="2">
        <f>G12/'Output-Calculation-sheet'!G11*'Output-Calculation-sheet'!G74</f>
        <v>51.863086010111729</v>
      </c>
      <c r="H89" s="2">
        <f>H12/'Output-Calculation-sheet'!H11*'Output-Calculation-sheet'!H74</f>
        <v>150.72443443486236</v>
      </c>
      <c r="I89" s="2">
        <f>I12/'Output-Calculation-sheet'!I11*'Output-Calculation-sheet'!I74</f>
        <v>46.647749415964931</v>
      </c>
      <c r="J89" s="2">
        <f>J12/'Output-Calculation-sheet'!J11*'Output-Calculation-sheet'!J74</f>
        <v>46.16595666952243</v>
      </c>
      <c r="K89" s="2">
        <f>K12/'Output-Calculation-sheet'!K11*'Output-Calculation-sheet'!K74</f>
        <v>45.847394945127036</v>
      </c>
      <c r="L89" s="2">
        <f>L12/'Output-Calculation-sheet'!L11*'Output-Calculation-sheet'!L74</f>
        <v>36.455651531327973</v>
      </c>
      <c r="M89" s="2">
        <f>M12/'Output-Calculation-sheet'!M11*'Output-Calculation-sheet'!M74</f>
        <v>103.71316012158617</v>
      </c>
      <c r="N89" s="2">
        <f>N12/'Output-Calculation-sheet'!N11*'Output-Calculation-sheet'!N74</f>
        <v>67.955596210274308</v>
      </c>
      <c r="O89" s="2">
        <f>O12/'Output-Calculation-sheet'!O11*'Output-Calculation-sheet'!O74</f>
        <v>443.90552720665352</v>
      </c>
      <c r="P89" s="2">
        <f>P12/'Output-Calculation-sheet'!P11*'Output-Calculation-sheet'!P74</f>
        <v>47.084044778280806</v>
      </c>
      <c r="Q89" s="2">
        <f>Q12/'Output-Calculation-sheet'!Q11*'Output-Calculation-sheet'!Q74</f>
        <v>59.539325381959685</v>
      </c>
      <c r="R89" s="2">
        <f>R12/'Output-Calculation-sheet'!R11*'Output-Calculation-sheet'!R74</f>
        <v>29.522171467539458</v>
      </c>
      <c r="S89" s="2">
        <f>S12/'Output-Calculation-sheet'!S11*'Output-Calculation-sheet'!S74</f>
        <v>38.954387943746674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14.247512042896719</v>
      </c>
      <c r="V89" s="2">
        <f>V12/'Output-Calculation-sheet'!V11*'Output-Calculation-sheet'!V74</f>
        <v>7.3240826419368883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20.858913788408213</v>
      </c>
      <c r="Y89" s="2">
        <f>Y12/'Output-Calculation-sheet'!Y11*'Output-Calculation-sheet'!Y74</f>
        <v>5.4897923703544169</v>
      </c>
      <c r="AA89" s="2">
        <f t="shared" si="7"/>
        <v>4.3332885151663962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11516938534.347284</v>
      </c>
      <c r="C96" s="2">
        <f>C8/'Output-Calculation-sheet'!C7*'Output-Calculation-sheet'!C79</f>
        <v>3896232648.7672896</v>
      </c>
      <c r="D96" s="2">
        <f>D8/'Output-Calculation-sheet'!D7*'Output-Calculation-sheet'!D79</f>
        <v>4067410288.3974147</v>
      </c>
      <c r="E96" s="2">
        <f>E8/'Output-Calculation-sheet'!E7*'Output-Calculation-sheet'!E79</f>
        <v>7231509173.4378891</v>
      </c>
      <c r="F96" s="2">
        <f>F8/'Output-Calculation-sheet'!F7*'Output-Calculation-sheet'!F79</f>
        <v>2993050386.1640315</v>
      </c>
      <c r="G96" s="2">
        <f>G8/'Output-Calculation-sheet'!G7*'Output-Calculation-sheet'!G79</f>
        <v>2331340139.8330264</v>
      </c>
      <c r="H96" s="2">
        <f>H8/'Output-Calculation-sheet'!H7*'Output-Calculation-sheet'!H79</f>
        <v>1995495496.5596471</v>
      </c>
      <c r="I96" s="2">
        <f>I8/'Output-Calculation-sheet'!I7*'Output-Calculation-sheet'!I79</f>
        <v>1624026258.5759199</v>
      </c>
      <c r="J96" s="2">
        <f>J8/'Output-Calculation-sheet'!J7*'Output-Calculation-sheet'!J79</f>
        <v>1098208503.7688136</v>
      </c>
      <c r="K96" s="2">
        <f>K8/'Output-Calculation-sheet'!K7*'Output-Calculation-sheet'!K79</f>
        <v>1571208767.8743763</v>
      </c>
      <c r="L96" s="2">
        <f>L8/'Output-Calculation-sheet'!L7*'Output-Calculation-sheet'!L79</f>
        <v>1108643539.4577227</v>
      </c>
      <c r="M96" s="2">
        <f>M8/'Output-Calculation-sheet'!M7*'Output-Calculation-sheet'!M79</f>
        <v>1489598794.9957213</v>
      </c>
      <c r="N96" s="2">
        <f>N8/'Output-Calculation-sheet'!N7*'Output-Calculation-sheet'!N79</f>
        <v>1108380138.3817377</v>
      </c>
      <c r="O96" s="2">
        <f>O8/'Output-Calculation-sheet'!O7*'Output-Calculation-sheet'!O79</f>
        <v>560324122.23170543</v>
      </c>
      <c r="P96" s="2">
        <f>P8/'Output-Calculation-sheet'!P7*'Output-Calculation-sheet'!P79</f>
        <v>1874166669.4973598</v>
      </c>
      <c r="Q96" s="2">
        <f>Q8/'Output-Calculation-sheet'!Q7*'Output-Calculation-sheet'!Q79</f>
        <v>873441830.78358078</v>
      </c>
      <c r="R96" s="2">
        <f>R8/'Output-Calculation-sheet'!R7*'Output-Calculation-sheet'!R79</f>
        <v>1089722513.2642126</v>
      </c>
      <c r="S96" s="2">
        <f>S8/'Output-Calculation-sheet'!S7*'Output-Calculation-sheet'!S79</f>
        <v>634963658.60766017</v>
      </c>
      <c r="T96" s="2">
        <f>T8/'Output-Calculation-sheet'!T7*'Output-Calculation-sheet'!T79</f>
        <v>484966058.21279258</v>
      </c>
      <c r="U96" s="2">
        <f>U8/'Output-Calculation-sheet'!U7*'Output-Calculation-sheet'!U79</f>
        <v>304643213.71187967</v>
      </c>
      <c r="V96" s="2">
        <f>V8/'Output-Calculation-sheet'!V7*'Output-Calculation-sheet'!V79</f>
        <v>158064785.64190263</v>
      </c>
      <c r="W96" s="2">
        <f>W8/'Output-Calculation-sheet'!W7*'Output-Calculation-sheet'!W79</f>
        <v>467068626.81957757</v>
      </c>
      <c r="X96" s="2">
        <f>X8/'Output-Calculation-sheet'!X7*'Output-Calculation-sheet'!X79</f>
        <v>164161404.51539698</v>
      </c>
      <c r="Y96" s="2">
        <f>Y8/'Output-Calculation-sheet'!Y7*'Output-Calculation-sheet'!Y79</f>
        <v>256746173.02606896</v>
      </c>
      <c r="AA96" s="2">
        <f t="shared" si="8"/>
        <v>48.900311726872999</v>
      </c>
    </row>
    <row r="97" spans="1:27" x14ac:dyDescent="0.25">
      <c r="A97" s="2">
        <v>2032</v>
      </c>
      <c r="B97" s="2">
        <f>B9/'Output-Calculation-sheet'!B8*'Output-Calculation-sheet'!B80</f>
        <v>15178239645.059916</v>
      </c>
      <c r="C97" s="2">
        <f>C9/'Output-Calculation-sheet'!C8*'Output-Calculation-sheet'!C80</f>
        <v>5169790237.1919079</v>
      </c>
      <c r="D97" s="2">
        <f>D9/'Output-Calculation-sheet'!D8*'Output-Calculation-sheet'!D80</f>
        <v>5151192728.2931604</v>
      </c>
      <c r="E97" s="2">
        <f>E9/'Output-Calculation-sheet'!E8*'Output-Calculation-sheet'!E80</f>
        <v>9420760872.9814339</v>
      </c>
      <c r="F97" s="2">
        <f>F9/'Output-Calculation-sheet'!F8*'Output-Calculation-sheet'!F80</f>
        <v>3891717079.6970062</v>
      </c>
      <c r="G97" s="2">
        <f>G9/'Output-Calculation-sheet'!G8*'Output-Calculation-sheet'!G80</f>
        <v>2945816017.0952783</v>
      </c>
      <c r="H97" s="2">
        <f>H9/'Output-Calculation-sheet'!H8*'Output-Calculation-sheet'!H80</f>
        <v>2591723092.5254626</v>
      </c>
      <c r="I97" s="2">
        <f>I9/'Output-Calculation-sheet'!I8*'Output-Calculation-sheet'!I80</f>
        <v>2131932761.7627535</v>
      </c>
      <c r="J97" s="2">
        <f>J9/'Output-Calculation-sheet'!J8*'Output-Calculation-sheet'!J80</f>
        <v>1401549012.5565677</v>
      </c>
      <c r="K97" s="2">
        <f>K9/'Output-Calculation-sheet'!K8*'Output-Calculation-sheet'!K80</f>
        <v>2020628199.2817295</v>
      </c>
      <c r="L97" s="2">
        <f>L9/'Output-Calculation-sheet'!L8*'Output-Calculation-sheet'!L80</f>
        <v>1470682608.6871054</v>
      </c>
      <c r="M97" s="2">
        <f>M9/'Output-Calculation-sheet'!M8*'Output-Calculation-sheet'!M80</f>
        <v>1940401168.6996665</v>
      </c>
      <c r="N97" s="2">
        <f>N9/'Output-Calculation-sheet'!N8*'Output-Calculation-sheet'!N80</f>
        <v>1417722488.3591845</v>
      </c>
      <c r="O97" s="2">
        <f>O9/'Output-Calculation-sheet'!O8*'Output-Calculation-sheet'!O80</f>
        <v>733436762.76563859</v>
      </c>
      <c r="P97" s="2">
        <f>P9/'Output-Calculation-sheet'!P8*'Output-Calculation-sheet'!P80</f>
        <v>2399667172.3785434</v>
      </c>
      <c r="Q97" s="2">
        <f>Q9/'Output-Calculation-sheet'!Q8*'Output-Calculation-sheet'!Q80</f>
        <v>1122472282.6834061</v>
      </c>
      <c r="R97" s="2">
        <f>R9/'Output-Calculation-sheet'!R8*'Output-Calculation-sheet'!R80</f>
        <v>1418240868.4846249</v>
      </c>
      <c r="S97" s="2">
        <f>S9/'Output-Calculation-sheet'!S8*'Output-Calculation-sheet'!S80</f>
        <v>823142896.16771913</v>
      </c>
      <c r="T97" s="2">
        <f>T9/'Output-Calculation-sheet'!T8*'Output-Calculation-sheet'!T80</f>
        <v>619855549.98579013</v>
      </c>
      <c r="U97" s="2">
        <f>U9/'Output-Calculation-sheet'!U8*'Output-Calculation-sheet'!U80</f>
        <v>396269207.59878898</v>
      </c>
      <c r="V97" s="2">
        <f>V9/'Output-Calculation-sheet'!V8*'Output-Calculation-sheet'!V80</f>
        <v>207779956.61394203</v>
      </c>
      <c r="W97" s="2">
        <f>W9/'Output-Calculation-sheet'!W8*'Output-Calculation-sheet'!W80</f>
        <v>601734769.09121311</v>
      </c>
      <c r="X97" s="2">
        <f>X9/'Output-Calculation-sheet'!X8*'Output-Calculation-sheet'!X80</f>
        <v>216080850.43434849</v>
      </c>
      <c r="Y97" s="2">
        <f>Y9/'Output-Calculation-sheet'!Y8*'Output-Calculation-sheet'!Y80</f>
        <v>330752379.27262157</v>
      </c>
      <c r="AA97" s="2">
        <f t="shared" si="8"/>
        <v>63.601588607667786</v>
      </c>
    </row>
    <row r="98" spans="1:27" x14ac:dyDescent="0.25">
      <c r="A98" s="2">
        <v>2033</v>
      </c>
      <c r="B98" s="2">
        <f>B10/'Output-Calculation-sheet'!B9*'Output-Calculation-sheet'!B81</f>
        <v>18330223535.204174</v>
      </c>
      <c r="C98" s="2">
        <f>C10/'Output-Calculation-sheet'!C9*'Output-Calculation-sheet'!C81</f>
        <v>6284509599.8973885</v>
      </c>
      <c r="D98" s="2">
        <f>D10/'Output-Calculation-sheet'!D9*'Output-Calculation-sheet'!D81</f>
        <v>5980939031.5763607</v>
      </c>
      <c r="E98" s="2">
        <f>E10/'Output-Calculation-sheet'!E9*'Output-Calculation-sheet'!E81</f>
        <v>11250522637.441013</v>
      </c>
      <c r="F98" s="2">
        <f>F10/'Output-Calculation-sheet'!F9*'Output-Calculation-sheet'!F81</f>
        <v>4639987472.993927</v>
      </c>
      <c r="G98" s="2">
        <f>G10/'Output-Calculation-sheet'!G9*'Output-Calculation-sheet'!G81</f>
        <v>3406820768.2731538</v>
      </c>
      <c r="H98" s="2">
        <f>H10/'Output-Calculation-sheet'!H9*'Output-Calculation-sheet'!H81</f>
        <v>3086607450.619071</v>
      </c>
      <c r="I98" s="2">
        <f>I10/'Output-Calculation-sheet'!I9*'Output-Calculation-sheet'!I81</f>
        <v>2565882038.3478117</v>
      </c>
      <c r="J98" s="2">
        <f>J10/'Output-Calculation-sheet'!J9*'Output-Calculation-sheet'!J81</f>
        <v>1640689647.5034509</v>
      </c>
      <c r="K98" s="2">
        <f>K10/'Output-Calculation-sheet'!K9*'Output-Calculation-sheet'!K81</f>
        <v>2383166777.5781155</v>
      </c>
      <c r="L98" s="2">
        <f>L10/'Output-Calculation-sheet'!L9*'Output-Calculation-sheet'!L81</f>
        <v>1787410756.4730759</v>
      </c>
      <c r="M98" s="2">
        <f>M10/'Output-Calculation-sheet'!M9*'Output-Calculation-sheet'!M81</f>
        <v>2317912600.3629823</v>
      </c>
      <c r="N98" s="2">
        <f>N10/'Output-Calculation-sheet'!N9*'Output-Calculation-sheet'!N81</f>
        <v>1662921435.2007477</v>
      </c>
      <c r="O98" s="2">
        <f>O10/'Output-Calculation-sheet'!O9*'Output-Calculation-sheet'!O81</f>
        <v>880610847.61257637</v>
      </c>
      <c r="P98" s="2">
        <f>P10/'Output-Calculation-sheet'!P9*'Output-Calculation-sheet'!P81</f>
        <v>2814176763.7976871</v>
      </c>
      <c r="Q98" s="2">
        <f>Q10/'Output-Calculation-sheet'!Q9*'Output-Calculation-sheet'!Q81</f>
        <v>1323154573.2992671</v>
      </c>
      <c r="R98" s="2">
        <f>R10/'Output-Calculation-sheet'!R9*'Output-Calculation-sheet'!R81</f>
        <v>1692514876.9484847</v>
      </c>
      <c r="S98" s="2">
        <f>S10/'Output-Calculation-sheet'!S9*'Output-Calculation-sheet'!S81</f>
        <v>978574932.18758214</v>
      </c>
      <c r="T98" s="2">
        <f>T10/'Output-Calculation-sheet'!T9*'Output-Calculation-sheet'!T81</f>
        <v>726142857.86181092</v>
      </c>
      <c r="U98" s="2">
        <f>U10/'Output-Calculation-sheet'!U9*'Output-Calculation-sheet'!U81</f>
        <v>472475638.34377629</v>
      </c>
      <c r="V98" s="2">
        <f>V10/'Output-Calculation-sheet'!V9*'Output-Calculation-sheet'!V81</f>
        <v>250231054.44622886</v>
      </c>
      <c r="W98" s="2">
        <f>W10/'Output-Calculation-sheet'!W9*'Output-Calculation-sheet'!W81</f>
        <v>709491369.14615178</v>
      </c>
      <c r="X98" s="2">
        <f>X10/'Output-Calculation-sheet'!X9*'Output-Calculation-sheet'!X81</f>
        <v>260716612.31160447</v>
      </c>
      <c r="Y98" s="2">
        <f>Y10/'Output-Calculation-sheet'!Y9*'Output-Calculation-sheet'!Y81</f>
        <v>390122292.68626904</v>
      </c>
      <c r="AA98" s="2">
        <f t="shared" si="8"/>
        <v>75.835805570112711</v>
      </c>
    </row>
    <row r="99" spans="1:27" x14ac:dyDescent="0.25">
      <c r="A99" s="2">
        <v>2034</v>
      </c>
      <c r="B99" s="2">
        <f>B11/'Output-Calculation-sheet'!B10*'Output-Calculation-sheet'!B82</f>
        <v>20561138877.226082</v>
      </c>
      <c r="C99" s="2">
        <f>C11/'Output-Calculation-sheet'!C10*'Output-Calculation-sheet'!C82</f>
        <v>7094436490.5589218</v>
      </c>
      <c r="D99" s="2">
        <f>D11/'Output-Calculation-sheet'!D10*'Output-Calculation-sheet'!D82</f>
        <v>6453941654.2299891</v>
      </c>
      <c r="E99" s="2">
        <f>E11/'Output-Calculation-sheet'!E10*'Output-Calculation-sheet'!E82</f>
        <v>12484584190.804195</v>
      </c>
      <c r="F99" s="2">
        <f>F11/'Output-Calculation-sheet'!F10*'Output-Calculation-sheet'!F82</f>
        <v>5141760505.4818592</v>
      </c>
      <c r="G99" s="2">
        <f>G11/'Output-Calculation-sheet'!G10*'Output-Calculation-sheet'!G82</f>
        <v>3655425830.203445</v>
      </c>
      <c r="H99" s="2">
        <f>H11/'Output-Calculation-sheet'!H10*'Output-Calculation-sheet'!H82</f>
        <v>3416659114.721601</v>
      </c>
      <c r="I99" s="2">
        <f>I11/'Output-Calculation-sheet'!I10*'Output-Calculation-sheet'!I82</f>
        <v>2869755799.1012688</v>
      </c>
      <c r="J99" s="2">
        <f>J11/'Output-Calculation-sheet'!J10*'Output-Calculation-sheet'!J82</f>
        <v>1785847936.2168427</v>
      </c>
      <c r="K99" s="2">
        <f>K11/'Output-Calculation-sheet'!K10*'Output-Calculation-sheet'!K82</f>
        <v>2612929881.8431287</v>
      </c>
      <c r="L99" s="2">
        <f>L11/'Output-Calculation-sheet'!L10*'Output-Calculation-sheet'!L82</f>
        <v>2017372950.7422626</v>
      </c>
      <c r="M99" s="2">
        <f>M11/'Output-Calculation-sheet'!M10*'Output-Calculation-sheet'!M82</f>
        <v>2573705982.1381683</v>
      </c>
      <c r="N99" s="2">
        <f>N11/'Output-Calculation-sheet'!N10*'Output-Calculation-sheet'!N82</f>
        <v>1813178269.2220795</v>
      </c>
      <c r="O99" s="2">
        <f>O11/'Output-Calculation-sheet'!O10*'Output-Calculation-sheet'!O82</f>
        <v>983014935.80737674</v>
      </c>
      <c r="P99" s="2">
        <f>P11/'Output-Calculation-sheet'!P10*'Output-Calculation-sheet'!P82</f>
        <v>3064280248.0794735</v>
      </c>
      <c r="Q99" s="2">
        <f>Q11/'Output-Calculation-sheet'!Q10*'Output-Calculation-sheet'!Q82</f>
        <v>1450209974.4177866</v>
      </c>
      <c r="R99" s="2">
        <f>R11/'Output-Calculation-sheet'!R10*'Output-Calculation-sheet'!R82</f>
        <v>1877290105.2343874</v>
      </c>
      <c r="S99" s="2">
        <f>S11/'Output-Calculation-sheet'!S10*'Output-Calculation-sheet'!S82</f>
        <v>1081371583.0785084</v>
      </c>
      <c r="T99" s="2">
        <f>T11/'Output-Calculation-sheet'!T10*'Output-Calculation-sheet'!T82</f>
        <v>790356200.02882123</v>
      </c>
      <c r="U99" s="2">
        <f>U11/'Output-Calculation-sheet'!U10*'Output-Calculation-sheet'!U82</f>
        <v>523389808.0226202</v>
      </c>
      <c r="V99" s="2">
        <f>V11/'Output-Calculation-sheet'!V10*'Output-Calculation-sheet'!V82</f>
        <v>279850005.03095025</v>
      </c>
      <c r="W99" s="2">
        <f>W11/'Output-Calculation-sheet'!W10*'Output-Calculation-sheet'!W82</f>
        <v>776033862.00686336</v>
      </c>
      <c r="X99" s="2">
        <f>X11/'Output-Calculation-sheet'!X10*'Output-Calculation-sheet'!X82</f>
        <v>292275717.49866331</v>
      </c>
      <c r="Y99" s="2">
        <f>Y11/'Output-Calculation-sheet'!Y10*'Output-Calculation-sheet'!Y82</f>
        <v>427064753.5124054</v>
      </c>
      <c r="AA99" s="2">
        <f t="shared" si="8"/>
        <v>84.025874675207675</v>
      </c>
    </row>
    <row r="100" spans="1:27" x14ac:dyDescent="0.25">
      <c r="A100" s="2">
        <v>2035</v>
      </c>
      <c r="B100" s="2">
        <f>B12/'Output-Calculation-sheet'!B11*'Output-Calculation-sheet'!B83</f>
        <v>21499050955.95533</v>
      </c>
      <c r="C100" s="2">
        <f>C12/'Output-Calculation-sheet'!C11*'Output-Calculation-sheet'!C83</f>
        <v>7464121296.3617706</v>
      </c>
      <c r="D100" s="2">
        <f>D12/'Output-Calculation-sheet'!D11*'Output-Calculation-sheet'!D83</f>
        <v>6496560522.9259157</v>
      </c>
      <c r="E100" s="2">
        <f>E12/'Output-Calculation-sheet'!E11*'Output-Calculation-sheet'!E83</f>
        <v>12919982580.058668</v>
      </c>
      <c r="F100" s="2">
        <f>F12/'Output-Calculation-sheet'!F11*'Output-Calculation-sheet'!F83</f>
        <v>5314765676.4839191</v>
      </c>
      <c r="G100" s="2">
        <f>G12/'Output-Calculation-sheet'!G11*'Output-Calculation-sheet'!G83</f>
        <v>3652278904.6153836</v>
      </c>
      <c r="H100" s="2">
        <f>H12/'Output-Calculation-sheet'!H11*'Output-Calculation-sheet'!H83</f>
        <v>3527828479.5694089</v>
      </c>
      <c r="I100" s="2">
        <f>I12/'Output-Calculation-sheet'!I11*'Output-Calculation-sheet'!I83</f>
        <v>2993292784.5236378</v>
      </c>
      <c r="J100" s="2">
        <f>J12/'Output-Calculation-sheet'!J11*'Output-Calculation-sheet'!J83</f>
        <v>1814064260.2442322</v>
      </c>
      <c r="K100" s="2">
        <f>K12/'Output-Calculation-sheet'!K11*'Output-Calculation-sheet'!K83</f>
        <v>2672889371.0824227</v>
      </c>
      <c r="L100" s="2">
        <f>L12/'Output-Calculation-sheet'!L11*'Output-Calculation-sheet'!L83</f>
        <v>2122121754.0727093</v>
      </c>
      <c r="M100" s="2">
        <f>M12/'Output-Calculation-sheet'!M11*'Output-Calculation-sheet'!M83</f>
        <v>2665855167.6339316</v>
      </c>
      <c r="N100" s="2">
        <f>N12/'Output-Calculation-sheet'!N11*'Output-Calculation-sheet'!N83</f>
        <v>1844561220.1831069</v>
      </c>
      <c r="O100" s="2">
        <f>O12/'Output-Calculation-sheet'!O11*'Output-Calculation-sheet'!O83</f>
        <v>1023848598.3664869</v>
      </c>
      <c r="P100" s="2">
        <f>P12/'Output-Calculation-sheet'!P11*'Output-Calculation-sheet'!P83</f>
        <v>3109500943.2248321</v>
      </c>
      <c r="Q100" s="2">
        <f>Q12/'Output-Calculation-sheet'!Q11*'Output-Calculation-sheet'!Q83</f>
        <v>1483246204.3367083</v>
      </c>
      <c r="R100" s="2">
        <f>R12/'Output-Calculation-sheet'!R11*'Output-Calculation-sheet'!R83</f>
        <v>1942228234.24366</v>
      </c>
      <c r="S100" s="2">
        <f>S12/'Output-Calculation-sheet'!S11*'Output-Calculation-sheet'!S83</f>
        <v>1114739216.4519253</v>
      </c>
      <c r="T100" s="2">
        <f>T12/'Output-Calculation-sheet'!T11*'Output-Calculation-sheet'!T83</f>
        <v>802226005.95280445</v>
      </c>
      <c r="U100" s="2">
        <f>U12/'Output-Calculation-sheet'!U11*'Output-Calculation-sheet'!U83</f>
        <v>540609496.62394547</v>
      </c>
      <c r="V100" s="2">
        <f>V12/'Output-Calculation-sheet'!V11*'Output-Calculation-sheet'!V83</f>
        <v>291690233.63265407</v>
      </c>
      <c r="W100" s="2">
        <f>W12/'Output-Calculation-sheet'!W11*'Output-Calculation-sheet'!W83</f>
        <v>790260503.19957364</v>
      </c>
      <c r="X100" s="2">
        <f>X12/'Output-Calculation-sheet'!X11*'Output-Calculation-sheet'!X83</f>
        <v>305522216.89721596</v>
      </c>
      <c r="Y100" s="2">
        <f>Y12/'Output-Calculation-sheet'!Y11*'Output-Calculation-sheet'!Y83</f>
        <v>435480707.66762829</v>
      </c>
      <c r="AA100" s="2">
        <f t="shared" si="8"/>
        <v>86.826725334307895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1064.2096895669563</v>
      </c>
      <c r="C19" s="2">
        <f>C8/'Output-Calculation-sheet'!C7*'Output-Calculation-sheet'!C25</f>
        <v>9918.1844569640944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4775.0620878216496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3317.6281367881579</v>
      </c>
      <c r="N19" s="2">
        <f>N8/'Output-Calculation-sheet'!N7*'Output-Calculation-sheet'!N25</f>
        <v>1135.8530562842179</v>
      </c>
      <c r="O19" s="2">
        <f>O8/'Output-Calculation-sheet'!O7*'Output-Calculation-sheet'!O25</f>
        <v>1759.4090344298263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405.29030125867206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371.23114858572666</v>
      </c>
      <c r="Y19" s="2">
        <f>Y8/'Output-Calculation-sheet'!Y7*'Output-Calculation-sheet'!Y25</f>
        <v>0</v>
      </c>
      <c r="AA19" s="2">
        <f t="shared" si="0"/>
        <v>22.746867911699301</v>
      </c>
    </row>
    <row r="20" spans="1:27" x14ac:dyDescent="0.25">
      <c r="A20" s="2">
        <v>2032</v>
      </c>
      <c r="B20" s="2">
        <f>B9/'Output-Calculation-sheet'!B8*'Output-Calculation-sheet'!B26</f>
        <v>6033.7681656120976</v>
      </c>
      <c r="C20" s="2">
        <f>C9/'Output-Calculation-sheet'!C8*'Output-Calculation-sheet'!C26</f>
        <v>12263.944307769423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6564.3171940417396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4565.38727298701</v>
      </c>
      <c r="N20" s="2">
        <f>N9/'Output-Calculation-sheet'!N8*'Output-Calculation-sheet'!N26</f>
        <v>2058.4443532083801</v>
      </c>
      <c r="O20" s="2">
        <f>O9/'Output-Calculation-sheet'!O8*'Output-Calculation-sheet'!O26</f>
        <v>2135.4677261715428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744.27277608053896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510.25957229366463</v>
      </c>
      <c r="Y20" s="2">
        <f>Y9/'Output-Calculation-sheet'!Y8*'Output-Calculation-sheet'!Y26</f>
        <v>0</v>
      </c>
      <c r="AA20" s="2">
        <f t="shared" si="0"/>
        <v>34.875861368164394</v>
      </c>
    </row>
    <row r="21" spans="1:27" x14ac:dyDescent="0.25">
      <c r="A21" s="2">
        <v>2033</v>
      </c>
      <c r="B21" s="2">
        <f>B10/'Output-Calculation-sheet'!B9*'Output-Calculation-sheet'!B27</f>
        <v>14674.27810334778</v>
      </c>
      <c r="C21" s="2">
        <f>C10/'Output-Calculation-sheet'!C9*'Output-Calculation-sheet'!C27</f>
        <v>14959.619652050606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8483.5741450651276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5892.4340969553386</v>
      </c>
      <c r="N21" s="2">
        <f>N10/'Output-Calculation-sheet'!N9*'Output-Calculation-sheet'!N27</f>
        <v>3206.3088888612715</v>
      </c>
      <c r="O21" s="2">
        <f>O10/'Output-Calculation-sheet'!O9*'Output-Calculation-sheet'!O27</f>
        <v>2487.3467680595281</v>
      </c>
      <c r="P21" s="2">
        <f>P10/'Output-Calculation-sheet'!P9*'Output-Calculation-sheet'!P27</f>
        <v>0</v>
      </c>
      <c r="Q21" s="2">
        <f>Q10/'Output-Calculation-sheet'!Q9*'Output-Calculation-sheet'!Q27</f>
        <v>218.9655304551126</v>
      </c>
      <c r="R21" s="2">
        <f>R10/'Output-Calculation-sheet'!R9*'Output-Calculation-sheet'!R27</f>
        <v>0</v>
      </c>
      <c r="S21" s="2">
        <f>S10/'Output-Calculation-sheet'!S9*'Output-Calculation-sheet'!S27</f>
        <v>1403.0626831396476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692.85809822013994</v>
      </c>
      <c r="Y21" s="2">
        <f>Y10/'Output-Calculation-sheet'!Y9*'Output-Calculation-sheet'!Y27</f>
        <v>0</v>
      </c>
      <c r="AA21" s="2">
        <f t="shared" si="0"/>
        <v>52.018447966154547</v>
      </c>
    </row>
    <row r="22" spans="1:27" x14ac:dyDescent="0.25">
      <c r="A22" s="2">
        <v>2034</v>
      </c>
      <c r="B22" s="2">
        <f>B11/'Output-Calculation-sheet'!B10*'Output-Calculation-sheet'!B28</f>
        <v>25704.48004975872</v>
      </c>
      <c r="C22" s="2">
        <f>C11/'Output-Calculation-sheet'!C10*'Output-Calculation-sheet'!C28</f>
        <v>18353.52772978953</v>
      </c>
      <c r="D22" s="2">
        <f>D11/'Output-Calculation-sheet'!D10*'Output-Calculation-sheet'!D28</f>
        <v>0</v>
      </c>
      <c r="E22" s="2">
        <f>E11/'Output-Calculation-sheet'!E10*'Output-Calculation-sheet'!E28</f>
        <v>1486.7048348482601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10805.909431494469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738.25296010204977</v>
      </c>
      <c r="M22" s="2">
        <f>M11/'Output-Calculation-sheet'!M10*'Output-Calculation-sheet'!M28</f>
        <v>7507.321036436625</v>
      </c>
      <c r="N22" s="2">
        <f>N11/'Output-Calculation-sheet'!N10*'Output-Calculation-sheet'!N28</f>
        <v>4358.6753684114947</v>
      </c>
      <c r="O22" s="2">
        <f>O11/'Output-Calculation-sheet'!O10*'Output-Calculation-sheet'!O28</f>
        <v>2824.8061824994215</v>
      </c>
      <c r="P22" s="2">
        <f>P11/'Output-Calculation-sheet'!P10*'Output-Calculation-sheet'!P28</f>
        <v>0</v>
      </c>
      <c r="Q22" s="2">
        <f>Q11/'Output-Calculation-sheet'!Q10*'Output-Calculation-sheet'!Q28</f>
        <v>651.64267272483801</v>
      </c>
      <c r="R22" s="2">
        <f>R11/'Output-Calculation-sheet'!R10*'Output-Calculation-sheet'!R28</f>
        <v>0</v>
      </c>
      <c r="S22" s="2">
        <f>S11/'Output-Calculation-sheet'!S10*'Output-Calculation-sheet'!S28</f>
        <v>2035.8802442523745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781.84313720763987</v>
      </c>
      <c r="Y22" s="2">
        <f>Y11/'Output-Calculation-sheet'!Y10*'Output-Calculation-sheet'!Y28</f>
        <v>82.317199003348904</v>
      </c>
      <c r="AA22" s="2">
        <f t="shared" si="0"/>
        <v>75.331360846528753</v>
      </c>
    </row>
    <row r="23" spans="1:27" x14ac:dyDescent="0.25">
      <c r="A23" s="2">
        <v>2035</v>
      </c>
      <c r="B23" s="2">
        <f>B12/'Output-Calculation-sheet'!B11*'Output-Calculation-sheet'!B29</f>
        <v>31505.941049039884</v>
      </c>
      <c r="C23" s="2">
        <f>C12/'Output-Calculation-sheet'!C11*'Output-Calculation-sheet'!C29</f>
        <v>22980.898414335843</v>
      </c>
      <c r="D23" s="2">
        <f>D12/'Output-Calculation-sheet'!D11*'Output-Calculation-sheet'!D29</f>
        <v>0</v>
      </c>
      <c r="E23" s="2">
        <f>E12/'Output-Calculation-sheet'!E11*'Output-Calculation-sheet'!E29</f>
        <v>4007.8447568655197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11535.808288972104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948.62643271221793</v>
      </c>
      <c r="M23" s="2">
        <f>M12/'Output-Calculation-sheet'!M11*'Output-Calculation-sheet'!M29</f>
        <v>8133.4868767846383</v>
      </c>
      <c r="N23" s="2">
        <f>N12/'Output-Calculation-sheet'!N11*'Output-Calculation-sheet'!N29</f>
        <v>4792.540424400152</v>
      </c>
      <c r="O23" s="2">
        <f>O12/'Output-Calculation-sheet'!O11*'Output-Calculation-sheet'!O29</f>
        <v>3170.6858686226337</v>
      </c>
      <c r="P23" s="2">
        <f>P12/'Output-Calculation-sheet'!P11*'Output-Calculation-sheet'!P29</f>
        <v>676.02349877991753</v>
      </c>
      <c r="Q23" s="2">
        <f>Q12/'Output-Calculation-sheet'!Q11*'Output-Calculation-sheet'!Q29</f>
        <v>1023.9448098446283</v>
      </c>
      <c r="R23" s="2">
        <f>R12/'Output-Calculation-sheet'!R11*'Output-Calculation-sheet'!R29</f>
        <v>0</v>
      </c>
      <c r="S23" s="2">
        <f>S12/'Output-Calculation-sheet'!S11*'Output-Calculation-sheet'!S29</f>
        <v>2343.7046997760744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844.93398026070565</v>
      </c>
      <c r="Y23" s="2">
        <f>Y12/'Output-Calculation-sheet'!Y11*'Output-Calculation-sheet'!Y29</f>
        <v>214.55187881389043</v>
      </c>
      <c r="AA23" s="2">
        <f t="shared" si="0"/>
        <v>92.178990979208209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18548.829184511887</v>
      </c>
      <c r="C30" s="2">
        <f>C8/'Output-Calculation-sheet'!C7*'Output-Calculation-sheet'!C16</f>
        <v>0</v>
      </c>
      <c r="D30" s="2">
        <f>D8/'Output-Calculation-sheet'!D7*'Output-Calculation-sheet'!D16</f>
        <v>3123.3776255481876</v>
      </c>
      <c r="E30" s="2">
        <f>E8/'Output-Calculation-sheet'!E7*'Output-Calculation-sheet'!E16</f>
        <v>3360.577860944325</v>
      </c>
      <c r="F30" s="2">
        <f>F8/'Output-Calculation-sheet'!F7*'Output-Calculation-sheet'!F16</f>
        <v>1695.4294133959036</v>
      </c>
      <c r="G30" s="2">
        <f>G8/'Output-Calculation-sheet'!G7*'Output-Calculation-sheet'!G16</f>
        <v>1110.3048968839785</v>
      </c>
      <c r="H30" s="2">
        <f>H8/'Output-Calculation-sheet'!H7*'Output-Calculation-sheet'!H16</f>
        <v>0</v>
      </c>
      <c r="I30" s="2">
        <f>I8/'Output-Calculation-sheet'!I7*'Output-Calculation-sheet'!I16</f>
        <v>1082.3810270567153</v>
      </c>
      <c r="J30" s="2">
        <f>J8/'Output-Calculation-sheet'!J7*'Output-Calculation-sheet'!J16</f>
        <v>963.52723842808598</v>
      </c>
      <c r="K30" s="2">
        <f>K8/'Output-Calculation-sheet'!K7*'Output-Calculation-sheet'!K16</f>
        <v>1286.4930317131648</v>
      </c>
      <c r="L30" s="2">
        <f>L8/'Output-Calculation-sheet'!L7*'Output-Calculation-sheet'!L16</f>
        <v>1086.6683561312077</v>
      </c>
      <c r="M30" s="2">
        <f>M8/'Output-Calculation-sheet'!M7*'Output-Calculation-sheet'!M16</f>
        <v>0</v>
      </c>
      <c r="N30" s="2">
        <f>N8/'Output-Calculation-sheet'!N7*'Output-Calculation-sheet'!N16</f>
        <v>1543.5208494096833</v>
      </c>
      <c r="O30" s="2">
        <f>O8/'Output-Calculation-sheet'!O7*'Output-Calculation-sheet'!O16</f>
        <v>0</v>
      </c>
      <c r="P30" s="2">
        <f>P8/'Output-Calculation-sheet'!P7*'Output-Calculation-sheet'!P16</f>
        <v>1387.2658924857997</v>
      </c>
      <c r="Q30" s="2">
        <f>Q8/'Output-Calculation-sheet'!Q7*'Output-Calculation-sheet'!Q16</f>
        <v>1525.5343235297855</v>
      </c>
      <c r="R30" s="2">
        <f>R8/'Output-Calculation-sheet'!R7*'Output-Calculation-sheet'!R16</f>
        <v>967.95815883783678</v>
      </c>
      <c r="S30" s="2">
        <f>S8/'Output-Calculation-sheet'!S7*'Output-Calculation-sheet'!S16</f>
        <v>973.48207088337927</v>
      </c>
      <c r="T30" s="2">
        <f>T8/'Output-Calculation-sheet'!T7*'Output-Calculation-sheet'!T16</f>
        <v>290.56712561956158</v>
      </c>
      <c r="U30" s="2">
        <f>U8/'Output-Calculation-sheet'!U7*'Output-Calculation-sheet'!U16</f>
        <v>290.04774425063232</v>
      </c>
      <c r="V30" s="2">
        <f>V8/'Output-Calculation-sheet'!V7*'Output-Calculation-sheet'!V16</f>
        <v>225.73864598584035</v>
      </c>
      <c r="W30" s="2">
        <f>W8/'Output-Calculation-sheet'!W7*'Output-Calculation-sheet'!W16</f>
        <v>136.92186884800742</v>
      </c>
      <c r="X30" s="2">
        <f>X8/'Output-Calculation-sheet'!X7*'Output-Calculation-sheet'!X16</f>
        <v>0</v>
      </c>
      <c r="Y30" s="2">
        <f>Y8/'Output-Calculation-sheet'!Y7*'Output-Calculation-sheet'!Y16</f>
        <v>115.88879569581397</v>
      </c>
      <c r="AA30" s="2">
        <f t="shared" si="1"/>
        <v>39.714514110159797</v>
      </c>
    </row>
    <row r="31" spans="1:27" x14ac:dyDescent="0.25">
      <c r="A31" s="2">
        <v>2032</v>
      </c>
      <c r="B31" s="2">
        <f>B9/'Output-Calculation-sheet'!B8*'Output-Calculation-sheet'!B17</f>
        <v>25548.967894730162</v>
      </c>
      <c r="C31" s="2">
        <f>C9/'Output-Calculation-sheet'!C8*'Output-Calculation-sheet'!C17</f>
        <v>0</v>
      </c>
      <c r="D31" s="2">
        <f>D9/'Output-Calculation-sheet'!D8*'Output-Calculation-sheet'!D17</f>
        <v>4284.897364684698</v>
      </c>
      <c r="E31" s="2">
        <f>E9/'Output-Calculation-sheet'!E8*'Output-Calculation-sheet'!E17</f>
        <v>5036.311414316845</v>
      </c>
      <c r="F31" s="2">
        <f>F9/'Output-Calculation-sheet'!F8*'Output-Calculation-sheet'!F17</f>
        <v>2325.9813088308842</v>
      </c>
      <c r="G31" s="2">
        <f>G9/'Output-Calculation-sheet'!G8*'Output-Calculation-sheet'!G17</f>
        <v>1523.2273842757681</v>
      </c>
      <c r="H31" s="2">
        <f>H9/'Output-Calculation-sheet'!H8*'Output-Calculation-sheet'!H17</f>
        <v>0</v>
      </c>
      <c r="I31" s="2">
        <f>I9/'Output-Calculation-sheet'!I8*'Output-Calculation-sheet'!I17</f>
        <v>1484.9255801245711</v>
      </c>
      <c r="J31" s="2">
        <f>J9/'Output-Calculation-sheet'!J8*'Output-Calculation-sheet'!J17</f>
        <v>1321.8699853663802</v>
      </c>
      <c r="K31" s="2">
        <f>K9/'Output-Calculation-sheet'!K8*'Output-Calculation-sheet'!K17</f>
        <v>1881.9918835822411</v>
      </c>
      <c r="L31" s="2">
        <f>L9/'Output-Calculation-sheet'!L8*'Output-Calculation-sheet'!L17</f>
        <v>1605.0082308874034</v>
      </c>
      <c r="M31" s="2">
        <f>M9/'Output-Calculation-sheet'!M8*'Output-Calculation-sheet'!M17</f>
        <v>0</v>
      </c>
      <c r="N31" s="2">
        <f>N9/'Output-Calculation-sheet'!N8*'Output-Calculation-sheet'!N17</f>
        <v>1744.8081007264834</v>
      </c>
      <c r="O31" s="2">
        <f>O9/'Output-Calculation-sheet'!O8*'Output-Calculation-sheet'!O17</f>
        <v>0</v>
      </c>
      <c r="P31" s="2">
        <f>P9/'Output-Calculation-sheet'!P8*'Output-Calculation-sheet'!P17</f>
        <v>2165.5776665273311</v>
      </c>
      <c r="Q31" s="2">
        <f>Q9/'Output-Calculation-sheet'!Q8*'Output-Calculation-sheet'!Q17</f>
        <v>2308.7047591881656</v>
      </c>
      <c r="R31" s="2">
        <f>R9/'Output-Calculation-sheet'!R8*'Output-Calculation-sheet'!R17</f>
        <v>1510.4766670928138</v>
      </c>
      <c r="S31" s="2">
        <f>S9/'Output-Calculation-sheet'!S8*'Output-Calculation-sheet'!S17</f>
        <v>1304.3214577055323</v>
      </c>
      <c r="T31" s="2">
        <f>T9/'Output-Calculation-sheet'!T8*'Output-Calculation-sheet'!T17</f>
        <v>409.87887926849606</v>
      </c>
      <c r="U31" s="2">
        <f>U9/'Output-Calculation-sheet'!U8*'Output-Calculation-sheet'!U17</f>
        <v>471.08150230631941</v>
      </c>
      <c r="V31" s="2">
        <f>V9/'Output-Calculation-sheet'!V8*'Output-Calculation-sheet'!V17</f>
        <v>337.41332779571241</v>
      </c>
      <c r="W31" s="2">
        <f>W9/'Output-Calculation-sheet'!W8*'Output-Calculation-sheet'!W17</f>
        <v>187.84596060752366</v>
      </c>
      <c r="X31" s="2">
        <f>X9/'Output-Calculation-sheet'!X8*'Output-Calculation-sheet'!X17</f>
        <v>0</v>
      </c>
      <c r="Y31" s="2">
        <f>Y9/'Output-Calculation-sheet'!Y8*'Output-Calculation-sheet'!Y17</f>
        <v>181.49989525423035</v>
      </c>
      <c r="AA31" s="2">
        <f t="shared" si="1"/>
        <v>55.634789263271564</v>
      </c>
    </row>
    <row r="32" spans="1:27" x14ac:dyDescent="0.25">
      <c r="A32" s="2">
        <v>2033</v>
      </c>
      <c r="B32" s="2">
        <f>B10/'Output-Calculation-sheet'!B9*'Output-Calculation-sheet'!B18</f>
        <v>29741.800158931379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1824.3711461723969</v>
      </c>
      <c r="O32" s="2">
        <f>O10/'Output-Calculation-sheet'!O9*'Output-Calculation-sheet'!O18</f>
        <v>0</v>
      </c>
      <c r="P32" s="2">
        <f>P10/'Output-Calculation-sheet'!P9*'Output-Calculation-sheet'!P18</f>
        <v>2919.4393272686916</v>
      </c>
      <c r="Q32" s="2">
        <f>Q10/'Output-Calculation-sheet'!Q9*'Output-Calculation-sheet'!Q18</f>
        <v>3181.1699807379036</v>
      </c>
      <c r="R32" s="2">
        <f>R10/'Output-Calculation-sheet'!R9*'Output-Calculation-sheet'!R18</f>
        <v>2096.0247413660295</v>
      </c>
      <c r="S32" s="2">
        <f>S10/'Output-Calculation-sheet'!S9*'Output-Calculation-sheet'!S18</f>
        <v>1371.8175171111025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677.65838798409311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71.508748172856912</v>
      </c>
    </row>
    <row r="33" spans="1:27" x14ac:dyDescent="0.25">
      <c r="A33" s="2">
        <v>2034</v>
      </c>
      <c r="B33" s="2">
        <f>B11/'Output-Calculation-sheet'!B10*'Output-Calculation-sheet'!B19</f>
        <v>29456.553175207766</v>
      </c>
      <c r="C33" s="2">
        <f>C11/'Output-Calculation-sheet'!C10*'Output-Calculation-sheet'!C19</f>
        <v>0</v>
      </c>
      <c r="D33" s="2">
        <f>D11/'Output-Calculation-sheet'!D10*'Output-Calculation-sheet'!D19</f>
        <v>8917.3275948166774</v>
      </c>
      <c r="E33" s="2">
        <f>E11/'Output-Calculation-sheet'!E10*'Output-Calculation-sheet'!E19</f>
        <v>11057.971973117908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3030.0155590962672</v>
      </c>
      <c r="H33" s="2">
        <f>H11/'Output-Calculation-sheet'!H10*'Output-Calculation-sheet'!H19</f>
        <v>0</v>
      </c>
      <c r="I33" s="2">
        <f>I11/'Output-Calculation-sheet'!I10*'Output-Calculation-sheet'!I19</f>
        <v>3311.1545580246739</v>
      </c>
      <c r="J33" s="2">
        <f>J11/'Output-Calculation-sheet'!J10*'Output-Calculation-sheet'!J19</f>
        <v>2801.3259005225909</v>
      </c>
      <c r="K33" s="2">
        <f>K11/'Output-Calculation-sheet'!K10*'Output-Calculation-sheet'!K19</f>
        <v>3878.7024491436041</v>
      </c>
      <c r="L33" s="2">
        <f>L11/'Output-Calculation-sheet'!L10*'Output-Calculation-sheet'!L19</f>
        <v>3063.9305224545192</v>
      </c>
      <c r="M33" s="2">
        <f>M11/'Output-Calculation-sheet'!M10*'Output-Calculation-sheet'!M19</f>
        <v>0</v>
      </c>
      <c r="N33" s="2">
        <f>N11/'Output-Calculation-sheet'!N10*'Output-Calculation-sheet'!N19</f>
        <v>1832.5658701453208</v>
      </c>
      <c r="O33" s="2">
        <f>O11/'Output-Calculation-sheet'!O10*'Output-Calculation-sheet'!O19</f>
        <v>0</v>
      </c>
      <c r="P33" s="2">
        <f>P11/'Output-Calculation-sheet'!P10*'Output-Calculation-sheet'!P19</f>
        <v>3925.0935399460941</v>
      </c>
      <c r="Q33" s="2">
        <f>Q11/'Output-Calculation-sheet'!Q10*'Output-Calculation-sheet'!Q19</f>
        <v>3241.4325185259422</v>
      </c>
      <c r="R33" s="2">
        <f>R11/'Output-Calculation-sheet'!R10*'Output-Calculation-sheet'!R19</f>
        <v>2802.581582874408</v>
      </c>
      <c r="S33" s="2">
        <f>S11/'Output-Calculation-sheet'!S10*'Output-Calculation-sheet'!S19</f>
        <v>1376.6851608454729</v>
      </c>
      <c r="T33" s="2">
        <f>T11/'Output-Calculation-sheet'!T10*'Output-Calculation-sheet'!T19</f>
        <v>822.29908298895987</v>
      </c>
      <c r="U33" s="2">
        <f>U11/'Output-Calculation-sheet'!U10*'Output-Calculation-sheet'!U19</f>
        <v>885.17711206250181</v>
      </c>
      <c r="V33" s="2">
        <f>V11/'Output-Calculation-sheet'!V10*'Output-Calculation-sheet'!V19</f>
        <v>644.99733229044477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0</v>
      </c>
      <c r="Y33" s="2">
        <f>Y11/'Output-Calculation-sheet'!Y10*'Output-Calculation-sheet'!Y19</f>
        <v>361.92673664099993</v>
      </c>
      <c r="AA33" s="2">
        <f t="shared" si="1"/>
        <v>86.871424365852135</v>
      </c>
    </row>
    <row r="34" spans="1:27" x14ac:dyDescent="0.25">
      <c r="A34" s="2">
        <v>2035</v>
      </c>
      <c r="B34" s="2">
        <f>B12/'Output-Calculation-sheet'!B11*'Output-Calculation-sheet'!B20</f>
        <v>29913.768833870148</v>
      </c>
      <c r="C34" s="2">
        <f>C12/'Output-Calculation-sheet'!C11*'Output-Calculation-sheet'!C20</f>
        <v>0</v>
      </c>
      <c r="D34" s="2">
        <f>D12/'Output-Calculation-sheet'!D11*'Output-Calculation-sheet'!D20</f>
        <v>9177.3272672016992</v>
      </c>
      <c r="E34" s="2">
        <f>E12/'Output-Calculation-sheet'!E11*'Output-Calculation-sheet'!E20</f>
        <v>10817.773954373357</v>
      </c>
      <c r="F34" s="2">
        <f>F12/'Output-Calculation-sheet'!F11*'Output-Calculation-sheet'!F20</f>
        <v>6190.3417323481553</v>
      </c>
      <c r="G34" s="2">
        <f>G12/'Output-Calculation-sheet'!G11*'Output-Calculation-sheet'!G20</f>
        <v>3315.1341932678752</v>
      </c>
      <c r="H34" s="2">
        <f>H12/'Output-Calculation-sheet'!H11*'Output-Calculation-sheet'!H20</f>
        <v>0</v>
      </c>
      <c r="I34" s="2">
        <f>I12/'Output-Calculation-sheet'!I11*'Output-Calculation-sheet'!I20</f>
        <v>3687.2999989826558</v>
      </c>
      <c r="J34" s="2">
        <f>J12/'Output-Calculation-sheet'!J11*'Output-Calculation-sheet'!J20</f>
        <v>2874.2338024724668</v>
      </c>
      <c r="K34" s="2">
        <f>K12/'Output-Calculation-sheet'!K11*'Output-Calculation-sheet'!K20</f>
        <v>4248.4815631846204</v>
      </c>
      <c r="L34" s="2">
        <f>L12/'Output-Calculation-sheet'!L11*'Output-Calculation-sheet'!L20</f>
        <v>3246.8914526246467</v>
      </c>
      <c r="M34" s="2">
        <f>M12/'Output-Calculation-sheet'!M11*'Output-Calculation-sheet'!M20</f>
        <v>0</v>
      </c>
      <c r="N34" s="2">
        <f>N12/'Output-Calculation-sheet'!N11*'Output-Calculation-sheet'!N20</f>
        <v>1884.1814603862522</v>
      </c>
      <c r="O34" s="2">
        <f>O12/'Output-Calculation-sheet'!O11*'Output-Calculation-sheet'!O20</f>
        <v>0</v>
      </c>
      <c r="P34" s="2">
        <f>P12/'Output-Calculation-sheet'!P11*'Output-Calculation-sheet'!P20</f>
        <v>4039.3612195763494</v>
      </c>
      <c r="Q34" s="2">
        <f>Q12/'Output-Calculation-sheet'!Q11*'Output-Calculation-sheet'!Q20</f>
        <v>3327.6667973208732</v>
      </c>
      <c r="R34" s="2">
        <f>R12/'Output-Calculation-sheet'!R11*'Output-Calculation-sheet'!R20</f>
        <v>3123.6686920688703</v>
      </c>
      <c r="S34" s="2">
        <f>S12/'Output-Calculation-sheet'!S11*'Output-Calculation-sheet'!S20</f>
        <v>1332.8064339590449</v>
      </c>
      <c r="T34" s="2">
        <f>T12/'Output-Calculation-sheet'!T11*'Output-Calculation-sheet'!T20</f>
        <v>998.59579502799829</v>
      </c>
      <c r="U34" s="2">
        <f>U12/'Output-Calculation-sheet'!U11*'Output-Calculation-sheet'!U20</f>
        <v>931.58212722276812</v>
      </c>
      <c r="V34" s="2">
        <f>V12/'Output-Calculation-sheet'!V11*'Output-Calculation-sheet'!V20</f>
        <v>691.80996012078867</v>
      </c>
      <c r="W34" s="2">
        <f>W12/'Output-Calculation-sheet'!W11*'Output-Calculation-sheet'!W20</f>
        <v>550.92682722045788</v>
      </c>
      <c r="X34" s="2">
        <f>X12/'Output-Calculation-sheet'!X11*'Output-Calculation-sheet'!X20</f>
        <v>21.59552350427829</v>
      </c>
      <c r="Y34" s="2">
        <f>Y12/'Output-Calculation-sheet'!Y11*'Output-Calculation-sheet'!Y20</f>
        <v>322.36518918469693</v>
      </c>
      <c r="AA34" s="2">
        <f t="shared" si="1"/>
        <v>90.695812823918018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2.0221644455662386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0.39285215094358139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2.4150165965098198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3.3290490937829533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0.64674467991805784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3.9757937737010112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4.7680062636017873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0.69472151009110694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5.4627277736928939</v>
      </c>
    </row>
    <row r="44" spans="1:27" x14ac:dyDescent="0.25">
      <c r="A44" s="2">
        <v>2034</v>
      </c>
      <c r="B44" s="2">
        <f>B11/'Output-Calculation-sheet'!B10*'Output-Calculation-sheet'!B37*0.0114</f>
        <v>2.6623698263487556</v>
      </c>
      <c r="C44" s="2">
        <f>C11/'Output-Calculation-sheet'!C10*'Output-Calculation-sheet'!C37*0.0114</f>
        <v>5.054480399072367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0.38898162100412054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0.28224843199286898</v>
      </c>
      <c r="M44" s="2">
        <f>M11/'Output-Calculation-sheet'!M10*'Output-Calculation-sheet'!M37*0.0114</f>
        <v>0.26765741928186876</v>
      </c>
      <c r="N44" s="2">
        <f>N11/'Output-Calculation-sheet'!N10*'Output-Calculation-sheet'!N37*0.0114</f>
        <v>0.26306429414665561</v>
      </c>
      <c r="O44" s="2">
        <f>O11/'Output-Calculation-sheet'!O10*'Output-Calculation-sheet'!O37*0.0114</f>
        <v>0.98194956450326365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0.23048389653014656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0.15079712547334512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7.3538445846572473E-2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2.9362678724578557E-2</v>
      </c>
      <c r="Y44" s="2">
        <f>Y11/'Output-Calculation-sheet'!Y10*'Output-Calculation-sheet'!Y37*0.0114</f>
        <v>0</v>
      </c>
      <c r="AA44" s="2">
        <f t="shared" si="2"/>
        <v>10.384933702924544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5.3046533654623129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1.0305514416501573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6.163198596789899E-2</v>
      </c>
      <c r="Y45" s="2">
        <f>Y12/'Output-Calculation-sheet'!Y11*'Output-Calculation-sheet'!Y38*0.0114</f>
        <v>2.9738004796205999E-2</v>
      </c>
      <c r="AA45" s="2">
        <f t="shared" si="2"/>
        <v>15.897869526262173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6770.8915926984246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4621.4631146049296</v>
      </c>
      <c r="N52" s="2">
        <f>N8/'Output-Calculation-sheet'!N7*'Output-Calculation-sheet'!N43</f>
        <v>147.71241202064053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595.60538248297064</v>
      </c>
      <c r="Y52" s="2">
        <f>Y8/'Output-Calculation-sheet'!Y7*'Output-Calculation-sheet'!Y43</f>
        <v>0</v>
      </c>
      <c r="AA52" s="2">
        <f t="shared" si="3"/>
        <v>12.135672501806967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681.38431744095533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13124.43936180345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8969.0431111151975</v>
      </c>
      <c r="N53" s="2">
        <f>N9/'Output-Calculation-sheet'!N8*'Output-Calculation-sheet'!N44</f>
        <v>3201.8173995050506</v>
      </c>
      <c r="O53" s="2">
        <f>O9/'Output-Calculation-sheet'!O8*'Output-Calculation-sheet'!O44</f>
        <v>0</v>
      </c>
      <c r="P53" s="2">
        <f>P9/'Output-Calculation-sheet'!P8*'Output-Calculation-sheet'!P44</f>
        <v>149.76720810721793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987.39189285083444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1124.1638884429265</v>
      </c>
      <c r="Y53" s="2">
        <f>Y9/'Output-Calculation-sheet'!Y8*'Output-Calculation-sheet'!Y44</f>
        <v>0</v>
      </c>
      <c r="AA53" s="2">
        <f t="shared" si="3"/>
        <v>28.238007179265633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5646.3232068968528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0</v>
      </c>
      <c r="P54" s="2">
        <f>P10/'Output-Calculation-sheet'!P9*'Output-Calculation-sheet'!P45</f>
        <v>2131.6234686896</v>
      </c>
      <c r="Q54" s="2">
        <f>Q10/'Output-Calculation-sheet'!Q9*'Output-Calculation-sheet'!Q45</f>
        <v>820.0956196820697</v>
      </c>
      <c r="R54" s="2">
        <f>R10/'Output-Calculation-sheet'!R9*'Output-Calculation-sheet'!R45</f>
        <v>1399.5942219151989</v>
      </c>
      <c r="S54" s="2">
        <f>S10/'Output-Calculation-sheet'!S9*'Output-Calculation-sheet'!S45</f>
        <v>3356.6092898077695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498.98070108290574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86.368244040341338</v>
      </c>
    </row>
    <row r="55" spans="1:27" x14ac:dyDescent="0.25">
      <c r="A55" s="2">
        <v>2034</v>
      </c>
      <c r="B55" s="2">
        <f>B11/'Output-Calculation-sheet'!B10*'Output-Calculation-sheet'!B46</f>
        <v>70062.363851283037</v>
      </c>
      <c r="C55" s="2">
        <f>C11/'Output-Calculation-sheet'!C10*'Output-Calculation-sheet'!C46</f>
        <v>14409.702892092273</v>
      </c>
      <c r="D55" s="2">
        <f>D11/'Output-Calculation-sheet'!D10*'Output-Calculation-sheet'!D46</f>
        <v>7756.9301238798198</v>
      </c>
      <c r="E55" s="2">
        <f>E11/'Output-Calculation-sheet'!E10*'Output-Calculation-sheet'!E46</f>
        <v>9598.1888875884943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25181.441780793066</v>
      </c>
      <c r="I55" s="2">
        <f>I11/'Output-Calculation-sheet'!I10*'Output-Calculation-sheet'!I46</f>
        <v>1869.1516109671707</v>
      </c>
      <c r="J55" s="2">
        <f>J11/'Output-Calculation-sheet'!J10*'Output-Calculation-sheet'!J46</f>
        <v>1348.1931539108355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718.00039717484219</v>
      </c>
      <c r="M55" s="2">
        <f>M11/'Output-Calculation-sheet'!M10*'Output-Calculation-sheet'!M46</f>
        <v>17468.16841629038</v>
      </c>
      <c r="N55" s="2">
        <f>N11/'Output-Calculation-sheet'!N10*'Output-Calculation-sheet'!N46</f>
        <v>12414.788618500063</v>
      </c>
      <c r="O55" s="2">
        <f>O11/'Output-Calculation-sheet'!O10*'Output-Calculation-sheet'!O46</f>
        <v>0</v>
      </c>
      <c r="P55" s="2">
        <f>P11/'Output-Calculation-sheet'!P10*'Output-Calculation-sheet'!P46</f>
        <v>5052.3412137996775</v>
      </c>
      <c r="Q55" s="2">
        <f>Q11/'Output-Calculation-sheet'!Q10*'Output-Calculation-sheet'!Q46</f>
        <v>1860.0454807696037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5608.5948421665198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1212.7392823820721</v>
      </c>
      <c r="V55" s="2">
        <f>V11/'Output-Calculation-sheet'!V10*'Output-Calculation-sheet'!V46</f>
        <v>626.73738822555583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1782.3661120533648</v>
      </c>
      <c r="Y55" s="2">
        <f>Y11/'Output-Calculation-sheet'!Y10*'Output-Calculation-sheet'!Y46</f>
        <v>474.74439910742313</v>
      </c>
      <c r="AA55" s="2">
        <f t="shared" si="3"/>
        <v>190.03050708172418</v>
      </c>
    </row>
    <row r="56" spans="1:27" x14ac:dyDescent="0.25">
      <c r="A56" s="2">
        <v>2035</v>
      </c>
      <c r="B56" s="2">
        <f>B12/'Output-Calculation-sheet'!B11*'Output-Calculation-sheet'!B47</f>
        <v>88971.446137101811</v>
      </c>
      <c r="C56" s="2">
        <f>C12/'Output-Calculation-sheet'!C11*'Output-Calculation-sheet'!C47</f>
        <v>32456.102828157575</v>
      </c>
      <c r="D56" s="2">
        <f>D12/'Output-Calculation-sheet'!D11*'Output-Calculation-sheet'!D47</f>
        <v>7110.3728069001909</v>
      </c>
      <c r="E56" s="2">
        <f>E12/'Output-Calculation-sheet'!E11*'Output-Calculation-sheet'!E47</f>
        <v>17853.409558966105</v>
      </c>
      <c r="F56" s="2">
        <f>F12/'Output-Calculation-sheet'!F11*'Output-Calculation-sheet'!F47</f>
        <v>2163.3025424234716</v>
      </c>
      <c r="G56" s="2">
        <f>G12/'Output-Calculation-sheet'!G11*'Output-Calculation-sheet'!G47</f>
        <v>5692.740555560852</v>
      </c>
      <c r="H56" s="2">
        <f>H12/'Output-Calculation-sheet'!H11*'Output-Calculation-sheet'!H47</f>
        <v>26750.094809576491</v>
      </c>
      <c r="I56" s="2">
        <f>I12/'Output-Calculation-sheet'!I11*'Output-Calculation-sheet'!I47</f>
        <v>3225.111585119319</v>
      </c>
      <c r="J56" s="2">
        <f>J12/'Output-Calculation-sheet'!J11*'Output-Calculation-sheet'!J47</f>
        <v>1118.7758220937146</v>
      </c>
      <c r="K56" s="2">
        <f>K12/'Output-Calculation-sheet'!K11*'Output-Calculation-sheet'!K47</f>
        <v>4738.3264876684098</v>
      </c>
      <c r="L56" s="2">
        <f>L12/'Output-Calculation-sheet'!L11*'Output-Calculation-sheet'!L47</f>
        <v>1221.2512966329091</v>
      </c>
      <c r="M56" s="2">
        <f>M12/'Output-Calculation-sheet'!M11*'Output-Calculation-sheet'!M47</f>
        <v>18628.450139205368</v>
      </c>
      <c r="N56" s="2">
        <f>N12/'Output-Calculation-sheet'!N11*'Output-Calculation-sheet'!N47</f>
        <v>13658.929109623863</v>
      </c>
      <c r="O56" s="2">
        <f>O12/'Output-Calculation-sheet'!O11*'Output-Calculation-sheet'!O47</f>
        <v>0</v>
      </c>
      <c r="P56" s="2">
        <f>P12/'Output-Calculation-sheet'!P11*'Output-Calculation-sheet'!P47</f>
        <v>7181.7428881504338</v>
      </c>
      <c r="Q56" s="2">
        <f>Q12/'Output-Calculation-sheet'!Q11*'Output-Calculation-sheet'!Q47</f>
        <v>2546.2290896938348</v>
      </c>
      <c r="R56" s="2">
        <f>R12/'Output-Calculation-sheet'!R11*'Output-Calculation-sheet'!R47</f>
        <v>4923.8687886944626</v>
      </c>
      <c r="S56" s="2">
        <f>S12/'Output-Calculation-sheet'!S11*'Output-Calculation-sheet'!S47</f>
        <v>6483.142768773555</v>
      </c>
      <c r="T56" s="2">
        <f>T12/'Output-Calculation-sheet'!T11*'Output-Calculation-sheet'!T47</f>
        <v>1774.9492591357844</v>
      </c>
      <c r="U56" s="2">
        <f>U12/'Output-Calculation-sheet'!U11*'Output-Calculation-sheet'!U47</f>
        <v>1340.4643846843701</v>
      </c>
      <c r="V56" s="2">
        <f>V12/'Output-Calculation-sheet'!V11*'Output-Calculation-sheet'!V47</f>
        <v>746.50305454353418</v>
      </c>
      <c r="W56" s="2">
        <f>W12/'Output-Calculation-sheet'!W11*'Output-Calculation-sheet'!W47</f>
        <v>723.262105379839</v>
      </c>
      <c r="X56" s="2">
        <f>X12/'Output-Calculation-sheet'!X11*'Output-Calculation-sheet'!X47</f>
        <v>1897.6164100642584</v>
      </c>
      <c r="Y56" s="2">
        <f>Y12/'Output-Calculation-sheet'!Y11*'Output-Calculation-sheet'!Y47</f>
        <v>839.96820564722202</v>
      </c>
      <c r="AA56" s="2">
        <f t="shared" si="3"/>
        <v>252.04606063379742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5.175566584832584</v>
      </c>
      <c r="C63" s="2">
        <f>C8*'Output-Calculation-sheet'!C52/10^9</f>
        <v>3.2373819475553924</v>
      </c>
      <c r="D63" s="2">
        <f>D8*'Output-Calculation-sheet'!D52/10^9</f>
        <v>1.4781911065940283</v>
      </c>
      <c r="E63" s="2">
        <f>E8*'Output-Calculation-sheet'!E52/10^9</f>
        <v>1.3578193970364427</v>
      </c>
      <c r="F63" s="2">
        <f>F8*'Output-Calculation-sheet'!F52/10^9</f>
        <v>0.71559509057794335</v>
      </c>
      <c r="G63" s="2">
        <f>G8*'Output-Calculation-sheet'!G52/10^9</f>
        <v>0.52920455833874369</v>
      </c>
      <c r="H63" s="2">
        <f>H8*'Output-Calculation-sheet'!H52/10^9</f>
        <v>0.91309041631029264</v>
      </c>
      <c r="I63" s="2">
        <f>I8*'Output-Calculation-sheet'!I52/10^9</f>
        <v>0.490596016932489</v>
      </c>
      <c r="J63" s="2">
        <f>J8*'Output-Calculation-sheet'!J52/10^9</f>
        <v>0.49875921434908022</v>
      </c>
      <c r="K63" s="2">
        <f>K8*'Output-Calculation-sheet'!K52/10^9</f>
        <v>0.50193311442007782</v>
      </c>
      <c r="L63" s="2">
        <f>L8*'Output-Calculation-sheet'!L52/10^9</f>
        <v>0.40917426250178368</v>
      </c>
      <c r="M63" s="2">
        <f>M8*'Output-Calculation-sheet'!M52/10^9</f>
        <v>0.63218189889532139</v>
      </c>
      <c r="N63" s="2">
        <f>N8*'Output-Calculation-sheet'!N52/10^9</f>
        <v>0.56721417567010601</v>
      </c>
      <c r="O63" s="2">
        <f>O8*'Output-Calculation-sheet'!O52/10^9</f>
        <v>0.61340931248425035</v>
      </c>
      <c r="P63" s="2">
        <f>P8*'Output-Calculation-sheet'!P52/10^9</f>
        <v>0.40407058236247473</v>
      </c>
      <c r="Q63" s="2">
        <f>Q8*'Output-Calculation-sheet'!Q52/10^9</f>
        <v>0.41671190528272978</v>
      </c>
      <c r="R63" s="2">
        <f>R8*'Output-Calculation-sheet'!R52/10^9</f>
        <v>0.34128250067506027</v>
      </c>
      <c r="S63" s="2">
        <f>S8*'Output-Calculation-sheet'!S52/10^9</f>
        <v>0.31381500771932458</v>
      </c>
      <c r="T63" s="2">
        <f>T8*'Output-Calculation-sheet'!T52/10^9</f>
        <v>0.11766847152352702</v>
      </c>
      <c r="U63" s="2">
        <f>U8*'Output-Calculation-sheet'!U52/10^9</f>
        <v>0.10689640554836966</v>
      </c>
      <c r="V63" s="2">
        <f>V8*'Output-Calculation-sheet'!V52/10^9</f>
        <v>8.2598227506795047E-2</v>
      </c>
      <c r="W63" s="2">
        <f>W8*'Output-Calculation-sheet'!W52/10^9</f>
        <v>6.4530460287817518E-2</v>
      </c>
      <c r="X63" s="2">
        <f>X8*'Output-Calculation-sheet'!X52/10^9</f>
        <v>7.7404336603057622E-2</v>
      </c>
      <c r="Y63" s="2">
        <f>Y8*'Output-Calculation-sheet'!Y52/10^9</f>
        <v>4.1947376929847166E-2</v>
      </c>
      <c r="AA63" s="2">
        <f t="shared" si="4"/>
        <v>19.087042370937539</v>
      </c>
    </row>
    <row r="64" spans="1:27" x14ac:dyDescent="0.25">
      <c r="A64" s="2">
        <v>2032</v>
      </c>
      <c r="B64" s="2">
        <f>B9*'Output-Calculation-sheet'!B53/10^9</f>
        <v>5.8791343577111581</v>
      </c>
      <c r="C64" s="2">
        <f>C9*'Output-Calculation-sheet'!C53/10^9</f>
        <v>3.8930220057310652</v>
      </c>
      <c r="D64" s="2">
        <f>D9*'Output-Calculation-sheet'!D53/10^9</f>
        <v>1.4165069896189091</v>
      </c>
      <c r="E64" s="2">
        <f>E9*'Output-Calculation-sheet'!E53/10^9</f>
        <v>1.3829440499267651</v>
      </c>
      <c r="F64" s="2">
        <f>F9*'Output-Calculation-sheet'!F53/10^9</f>
        <v>0.69746439881422928</v>
      </c>
      <c r="G64" s="2">
        <f>G9*'Output-Calculation-sheet'!G53/10^9</f>
        <v>0.50661654816905122</v>
      </c>
      <c r="H64" s="2">
        <f>H9*'Output-Calculation-sheet'!H53/10^9</f>
        <v>1.0876819220763854</v>
      </c>
      <c r="I64" s="2">
        <f>I9*'Output-Calculation-sheet'!I53/10^9</f>
        <v>0.47305176117552761</v>
      </c>
      <c r="J64" s="2">
        <f>J9*'Output-Calculation-sheet'!J53/10^9</f>
        <v>0.47216938778524453</v>
      </c>
      <c r="K64" s="2">
        <f>K9*'Output-Calculation-sheet'!K53/10^9</f>
        <v>0.5092730432122704</v>
      </c>
      <c r="L64" s="2">
        <f>L9*'Output-Calculation-sheet'!L53/10^9</f>
        <v>0.41980356096077248</v>
      </c>
      <c r="M64" s="2">
        <f>M9*'Output-Calculation-sheet'!M53/10^9</f>
        <v>0.75353463201025916</v>
      </c>
      <c r="N64" s="2">
        <f>N9*'Output-Calculation-sheet'!N53/10^9</f>
        <v>0.66957108781031272</v>
      </c>
      <c r="O64" s="2">
        <f>O9*'Output-Calculation-sheet'!O53/10^9</f>
        <v>0.72040631690211676</v>
      </c>
      <c r="P64" s="2">
        <f>P9*'Output-Calculation-sheet'!P53/10^9</f>
        <v>0.45548478006907916</v>
      </c>
      <c r="Q64" s="2">
        <f>Q9*'Output-Calculation-sheet'!Q53/10^9</f>
        <v>0.46608510834173456</v>
      </c>
      <c r="R64" s="2">
        <f>R9*'Output-Calculation-sheet'!R53/10^9</f>
        <v>0.3644020816662914</v>
      </c>
      <c r="S64" s="2">
        <f>S9*'Output-Calculation-sheet'!S53/10^9</f>
        <v>0.36880475819735764</v>
      </c>
      <c r="T64" s="2">
        <f>T9*'Output-Calculation-sheet'!T53/10^9</f>
        <v>0.11677038792518132</v>
      </c>
      <c r="U64" s="2">
        <f>U9*'Output-Calculation-sheet'!U53/10^9</f>
        <v>0.11518830153214354</v>
      </c>
      <c r="V64" s="2">
        <f>V9*'Output-Calculation-sheet'!V53/10^9</f>
        <v>8.5703352256096849E-2</v>
      </c>
      <c r="W64" s="2">
        <f>W9*'Output-Calculation-sheet'!W53/10^9</f>
        <v>6.187427393179365E-2</v>
      </c>
      <c r="X64" s="2">
        <f>X9*'Output-Calculation-sheet'!X53/10^9</f>
        <v>9.2470774250222182E-2</v>
      </c>
      <c r="Y64" s="2">
        <f>Y9*'Output-Calculation-sheet'!Y53/10^9</f>
        <v>4.460107876136981E-2</v>
      </c>
      <c r="AA64" s="2">
        <f t="shared" si="4"/>
        <v>21.052564958835333</v>
      </c>
    </row>
    <row r="65" spans="1:27" x14ac:dyDescent="0.25">
      <c r="A65" s="2">
        <v>2033</v>
      </c>
      <c r="B65" s="2">
        <f>B10*'Output-Calculation-sheet'!B54/10^9</f>
        <v>6.8765584416418388</v>
      </c>
      <c r="C65" s="2">
        <f>C10*'Output-Calculation-sheet'!C54/10^9</f>
        <v>4.5416710668408884</v>
      </c>
      <c r="D65" s="2">
        <f>D10*'Output-Calculation-sheet'!D54/10^9</f>
        <v>1.3209467085113626</v>
      </c>
      <c r="E65" s="2">
        <f>E10*'Output-Calculation-sheet'!E54/10^9</f>
        <v>1.4989727276274671</v>
      </c>
      <c r="F65" s="2">
        <f>F10*'Output-Calculation-sheet'!F54/10^9</f>
        <v>0.67999909019253646</v>
      </c>
      <c r="G65" s="2">
        <f>G10*'Output-Calculation-sheet'!G54/10^9</f>
        <v>0.46931265220598217</v>
      </c>
      <c r="H65" s="2">
        <f>H10*'Output-Calculation-sheet'!H54/10^9</f>
        <v>1.2474428878877724</v>
      </c>
      <c r="I65" s="2">
        <f>I10*'Output-Calculation-sheet'!I54/10^9</f>
        <v>0.46164751173870666</v>
      </c>
      <c r="J65" s="2">
        <f>J10*'Output-Calculation-sheet'!J54/10^9</f>
        <v>0.42575889427516328</v>
      </c>
      <c r="K65" s="2">
        <f>K10*'Output-Calculation-sheet'!K54/10^9</f>
        <v>0.54298258619749618</v>
      </c>
      <c r="L65" s="2">
        <f>L10*'Output-Calculation-sheet'!L54/10^9</f>
        <v>0.45162931830275926</v>
      </c>
      <c r="M65" s="2">
        <f>M10*'Output-Calculation-sheet'!M54/10^9</f>
        <v>0.8644295635381688</v>
      </c>
      <c r="N65" s="2">
        <f>N10*'Output-Calculation-sheet'!N54/10^9</f>
        <v>0.77715500672975646</v>
      </c>
      <c r="O65" s="2">
        <f>O10*'Output-Calculation-sheet'!O54/10^9</f>
        <v>0.8226932257710784</v>
      </c>
      <c r="P65" s="2">
        <f>P10*'Output-Calculation-sheet'!P54/10^9</f>
        <v>0.52441069415357444</v>
      </c>
      <c r="Q65" s="2">
        <f>Q10*'Output-Calculation-sheet'!Q54/10^9</f>
        <v>0.54404965595727406</v>
      </c>
      <c r="R65" s="2">
        <f>R10*'Output-Calculation-sheet'!R54/10^9</f>
        <v>0.40654855996802058</v>
      </c>
      <c r="S65" s="2">
        <f>S10*'Output-Calculation-sheet'!S54/10^9</f>
        <v>0.42993154051075722</v>
      </c>
      <c r="T65" s="2">
        <f>T10*'Output-Calculation-sheet'!T54/10^9</f>
        <v>0.12202776454824811</v>
      </c>
      <c r="U65" s="2">
        <f>U10*'Output-Calculation-sheet'!U54/10^9</f>
        <v>0.13193339845793178</v>
      </c>
      <c r="V65" s="2">
        <f>V10*'Output-Calculation-sheet'!V54/10^9</f>
        <v>9.2077769800564382E-2</v>
      </c>
      <c r="W65" s="2">
        <f>W10*'Output-Calculation-sheet'!W54/10^9</f>
        <v>5.7596614788169138E-2</v>
      </c>
      <c r="X65" s="2">
        <f>X10*'Output-Calculation-sheet'!X54/10^9</f>
        <v>0.10688509737120078</v>
      </c>
      <c r="Y65" s="2">
        <f>Y10*'Output-Calculation-sheet'!Y54/10^9</f>
        <v>5.0810620148812824E-2</v>
      </c>
      <c r="AA65" s="2">
        <f t="shared" si="4"/>
        <v>23.447471397165536</v>
      </c>
    </row>
    <row r="66" spans="1:27" x14ac:dyDescent="0.25">
      <c r="A66" s="2">
        <v>2034</v>
      </c>
      <c r="B66" s="2">
        <f>B11*'Output-Calculation-sheet'!B55/10^9</f>
        <v>8.1351136031896338</v>
      </c>
      <c r="C66" s="2">
        <f>C11*'Output-Calculation-sheet'!C55/10^9</f>
        <v>5.1804991489976473</v>
      </c>
      <c r="D66" s="2">
        <f>D11*'Output-Calculation-sheet'!D55/10^9</f>
        <v>1.526635749817586</v>
      </c>
      <c r="E66" s="2">
        <f>E11*'Output-Calculation-sheet'!E55/10^9</f>
        <v>1.8812908745246484</v>
      </c>
      <c r="F66" s="2">
        <f>F11*'Output-Calculation-sheet'!F55/10^9</f>
        <v>0.75339888162697433</v>
      </c>
      <c r="G66" s="2">
        <f>G11*'Output-Calculation-sheet'!G55/10^9</f>
        <v>0.5427039829250967</v>
      </c>
      <c r="H66" s="2">
        <f>H11*'Output-Calculation-sheet'!H55/10^9</f>
        <v>1.4300903876611739</v>
      </c>
      <c r="I66" s="2">
        <f>I11*'Output-Calculation-sheet'!I55/10^9</f>
        <v>0.53344855993333984</v>
      </c>
      <c r="J66" s="2">
        <f>J11*'Output-Calculation-sheet'!J55/10^9</f>
        <v>0.47097101013281018</v>
      </c>
      <c r="K66" s="2">
        <f>K11*'Output-Calculation-sheet'!K55/10^9</f>
        <v>0.62900295829852793</v>
      </c>
      <c r="L66" s="2">
        <f>L11*'Output-Calculation-sheet'!L55/10^9</f>
        <v>0.55168913712118306</v>
      </c>
      <c r="M66" s="2">
        <f>M11*'Output-Calculation-sheet'!M55/10^9</f>
        <v>0.99267834993864346</v>
      </c>
      <c r="N66" s="2">
        <f>N11*'Output-Calculation-sheet'!N55/10^9</f>
        <v>0.88906774088831098</v>
      </c>
      <c r="O66" s="2">
        <f>O11*'Output-Calculation-sheet'!O55/10^9</f>
        <v>0.92197312896559735</v>
      </c>
      <c r="P66" s="2">
        <f>P11*'Output-Calculation-sheet'!P55/10^9</f>
        <v>0.62461521458684921</v>
      </c>
      <c r="Q66" s="2">
        <f>Q11*'Output-Calculation-sheet'!Q55/10^9</f>
        <v>0.64857062338591476</v>
      </c>
      <c r="R66" s="2">
        <f>R11*'Output-Calculation-sheet'!R55/10^9</f>
        <v>0.4727251515313734</v>
      </c>
      <c r="S66" s="2">
        <f>S11*'Output-Calculation-sheet'!S55/10^9</f>
        <v>0.50064630463831972</v>
      </c>
      <c r="T66" s="2">
        <f>T11*'Output-Calculation-sheet'!T55/10^9</f>
        <v>0.13917165485752536</v>
      </c>
      <c r="U66" s="2">
        <f>U11*'Output-Calculation-sheet'!U55/10^9</f>
        <v>0.16087190921930794</v>
      </c>
      <c r="V66" s="2">
        <f>V11*'Output-Calculation-sheet'!V55/10^9</f>
        <v>0.10394582954766941</v>
      </c>
      <c r="W66" s="2">
        <f>W11*'Output-Calculation-sheet'!W55/10^9</f>
        <v>6.3330285535149966E-2</v>
      </c>
      <c r="X66" s="2">
        <f>X11*'Output-Calculation-sheet'!X55/10^9</f>
        <v>0.12530160174028912</v>
      </c>
      <c r="Y66" s="2">
        <f>Y11*'Output-Calculation-sheet'!Y55/10^9</f>
        <v>6.5671679091315757E-2</v>
      </c>
      <c r="AA66" s="2">
        <f t="shared" si="4"/>
        <v>27.343413768154893</v>
      </c>
    </row>
    <row r="67" spans="1:27" x14ac:dyDescent="0.25">
      <c r="A67" s="2">
        <v>2035</v>
      </c>
      <c r="B67" s="2">
        <f>B12*'Output-Calculation-sheet'!B56/10^9</f>
        <v>9.5037030785124017</v>
      </c>
      <c r="C67" s="2">
        <f>C12*'Output-Calculation-sheet'!C56/10^9</f>
        <v>5.795591734951052</v>
      </c>
      <c r="D67" s="2">
        <f>D12*'Output-Calculation-sheet'!D56/10^9</f>
        <v>1.9356514221663785</v>
      </c>
      <c r="E67" s="2">
        <f>E12*'Output-Calculation-sheet'!E56/10^9</f>
        <v>2.6156192138754153</v>
      </c>
      <c r="F67" s="2">
        <f>F12*'Output-Calculation-sheet'!F56/10^9</f>
        <v>1.0380361819478916</v>
      </c>
      <c r="G67" s="2">
        <f>G12*'Output-Calculation-sheet'!G56/10^9</f>
        <v>0.7528629348847129</v>
      </c>
      <c r="H67" s="2">
        <f>H12*'Output-Calculation-sheet'!H56/10^9</f>
        <v>1.6398580852634863</v>
      </c>
      <c r="I67" s="2">
        <f>I12*'Output-Calculation-sheet'!I56/10^9</f>
        <v>0.71134151460364292</v>
      </c>
      <c r="J67" s="2">
        <f>J12*'Output-Calculation-sheet'!J56/10^9</f>
        <v>0.58794628336924271</v>
      </c>
      <c r="K67" s="2">
        <f>K12*'Output-Calculation-sheet'!K56/10^9</f>
        <v>0.79394553182079286</v>
      </c>
      <c r="L67" s="2">
        <f>L12*'Output-Calculation-sheet'!L56/10^9</f>
        <v>0.68470253501366873</v>
      </c>
      <c r="M67" s="2">
        <f>M12*'Output-Calculation-sheet'!M56/10^9</f>
        <v>1.1491475014270769</v>
      </c>
      <c r="N67" s="2">
        <f>N12*'Output-Calculation-sheet'!N56/10^9</f>
        <v>1.0059930666696499</v>
      </c>
      <c r="O67" s="2">
        <f>O12*'Output-Calculation-sheet'!O56/10^9</f>
        <v>1.0180000451780684</v>
      </c>
      <c r="P67" s="2">
        <f>P12*'Output-Calculation-sheet'!P56/10^9</f>
        <v>0.80221743037709736</v>
      </c>
      <c r="Q67" s="2">
        <f>Q12*'Output-Calculation-sheet'!Q56/10^9</f>
        <v>0.75138088190512853</v>
      </c>
      <c r="R67" s="2">
        <f>R12*'Output-Calculation-sheet'!R56/10^9</f>
        <v>0.59054442652987582</v>
      </c>
      <c r="S67" s="2">
        <f>S12*'Output-Calculation-sheet'!S56/10^9</f>
        <v>0.57251446930886019</v>
      </c>
      <c r="T67" s="2">
        <f>T12*'Output-Calculation-sheet'!T56/10^9</f>
        <v>0.181537165457239</v>
      </c>
      <c r="U67" s="2">
        <f>U12*'Output-Calculation-sheet'!U56/10^9</f>
        <v>0.19581166165790448</v>
      </c>
      <c r="V67" s="2">
        <f>V12*'Output-Calculation-sheet'!V56/10^9</f>
        <v>0.12356131695113359</v>
      </c>
      <c r="W67" s="2">
        <f>W12*'Output-Calculation-sheet'!W56/10^9</f>
        <v>9.6066733044415001E-2</v>
      </c>
      <c r="X67" s="2">
        <f>X12*'Output-Calculation-sheet'!X56/10^9</f>
        <v>0.14413379912844765</v>
      </c>
      <c r="Y67" s="2">
        <f>Y12*'Output-Calculation-sheet'!Y56/10^9</f>
        <v>9.0200021078052181E-2</v>
      </c>
      <c r="AA67" s="2">
        <f t="shared" si="4"/>
        <v>32.780367035121643</v>
      </c>
    </row>
    <row r="68" spans="1:27" x14ac:dyDescent="0.25">
      <c r="B68" s="2">
        <f>SUM(B60:B67)</f>
        <v>46.883631733437568</v>
      </c>
      <c r="C68" s="2">
        <f t="shared" ref="C68:Y68" si="5">SUM(C60:C67)</f>
        <v>28.421144663960614</v>
      </c>
      <c r="D68" s="2">
        <f t="shared" si="5"/>
        <v>11.522336481892999</v>
      </c>
      <c r="E68" s="2">
        <f t="shared" si="5"/>
        <v>12.155190664724476</v>
      </c>
      <c r="F68" s="2">
        <f t="shared" si="5"/>
        <v>5.7034827300666677</v>
      </c>
      <c r="G68" s="2">
        <f t="shared" si="5"/>
        <v>4.1788390477931383</v>
      </c>
      <c r="H68" s="2">
        <f t="shared" si="5"/>
        <v>7.9982942215215358</v>
      </c>
      <c r="I68" s="2">
        <f t="shared" si="5"/>
        <v>3.9354961244299225</v>
      </c>
      <c r="J68" s="2">
        <f t="shared" si="5"/>
        <v>3.7734826225937481</v>
      </c>
      <c r="K68" s="2">
        <f t="shared" si="5"/>
        <v>4.2306911115435017</v>
      </c>
      <c r="L68" s="2">
        <f t="shared" si="5"/>
        <v>3.5301892610744057</v>
      </c>
      <c r="M68" s="2">
        <f t="shared" si="5"/>
        <v>5.5534938939878709</v>
      </c>
      <c r="N68" s="2">
        <f t="shared" si="5"/>
        <v>5.0839707928105344</v>
      </c>
      <c r="O68" s="2">
        <f t="shared" si="5"/>
        <v>5.2293055860466655</v>
      </c>
      <c r="P68" s="2">
        <f t="shared" si="5"/>
        <v>3.7235810335163544</v>
      </c>
      <c r="Q68" s="2">
        <f t="shared" si="5"/>
        <v>3.7490159393930282</v>
      </c>
      <c r="R68" s="2">
        <f t="shared" si="5"/>
        <v>3.0051538089774654</v>
      </c>
      <c r="S68" s="2">
        <f t="shared" si="5"/>
        <v>2.8478580725604523</v>
      </c>
      <c r="T68" s="2">
        <f t="shared" si="5"/>
        <v>0.97357712969637999</v>
      </c>
      <c r="U68" s="2">
        <f t="shared" si="5"/>
        <v>0.97398344544100279</v>
      </c>
      <c r="V68" s="2">
        <f t="shared" si="5"/>
        <v>0.69095094411219538</v>
      </c>
      <c r="W68" s="2">
        <f t="shared" si="5"/>
        <v>0.51109446329921937</v>
      </c>
      <c r="X68" s="2">
        <f t="shared" si="5"/>
        <v>0.68587982430008654</v>
      </c>
      <c r="Y68" s="2">
        <f t="shared" si="5"/>
        <v>0.39605349822387254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1449.9263702154647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968.79768844334001</v>
      </c>
      <c r="N74" s="2">
        <f>N8/'Output-Calculation-sheet'!N7*'Output-Calculation-sheet'!N61</f>
        <v>40.602449254173564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119.28594995887315</v>
      </c>
      <c r="Y74" s="2">
        <f>Y8/'Output-Calculation-sheet'!Y7*'Output-Calculation-sheet'!Y61</f>
        <v>0</v>
      </c>
      <c r="AA74" s="2">
        <f t="shared" si="6"/>
        <v>2.5786124578718512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187.18600606270817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2499.0071194864063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1697.6233667900453</v>
      </c>
      <c r="N75" s="2">
        <f>N9/'Output-Calculation-sheet'!N8*'Output-Calculation-sheet'!N62</f>
        <v>656.57521356939014</v>
      </c>
      <c r="O75" s="2">
        <f>O9/'Output-Calculation-sheet'!O8*'Output-Calculation-sheet'!O62</f>
        <v>0</v>
      </c>
      <c r="P75" s="2">
        <f>P9/'Output-Calculation-sheet'!P8*'Output-Calculation-sheet'!P62</f>
        <v>43.95667557946846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217.17975092634356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205.22663566640563</v>
      </c>
      <c r="Y75" s="2">
        <f>Y9/'Output-Calculation-sheet'!Y8*'Output-Calculation-sheet'!Y62</f>
        <v>0</v>
      </c>
      <c r="AA75" s="2">
        <f t="shared" si="6"/>
        <v>5.5067547680807678</v>
      </c>
    </row>
    <row r="76" spans="1:27" x14ac:dyDescent="0.25">
      <c r="A76" s="2">
        <v>2033</v>
      </c>
      <c r="B76" s="2">
        <f>B10/'Output-Calculation-sheet'!B9*'Output-Calculation-sheet'!B63</f>
        <v>5659.188036433482</v>
      </c>
      <c r="C76" s="2">
        <f>C10/'Output-Calculation-sheet'!C9*'Output-Calculation-sheet'!C63</f>
        <v>1419.9457249936902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3694.4259635861208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2515.4382296713588</v>
      </c>
      <c r="N76" s="2">
        <f>N10/'Output-Calculation-sheet'!N9*'Output-Calculation-sheet'!N63</f>
        <v>1440.0363775669816</v>
      </c>
      <c r="O76" s="2">
        <f>O10/'Output-Calculation-sheet'!O9*'Output-Calculation-sheet'!O63</f>
        <v>0</v>
      </c>
      <c r="P76" s="2">
        <f>P10/'Output-Calculation-sheet'!P9*'Output-Calculation-sheet'!P63</f>
        <v>493.57138127846736</v>
      </c>
      <c r="Q76" s="2">
        <f>Q10/'Output-Calculation-sheet'!Q9*'Output-Calculation-sheet'!Q63</f>
        <v>219.76655408363928</v>
      </c>
      <c r="R76" s="2">
        <f>R10/'Output-Calculation-sheet'!R9*'Output-Calculation-sheet'!R63</f>
        <v>378.8361116886681</v>
      </c>
      <c r="S76" s="2">
        <f>S10/'Output-Calculation-sheet'!S9*'Output-Calculation-sheet'!S63</f>
        <v>638.36719203448206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133.05137840460651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296.24984678195784</v>
      </c>
      <c r="Y76" s="2">
        <f>Y10/'Output-Calculation-sheet'!Y9*'Output-Calculation-sheet'!Y63</f>
        <v>5.6202394244599558</v>
      </c>
      <c r="AA76" s="2">
        <f t="shared" si="6"/>
        <v>17.027519719067822</v>
      </c>
    </row>
    <row r="77" spans="1:27" x14ac:dyDescent="0.25">
      <c r="A77" s="2">
        <v>2034</v>
      </c>
      <c r="B77" s="2">
        <f>B11/'Output-Calculation-sheet'!B10*'Output-Calculation-sheet'!B64</f>
        <v>11955.675308795775</v>
      </c>
      <c r="C77" s="2">
        <f>C11/'Output-Calculation-sheet'!C10*'Output-Calculation-sheet'!C64</f>
        <v>3256.4820097444531</v>
      </c>
      <c r="D77" s="2">
        <f>D11/'Output-Calculation-sheet'!D10*'Output-Calculation-sheet'!D64</f>
        <v>1781.1482588250626</v>
      </c>
      <c r="E77" s="2">
        <f>E11/'Output-Calculation-sheet'!E10*'Output-Calculation-sheet'!E64</f>
        <v>2209.3001933772803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950.65527393209231</v>
      </c>
      <c r="H77" s="2">
        <f>H11/'Output-Calculation-sheet'!H10*'Output-Calculation-sheet'!H64</f>
        <v>4684.2258679550596</v>
      </c>
      <c r="I77" s="2">
        <f>I11/'Output-Calculation-sheet'!I10*'Output-Calculation-sheet'!I64</f>
        <v>554.75786202790039</v>
      </c>
      <c r="J77" s="2">
        <f>J11/'Output-Calculation-sheet'!J10*'Output-Calculation-sheet'!J64</f>
        <v>380.78618265690926</v>
      </c>
      <c r="K77" s="2">
        <f>K11/'Output-Calculation-sheet'!K10*'Output-Calculation-sheet'!K64</f>
        <v>859.94111087387751</v>
      </c>
      <c r="L77" s="2">
        <f>L11/'Output-Calculation-sheet'!L10*'Output-Calculation-sheet'!L64</f>
        <v>210.8445304255502</v>
      </c>
      <c r="M77" s="2">
        <f>M11/'Output-Calculation-sheet'!M10*'Output-Calculation-sheet'!M64</f>
        <v>3209.8933400983055</v>
      </c>
      <c r="N77" s="2">
        <f>N11/'Output-Calculation-sheet'!N10*'Output-Calculation-sheet'!N64</f>
        <v>2173.2341310652396</v>
      </c>
      <c r="O77" s="2">
        <f>O11/'Output-Calculation-sheet'!O10*'Output-Calculation-sheet'!O64</f>
        <v>0</v>
      </c>
      <c r="P77" s="2">
        <f>P11/'Output-Calculation-sheet'!P10*'Output-Calculation-sheet'!P64</f>
        <v>1056.6214863374726</v>
      </c>
      <c r="Q77" s="2">
        <f>Q11/'Output-Calculation-sheet'!Q10*'Output-Calculation-sheet'!Q64</f>
        <v>431.16662959665837</v>
      </c>
      <c r="R77" s="2">
        <f>R11/'Output-Calculation-sheet'!R10*'Output-Calculation-sheet'!R64</f>
        <v>897.44925441255521</v>
      </c>
      <c r="S77" s="2">
        <f>S11/'Output-Calculation-sheet'!S10*'Output-Calculation-sheet'!S64</f>
        <v>1001.7955702279226</v>
      </c>
      <c r="T77" s="2">
        <f>T11/'Output-Calculation-sheet'!T10*'Output-Calculation-sheet'!T64</f>
        <v>248.64948727062969</v>
      </c>
      <c r="U77" s="2">
        <f>U11/'Output-Calculation-sheet'!U10*'Output-Calculation-sheet'!U64</f>
        <v>265.52539543303646</v>
      </c>
      <c r="V77" s="2">
        <f>V11/'Output-Calculation-sheet'!V10*'Output-Calculation-sheet'!V64</f>
        <v>128.63038777391171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328.63276676734228</v>
      </c>
      <c r="Y77" s="2">
        <f>Y11/'Output-Calculation-sheet'!Y10*'Output-Calculation-sheet'!Y64</f>
        <v>82.1307810455842</v>
      </c>
      <c r="AA77" s="2">
        <f t="shared" si="6"/>
        <v>36.833233140491522</v>
      </c>
    </row>
    <row r="78" spans="1:27" x14ac:dyDescent="0.25">
      <c r="A78" s="2">
        <v>2035</v>
      </c>
      <c r="B78" s="2">
        <f>B12/'Output-Calculation-sheet'!B11*'Output-Calculation-sheet'!B65</f>
        <v>15373.432551122414</v>
      </c>
      <c r="C78" s="2">
        <f>C12/'Output-Calculation-sheet'!C11*'Output-Calculation-sheet'!C65</f>
        <v>6613.4835192960081</v>
      </c>
      <c r="D78" s="2">
        <f>D12/'Output-Calculation-sheet'!D11*'Output-Calculation-sheet'!D65</f>
        <v>1680.6242044599308</v>
      </c>
      <c r="E78" s="2">
        <f>E12/'Output-Calculation-sheet'!E11*'Output-Calculation-sheet'!E65</f>
        <v>3106.9027451307206</v>
      </c>
      <c r="F78" s="2">
        <f>F12/'Output-Calculation-sheet'!F11*'Output-Calculation-sheet'!F65</f>
        <v>675.77450849037973</v>
      </c>
      <c r="G78" s="2">
        <f>G12/'Output-Calculation-sheet'!G11*'Output-Calculation-sheet'!G65</f>
        <v>1284.6001756252933</v>
      </c>
      <c r="H78" s="2">
        <f>H12/'Output-Calculation-sheet'!H11*'Output-Calculation-sheet'!H65</f>
        <v>4964.8104346507544</v>
      </c>
      <c r="I78" s="2">
        <f>I12/'Output-Calculation-sheet'!I11*'Output-Calculation-sheet'!I65</f>
        <v>845.01248387430405</v>
      </c>
      <c r="J78" s="2">
        <f>J12/'Output-Calculation-sheet'!J11*'Output-Calculation-sheet'!J65</f>
        <v>344.55004803362601</v>
      </c>
      <c r="K78" s="2">
        <f>K12/'Output-Calculation-sheet'!K11*'Output-Calculation-sheet'!K65</f>
        <v>1046.8106945239299</v>
      </c>
      <c r="L78" s="2">
        <f>L12/'Output-Calculation-sheet'!L11*'Output-Calculation-sheet'!L65</f>
        <v>335.09056853995736</v>
      </c>
      <c r="M78" s="2">
        <f>M12/'Output-Calculation-sheet'!M11*'Output-Calculation-sheet'!M65</f>
        <v>3457.8690958794027</v>
      </c>
      <c r="N78" s="2">
        <f>N12/'Output-Calculation-sheet'!N11*'Output-Calculation-sheet'!N65</f>
        <v>2396.3670840377331</v>
      </c>
      <c r="O78" s="2">
        <f>O12/'Output-Calculation-sheet'!O11*'Output-Calculation-sheet'!O65</f>
        <v>0</v>
      </c>
      <c r="P78" s="2">
        <f>P12/'Output-Calculation-sheet'!P11*'Output-Calculation-sheet'!P65</f>
        <v>1380.5726118351988</v>
      </c>
      <c r="Q78" s="2">
        <f>Q12/'Output-Calculation-sheet'!Q11*'Output-Calculation-sheet'!Q65</f>
        <v>558.17585361238355</v>
      </c>
      <c r="R78" s="2">
        <f>R12/'Output-Calculation-sheet'!R11*'Output-Calculation-sheet'!R65</f>
        <v>1086.8703874942155</v>
      </c>
      <c r="S78" s="2">
        <f>S12/'Output-Calculation-sheet'!S11*'Output-Calculation-sheet'!S65</f>
        <v>1131.8984207905419</v>
      </c>
      <c r="T78" s="2">
        <f>T12/'Output-Calculation-sheet'!T11*'Output-Calculation-sheet'!T65</f>
        <v>401.52777582326974</v>
      </c>
      <c r="U78" s="2">
        <f>U12/'Output-Calculation-sheet'!U11*'Output-Calculation-sheet'!U65</f>
        <v>289.95327844266109</v>
      </c>
      <c r="V78" s="2">
        <f>V12/'Output-Calculation-sheet'!V11*'Output-Calculation-sheet'!V65</f>
        <v>146.05358363649651</v>
      </c>
      <c r="W78" s="2">
        <f>W12/'Output-Calculation-sheet'!W11*'Output-Calculation-sheet'!W65</f>
        <v>158.95944959801272</v>
      </c>
      <c r="X78" s="2">
        <f>X12/'Output-Calculation-sheet'!X11*'Output-Calculation-sheet'!X65</f>
        <v>349.36415624777055</v>
      </c>
      <c r="Y78" s="2">
        <f>Y12/'Output-Calculation-sheet'!Y11*'Output-Calculation-sheet'!Y65</f>
        <v>134.14709619692047</v>
      </c>
      <c r="AA78" s="2">
        <f t="shared" si="6"/>
        <v>47.762850727341913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1152.9884996649607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223.9946474678315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1.3769831471327922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1752.1311019910281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321.48127364347903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2.0736123756345073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2404.9154399745858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426.58338338927621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2.8314988233638618</v>
      </c>
    </row>
    <row r="88" spans="1:27" x14ac:dyDescent="0.25">
      <c r="A88" s="2">
        <v>2034</v>
      </c>
      <c r="B88" s="2">
        <f>B11/'Output-Calculation-sheet'!B10*'Output-Calculation-sheet'!B73</f>
        <v>233.54121283761015</v>
      </c>
      <c r="C88" s="2">
        <f>C11/'Output-Calculation-sheet'!C10*'Output-Calculation-sheet'!C73</f>
        <v>2881.9405784184546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34.121194824922853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24.758634385339384</v>
      </c>
      <c r="M88" s="2">
        <f>M11/'Output-Calculation-sheet'!M10*'Output-Calculation-sheet'!M73</f>
        <v>23.478720989637608</v>
      </c>
      <c r="N88" s="2">
        <f>N11/'Output-Calculation-sheet'!N10*'Output-Calculation-sheet'!N73</f>
        <v>23.075815276022421</v>
      </c>
      <c r="O88" s="2">
        <f>O11/'Output-Calculation-sheet'!O10*'Output-Calculation-sheet'!O73</f>
        <v>538.34954194257875</v>
      </c>
      <c r="P88" s="2">
        <f>P11/'Output-Calculation-sheet'!P10*'Output-Calculation-sheet'!P73</f>
        <v>0</v>
      </c>
      <c r="Q88" s="2">
        <f>Q11/'Output-Calculation-sheet'!Q10*'Output-Calculation-sheet'!Q73</f>
        <v>40.435771321078342</v>
      </c>
      <c r="R88" s="2">
        <f>R11/'Output-Calculation-sheet'!R10*'Output-Calculation-sheet'!R73</f>
        <v>0</v>
      </c>
      <c r="S88" s="2">
        <f>S11/'Output-Calculation-sheet'!S10*'Output-Calculation-sheet'!S73</f>
        <v>13.22781802397764</v>
      </c>
      <c r="T88" s="2">
        <f>T11/'Output-Calculation-sheet'!T10*'Output-Calculation-sheet'!T73</f>
        <v>0</v>
      </c>
      <c r="U88" s="2">
        <f>U11/'Output-Calculation-sheet'!U10*'Output-Calculation-sheet'!U73</f>
        <v>6.4507408637344268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12.87836786165726</v>
      </c>
      <c r="Y88" s="2">
        <f>Y11/'Output-Calculation-sheet'!Y10*'Output-Calculation-sheet'!Y73</f>
        <v>0</v>
      </c>
      <c r="AA88" s="2">
        <f t="shared" si="7"/>
        <v>3.8322583967450141</v>
      </c>
    </row>
    <row r="89" spans="1:27" x14ac:dyDescent="0.25">
      <c r="A89" s="2">
        <v>2035</v>
      </c>
      <c r="B89" s="2">
        <f>B12/'Output-Calculation-sheet'!B11*'Output-Calculation-sheet'!B74</f>
        <v>735.30120774464308</v>
      </c>
      <c r="C89" s="2">
        <f>C12/'Output-Calculation-sheet'!C11*'Output-Calculation-sheet'!C74</f>
        <v>3140.9131769184746</v>
      </c>
      <c r="D89" s="2">
        <f>D12/'Output-Calculation-sheet'!D11*'Output-Calculation-sheet'!D74</f>
        <v>206.09776251884611</v>
      </c>
      <c r="E89" s="2">
        <f>E12/'Output-Calculation-sheet'!E11*'Output-Calculation-sheet'!E74</f>
        <v>245.68912237109316</v>
      </c>
      <c r="F89" s="2">
        <f>F12/'Output-Calculation-sheet'!F11*'Output-Calculation-sheet'!F74</f>
        <v>103.01440678207008</v>
      </c>
      <c r="G89" s="2">
        <f>G12/'Output-Calculation-sheet'!G11*'Output-Calculation-sheet'!G74</f>
        <v>73.931695526764315</v>
      </c>
      <c r="H89" s="2">
        <f>H12/'Output-Calculation-sheet'!H11*'Output-Calculation-sheet'!H74</f>
        <v>214.86019927370677</v>
      </c>
      <c r="I89" s="2">
        <f>I12/'Output-Calculation-sheet'!I11*'Output-Calculation-sheet'!I74</f>
        <v>66.497146084934414</v>
      </c>
      <c r="J89" s="2">
        <f>J12/'Output-Calculation-sheet'!J11*'Output-Calculation-sheet'!J74</f>
        <v>65.810342476100857</v>
      </c>
      <c r="K89" s="2">
        <f>K12/'Output-Calculation-sheet'!K11*'Output-Calculation-sheet'!K74</f>
        <v>65.356227416115999</v>
      </c>
      <c r="L89" s="2">
        <f>L12/'Output-Calculation-sheet'!L11*'Output-Calculation-sheet'!L74</f>
        <v>51.968140282251447</v>
      </c>
      <c r="M89" s="2">
        <f>M12/'Output-Calculation-sheet'!M11*'Output-Calculation-sheet'!M74</f>
        <v>147.84484237464579</v>
      </c>
      <c r="N89" s="2">
        <f>N12/'Output-Calculation-sheet'!N11*'Output-Calculation-sheet'!N74</f>
        <v>96.871837656906834</v>
      </c>
      <c r="O89" s="2">
        <f>O12/'Output-Calculation-sheet'!O11*'Output-Calculation-sheet'!O74</f>
        <v>632.79474487290349</v>
      </c>
      <c r="P89" s="2">
        <f>P12/'Output-Calculation-sheet'!P11*'Output-Calculation-sheet'!P74</f>
        <v>67.119092412620873</v>
      </c>
      <c r="Q89" s="2">
        <f>Q12/'Output-Calculation-sheet'!Q11*'Output-Calculation-sheet'!Q74</f>
        <v>84.874302989794501</v>
      </c>
      <c r="R89" s="2">
        <f>R12/'Output-Calculation-sheet'!R11*'Output-Calculation-sheet'!R74</f>
        <v>42.084348621320196</v>
      </c>
      <c r="S89" s="2">
        <f>S12/'Output-Calculation-sheet'!S11*'Output-Calculation-sheet'!S74</f>
        <v>55.53013078178634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20.31006643461167</v>
      </c>
      <c r="V89" s="2">
        <f>V12/'Output-Calculation-sheet'!V11*'Output-Calculation-sheet'!V74</f>
        <v>10.44060216144803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29.734730072231969</v>
      </c>
      <c r="Y89" s="2">
        <f>Y12/'Output-Calculation-sheet'!Y11*'Output-Calculation-sheet'!Y74</f>
        <v>7.8257907358436833</v>
      </c>
      <c r="AA89" s="2">
        <f t="shared" si="7"/>
        <v>6.1771751698393871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11701552679.265915</v>
      </c>
      <c r="C96" s="2">
        <f>C8/'Output-Calculation-sheet'!C7*'Output-Calculation-sheet'!C79</f>
        <v>3958688453.034286</v>
      </c>
      <c r="D96" s="2">
        <f>D8/'Output-Calculation-sheet'!D7*'Output-Calculation-sheet'!D79</f>
        <v>4132610034.8566232</v>
      </c>
      <c r="E96" s="2">
        <f>E8/'Output-Calculation-sheet'!E7*'Output-Calculation-sheet'!E79</f>
        <v>7347428771.2150183</v>
      </c>
      <c r="F96" s="2">
        <f>F8/'Output-Calculation-sheet'!F7*'Output-Calculation-sheet'!F79</f>
        <v>3041028365.389338</v>
      </c>
      <c r="G96" s="2">
        <f>G8/'Output-Calculation-sheet'!G7*'Output-Calculation-sheet'!G79</f>
        <v>2368711040.541245</v>
      </c>
      <c r="H96" s="2">
        <f>H8/'Output-Calculation-sheet'!H7*'Output-Calculation-sheet'!H79</f>
        <v>2027482877.0329957</v>
      </c>
      <c r="I96" s="2">
        <f>I8/'Output-Calculation-sheet'!I7*'Output-Calculation-sheet'!I79</f>
        <v>1650059063.9224305</v>
      </c>
      <c r="J96" s="2">
        <f>J8/'Output-Calculation-sheet'!J7*'Output-Calculation-sheet'!J79</f>
        <v>1115812559.1574047</v>
      </c>
      <c r="K96" s="2">
        <f>K8/'Output-Calculation-sheet'!K7*'Output-Calculation-sheet'!K79</f>
        <v>1596394919.758812</v>
      </c>
      <c r="L96" s="2">
        <f>L8/'Output-Calculation-sheet'!L7*'Output-Calculation-sheet'!L79</f>
        <v>1126414866.3121774</v>
      </c>
      <c r="M96" s="2">
        <f>M8/'Output-Calculation-sheet'!M7*'Output-Calculation-sheet'!M79</f>
        <v>1513476755.8782783</v>
      </c>
      <c r="N96" s="2">
        <f>N8/'Output-Calculation-sheet'!N7*'Output-Calculation-sheet'!N79</f>
        <v>1126147242.9713717</v>
      </c>
      <c r="O96" s="2">
        <f>O8/'Output-Calculation-sheet'!O7*'Output-Calculation-sheet'!O79</f>
        <v>569306002.12926531</v>
      </c>
      <c r="P96" s="2">
        <f>P8/'Output-Calculation-sheet'!P7*'Output-Calculation-sheet'!P79</f>
        <v>1904209173.9435165</v>
      </c>
      <c r="Q96" s="2">
        <f>Q8/'Output-Calculation-sheet'!Q7*'Output-Calculation-sheet'!Q79</f>
        <v>887442922.84857476</v>
      </c>
      <c r="R96" s="2">
        <f>R8/'Output-Calculation-sheet'!R7*'Output-Calculation-sheet'!R79</f>
        <v>1107190539.9785058</v>
      </c>
      <c r="S96" s="2">
        <f>S8/'Output-Calculation-sheet'!S7*'Output-Calculation-sheet'!S79</f>
        <v>645141994.85028732</v>
      </c>
      <c r="T96" s="2">
        <f>T8/'Output-Calculation-sheet'!T7*'Output-Calculation-sheet'!T79</f>
        <v>492739963.91564059</v>
      </c>
      <c r="U96" s="2">
        <f>U8/'Output-Calculation-sheet'!U7*'Output-Calculation-sheet'!U79</f>
        <v>309526581.47814423</v>
      </c>
      <c r="V96" s="2">
        <f>V8/'Output-Calculation-sheet'!V7*'Output-Calculation-sheet'!V79</f>
        <v>160598531.49423993</v>
      </c>
      <c r="W96" s="2">
        <f>W8/'Output-Calculation-sheet'!W7*'Output-Calculation-sheet'!W79</f>
        <v>474555640.39540386</v>
      </c>
      <c r="X96" s="2">
        <f>X8/'Output-Calculation-sheet'!X7*'Output-Calculation-sheet'!X79</f>
        <v>166792877.90850982</v>
      </c>
      <c r="Y96" s="2">
        <f>Y8/'Output-Calculation-sheet'!Y7*'Output-Calculation-sheet'!Y79</f>
        <v>260861761.12727997</v>
      </c>
      <c r="AA96" s="2">
        <f t="shared" si="8"/>
        <v>49.684173619405271</v>
      </c>
    </row>
    <row r="97" spans="1:27" x14ac:dyDescent="0.25">
      <c r="A97" s="2">
        <v>2032</v>
      </c>
      <c r="B97" s="2">
        <f>B9/'Output-Calculation-sheet'!B8*'Output-Calculation-sheet'!B80</f>
        <v>16044357653.580063</v>
      </c>
      <c r="C97" s="2">
        <f>C9/'Output-Calculation-sheet'!C8*'Output-Calculation-sheet'!C80</f>
        <v>5464794699.4624004</v>
      </c>
      <c r="D97" s="2">
        <f>D9/'Output-Calculation-sheet'!D8*'Output-Calculation-sheet'!D80</f>
        <v>5445135958.316205</v>
      </c>
      <c r="E97" s="2">
        <f>E9/'Output-Calculation-sheet'!E8*'Output-Calculation-sheet'!E80</f>
        <v>9958339066.2936554</v>
      </c>
      <c r="F97" s="2">
        <f>F9/'Output-Calculation-sheet'!F8*'Output-Calculation-sheet'!F80</f>
        <v>4113790674.8973618</v>
      </c>
      <c r="G97" s="2">
        <f>G9/'Output-Calculation-sheet'!G8*'Output-Calculation-sheet'!G80</f>
        <v>3113913527.8645024</v>
      </c>
      <c r="H97" s="2">
        <f>H9/'Output-Calculation-sheet'!H8*'Output-Calculation-sheet'!H80</f>
        <v>2739614949.2905807</v>
      </c>
      <c r="I97" s="2">
        <f>I9/'Output-Calculation-sheet'!I8*'Output-Calculation-sheet'!I80</f>
        <v>2253587538.6734476</v>
      </c>
      <c r="J97" s="2">
        <f>J9/'Output-Calculation-sheet'!J8*'Output-Calculation-sheet'!J80</f>
        <v>1481525799.5875964</v>
      </c>
      <c r="K97" s="2">
        <f>K9/'Output-Calculation-sheet'!K8*'Output-Calculation-sheet'!K80</f>
        <v>2135931588.3997922</v>
      </c>
      <c r="L97" s="2">
        <f>L9/'Output-Calculation-sheet'!L8*'Output-Calculation-sheet'!L80</f>
        <v>1554604375.768697</v>
      </c>
      <c r="M97" s="2">
        <f>M9/'Output-Calculation-sheet'!M8*'Output-Calculation-sheet'!M80</f>
        <v>2051126551.5678515</v>
      </c>
      <c r="N97" s="2">
        <f>N9/'Output-Calculation-sheet'!N8*'Output-Calculation-sheet'!N80</f>
        <v>1498622184.6985776</v>
      </c>
      <c r="O97" s="2">
        <f>O9/'Output-Calculation-sheet'!O8*'Output-Calculation-sheet'!O80</f>
        <v>775288967.18440294</v>
      </c>
      <c r="P97" s="2">
        <f>P9/'Output-Calculation-sheet'!P8*'Output-Calculation-sheet'!P80</f>
        <v>2536599715.3515449</v>
      </c>
      <c r="Q97" s="2">
        <f>Q9/'Output-Calculation-sheet'!Q8*'Output-Calculation-sheet'!Q80</f>
        <v>1186524075.3043799</v>
      </c>
      <c r="R97" s="2">
        <f>R9/'Output-Calculation-sheet'!R8*'Output-Calculation-sheet'!R80</f>
        <v>1499170145.2215085</v>
      </c>
      <c r="S97" s="2">
        <f>S9/'Output-Calculation-sheet'!S8*'Output-Calculation-sheet'!S80</f>
        <v>870114014.20434427</v>
      </c>
      <c r="T97" s="2">
        <f>T9/'Output-Calculation-sheet'!T8*'Output-Calculation-sheet'!T80</f>
        <v>655226453.79798484</v>
      </c>
      <c r="U97" s="2">
        <f>U9/'Output-Calculation-sheet'!U8*'Output-Calculation-sheet'!U80</f>
        <v>418881572.73133111</v>
      </c>
      <c r="V97" s="2">
        <f>V9/'Output-Calculation-sheet'!V8*'Output-Calculation-sheet'!V80</f>
        <v>219636533.29485139</v>
      </c>
      <c r="W97" s="2">
        <f>W9/'Output-Calculation-sheet'!W8*'Output-Calculation-sheet'!W80</f>
        <v>636071644.2526381</v>
      </c>
      <c r="X97" s="2">
        <f>X9/'Output-Calculation-sheet'!X8*'Output-Calculation-sheet'!X80</f>
        <v>228411102.17855853</v>
      </c>
      <c r="Y97" s="2">
        <f>Y9/'Output-Calculation-sheet'!Y8*'Output-Calculation-sheet'!Y80</f>
        <v>349626148.48090672</v>
      </c>
      <c r="AA97" s="2">
        <f t="shared" si="8"/>
        <v>67.230894940403189</v>
      </c>
    </row>
    <row r="98" spans="1:27" x14ac:dyDescent="0.25">
      <c r="A98" s="2">
        <v>2033</v>
      </c>
      <c r="B98" s="2">
        <f>B10/'Output-Calculation-sheet'!B9*'Output-Calculation-sheet'!B81</f>
        <v>20672327868.146263</v>
      </c>
      <c r="C98" s="2">
        <f>C10/'Output-Calculation-sheet'!C9*'Output-Calculation-sheet'!C81</f>
        <v>7087499107.1484756</v>
      </c>
      <c r="D98" s="2">
        <f>D10/'Output-Calculation-sheet'!D9*'Output-Calculation-sheet'!D81</f>
        <v>6745140471.5650434</v>
      </c>
      <c r="E98" s="2">
        <f>E10/'Output-Calculation-sheet'!E9*'Output-Calculation-sheet'!E81</f>
        <v>12688033629.405037</v>
      </c>
      <c r="F98" s="2">
        <f>F10/'Output-Calculation-sheet'!F9*'Output-Calculation-sheet'!F81</f>
        <v>5232851752.2769814</v>
      </c>
      <c r="G98" s="2">
        <f>G10/'Output-Calculation-sheet'!G9*'Output-Calculation-sheet'!G81</f>
        <v>3842119861.4678059</v>
      </c>
      <c r="H98" s="2">
        <f>H10/'Output-Calculation-sheet'!H9*'Output-Calculation-sheet'!H81</f>
        <v>3480991985.5540805</v>
      </c>
      <c r="I98" s="2">
        <f>I10/'Output-Calculation-sheet'!I9*'Output-Calculation-sheet'!I81</f>
        <v>2893732019.4618444</v>
      </c>
      <c r="J98" s="2">
        <f>J10/'Output-Calculation-sheet'!J9*'Output-Calculation-sheet'!J81</f>
        <v>1850325188.7750025</v>
      </c>
      <c r="K98" s="2">
        <f>K10/'Output-Calculation-sheet'!K9*'Output-Calculation-sheet'!K81</f>
        <v>2687670714.7597613</v>
      </c>
      <c r="L98" s="2">
        <f>L10/'Output-Calculation-sheet'!L9*'Output-Calculation-sheet'!L81</f>
        <v>2015793267.4360693</v>
      </c>
      <c r="M98" s="2">
        <f>M10/'Output-Calculation-sheet'!M9*'Output-Calculation-sheet'!M81</f>
        <v>2614078827.3740668</v>
      </c>
      <c r="N98" s="2">
        <f>N10/'Output-Calculation-sheet'!N9*'Output-Calculation-sheet'!N81</f>
        <v>1875397594.6565177</v>
      </c>
      <c r="O98" s="2">
        <f>O10/'Output-Calculation-sheet'!O9*'Output-Calculation-sheet'!O81</f>
        <v>993128978.00351834</v>
      </c>
      <c r="P98" s="2">
        <f>P10/'Output-Calculation-sheet'!P9*'Output-Calculation-sheet'!P81</f>
        <v>3173752061.9110436</v>
      </c>
      <c r="Q98" s="2">
        <f>Q10/'Output-Calculation-sheet'!Q9*'Output-Calculation-sheet'!Q81</f>
        <v>1492217763.0265839</v>
      </c>
      <c r="R98" s="2">
        <f>R10/'Output-Calculation-sheet'!R9*'Output-Calculation-sheet'!R81</f>
        <v>1908772273.8785777</v>
      </c>
      <c r="S98" s="2">
        <f>S10/'Output-Calculation-sheet'!S9*'Output-Calculation-sheet'!S81</f>
        <v>1103610209.8198097</v>
      </c>
      <c r="T98" s="2">
        <f>T10/'Output-Calculation-sheet'!T9*'Output-Calculation-sheet'!T81</f>
        <v>818924177.76589203</v>
      </c>
      <c r="U98" s="2">
        <f>U10/'Output-Calculation-sheet'!U9*'Output-Calculation-sheet'!U81</f>
        <v>532845182.53669232</v>
      </c>
      <c r="V98" s="2">
        <f>V10/'Output-Calculation-sheet'!V9*'Output-Calculation-sheet'!V81</f>
        <v>282203781.65981716</v>
      </c>
      <c r="W98" s="2">
        <f>W10/'Output-Calculation-sheet'!W9*'Output-Calculation-sheet'!W81</f>
        <v>800145081.39744151</v>
      </c>
      <c r="X98" s="2">
        <f>X10/'Output-Calculation-sheet'!X9*'Output-Calculation-sheet'!X81</f>
        <v>294029108.81183827</v>
      </c>
      <c r="Y98" s="2">
        <f>Y10/'Output-Calculation-sheet'!Y9*'Output-Calculation-sheet'!Y81</f>
        <v>439969317.75516641</v>
      </c>
      <c r="AA98" s="2">
        <f t="shared" si="8"/>
        <v>85.525560224593349</v>
      </c>
    </row>
    <row r="99" spans="1:27" x14ac:dyDescent="0.25">
      <c r="A99" s="2">
        <v>2034</v>
      </c>
      <c r="B99" s="2">
        <f>B11/'Output-Calculation-sheet'!B10*'Output-Calculation-sheet'!B82</f>
        <v>25558096417.552109</v>
      </c>
      <c r="C99" s="2">
        <f>C11/'Output-Calculation-sheet'!C10*'Output-Calculation-sheet'!C82</f>
        <v>8818591856.0541821</v>
      </c>
      <c r="D99" s="2">
        <f>D11/'Output-Calculation-sheet'!D10*'Output-Calculation-sheet'!D82</f>
        <v>8022438059.3415575</v>
      </c>
      <c r="E99" s="2">
        <f>E11/'Output-Calculation-sheet'!E10*'Output-Calculation-sheet'!E82</f>
        <v>15518702946.705063</v>
      </c>
      <c r="F99" s="2">
        <f>F11/'Output-Calculation-sheet'!F10*'Output-Calculation-sheet'!F82</f>
        <v>6391358549.7262087</v>
      </c>
      <c r="G99" s="2">
        <f>G11/'Output-Calculation-sheet'!G10*'Output-Calculation-sheet'!G82</f>
        <v>4543801117.8957739</v>
      </c>
      <c r="H99" s="2">
        <f>H11/'Output-Calculation-sheet'!H10*'Output-Calculation-sheet'!H82</f>
        <v>4247007113.8269453</v>
      </c>
      <c r="I99" s="2">
        <f>I11/'Output-Calculation-sheet'!I10*'Output-Calculation-sheet'!I82</f>
        <v>3567190312.0842419</v>
      </c>
      <c r="J99" s="2">
        <f>J11/'Output-Calculation-sheet'!J10*'Output-Calculation-sheet'!J82</f>
        <v>2219861166.906054</v>
      </c>
      <c r="K99" s="2">
        <f>K11/'Output-Calculation-sheet'!K10*'Output-Calculation-sheet'!K82</f>
        <v>3247948192.5205145</v>
      </c>
      <c r="L99" s="2">
        <f>L11/'Output-Calculation-sheet'!L10*'Output-Calculation-sheet'!L82</f>
        <v>2507653525.0847144</v>
      </c>
      <c r="M99" s="2">
        <f>M11/'Output-Calculation-sheet'!M10*'Output-Calculation-sheet'!M82</f>
        <v>3199191739.071229</v>
      </c>
      <c r="N99" s="2">
        <f>N11/'Output-Calculation-sheet'!N10*'Output-Calculation-sheet'!N82</f>
        <v>2253833569.4194837</v>
      </c>
      <c r="O99" s="2">
        <f>O11/'Output-Calculation-sheet'!O10*'Output-Calculation-sheet'!O82</f>
        <v>1221916288.7463667</v>
      </c>
      <c r="P99" s="2">
        <f>P11/'Output-Calculation-sheet'!P10*'Output-Calculation-sheet'!P82</f>
        <v>3808989886.1371603</v>
      </c>
      <c r="Q99" s="2">
        <f>Q11/'Output-Calculation-sheet'!Q10*'Output-Calculation-sheet'!Q82</f>
        <v>1802653373.1027443</v>
      </c>
      <c r="R99" s="2">
        <f>R11/'Output-Calculation-sheet'!R10*'Output-Calculation-sheet'!R82</f>
        <v>2333526454.9202847</v>
      </c>
      <c r="S99" s="2">
        <f>S11/'Output-Calculation-sheet'!S10*'Output-Calculation-sheet'!S82</f>
        <v>1344176475.2697456</v>
      </c>
      <c r="T99" s="2">
        <f>T11/'Output-Calculation-sheet'!T10*'Output-Calculation-sheet'!T82</f>
        <v>982435850.716452</v>
      </c>
      <c r="U99" s="2">
        <f>U11/'Output-Calculation-sheet'!U10*'Output-Calculation-sheet'!U82</f>
        <v>650588824.73784924</v>
      </c>
      <c r="V99" s="2">
        <f>V11/'Output-Calculation-sheet'!V10*'Output-Calculation-sheet'!V82</f>
        <v>347861733.4254595</v>
      </c>
      <c r="W99" s="2">
        <f>W11/'Output-Calculation-sheet'!W10*'Output-Calculation-sheet'!W82</f>
        <v>964632766.0587523</v>
      </c>
      <c r="X99" s="2">
        <f>X11/'Output-Calculation-sheet'!X10*'Output-Calculation-sheet'!X82</f>
        <v>363307257.10014004</v>
      </c>
      <c r="Y99" s="2">
        <f>Y11/'Output-Calculation-sheet'!Y10*'Output-Calculation-sheet'!Y82</f>
        <v>530853967.37910312</v>
      </c>
      <c r="AA99" s="2">
        <f t="shared" si="8"/>
        <v>104.44661744378213</v>
      </c>
    </row>
    <row r="100" spans="1:27" x14ac:dyDescent="0.25">
      <c r="A100" s="2">
        <v>2035</v>
      </c>
      <c r="B100" s="2">
        <f>B12/'Output-Calculation-sheet'!B11*'Output-Calculation-sheet'!B83</f>
        <v>30647256298.635689</v>
      </c>
      <c r="C100" s="2">
        <f>C12/'Output-Calculation-sheet'!C11*'Output-Calculation-sheet'!C83</f>
        <v>10640229602.801977</v>
      </c>
      <c r="D100" s="2">
        <f>D12/'Output-Calculation-sheet'!D11*'Output-Calculation-sheet'!D83</f>
        <v>9260955556.2989712</v>
      </c>
      <c r="E100" s="2">
        <f>E12/'Output-Calculation-sheet'!E11*'Output-Calculation-sheet'!E83</f>
        <v>18417651007.766144</v>
      </c>
      <c r="F100" s="2">
        <f>F12/'Output-Calculation-sheet'!F11*'Output-Calculation-sheet'!F83</f>
        <v>7576287259.7534485</v>
      </c>
      <c r="G100" s="2">
        <f>G12/'Output-Calculation-sheet'!G11*'Output-Calculation-sheet'!G83</f>
        <v>5206384593.1228094</v>
      </c>
      <c r="H100" s="2">
        <f>H12/'Output-Calculation-sheet'!H11*'Output-Calculation-sheet'!H83</f>
        <v>5028978433.163847</v>
      </c>
      <c r="I100" s="2">
        <f>I12/'Output-Calculation-sheet'!I11*'Output-Calculation-sheet'!I83</f>
        <v>4266988869.9780717</v>
      </c>
      <c r="J100" s="2">
        <f>J12/'Output-Calculation-sheet'!J11*'Output-Calculation-sheet'!J83</f>
        <v>2585978908.5480347</v>
      </c>
      <c r="K100" s="2">
        <f>K12/'Output-Calculation-sheet'!K11*'Output-Calculation-sheet'!K83</f>
        <v>3810248451.4913378</v>
      </c>
      <c r="L100" s="2">
        <f>L12/'Output-Calculation-sheet'!L11*'Output-Calculation-sheet'!L83</f>
        <v>3025120012.3771529</v>
      </c>
      <c r="M100" s="2">
        <f>M12/'Output-Calculation-sheet'!M11*'Output-Calculation-sheet'!M83</f>
        <v>3800221076.9628386</v>
      </c>
      <c r="N100" s="2">
        <f>N12/'Output-Calculation-sheet'!N11*'Output-Calculation-sheet'!N83</f>
        <v>2629452834.4199576</v>
      </c>
      <c r="O100" s="2">
        <f>O12/'Output-Calculation-sheet'!O11*'Output-Calculation-sheet'!O83</f>
        <v>1459513281.2802022</v>
      </c>
      <c r="P100" s="2">
        <f>P12/'Output-Calculation-sheet'!P11*'Output-Calculation-sheet'!P83</f>
        <v>4432645541.5681019</v>
      </c>
      <c r="Q100" s="2">
        <f>Q12/'Output-Calculation-sheet'!Q11*'Output-Calculation-sheet'!Q83</f>
        <v>2114392243.2396376</v>
      </c>
      <c r="R100" s="2">
        <f>R12/'Output-Calculation-sheet'!R11*'Output-Calculation-sheet'!R83</f>
        <v>2768678794.57831</v>
      </c>
      <c r="S100" s="2">
        <f>S12/'Output-Calculation-sheet'!S11*'Output-Calculation-sheet'!S83</f>
        <v>1589079375.7702584</v>
      </c>
      <c r="T100" s="2">
        <f>T12/'Output-Calculation-sheet'!T11*'Output-Calculation-sheet'!T83</f>
        <v>1143586573.3903942</v>
      </c>
      <c r="U100" s="2">
        <f>U12/'Output-Calculation-sheet'!U11*'Output-Calculation-sheet'!U83</f>
        <v>770647868.80376315</v>
      </c>
      <c r="V100" s="2">
        <f>V12/'Output-Calculation-sheet'!V11*'Output-Calculation-sheet'!V83</f>
        <v>415809300.99021834</v>
      </c>
      <c r="W100" s="2">
        <f>W12/'Output-Calculation-sheet'!W11*'Output-Calculation-sheet'!W83</f>
        <v>1126529549.3212123</v>
      </c>
      <c r="X100" s="2">
        <f>X12/'Output-Calculation-sheet'!X11*'Output-Calculation-sheet'!X83</f>
        <v>435527024.20953298</v>
      </c>
      <c r="Y100" s="2">
        <f>Y12/'Output-Calculation-sheet'!Y11*'Output-Calculation-sheet'!Y83</f>
        <v>620785023.87585926</v>
      </c>
      <c r="AA100" s="2">
        <f t="shared" si="8"/>
        <v>123.77294748234775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1066.1365058506681</v>
      </c>
      <c r="C19" s="2">
        <f>C8/'Output-Calculation-sheet'!C7*'Output-Calculation-sheet'!C25</f>
        <v>9936.1419323600476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4783.7076277718579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3323.6349040445853</v>
      </c>
      <c r="N19" s="2">
        <f>N8/'Output-Calculation-sheet'!N7*'Output-Calculation-sheet'!N25</f>
        <v>1137.9095872350333</v>
      </c>
      <c r="O19" s="2">
        <f>O8/'Output-Calculation-sheet'!O7*'Output-Calculation-sheet'!O25</f>
        <v>1762.5945513542483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406.02410396668296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371.90328512904938</v>
      </c>
      <c r="Y19" s="2">
        <f>Y8/'Output-Calculation-sheet'!Y7*'Output-Calculation-sheet'!Y25</f>
        <v>0</v>
      </c>
      <c r="AA19" s="2">
        <f t="shared" si="0"/>
        <v>22.788052497712176</v>
      </c>
    </row>
    <row r="20" spans="1:27" x14ac:dyDescent="0.25">
      <c r="A20" s="2">
        <v>2032</v>
      </c>
      <c r="B20" s="2">
        <f>B9/'Output-Calculation-sheet'!B8*'Output-Calculation-sheet'!B26</f>
        <v>6056.6425089982822</v>
      </c>
      <c r="C20" s="2">
        <f>C9/'Output-Calculation-sheet'!C8*'Output-Calculation-sheet'!C26</f>
        <v>12310.437587866554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6589.2028776594998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4582.6949045212132</v>
      </c>
      <c r="N20" s="2">
        <f>N9/'Output-Calculation-sheet'!N8*'Output-Calculation-sheet'!N26</f>
        <v>2066.2480277421473</v>
      </c>
      <c r="O20" s="2">
        <f>O9/'Output-Calculation-sheet'!O8*'Output-Calculation-sheet'!O26</f>
        <v>2143.5634005027109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747.09435466721436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512.1939940931718</v>
      </c>
      <c r="Y20" s="2">
        <f>Y9/'Output-Calculation-sheet'!Y8*'Output-Calculation-sheet'!Y26</f>
        <v>0</v>
      </c>
      <c r="AA20" s="2">
        <f t="shared" si="0"/>
        <v>35.008077656050787</v>
      </c>
    </row>
    <row r="21" spans="1:27" x14ac:dyDescent="0.25">
      <c r="A21" s="2">
        <v>2033</v>
      </c>
      <c r="B21" s="2">
        <f>B10/'Output-Calculation-sheet'!B9*'Output-Calculation-sheet'!B27</f>
        <v>14753.487622038219</v>
      </c>
      <c r="C21" s="2">
        <f>C10/'Output-Calculation-sheet'!C9*'Output-Calculation-sheet'!C27</f>
        <v>15040.369400970834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8529.3671864721837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5924.2405589460295</v>
      </c>
      <c r="N21" s="2">
        <f>N10/'Output-Calculation-sheet'!N9*'Output-Calculation-sheet'!N27</f>
        <v>3223.6160560057751</v>
      </c>
      <c r="O21" s="2">
        <f>O10/'Output-Calculation-sheet'!O9*'Output-Calculation-sheet'!O27</f>
        <v>2500.7730871552021</v>
      </c>
      <c r="P21" s="2">
        <f>P10/'Output-Calculation-sheet'!P9*'Output-Calculation-sheet'!P27</f>
        <v>0</v>
      </c>
      <c r="Q21" s="2">
        <f>Q10/'Output-Calculation-sheet'!Q9*'Output-Calculation-sheet'!Q27</f>
        <v>220.14747304574598</v>
      </c>
      <c r="R21" s="2">
        <f>R10/'Output-Calculation-sheet'!R9*'Output-Calculation-sheet'!R27</f>
        <v>0</v>
      </c>
      <c r="S21" s="2">
        <f>S10/'Output-Calculation-sheet'!S9*'Output-Calculation-sheet'!S27</f>
        <v>1410.6362018532295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696.59804073003886</v>
      </c>
      <c r="Y21" s="2">
        <f>Y10/'Output-Calculation-sheet'!Y9*'Output-Calculation-sheet'!Y27</f>
        <v>0</v>
      </c>
      <c r="AA21" s="2">
        <f t="shared" si="0"/>
        <v>52.299235627217271</v>
      </c>
    </row>
    <row r="22" spans="1:27" x14ac:dyDescent="0.25">
      <c r="A22" s="2">
        <v>2034</v>
      </c>
      <c r="B22" s="2">
        <f>B11/'Output-Calculation-sheet'!B10*'Output-Calculation-sheet'!B28</f>
        <v>25904.38950703611</v>
      </c>
      <c r="C22" s="2">
        <f>C11/'Output-Calculation-sheet'!C10*'Output-Calculation-sheet'!C28</f>
        <v>18496.267196236047</v>
      </c>
      <c r="D22" s="2">
        <f>D11/'Output-Calculation-sheet'!D10*'Output-Calculation-sheet'!D28</f>
        <v>0</v>
      </c>
      <c r="E22" s="2">
        <f>E11/'Output-Calculation-sheet'!E10*'Output-Calculation-sheet'!E28</f>
        <v>1498.2672689488857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10889.949392063865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743.99451753879748</v>
      </c>
      <c r="M22" s="2">
        <f>M11/'Output-Calculation-sheet'!M10*'Output-Calculation-sheet'!M28</f>
        <v>7565.7071415473265</v>
      </c>
      <c r="N22" s="2">
        <f>N11/'Output-Calculation-sheet'!N10*'Output-Calculation-sheet'!N28</f>
        <v>4392.5737559945428</v>
      </c>
      <c r="O22" s="2">
        <f>O11/'Output-Calculation-sheet'!O10*'Output-Calculation-sheet'!O28</f>
        <v>2846.7753283356378</v>
      </c>
      <c r="P22" s="2">
        <f>P11/'Output-Calculation-sheet'!P10*'Output-Calculation-sheet'!P28</f>
        <v>0</v>
      </c>
      <c r="Q22" s="2">
        <f>Q11/'Output-Calculation-sheet'!Q10*'Output-Calculation-sheet'!Q28</f>
        <v>656.71064269703857</v>
      </c>
      <c r="R22" s="2">
        <f>R11/'Output-Calculation-sheet'!R10*'Output-Calculation-sheet'!R28</f>
        <v>0</v>
      </c>
      <c r="S22" s="2">
        <f>S11/'Output-Calculation-sheet'!S10*'Output-Calculation-sheet'!S28</f>
        <v>2051.71373763261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787.92370514492825</v>
      </c>
      <c r="Y22" s="2">
        <f>Y11/'Output-Calculation-sheet'!Y10*'Output-Calculation-sheet'!Y28</f>
        <v>82.957398164954142</v>
      </c>
      <c r="AA22" s="2">
        <f t="shared" si="0"/>
        <v>75.917229591340757</v>
      </c>
    </row>
    <row r="23" spans="1:27" x14ac:dyDescent="0.25">
      <c r="A23" s="2">
        <v>2035</v>
      </c>
      <c r="B23" s="2">
        <f>B12/'Output-Calculation-sheet'!B11*'Output-Calculation-sheet'!B29</f>
        <v>31887.811977687968</v>
      </c>
      <c r="C23" s="2">
        <f>C12/'Output-Calculation-sheet'!C11*'Output-Calculation-sheet'!C29</f>
        <v>23259.440705930621</v>
      </c>
      <c r="D23" s="2">
        <f>D12/'Output-Calculation-sheet'!D11*'Output-Calculation-sheet'!D29</f>
        <v>0</v>
      </c>
      <c r="E23" s="2">
        <f>E12/'Output-Calculation-sheet'!E11*'Output-Calculation-sheet'!E29</f>
        <v>4056.422242514951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11675.62921408458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960.12435484176399</v>
      </c>
      <c r="M23" s="2">
        <f>M12/'Output-Calculation-sheet'!M11*'Output-Calculation-sheet'!M29</f>
        <v>8232.0696228752931</v>
      </c>
      <c r="N23" s="2">
        <f>N12/'Output-Calculation-sheet'!N11*'Output-Calculation-sheet'!N29</f>
        <v>4850.6288928448957</v>
      </c>
      <c r="O23" s="2">
        <f>O12/'Output-Calculation-sheet'!O11*'Output-Calculation-sheet'!O29</f>
        <v>3209.1164857312492</v>
      </c>
      <c r="P23" s="2">
        <f>P12/'Output-Calculation-sheet'!P11*'Output-Calculation-sheet'!P29</f>
        <v>684.21730961912363</v>
      </c>
      <c r="Q23" s="2">
        <f>Q12/'Output-Calculation-sheet'!Q11*'Output-Calculation-sheet'!Q29</f>
        <v>1036.3556359428273</v>
      </c>
      <c r="R23" s="2">
        <f>R12/'Output-Calculation-sheet'!R11*'Output-Calculation-sheet'!R29</f>
        <v>0</v>
      </c>
      <c r="S23" s="2">
        <f>S12/'Output-Calculation-sheet'!S11*'Output-Calculation-sheet'!S29</f>
        <v>2372.1118084159102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855.17508758666202</v>
      </c>
      <c r="Y23" s="2">
        <f>Y12/'Output-Calculation-sheet'!Y11*'Output-Calculation-sheet'!Y29</f>
        <v>217.15237644950534</v>
      </c>
      <c r="AA23" s="2">
        <f t="shared" si="0"/>
        <v>93.296255714525358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18582.412966417738</v>
      </c>
      <c r="C30" s="2">
        <f>C8/'Output-Calculation-sheet'!C7*'Output-Calculation-sheet'!C16</f>
        <v>0</v>
      </c>
      <c r="D30" s="2">
        <f>D8/'Output-Calculation-sheet'!D7*'Output-Calculation-sheet'!D16</f>
        <v>3129.0326904551193</v>
      </c>
      <c r="E30" s="2">
        <f>E8/'Output-Calculation-sheet'!E7*'Output-Calculation-sheet'!E16</f>
        <v>3366.6623912851305</v>
      </c>
      <c r="F30" s="2">
        <f>F8/'Output-Calculation-sheet'!F7*'Output-Calculation-sheet'!F16</f>
        <v>1698.499091330282</v>
      </c>
      <c r="G30" s="2">
        <f>G8/'Output-Calculation-sheet'!G7*'Output-Calculation-sheet'!G16</f>
        <v>1112.3151713403893</v>
      </c>
      <c r="H30" s="2">
        <f>H8/'Output-Calculation-sheet'!H7*'Output-Calculation-sheet'!H16</f>
        <v>0</v>
      </c>
      <c r="I30" s="2">
        <f>I8/'Output-Calculation-sheet'!I7*'Output-Calculation-sheet'!I16</f>
        <v>1084.3407436506907</v>
      </c>
      <c r="J30" s="2">
        <f>J8/'Output-Calculation-sheet'!J7*'Output-Calculation-sheet'!J16</f>
        <v>965.27176301849681</v>
      </c>
      <c r="K30" s="2">
        <f>K8/'Output-Calculation-sheet'!K7*'Output-Calculation-sheet'!K16</f>
        <v>1288.822305489459</v>
      </c>
      <c r="L30" s="2">
        <f>L8/'Output-Calculation-sheet'!L7*'Output-Calculation-sheet'!L16</f>
        <v>1088.6358351948872</v>
      </c>
      <c r="M30" s="2">
        <f>M8/'Output-Calculation-sheet'!M7*'Output-Calculation-sheet'!M16</f>
        <v>0</v>
      </c>
      <c r="N30" s="2">
        <f>N8/'Output-Calculation-sheet'!N7*'Output-Calculation-sheet'!N16</f>
        <v>1546.3154876619446</v>
      </c>
      <c r="O30" s="2">
        <f>O8/'Output-Calculation-sheet'!O7*'Output-Calculation-sheet'!O16</f>
        <v>0</v>
      </c>
      <c r="P30" s="2">
        <f>P8/'Output-Calculation-sheet'!P7*'Output-Calculation-sheet'!P16</f>
        <v>1389.7776216475288</v>
      </c>
      <c r="Q30" s="2">
        <f>Q8/'Output-Calculation-sheet'!Q7*'Output-Calculation-sheet'!Q16</f>
        <v>1528.2963960844288</v>
      </c>
      <c r="R30" s="2">
        <f>R8/'Output-Calculation-sheet'!R7*'Output-Calculation-sheet'!R16</f>
        <v>969.71070587878648</v>
      </c>
      <c r="S30" s="2">
        <f>S8/'Output-Calculation-sheet'!S7*'Output-Calculation-sheet'!S16</f>
        <v>975.24461930261305</v>
      </c>
      <c r="T30" s="2">
        <f>T8/'Output-Calculation-sheet'!T7*'Output-Calculation-sheet'!T16</f>
        <v>291.09321504972166</v>
      </c>
      <c r="U30" s="2">
        <f>U8/'Output-Calculation-sheet'!U7*'Output-Calculation-sheet'!U16</f>
        <v>290.57289330927642</v>
      </c>
      <c r="V30" s="2">
        <f>V8/'Output-Calculation-sheet'!V7*'Output-Calculation-sheet'!V16</f>
        <v>226.14735951590188</v>
      </c>
      <c r="W30" s="2">
        <f>W8/'Output-Calculation-sheet'!W7*'Output-Calculation-sheet'!W16</f>
        <v>137.16977420827521</v>
      </c>
      <c r="X30" s="2">
        <f>X8/'Output-Calculation-sheet'!X7*'Output-Calculation-sheet'!X16</f>
        <v>0</v>
      </c>
      <c r="Y30" s="2">
        <f>Y8/'Output-Calculation-sheet'!Y7*'Output-Calculation-sheet'!Y16</f>
        <v>116.09861939957794</v>
      </c>
      <c r="AA30" s="2">
        <f t="shared" si="1"/>
        <v>39.786419650240255</v>
      </c>
    </row>
    <row r="31" spans="1:27" x14ac:dyDescent="0.25">
      <c r="A31" s="2">
        <v>2032</v>
      </c>
      <c r="B31" s="2">
        <f>B9/'Output-Calculation-sheet'!B8*'Output-Calculation-sheet'!B17</f>
        <v>25645.825422024202</v>
      </c>
      <c r="C31" s="2">
        <f>C9/'Output-Calculation-sheet'!C8*'Output-Calculation-sheet'!C17</f>
        <v>0</v>
      </c>
      <c r="D31" s="2">
        <f>D9/'Output-Calculation-sheet'!D8*'Output-Calculation-sheet'!D17</f>
        <v>4301.1416437163252</v>
      </c>
      <c r="E31" s="2">
        <f>E9/'Output-Calculation-sheet'!E8*'Output-Calculation-sheet'!E17</f>
        <v>5055.4043448917073</v>
      </c>
      <c r="F31" s="2">
        <f>F9/'Output-Calculation-sheet'!F8*'Output-Calculation-sheet'!F17</f>
        <v>2334.7992305189059</v>
      </c>
      <c r="G31" s="2">
        <f>G9/'Output-Calculation-sheet'!G8*'Output-Calculation-sheet'!G17</f>
        <v>1529.0020221615491</v>
      </c>
      <c r="H31" s="2">
        <f>H9/'Output-Calculation-sheet'!H8*'Output-Calculation-sheet'!H17</f>
        <v>0</v>
      </c>
      <c r="I31" s="2">
        <f>I9/'Output-Calculation-sheet'!I8*'Output-Calculation-sheet'!I17</f>
        <v>1490.5550137869852</v>
      </c>
      <c r="J31" s="2">
        <f>J9/'Output-Calculation-sheet'!J8*'Output-Calculation-sheet'!J17</f>
        <v>1326.88126639794</v>
      </c>
      <c r="K31" s="2">
        <f>K9/'Output-Calculation-sheet'!K8*'Output-Calculation-sheet'!K17</f>
        <v>1889.1266172036653</v>
      </c>
      <c r="L31" s="2">
        <f>L9/'Output-Calculation-sheet'!L8*'Output-Calculation-sheet'!L17</f>
        <v>1611.0929044120194</v>
      </c>
      <c r="M31" s="2">
        <f>M9/'Output-Calculation-sheet'!M8*'Output-Calculation-sheet'!M17</f>
        <v>0</v>
      </c>
      <c r="N31" s="2">
        <f>N9/'Output-Calculation-sheet'!N8*'Output-Calculation-sheet'!N17</f>
        <v>1751.4227631635456</v>
      </c>
      <c r="O31" s="2">
        <f>O9/'Output-Calculation-sheet'!O8*'Output-Calculation-sheet'!O17</f>
        <v>0</v>
      </c>
      <c r="P31" s="2">
        <f>P9/'Output-Calculation-sheet'!P8*'Output-Calculation-sheet'!P17</f>
        <v>2173.7874892805353</v>
      </c>
      <c r="Q31" s="2">
        <f>Q9/'Output-Calculation-sheet'!Q8*'Output-Calculation-sheet'!Q17</f>
        <v>2317.4571845365513</v>
      </c>
      <c r="R31" s="2">
        <f>R9/'Output-Calculation-sheet'!R8*'Output-Calculation-sheet'!R17</f>
        <v>1516.2029663160447</v>
      </c>
      <c r="S31" s="2">
        <f>S9/'Output-Calculation-sheet'!S8*'Output-Calculation-sheet'!S17</f>
        <v>1309.2662113139929</v>
      </c>
      <c r="T31" s="2">
        <f>T9/'Output-Calculation-sheet'!T8*'Output-Calculation-sheet'!T17</f>
        <v>411.43275239948019</v>
      </c>
      <c r="U31" s="2">
        <f>U9/'Output-Calculation-sheet'!U8*'Output-Calculation-sheet'!U17</f>
        <v>472.86739791100109</v>
      </c>
      <c r="V31" s="2">
        <f>V9/'Output-Calculation-sheet'!V8*'Output-Calculation-sheet'!V17</f>
        <v>338.69248007853656</v>
      </c>
      <c r="W31" s="2">
        <f>W9/'Output-Calculation-sheet'!W8*'Output-Calculation-sheet'!W17</f>
        <v>188.55809486404564</v>
      </c>
      <c r="X31" s="2">
        <f>X9/'Output-Calculation-sheet'!X8*'Output-Calculation-sheet'!X17</f>
        <v>0</v>
      </c>
      <c r="Y31" s="2">
        <f>Y9/'Output-Calculation-sheet'!Y8*'Output-Calculation-sheet'!Y17</f>
        <v>182.18797123173701</v>
      </c>
      <c r="AA31" s="2">
        <f t="shared" si="1"/>
        <v>55.845703776208765</v>
      </c>
    </row>
    <row r="32" spans="1:27" x14ac:dyDescent="0.25">
      <c r="A32" s="2">
        <v>2033</v>
      </c>
      <c r="B32" s="2">
        <f>B10/'Output-Calculation-sheet'!B9*'Output-Calculation-sheet'!B18</f>
        <v>29902.341867285588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1834.2188238150923</v>
      </c>
      <c r="O32" s="2">
        <f>O10/'Output-Calculation-sheet'!O9*'Output-Calculation-sheet'!O18</f>
        <v>0</v>
      </c>
      <c r="P32" s="2">
        <f>P10/'Output-Calculation-sheet'!P9*'Output-Calculation-sheet'!P18</f>
        <v>2935.1980162025029</v>
      </c>
      <c r="Q32" s="2">
        <f>Q10/'Output-Calculation-sheet'!Q9*'Output-Calculation-sheet'!Q18</f>
        <v>3198.3414518843601</v>
      </c>
      <c r="R32" s="2">
        <f>R10/'Output-Calculation-sheet'!R9*'Output-Calculation-sheet'!R18</f>
        <v>2107.338763749794</v>
      </c>
      <c r="S32" s="2">
        <f>S10/'Output-Calculation-sheet'!S9*'Output-Calculation-sheet'!S18</f>
        <v>1379.2223791762897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681.31628477265895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71.89474150656892</v>
      </c>
    </row>
    <row r="33" spans="1:27" x14ac:dyDescent="0.25">
      <c r="A33" s="2">
        <v>2034</v>
      </c>
      <c r="B33" s="2">
        <f>B11/'Output-Calculation-sheet'!B10*'Output-Calculation-sheet'!B19</f>
        <v>29685.643339533948</v>
      </c>
      <c r="C33" s="2">
        <f>C11/'Output-Calculation-sheet'!C10*'Output-Calculation-sheet'!C19</f>
        <v>0</v>
      </c>
      <c r="D33" s="2">
        <f>D11/'Output-Calculation-sheet'!D10*'Output-Calculation-sheet'!D19</f>
        <v>8986.6796344764389</v>
      </c>
      <c r="E33" s="2">
        <f>E11/'Output-Calculation-sheet'!E10*'Output-Calculation-sheet'!E19</f>
        <v>11143.972280124908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3053.5806638868876</v>
      </c>
      <c r="H33" s="2">
        <f>H11/'Output-Calculation-sheet'!H10*'Output-Calculation-sheet'!H19</f>
        <v>0</v>
      </c>
      <c r="I33" s="2">
        <f>I11/'Output-Calculation-sheet'!I10*'Output-Calculation-sheet'!I19</f>
        <v>3336.9061433271149</v>
      </c>
      <c r="J33" s="2">
        <f>J11/'Output-Calculation-sheet'!J10*'Output-Calculation-sheet'!J19</f>
        <v>2823.1124349845404</v>
      </c>
      <c r="K33" s="2">
        <f>K11/'Output-Calculation-sheet'!K10*'Output-Calculation-sheet'!K19</f>
        <v>3908.867980601457</v>
      </c>
      <c r="L33" s="2">
        <f>L11/'Output-Calculation-sheet'!L10*'Output-Calculation-sheet'!L19</f>
        <v>3087.7593914568806</v>
      </c>
      <c r="M33" s="2">
        <f>M11/'Output-Calculation-sheet'!M10*'Output-Calculation-sheet'!M19</f>
        <v>0</v>
      </c>
      <c r="N33" s="2">
        <f>N11/'Output-Calculation-sheet'!N10*'Output-Calculation-sheet'!N19</f>
        <v>1846.8181424269087</v>
      </c>
      <c r="O33" s="2">
        <f>O11/'Output-Calculation-sheet'!O10*'Output-Calculation-sheet'!O19</f>
        <v>0</v>
      </c>
      <c r="P33" s="2">
        <f>P11/'Output-Calculation-sheet'!P10*'Output-Calculation-sheet'!P19</f>
        <v>3955.6198652331504</v>
      </c>
      <c r="Q33" s="2">
        <f>Q11/'Output-Calculation-sheet'!Q10*'Output-Calculation-sheet'!Q19</f>
        <v>3266.6418600230431</v>
      </c>
      <c r="R33" s="2">
        <f>R11/'Output-Calculation-sheet'!R10*'Output-Calculation-sheet'!R19</f>
        <v>2824.3778830572346</v>
      </c>
      <c r="S33" s="2">
        <f>S11/'Output-Calculation-sheet'!S10*'Output-Calculation-sheet'!S19</f>
        <v>1387.3919474761963</v>
      </c>
      <c r="T33" s="2">
        <f>T11/'Output-Calculation-sheet'!T10*'Output-Calculation-sheet'!T19</f>
        <v>828.69428581281761</v>
      </c>
      <c r="U33" s="2">
        <f>U11/'Output-Calculation-sheet'!U10*'Output-Calculation-sheet'!U19</f>
        <v>892.0613313007135</v>
      </c>
      <c r="V33" s="2">
        <f>V11/'Output-Calculation-sheet'!V10*'Output-Calculation-sheet'!V19</f>
        <v>650.0136199723562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0</v>
      </c>
      <c r="Y33" s="2">
        <f>Y11/'Output-Calculation-sheet'!Y10*'Output-Calculation-sheet'!Y19</f>
        <v>364.74152135386004</v>
      </c>
      <c r="AA33" s="2">
        <f t="shared" si="1"/>
        <v>87.547042750829107</v>
      </c>
    </row>
    <row r="34" spans="1:27" x14ac:dyDescent="0.25">
      <c r="A34" s="2">
        <v>2035</v>
      </c>
      <c r="B34" s="2">
        <f>B12/'Output-Calculation-sheet'!B11*'Output-Calculation-sheet'!B20</f>
        <v>30276.341678978108</v>
      </c>
      <c r="C34" s="2">
        <f>C12/'Output-Calculation-sheet'!C11*'Output-Calculation-sheet'!C20</f>
        <v>0</v>
      </c>
      <c r="D34" s="2">
        <f>D12/'Output-Calculation-sheet'!D11*'Output-Calculation-sheet'!D20</f>
        <v>9288.5619857767997</v>
      </c>
      <c r="E34" s="2">
        <f>E12/'Output-Calculation-sheet'!E11*'Output-Calculation-sheet'!E20</f>
        <v>10948.89187208391</v>
      </c>
      <c r="F34" s="2">
        <f>F12/'Output-Calculation-sheet'!F11*'Output-Calculation-sheet'!F20</f>
        <v>6265.3723921942219</v>
      </c>
      <c r="G34" s="2">
        <f>G12/'Output-Calculation-sheet'!G11*'Output-Calculation-sheet'!G20</f>
        <v>3355.3156108299063</v>
      </c>
      <c r="H34" s="2">
        <f>H12/'Output-Calculation-sheet'!H11*'Output-Calculation-sheet'!H20</f>
        <v>0</v>
      </c>
      <c r="I34" s="2">
        <f>I12/'Output-Calculation-sheet'!I11*'Output-Calculation-sheet'!I20</f>
        <v>3731.9922896405933</v>
      </c>
      <c r="J34" s="2">
        <f>J12/'Output-Calculation-sheet'!J11*'Output-Calculation-sheet'!J20</f>
        <v>2909.0712424839694</v>
      </c>
      <c r="K34" s="2">
        <f>K12/'Output-Calculation-sheet'!K11*'Output-Calculation-sheet'!K20</f>
        <v>4299.9757114581871</v>
      </c>
      <c r="L34" s="2">
        <f>L12/'Output-Calculation-sheet'!L11*'Output-Calculation-sheet'!L20</f>
        <v>3286.2457271820504</v>
      </c>
      <c r="M34" s="2">
        <f>M12/'Output-Calculation-sheet'!M11*'Output-Calculation-sheet'!M20</f>
        <v>0</v>
      </c>
      <c r="N34" s="2">
        <f>N12/'Output-Calculation-sheet'!N11*'Output-Calculation-sheet'!N20</f>
        <v>1907.0188713653195</v>
      </c>
      <c r="O34" s="2">
        <f>O12/'Output-Calculation-sheet'!O11*'Output-Calculation-sheet'!O20</f>
        <v>0</v>
      </c>
      <c r="P34" s="2">
        <f>P12/'Output-Calculation-sheet'!P11*'Output-Calculation-sheet'!P20</f>
        <v>4088.3207036832896</v>
      </c>
      <c r="Q34" s="2">
        <f>Q12/'Output-Calculation-sheet'!Q11*'Output-Calculation-sheet'!Q20</f>
        <v>3368.0001175713724</v>
      </c>
      <c r="R34" s="2">
        <f>R12/'Output-Calculation-sheet'!R11*'Output-Calculation-sheet'!R20</f>
        <v>3161.5294327581446</v>
      </c>
      <c r="S34" s="2">
        <f>S12/'Output-Calculation-sheet'!S11*'Output-Calculation-sheet'!S20</f>
        <v>1348.9608484503262</v>
      </c>
      <c r="T34" s="2">
        <f>T12/'Output-Calculation-sheet'!T11*'Output-Calculation-sheet'!T20</f>
        <v>1010.6993758414661</v>
      </c>
      <c r="U34" s="2">
        <f>U12/'Output-Calculation-sheet'!U11*'Output-Calculation-sheet'!U20</f>
        <v>942.87346213261208</v>
      </c>
      <c r="V34" s="2">
        <f>V12/'Output-Calculation-sheet'!V11*'Output-Calculation-sheet'!V20</f>
        <v>700.19511235312825</v>
      </c>
      <c r="W34" s="2">
        <f>W12/'Output-Calculation-sheet'!W11*'Output-Calculation-sheet'!W20</f>
        <v>557.60439126465985</v>
      </c>
      <c r="X34" s="2">
        <f>X12/'Output-Calculation-sheet'!X11*'Output-Calculation-sheet'!X20</f>
        <v>21.857274219877734</v>
      </c>
      <c r="Y34" s="2">
        <f>Y12/'Output-Calculation-sheet'!Y11*'Output-Calculation-sheet'!Y20</f>
        <v>326.2724488969576</v>
      </c>
      <c r="AA34" s="2">
        <f t="shared" si="1"/>
        <v>91.7951005491649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2.025825697122448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0.393563433624946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2.419389130747394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3.341669700016161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0.64919652418611373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3.990866224202275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4.7937432353691909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0.69847151101453619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5.492214746383727</v>
      </c>
    </row>
    <row r="44" spans="1:27" x14ac:dyDescent="0.25">
      <c r="A44" s="2">
        <v>2034</v>
      </c>
      <c r="B44" s="2">
        <f>B11/'Output-Calculation-sheet'!B10*'Output-Calculation-sheet'!B37*0.0114</f>
        <v>2.6830756685220569</v>
      </c>
      <c r="C44" s="2">
        <f>C11/'Output-Calculation-sheet'!C10*'Output-Calculation-sheet'!C37*0.0114</f>
        <v>5.0937902171057114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0.39200681756889366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0.28444354081233791</v>
      </c>
      <c r="M44" s="2">
        <f>M11/'Output-Calculation-sheet'!M10*'Output-Calculation-sheet'!M37*0.0114</f>
        <v>0.26973905055086639</v>
      </c>
      <c r="N44" s="2">
        <f>N11/'Output-Calculation-sheet'!N10*'Output-Calculation-sheet'!N37*0.0114</f>
        <v>0.26511020366009896</v>
      </c>
      <c r="O44" s="2">
        <f>O11/'Output-Calculation-sheet'!O10*'Output-Calculation-sheet'!O37*0.0114</f>
        <v>0.98958640462349234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0.23227642104639135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0.15196990825105586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7.4110370692737515E-2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2.9591038806427244E-2</v>
      </c>
      <c r="Y44" s="2">
        <f>Y11/'Output-Calculation-sheet'!Y10*'Output-Calculation-sheet'!Y37*0.0114</f>
        <v>0</v>
      </c>
      <c r="AA44" s="2">
        <f t="shared" si="2"/>
        <v>10.46569964164007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5.3689489503385808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1.043042344093922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6.2379002655302586E-2</v>
      </c>
      <c r="Y45" s="2">
        <f>Y12/'Output-Calculation-sheet'!Y11*'Output-Calculation-sheet'!Y38*0.0114</f>
        <v>3.0098447275609872E-2</v>
      </c>
      <c r="AA45" s="2">
        <f t="shared" si="2"/>
        <v>16.090561253516725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6783.1507031951242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4629.8305542844328</v>
      </c>
      <c r="N52" s="2">
        <f>N8/'Output-Calculation-sheet'!N7*'Output-Calculation-sheet'!N43</f>
        <v>147.9798543147466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596.68376220539324</v>
      </c>
      <c r="Y52" s="2">
        <f>Y8/'Output-Calculation-sheet'!Y7*'Output-Calculation-sheet'!Y43</f>
        <v>0</v>
      </c>
      <c r="AA52" s="2">
        <f t="shared" si="3"/>
        <v>12.157644873999697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683.96748245944821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13174.194825466111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9003.0452415149703</v>
      </c>
      <c r="N53" s="2">
        <f>N9/'Output-Calculation-sheet'!N8*'Output-Calculation-sheet'!N44</f>
        <v>3213.9556634631444</v>
      </c>
      <c r="O53" s="2">
        <f>O9/'Output-Calculation-sheet'!O8*'Output-Calculation-sheet'!O44</f>
        <v>0</v>
      </c>
      <c r="P53" s="2">
        <f>P9/'Output-Calculation-sheet'!P8*'Output-Calculation-sheet'!P44</f>
        <v>150.33498374131662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991.13514923621028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1128.4256549047445</v>
      </c>
      <c r="Y53" s="2">
        <f>Y9/'Output-Calculation-sheet'!Y8*'Output-Calculation-sheet'!Y44</f>
        <v>0</v>
      </c>
      <c r="AA53" s="2">
        <f t="shared" si="3"/>
        <v>28.345059000785945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5676.8011997793046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0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824.52237095785006</v>
      </c>
      <c r="R54" s="2">
        <f>R10/'Output-Calculation-sheet'!R9*'Output-Calculation-sheet'!R45</f>
        <v>1407.149018403248</v>
      </c>
      <c r="S54" s="2">
        <f>S10/'Output-Calculation-sheet'!S9*'Output-Calculation-sheet'!S45</f>
        <v>3374.7277556297358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501.67412292555008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86.834446670030715</v>
      </c>
    </row>
    <row r="55" spans="1:27" x14ac:dyDescent="0.25">
      <c r="A55" s="2">
        <v>2034</v>
      </c>
      <c r="B55" s="2">
        <f>B11/'Output-Calculation-sheet'!B10*'Output-Calculation-sheet'!B46</f>
        <v>70607.254434790972</v>
      </c>
      <c r="C55" s="2">
        <f>C11/'Output-Calculation-sheet'!C10*'Output-Calculation-sheet'!C46</f>
        <v>14521.770355783825</v>
      </c>
      <c r="D55" s="2">
        <f>D11/'Output-Calculation-sheet'!D10*'Output-Calculation-sheet'!D46</f>
        <v>7817.2574943693835</v>
      </c>
      <c r="E55" s="2">
        <f>E11/'Output-Calculation-sheet'!E10*'Output-Calculation-sheet'!E46</f>
        <v>9672.8361369259364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25377.283453144166</v>
      </c>
      <c r="I55" s="2">
        <f>I11/'Output-Calculation-sheet'!I10*'Output-Calculation-sheet'!I46</f>
        <v>1883.6884186907373</v>
      </c>
      <c r="J55" s="2">
        <f>J11/'Output-Calculation-sheet'!J10*'Output-Calculation-sheet'!J46</f>
        <v>1358.6783518678326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723.58444592612273</v>
      </c>
      <c r="M55" s="2">
        <f>M11/'Output-Calculation-sheet'!M10*'Output-Calculation-sheet'!M46</f>
        <v>17604.022246477594</v>
      </c>
      <c r="N55" s="2">
        <f>N11/'Output-Calculation-sheet'!N10*'Output-Calculation-sheet'!N46</f>
        <v>12511.341190274845</v>
      </c>
      <c r="O55" s="2">
        <f>O11/'Output-Calculation-sheet'!O10*'Output-Calculation-sheet'!O46</f>
        <v>0</v>
      </c>
      <c r="P55" s="2">
        <f>P11/'Output-Calculation-sheet'!P10*'Output-Calculation-sheet'!P46</f>
        <v>5091.6343949134625</v>
      </c>
      <c r="Q55" s="2">
        <f>Q11/'Output-Calculation-sheet'!Q10*'Output-Calculation-sheet'!Q46</f>
        <v>1874.5114680936845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5652.214131442779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1222.1710254591799</v>
      </c>
      <c r="V55" s="2">
        <f>V11/'Output-Calculation-sheet'!V10*'Output-Calculation-sheet'!V46</f>
        <v>631.61166426199293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1796.2279696533028</v>
      </c>
      <c r="Y55" s="2">
        <f>Y11/'Output-Calculation-sheet'!Y10*'Output-Calculation-sheet'!Y46</f>
        <v>478.43659186865875</v>
      </c>
      <c r="AA55" s="2">
        <f t="shared" si="3"/>
        <v>191.50841659256884</v>
      </c>
    </row>
    <row r="56" spans="1:27" x14ac:dyDescent="0.25">
      <c r="A56" s="2">
        <v>2035</v>
      </c>
      <c r="B56" s="2">
        <f>B12/'Output-Calculation-sheet'!B11*'Output-Calculation-sheet'!B47</f>
        <v>90049.833502413443</v>
      </c>
      <c r="C56" s="2">
        <f>C12/'Output-Calculation-sheet'!C11*'Output-Calculation-sheet'!C47</f>
        <v>32849.490288255787</v>
      </c>
      <c r="D56" s="2">
        <f>D12/'Output-Calculation-sheet'!D11*'Output-Calculation-sheet'!D47</f>
        <v>7196.5547959599262</v>
      </c>
      <c r="E56" s="2">
        <f>E12/'Output-Calculation-sheet'!E11*'Output-Calculation-sheet'!E47</f>
        <v>18069.803605955683</v>
      </c>
      <c r="F56" s="2">
        <f>F12/'Output-Calculation-sheet'!F11*'Output-Calculation-sheet'!F47</f>
        <v>2189.523068562848</v>
      </c>
      <c r="G56" s="2">
        <f>G12/'Output-Calculation-sheet'!G11*'Output-Calculation-sheet'!G47</f>
        <v>5761.7399902744801</v>
      </c>
      <c r="H56" s="2">
        <f>H12/'Output-Calculation-sheet'!H11*'Output-Calculation-sheet'!H47</f>
        <v>27074.322025340556</v>
      </c>
      <c r="I56" s="2">
        <f>I12/'Output-Calculation-sheet'!I11*'Output-Calculation-sheet'!I47</f>
        <v>3264.2018746011086</v>
      </c>
      <c r="J56" s="2">
        <f>J12/'Output-Calculation-sheet'!J11*'Output-Calculation-sheet'!J47</f>
        <v>1132.3360570178818</v>
      </c>
      <c r="K56" s="2">
        <f>K12/'Output-Calculation-sheet'!K11*'Output-Calculation-sheet'!K47</f>
        <v>4795.7578506379286</v>
      </c>
      <c r="L56" s="2">
        <f>L12/'Output-Calculation-sheet'!L11*'Output-Calculation-sheet'!L47</f>
        <v>1236.053595857426</v>
      </c>
      <c r="M56" s="2">
        <f>M12/'Output-Calculation-sheet'!M11*'Output-Calculation-sheet'!M47</f>
        <v>18854.238143533188</v>
      </c>
      <c r="N56" s="2">
        <f>N12/'Output-Calculation-sheet'!N11*'Output-Calculation-sheet'!N47</f>
        <v>13824.483534273853</v>
      </c>
      <c r="O56" s="2">
        <f>O12/'Output-Calculation-sheet'!O11*'Output-Calculation-sheet'!O47</f>
        <v>0</v>
      </c>
      <c r="P56" s="2">
        <f>P12/'Output-Calculation-sheet'!P11*'Output-Calculation-sheet'!P47</f>
        <v>7268.7899254613012</v>
      </c>
      <c r="Q56" s="2">
        <f>Q12/'Output-Calculation-sheet'!Q11*'Output-Calculation-sheet'!Q47</f>
        <v>2577.0909155799009</v>
      </c>
      <c r="R56" s="2">
        <f>R12/'Output-Calculation-sheet'!R11*'Output-Calculation-sheet'!R47</f>
        <v>4983.5490357930439</v>
      </c>
      <c r="S56" s="2">
        <f>S12/'Output-Calculation-sheet'!S11*'Output-Calculation-sheet'!S47</f>
        <v>6561.722353043584</v>
      </c>
      <c r="T56" s="2">
        <f>T12/'Output-Calculation-sheet'!T11*'Output-Calculation-sheet'!T47</f>
        <v>1796.4627102285285</v>
      </c>
      <c r="U56" s="2">
        <f>U12/'Output-Calculation-sheet'!U11*'Output-Calculation-sheet'!U47</f>
        <v>1356.7116181379697</v>
      </c>
      <c r="V56" s="2">
        <f>V12/'Output-Calculation-sheet'!V11*'Output-Calculation-sheet'!V47</f>
        <v>755.55111993010519</v>
      </c>
      <c r="W56" s="2">
        <f>W12/'Output-Calculation-sheet'!W11*'Output-Calculation-sheet'!W47</f>
        <v>732.02847650354101</v>
      </c>
      <c r="X56" s="2">
        <f>X12/'Output-Calculation-sheet'!X11*'Output-Calculation-sheet'!X47</f>
        <v>1920.6166607027376</v>
      </c>
      <c r="Y56" s="2">
        <f>Y12/'Output-Calculation-sheet'!Y11*'Output-Calculation-sheet'!Y47</f>
        <v>850.14912480231385</v>
      </c>
      <c r="AA56" s="2">
        <f t="shared" si="3"/>
        <v>255.10101027286717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5.1849372625015198</v>
      </c>
      <c r="C63" s="2">
        <f>C8*'Output-Calculation-sheet'!C52/10^9</f>
        <v>3.243243424212011</v>
      </c>
      <c r="D63" s="2">
        <f>D8*'Output-Calculation-sheet'!D52/10^9</f>
        <v>1.4808674613787531</v>
      </c>
      <c r="E63" s="2">
        <f>E8*'Output-Calculation-sheet'!E52/10^9</f>
        <v>1.3602778115295622</v>
      </c>
      <c r="F63" s="2">
        <f>F8*'Output-Calculation-sheet'!F52/10^9</f>
        <v>0.71689071895512058</v>
      </c>
      <c r="G63" s="2">
        <f>G8*'Output-Calculation-sheet'!G52/10^9</f>
        <v>0.53016271533582637</v>
      </c>
      <c r="H63" s="2">
        <f>H8*'Output-Calculation-sheet'!H52/10^9</f>
        <v>0.9147436219706957</v>
      </c>
      <c r="I63" s="2">
        <f>I8*'Output-Calculation-sheet'!I52/10^9</f>
        <v>0.49148427082024898</v>
      </c>
      <c r="J63" s="2">
        <f>J8*'Output-Calculation-sheet'!J52/10^9</f>
        <v>0.49966224820160055</v>
      </c>
      <c r="K63" s="2">
        <f>K8*'Output-Calculation-sheet'!K52/10^9</f>
        <v>0.50284189481146135</v>
      </c>
      <c r="L63" s="2">
        <f>L8*'Output-Calculation-sheet'!L52/10^9</f>
        <v>0.40991509735753934</v>
      </c>
      <c r="M63" s="2">
        <f>M8*'Output-Calculation-sheet'!M52/10^9</f>
        <v>0.63332650262238865</v>
      </c>
      <c r="N63" s="2">
        <f>N8*'Output-Calculation-sheet'!N52/10^9</f>
        <v>0.5682411513880945</v>
      </c>
      <c r="O63" s="2">
        <f>O8*'Output-Calculation-sheet'!O52/10^9</f>
        <v>0.61451992730336191</v>
      </c>
      <c r="P63" s="2">
        <f>P8*'Output-Calculation-sheet'!P52/10^9</f>
        <v>0.40480217669533763</v>
      </c>
      <c r="Q63" s="2">
        <f>Q8*'Output-Calculation-sheet'!Q52/10^9</f>
        <v>0.41746638749858145</v>
      </c>
      <c r="R63" s="2">
        <f>R8*'Output-Calculation-sheet'!R52/10^9</f>
        <v>0.34190041337224142</v>
      </c>
      <c r="S63" s="2">
        <f>S8*'Output-Calculation-sheet'!S52/10^9</f>
        <v>0.31438318885211697</v>
      </c>
      <c r="T63" s="2">
        <f>T8*'Output-Calculation-sheet'!T52/10^9</f>
        <v>0.11788151743847566</v>
      </c>
      <c r="U63" s="2">
        <f>U8*'Output-Calculation-sheet'!U52/10^9</f>
        <v>0.1070899479835684</v>
      </c>
      <c r="V63" s="2">
        <f>V8*'Output-Calculation-sheet'!V52/10^9</f>
        <v>8.2747776614763249E-2</v>
      </c>
      <c r="W63" s="2">
        <f>W8*'Output-Calculation-sheet'!W52/10^9</f>
        <v>6.4647296605788426E-2</v>
      </c>
      <c r="X63" s="2">
        <f>X8*'Output-Calculation-sheet'!X52/10^9</f>
        <v>7.7544481856064454E-2</v>
      </c>
      <c r="Y63" s="2">
        <f>Y8*'Output-Calculation-sheet'!Y52/10^9</f>
        <v>4.2023325203688122E-2</v>
      </c>
      <c r="AA63" s="2">
        <f t="shared" si="4"/>
        <v>19.121600620508808</v>
      </c>
    </row>
    <row r="64" spans="1:27" x14ac:dyDescent="0.25">
      <c r="A64" s="2">
        <v>2032</v>
      </c>
      <c r="B64" s="2">
        <f>B9*'Output-Calculation-sheet'!B53/10^9</f>
        <v>5.9014224759186567</v>
      </c>
      <c r="C64" s="2">
        <f>C9*'Output-Calculation-sheet'!C53/10^9</f>
        <v>3.9077806639567134</v>
      </c>
      <c r="D64" s="2">
        <f>D9*'Output-Calculation-sheet'!D53/10^9</f>
        <v>1.4218770446823665</v>
      </c>
      <c r="E64" s="2">
        <f>E9*'Output-Calculation-sheet'!E53/10^9</f>
        <v>1.3881868660598402</v>
      </c>
      <c r="F64" s="2">
        <f>F9*'Output-Calculation-sheet'!F53/10^9</f>
        <v>0.70010852429605352</v>
      </c>
      <c r="G64" s="2">
        <f>G9*'Output-Calculation-sheet'!G53/10^9</f>
        <v>0.50853715906590136</v>
      </c>
      <c r="H64" s="2">
        <f>H9*'Output-Calculation-sheet'!H53/10^9</f>
        <v>1.091805383418887</v>
      </c>
      <c r="I64" s="2">
        <f>I9*'Output-Calculation-sheet'!I53/10^9</f>
        <v>0.47484512613877539</v>
      </c>
      <c r="J64" s="2">
        <f>J9*'Output-Calculation-sheet'!J53/10^9</f>
        <v>0.47395940762296368</v>
      </c>
      <c r="K64" s="2">
        <f>K9*'Output-Calculation-sheet'!K53/10^9</f>
        <v>0.51120372502635747</v>
      </c>
      <c r="L64" s="2">
        <f>L9*'Output-Calculation-sheet'!L53/10^9</f>
        <v>0.42139505910000952</v>
      </c>
      <c r="M64" s="2">
        <f>M9*'Output-Calculation-sheet'!M53/10^9</f>
        <v>0.75639132279666033</v>
      </c>
      <c r="N64" s="2">
        <f>N9*'Output-Calculation-sheet'!N53/10^9</f>
        <v>0.67210946823257089</v>
      </c>
      <c r="O64" s="2">
        <f>O9*'Output-Calculation-sheet'!O53/10^9</f>
        <v>0.72313741644357954</v>
      </c>
      <c r="P64" s="2">
        <f>P9*'Output-Calculation-sheet'!P53/10^9</f>
        <v>0.45721154765121153</v>
      </c>
      <c r="Q64" s="2">
        <f>Q9*'Output-Calculation-sheet'!Q53/10^9</f>
        <v>0.46785206234506493</v>
      </c>
      <c r="R64" s="2">
        <f>R9*'Output-Calculation-sheet'!R53/10^9</f>
        <v>0.3657835497833764</v>
      </c>
      <c r="S64" s="2">
        <f>S9*'Output-Calculation-sheet'!S53/10^9</f>
        <v>0.3702029171007018</v>
      </c>
      <c r="T64" s="2">
        <f>T9*'Output-Calculation-sheet'!T53/10^9</f>
        <v>0.11721307081876041</v>
      </c>
      <c r="U64" s="2">
        <f>U9*'Output-Calculation-sheet'!U53/10^9</f>
        <v>0.11562498665013239</v>
      </c>
      <c r="V64" s="2">
        <f>V9*'Output-Calculation-sheet'!V53/10^9</f>
        <v>8.6028258327235943E-2</v>
      </c>
      <c r="W64" s="2">
        <f>W9*'Output-Calculation-sheet'!W53/10^9</f>
        <v>6.2108842670571686E-2</v>
      </c>
      <c r="X64" s="2">
        <f>X9*'Output-Calculation-sheet'!X53/10^9</f>
        <v>9.2821335986326164E-2</v>
      </c>
      <c r="Y64" s="2">
        <f>Y9*'Output-Calculation-sheet'!Y53/10^9</f>
        <v>4.4770163877499464E-2</v>
      </c>
      <c r="AA64" s="2">
        <f t="shared" si="4"/>
        <v>21.132376377970214</v>
      </c>
    </row>
    <row r="65" spans="1:27" x14ac:dyDescent="0.25">
      <c r="A65" s="2">
        <v>2033</v>
      </c>
      <c r="B65" s="2">
        <f>B10*'Output-Calculation-sheet'!B54/10^9</f>
        <v>6.9136770569885702</v>
      </c>
      <c r="C65" s="2">
        <f>C10*'Output-Calculation-sheet'!C54/10^9</f>
        <v>4.5661863156811489</v>
      </c>
      <c r="D65" s="2">
        <f>D10*'Output-Calculation-sheet'!D54/10^9</f>
        <v>1.328076977698031</v>
      </c>
      <c r="E65" s="2">
        <f>E10*'Output-Calculation-sheet'!E54/10^9</f>
        <v>1.5070639541565858</v>
      </c>
      <c r="F65" s="2">
        <f>F10*'Output-Calculation-sheet'!F54/10^9</f>
        <v>0.6836696217351953</v>
      </c>
      <c r="G65" s="2">
        <f>G10*'Output-Calculation-sheet'!G54/10^9</f>
        <v>0.47184593043846218</v>
      </c>
      <c r="H65" s="2">
        <f>H10*'Output-Calculation-sheet'!H54/10^9</f>
        <v>1.2541763946434374</v>
      </c>
      <c r="I65" s="2">
        <f>I10*'Output-Calculation-sheet'!I54/10^9</f>
        <v>0.46413941471014614</v>
      </c>
      <c r="J65" s="2">
        <f>J10*'Output-Calculation-sheet'!J54/10^9</f>
        <v>0.42805707595443887</v>
      </c>
      <c r="K65" s="2">
        <f>K10*'Output-Calculation-sheet'!K54/10^9</f>
        <v>0.54591352351564482</v>
      </c>
      <c r="L65" s="2">
        <f>L10*'Output-Calculation-sheet'!L54/10^9</f>
        <v>0.45406714459154218</v>
      </c>
      <c r="M65" s="2">
        <f>M10*'Output-Calculation-sheet'!M54/10^9</f>
        <v>0.86909562269197627</v>
      </c>
      <c r="N65" s="2">
        <f>N10*'Output-Calculation-sheet'!N54/10^9</f>
        <v>0.78134997111556037</v>
      </c>
      <c r="O65" s="2">
        <f>O10*'Output-Calculation-sheet'!O54/10^9</f>
        <v>0.8271339985289794</v>
      </c>
      <c r="P65" s="2">
        <f>P10*'Output-Calculation-sheet'!P54/10^9</f>
        <v>0.52724138322648684</v>
      </c>
      <c r="Q65" s="2">
        <f>Q10*'Output-Calculation-sheet'!Q54/10^9</f>
        <v>0.54698635315549893</v>
      </c>
      <c r="R65" s="2">
        <f>R10*'Output-Calculation-sheet'!R54/10^9</f>
        <v>0.40874304718794119</v>
      </c>
      <c r="S65" s="2">
        <f>S10*'Output-Calculation-sheet'!S54/10^9</f>
        <v>0.43225224549902697</v>
      </c>
      <c r="T65" s="2">
        <f>T10*'Output-Calculation-sheet'!T54/10^9</f>
        <v>0.12268645183962033</v>
      </c>
      <c r="U65" s="2">
        <f>U10*'Output-Calculation-sheet'!U54/10^9</f>
        <v>0.13264555485277771</v>
      </c>
      <c r="V65" s="2">
        <f>V10*'Output-Calculation-sheet'!V54/10^9</f>
        <v>9.2574791580894947E-2</v>
      </c>
      <c r="W65" s="2">
        <f>W10*'Output-Calculation-sheet'!W54/10^9</f>
        <v>5.790751254432714E-2</v>
      </c>
      <c r="X65" s="2">
        <f>X10*'Output-Calculation-sheet'!X54/10^9</f>
        <v>0.1074620468509862</v>
      </c>
      <c r="Y65" s="2">
        <f>Y10*'Output-Calculation-sheet'!Y54/10^9</f>
        <v>5.1084888139238331E-2</v>
      </c>
      <c r="AA65" s="2">
        <f t="shared" si="4"/>
        <v>23.574037277326514</v>
      </c>
    </row>
    <row r="66" spans="1:27" x14ac:dyDescent="0.25">
      <c r="A66" s="2">
        <v>2034</v>
      </c>
      <c r="B66" s="2">
        <f>B11*'Output-Calculation-sheet'!B55/10^9</f>
        <v>8.1983821906948222</v>
      </c>
      <c r="C66" s="2">
        <f>C11*'Output-Calculation-sheet'!C55/10^9</f>
        <v>5.2207890428720729</v>
      </c>
      <c r="D66" s="2">
        <f>D11*'Output-Calculation-sheet'!D55/10^9</f>
        <v>1.5385087355234046</v>
      </c>
      <c r="E66" s="2">
        <f>E11*'Output-Calculation-sheet'!E55/10^9</f>
        <v>1.8959220920003215</v>
      </c>
      <c r="F66" s="2">
        <f>F11*'Output-Calculation-sheet'!F55/10^9</f>
        <v>0.75925823226343481</v>
      </c>
      <c r="G66" s="2">
        <f>G11*'Output-Calculation-sheet'!G55/10^9</f>
        <v>0.54692471248192154</v>
      </c>
      <c r="H66" s="2">
        <f>H11*'Output-Calculation-sheet'!H55/10^9</f>
        <v>1.4412125186166151</v>
      </c>
      <c r="I66" s="2">
        <f>I11*'Output-Calculation-sheet'!I55/10^9</f>
        <v>0.53759730800742034</v>
      </c>
      <c r="J66" s="2">
        <f>J11*'Output-Calculation-sheet'!J55/10^9</f>
        <v>0.47463385640889805</v>
      </c>
      <c r="K66" s="2">
        <f>K11*'Output-Calculation-sheet'!K55/10^9</f>
        <v>0.63389485417721958</v>
      </c>
      <c r="L66" s="2">
        <f>L11*'Output-Calculation-sheet'!L55/10^9</f>
        <v>0.55597974622022839</v>
      </c>
      <c r="M66" s="2">
        <f>M11*'Output-Calculation-sheet'!M55/10^9</f>
        <v>1.0003986302089733</v>
      </c>
      <c r="N66" s="2">
        <f>N11*'Output-Calculation-sheet'!N55/10^9</f>
        <v>0.89598221841206394</v>
      </c>
      <c r="O66" s="2">
        <f>O11*'Output-Calculation-sheet'!O55/10^9</f>
        <v>0.92914351900963077</v>
      </c>
      <c r="P66" s="2">
        <f>P11*'Output-Calculation-sheet'!P55/10^9</f>
        <v>0.62947298600698831</v>
      </c>
      <c r="Q66" s="2">
        <f>Q11*'Output-Calculation-sheet'!Q55/10^9</f>
        <v>0.65361470134727206</v>
      </c>
      <c r="R66" s="2">
        <f>R11*'Output-Calculation-sheet'!R55/10^9</f>
        <v>0.47640164015518799</v>
      </c>
      <c r="S66" s="2">
        <f>S11*'Output-Calculation-sheet'!S55/10^9</f>
        <v>0.50453994227870114</v>
      </c>
      <c r="T66" s="2">
        <f>T11*'Output-Calculation-sheet'!T55/10^9</f>
        <v>0.14025402376508955</v>
      </c>
      <c r="U66" s="2">
        <f>U11*'Output-Calculation-sheet'!U55/10^9</f>
        <v>0.16212304583055054</v>
      </c>
      <c r="V66" s="2">
        <f>V11*'Output-Calculation-sheet'!V55/10^9</f>
        <v>0.10475423937859758</v>
      </c>
      <c r="W66" s="2">
        <f>W11*'Output-Calculation-sheet'!W55/10^9</f>
        <v>6.3822819248574469E-2</v>
      </c>
      <c r="X66" s="2">
        <f>X11*'Output-Calculation-sheet'!X55/10^9</f>
        <v>0.12627610016046331</v>
      </c>
      <c r="Y66" s="2">
        <f>Y11*'Output-Calculation-sheet'!Y55/10^9</f>
        <v>6.6182422343084524E-2</v>
      </c>
      <c r="AA66" s="2">
        <f t="shared" si="4"/>
        <v>27.556069577411542</v>
      </c>
    </row>
    <row r="67" spans="1:27" x14ac:dyDescent="0.25">
      <c r="A67" s="2">
        <v>2035</v>
      </c>
      <c r="B67" s="2">
        <f>B12*'Output-Calculation-sheet'!B56/10^9</f>
        <v>9.6188936679487931</v>
      </c>
      <c r="C67" s="2">
        <f>C12*'Output-Calculation-sheet'!C56/10^9</f>
        <v>5.8658377877334784</v>
      </c>
      <c r="D67" s="2">
        <f>D12*'Output-Calculation-sheet'!D56/10^9</f>
        <v>1.9591126799961669</v>
      </c>
      <c r="E67" s="2">
        <f>E12*'Output-Calculation-sheet'!E56/10^9</f>
        <v>2.6473220897437368</v>
      </c>
      <c r="F67" s="2">
        <f>F12*'Output-Calculation-sheet'!F56/10^9</f>
        <v>1.0506178039395579</v>
      </c>
      <c r="G67" s="2">
        <f>G12*'Output-Calculation-sheet'!G56/10^9</f>
        <v>0.76198808584089761</v>
      </c>
      <c r="H67" s="2">
        <f>H12*'Output-Calculation-sheet'!H56/10^9</f>
        <v>1.6597341501902851</v>
      </c>
      <c r="I67" s="2">
        <f>I12*'Output-Calculation-sheet'!I56/10^9</f>
        <v>0.71996340100737877</v>
      </c>
      <c r="J67" s="2">
        <f>J12*'Output-Calculation-sheet'!J56/10^9</f>
        <v>0.59507254545663524</v>
      </c>
      <c r="K67" s="2">
        <f>K12*'Output-Calculation-sheet'!K56/10^9</f>
        <v>0.80356862852691824</v>
      </c>
      <c r="L67" s="2">
        <f>L12*'Output-Calculation-sheet'!L56/10^9</f>
        <v>0.69300154098484035</v>
      </c>
      <c r="M67" s="2">
        <f>M12*'Output-Calculation-sheet'!M56/10^9</f>
        <v>1.1630758593466364</v>
      </c>
      <c r="N67" s="2">
        <f>N12*'Output-Calculation-sheet'!N56/10^9</f>
        <v>1.0181863068583723</v>
      </c>
      <c r="O67" s="2">
        <f>O12*'Output-Calculation-sheet'!O56/10^9</f>
        <v>1.0303388171579577</v>
      </c>
      <c r="P67" s="2">
        <f>P12*'Output-Calculation-sheet'!P56/10^9</f>
        <v>0.81194078746200227</v>
      </c>
      <c r="Q67" s="2">
        <f>Q12*'Output-Calculation-sheet'!Q56/10^9</f>
        <v>0.76048806948904812</v>
      </c>
      <c r="R67" s="2">
        <f>R12*'Output-Calculation-sheet'!R56/10^9</f>
        <v>0.59770217967287498</v>
      </c>
      <c r="S67" s="2">
        <f>S12*'Output-Calculation-sheet'!S56/10^9</f>
        <v>0.57945368854116741</v>
      </c>
      <c r="T67" s="2">
        <f>T12*'Output-Calculation-sheet'!T56/10^9</f>
        <v>0.18373750493763702</v>
      </c>
      <c r="U67" s="2">
        <f>U12*'Output-Calculation-sheet'!U56/10^9</f>
        <v>0.1981850166058185</v>
      </c>
      <c r="V67" s="2">
        <f>V12*'Output-Calculation-sheet'!V56/10^9</f>
        <v>0.12505895432611835</v>
      </c>
      <c r="W67" s="2">
        <f>W12*'Output-Calculation-sheet'!W56/10^9</f>
        <v>9.7231119548622444E-2</v>
      </c>
      <c r="X67" s="2">
        <f>X12*'Output-Calculation-sheet'!X56/10^9</f>
        <v>0.14588078734368884</v>
      </c>
      <c r="Y67" s="2">
        <f>Y12*'Output-Calculation-sheet'!Y56/10^9</f>
        <v>9.1293299509556183E-2</v>
      </c>
      <c r="AA67" s="2">
        <f t="shared" si="4"/>
        <v>33.177684772168206</v>
      </c>
    </row>
    <row r="68" spans="1:27" x14ac:dyDescent="0.25">
      <c r="B68" s="2">
        <f>SUM(B60:B67)</f>
        <v>47.130868321602321</v>
      </c>
      <c r="C68" s="2">
        <f t="shared" ref="C68:Y68" si="5">SUM(C60:C67)</f>
        <v>28.576815994339995</v>
      </c>
      <c r="D68" s="2">
        <f t="shared" si="5"/>
        <v>11.572847404463456</v>
      </c>
      <c r="E68" s="2">
        <f t="shared" si="5"/>
        <v>12.217317215223781</v>
      </c>
      <c r="F68" s="2">
        <f t="shared" si="5"/>
        <v>5.7295339880964544</v>
      </c>
      <c r="G68" s="2">
        <f t="shared" si="5"/>
        <v>4.1975969744325612</v>
      </c>
      <c r="H68" s="2">
        <f t="shared" si="5"/>
        <v>8.0418025911623463</v>
      </c>
      <c r="I68" s="2">
        <f t="shared" si="5"/>
        <v>3.9534402807301863</v>
      </c>
      <c r="J68" s="2">
        <f t="shared" si="5"/>
        <v>3.789262966326743</v>
      </c>
      <c r="K68" s="2">
        <f t="shared" si="5"/>
        <v>4.2509765036519376</v>
      </c>
      <c r="L68" s="2">
        <f t="shared" si="5"/>
        <v>3.5475490354283985</v>
      </c>
      <c r="M68" s="2">
        <f t="shared" si="5"/>
        <v>5.583809885845036</v>
      </c>
      <c r="N68" s="2">
        <f t="shared" si="5"/>
        <v>5.11083883104906</v>
      </c>
      <c r="O68" s="2">
        <f t="shared" si="5"/>
        <v>5.2570972351890637</v>
      </c>
      <c r="P68" s="2">
        <f t="shared" si="5"/>
        <v>3.7434512130093061</v>
      </c>
      <c r="Q68" s="2">
        <f t="shared" si="5"/>
        <v>3.7686253383557116</v>
      </c>
      <c r="R68" s="2">
        <f t="shared" si="5"/>
        <v>3.0201819187784658</v>
      </c>
      <c r="S68" s="2">
        <f t="shared" si="5"/>
        <v>2.8629779744575474</v>
      </c>
      <c r="T68" s="2">
        <f t="shared" si="5"/>
        <v>0.9781742541842422</v>
      </c>
      <c r="U68" s="2">
        <f t="shared" si="5"/>
        <v>0.9789503209481929</v>
      </c>
      <c r="V68" s="2">
        <f t="shared" si="5"/>
        <v>0.69422846827754614</v>
      </c>
      <c r="W68" s="2">
        <f t="shared" si="5"/>
        <v>0.51341368632975826</v>
      </c>
      <c r="X68" s="2">
        <f t="shared" si="5"/>
        <v>0.68966896740439798</v>
      </c>
      <c r="Y68" s="2">
        <f t="shared" si="5"/>
        <v>0.39817682128754139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1452.5515499781591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970.55175550363379</v>
      </c>
      <c r="N74" s="2">
        <f>N8/'Output-Calculation-sheet'!N7*'Output-Calculation-sheet'!N61</f>
        <v>40.675962454765973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119.50192441677564</v>
      </c>
      <c r="Y74" s="2">
        <f>Y8/'Output-Calculation-sheet'!Y7*'Output-Calculation-sheet'!Y61</f>
        <v>0</v>
      </c>
      <c r="AA74" s="2">
        <f t="shared" si="6"/>
        <v>2.5832811923533341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187.89563839564556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2508.4809914361831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1704.0591493336435</v>
      </c>
      <c r="N75" s="2">
        <f>N9/'Output-Calculation-sheet'!N8*'Output-Calculation-sheet'!N62</f>
        <v>659.06432592535361</v>
      </c>
      <c r="O75" s="2">
        <f>O9/'Output-Calculation-sheet'!O8*'Output-Calculation-sheet'!O62</f>
        <v>0</v>
      </c>
      <c r="P75" s="2">
        <f>P9/'Output-Calculation-sheet'!P8*'Output-Calculation-sheet'!P62</f>
        <v>44.123317728076422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218.00309117788456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206.00466100768062</v>
      </c>
      <c r="Y75" s="2">
        <f>Y9/'Output-Calculation-sheet'!Y8*'Output-Calculation-sheet'!Y62</f>
        <v>0</v>
      </c>
      <c r="AA75" s="2">
        <f t="shared" si="6"/>
        <v>5.5276311750044682</v>
      </c>
    </row>
    <row r="76" spans="1:27" x14ac:dyDescent="0.25">
      <c r="A76" s="2">
        <v>2033</v>
      </c>
      <c r="B76" s="2">
        <f>B10/'Output-Calculation-sheet'!B9*'Output-Calculation-sheet'!B63</f>
        <v>5689.7354717067938</v>
      </c>
      <c r="C76" s="2">
        <f>C10/'Output-Calculation-sheet'!C9*'Output-Calculation-sheet'!C63</f>
        <v>1427.610375796351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3714.3679123724364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2529.0161821992137</v>
      </c>
      <c r="N76" s="2">
        <f>N10/'Output-Calculation-sheet'!N9*'Output-Calculation-sheet'!N63</f>
        <v>1447.8094746529484</v>
      </c>
      <c r="O76" s="2">
        <f>O10/'Output-Calculation-sheet'!O9*'Output-Calculation-sheet'!O63</f>
        <v>0</v>
      </c>
      <c r="P76" s="2">
        <f>P10/'Output-Calculation-sheet'!P9*'Output-Calculation-sheet'!P63</f>
        <v>496.23560443650632</v>
      </c>
      <c r="Q76" s="2">
        <f>Q10/'Output-Calculation-sheet'!Q9*'Output-Calculation-sheet'!Q63</f>
        <v>220.95282047784434</v>
      </c>
      <c r="R76" s="2">
        <f>R10/'Output-Calculation-sheet'!R9*'Output-Calculation-sheet'!R63</f>
        <v>380.88101133266292</v>
      </c>
      <c r="S76" s="2">
        <f>S10/'Output-Calculation-sheet'!S9*'Output-Calculation-sheet'!S63</f>
        <v>641.81300093034065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133.76956948496527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297.84895834372941</v>
      </c>
      <c r="Y76" s="2">
        <f>Y10/'Output-Calculation-sheet'!Y9*'Output-Calculation-sheet'!Y63</f>
        <v>5.6505766210566959</v>
      </c>
      <c r="AA76" s="2">
        <f t="shared" si="6"/>
        <v>17.119431677662345</v>
      </c>
    </row>
    <row r="77" spans="1:27" x14ac:dyDescent="0.25">
      <c r="A77" s="2">
        <v>2034</v>
      </c>
      <c r="B77" s="2">
        <f>B11/'Output-Calculation-sheet'!B10*'Output-Calculation-sheet'!B64</f>
        <v>12048.657254267513</v>
      </c>
      <c r="C77" s="2">
        <f>C11/'Output-Calculation-sheet'!C10*'Output-Calculation-sheet'!C64</f>
        <v>3281.8083944813311</v>
      </c>
      <c r="D77" s="2">
        <f>D11/'Output-Calculation-sheet'!D10*'Output-Calculation-sheet'!D64</f>
        <v>1795.0006449096281</v>
      </c>
      <c r="E77" s="2">
        <f>E11/'Output-Calculation-sheet'!E10*'Output-Calculation-sheet'!E64</f>
        <v>2226.4824122654236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958.04873139560686</v>
      </c>
      <c r="H77" s="2">
        <f>H11/'Output-Calculation-sheet'!H10*'Output-Calculation-sheet'!H64</f>
        <v>4720.6561341660399</v>
      </c>
      <c r="I77" s="2">
        <f>I11/'Output-Calculation-sheet'!I10*'Output-Calculation-sheet'!I64</f>
        <v>559.07233728294068</v>
      </c>
      <c r="J77" s="2">
        <f>J11/'Output-Calculation-sheet'!J10*'Output-Calculation-sheet'!J64</f>
        <v>383.74764147522853</v>
      </c>
      <c r="K77" s="2">
        <f>K11/'Output-Calculation-sheet'!K10*'Output-Calculation-sheet'!K64</f>
        <v>866.62906411909091</v>
      </c>
      <c r="L77" s="2">
        <f>L11/'Output-Calculation-sheet'!L10*'Output-Calculation-sheet'!L64</f>
        <v>212.48431522437451</v>
      </c>
      <c r="M77" s="2">
        <f>M11/'Output-Calculation-sheet'!M10*'Output-Calculation-sheet'!M64</f>
        <v>3234.8573943913766</v>
      </c>
      <c r="N77" s="2">
        <f>N11/'Output-Calculation-sheet'!N10*'Output-Calculation-sheet'!N64</f>
        <v>2190.1358561667366</v>
      </c>
      <c r="O77" s="2">
        <f>O11/'Output-Calculation-sheet'!O10*'Output-Calculation-sheet'!O64</f>
        <v>0</v>
      </c>
      <c r="P77" s="2">
        <f>P11/'Output-Calculation-sheet'!P10*'Output-Calculation-sheet'!P64</f>
        <v>1064.8390665986742</v>
      </c>
      <c r="Q77" s="2">
        <f>Q11/'Output-Calculation-sheet'!Q10*'Output-Calculation-sheet'!Q64</f>
        <v>434.51990835397737</v>
      </c>
      <c r="R77" s="2">
        <f>R11/'Output-Calculation-sheet'!R10*'Output-Calculation-sheet'!R64</f>
        <v>904.42891683079165</v>
      </c>
      <c r="S77" s="2">
        <f>S11/'Output-Calculation-sheet'!S10*'Output-Calculation-sheet'!S64</f>
        <v>1009.5867571478476</v>
      </c>
      <c r="T77" s="2">
        <f>T11/'Output-Calculation-sheet'!T10*'Output-Calculation-sheet'!T64</f>
        <v>250.58328962556342</v>
      </c>
      <c r="U77" s="2">
        <f>U11/'Output-Calculation-sheet'!U10*'Output-Calculation-sheet'!U64</f>
        <v>267.5904454784615</v>
      </c>
      <c r="V77" s="2">
        <f>V11/'Output-Calculation-sheet'!V10*'Output-Calculation-sheet'!V64</f>
        <v>129.63077490329474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331.18861687288228</v>
      </c>
      <c r="Y77" s="2">
        <f>Y11/'Output-Calculation-sheet'!Y10*'Output-Calculation-sheet'!Y64</f>
        <v>82.769530393277961</v>
      </c>
      <c r="AA77" s="2">
        <f t="shared" si="6"/>
        <v>37.119693385267283</v>
      </c>
    </row>
    <row r="78" spans="1:27" x14ac:dyDescent="0.25">
      <c r="A78" s="2">
        <v>2035</v>
      </c>
      <c r="B78" s="2">
        <f>B12/'Output-Calculation-sheet'!B11*'Output-Calculation-sheet'!B65</f>
        <v>15559.767787250354</v>
      </c>
      <c r="C78" s="2">
        <f>C12/'Output-Calculation-sheet'!C11*'Output-Calculation-sheet'!C65</f>
        <v>6693.6429117477774</v>
      </c>
      <c r="D78" s="2">
        <f>D12/'Output-Calculation-sheet'!D11*'Output-Calculation-sheet'!D65</f>
        <v>1700.9943792363831</v>
      </c>
      <c r="E78" s="2">
        <f>E12/'Output-Calculation-sheet'!E11*'Output-Calculation-sheet'!E65</f>
        <v>3144.5602724731225</v>
      </c>
      <c r="F78" s="2">
        <f>F12/'Output-Calculation-sheet'!F11*'Output-Calculation-sheet'!F65</f>
        <v>683.96530141772769</v>
      </c>
      <c r="G78" s="2">
        <f>G12/'Output-Calculation-sheet'!G11*'Output-Calculation-sheet'!G65</f>
        <v>1300.1703013118729</v>
      </c>
      <c r="H78" s="2">
        <f>H12/'Output-Calculation-sheet'!H11*'Output-Calculation-sheet'!H65</f>
        <v>5024.986919088743</v>
      </c>
      <c r="I78" s="2">
        <f>I12/'Output-Calculation-sheet'!I11*'Output-Calculation-sheet'!I65</f>
        <v>855.25454271120793</v>
      </c>
      <c r="J78" s="2">
        <f>J12/'Output-Calculation-sheet'!J11*'Output-Calculation-sheet'!J65</f>
        <v>348.72620155983054</v>
      </c>
      <c r="K78" s="2">
        <f>K12/'Output-Calculation-sheet'!K11*'Output-Calculation-sheet'!K65</f>
        <v>1059.4986688781753</v>
      </c>
      <c r="L78" s="2">
        <f>L12/'Output-Calculation-sheet'!L11*'Output-Calculation-sheet'!L65</f>
        <v>339.15206749313541</v>
      </c>
      <c r="M78" s="2">
        <f>M12/'Output-Calculation-sheet'!M11*'Output-Calculation-sheet'!M65</f>
        <v>3499.7805461906819</v>
      </c>
      <c r="N78" s="2">
        <f>N12/'Output-Calculation-sheet'!N11*'Output-Calculation-sheet'!N65</f>
        <v>2425.4124924049606</v>
      </c>
      <c r="O78" s="2">
        <f>O12/'Output-Calculation-sheet'!O11*'Output-Calculation-sheet'!O65</f>
        <v>0</v>
      </c>
      <c r="P78" s="2">
        <f>P12/'Output-Calculation-sheet'!P11*'Output-Calculation-sheet'!P65</f>
        <v>1397.305981091715</v>
      </c>
      <c r="Q78" s="2">
        <f>Q12/'Output-Calculation-sheet'!Q11*'Output-Calculation-sheet'!Q65</f>
        <v>564.94128021037398</v>
      </c>
      <c r="R78" s="2">
        <f>R12/'Output-Calculation-sheet'!R11*'Output-Calculation-sheet'!R65</f>
        <v>1100.0439093879586</v>
      </c>
      <c r="S78" s="2">
        <f>S12/'Output-Calculation-sheet'!S11*'Output-Calculation-sheet'!S65</f>
        <v>1145.6177094926245</v>
      </c>
      <c r="T78" s="2">
        <f>T12/'Output-Calculation-sheet'!T11*'Output-Calculation-sheet'!T65</f>
        <v>406.39453363231161</v>
      </c>
      <c r="U78" s="2">
        <f>U12/'Output-Calculation-sheet'!U11*'Output-Calculation-sheet'!U65</f>
        <v>293.46768632945003</v>
      </c>
      <c r="V78" s="2">
        <f>V12/'Output-Calculation-sheet'!V11*'Output-Calculation-sheet'!V65</f>
        <v>147.82384079303836</v>
      </c>
      <c r="W78" s="2">
        <f>W12/'Output-Calculation-sheet'!W11*'Output-Calculation-sheet'!W65</f>
        <v>160.88613360154386</v>
      </c>
      <c r="X78" s="2">
        <f>X12/'Output-Calculation-sheet'!X11*'Output-Calculation-sheet'!X65</f>
        <v>353.5986596569856</v>
      </c>
      <c r="Y78" s="2">
        <f>Y12/'Output-Calculation-sheet'!Y11*'Output-Calculation-sheet'!Y65</f>
        <v>135.77303957440679</v>
      </c>
      <c r="AA78" s="2">
        <f t="shared" si="6"/>
        <v>48.34176516553439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1155.0760553768343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224.40020338264463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1.3794762587594789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1758.7735263242955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322.70002664222028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2.081473552966516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2417.8968073134074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428.88601553524148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2.8467828228486489</v>
      </c>
    </row>
    <row r="88" spans="1:27" x14ac:dyDescent="0.25">
      <c r="A88" s="2">
        <v>2034</v>
      </c>
      <c r="B88" s="2">
        <f>B11/'Output-Calculation-sheet'!B10*'Output-Calculation-sheet'!B73</f>
        <v>235.35751478263657</v>
      </c>
      <c r="C88" s="2">
        <f>C11/'Output-Calculation-sheet'!C10*'Output-Calculation-sheet'!C73</f>
        <v>2904.3540711567653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34.386562944639792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24.951187790555956</v>
      </c>
      <c r="M88" s="2">
        <f>M11/'Output-Calculation-sheet'!M10*'Output-Calculation-sheet'!M73</f>
        <v>23.661320223760207</v>
      </c>
      <c r="N88" s="2">
        <f>N11/'Output-Calculation-sheet'!N10*'Output-Calculation-sheet'!N73</f>
        <v>23.255281022815698</v>
      </c>
      <c r="O88" s="2">
        <f>O11/'Output-Calculation-sheet'!O10*'Output-Calculation-sheet'!O73</f>
        <v>542.53640604358134</v>
      </c>
      <c r="P88" s="2">
        <f>P11/'Output-Calculation-sheet'!P10*'Output-Calculation-sheet'!P73</f>
        <v>0</v>
      </c>
      <c r="Q88" s="2">
        <f>Q11/'Output-Calculation-sheet'!Q10*'Output-Calculation-sheet'!Q73</f>
        <v>40.750249306384447</v>
      </c>
      <c r="R88" s="2">
        <f>R11/'Output-Calculation-sheet'!R10*'Output-Calculation-sheet'!R73</f>
        <v>0</v>
      </c>
      <c r="S88" s="2">
        <f>S11/'Output-Calculation-sheet'!S10*'Output-Calculation-sheet'!S73</f>
        <v>13.330693706232969</v>
      </c>
      <c r="T88" s="2">
        <f>T11/'Output-Calculation-sheet'!T10*'Output-Calculation-sheet'!T73</f>
        <v>0</v>
      </c>
      <c r="U88" s="2">
        <f>U11/'Output-Calculation-sheet'!U10*'Output-Calculation-sheet'!U73</f>
        <v>6.500909709889255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12.97852579229265</v>
      </c>
      <c r="Y88" s="2">
        <f>Y11/'Output-Calculation-sheet'!Y10*'Output-Calculation-sheet'!Y73</f>
        <v>0</v>
      </c>
      <c r="AA88" s="2">
        <f t="shared" si="7"/>
        <v>3.8620627224795543</v>
      </c>
    </row>
    <row r="89" spans="1:27" x14ac:dyDescent="0.25">
      <c r="A89" s="2">
        <v>2035</v>
      </c>
      <c r="B89" s="2">
        <f>B12/'Output-Calculation-sheet'!B11*'Output-Calculation-sheet'!B74</f>
        <v>744.21350001994585</v>
      </c>
      <c r="C89" s="2">
        <f>C12/'Output-Calculation-sheet'!C11*'Output-Calculation-sheet'!C74</f>
        <v>3178.9829311215281</v>
      </c>
      <c r="D89" s="2">
        <f>D12/'Output-Calculation-sheet'!D11*'Output-Calculation-sheet'!D74</f>
        <v>208.59579118724423</v>
      </c>
      <c r="E89" s="2">
        <f>E12/'Output-Calculation-sheet'!E11*'Output-Calculation-sheet'!E74</f>
        <v>248.66702210030758</v>
      </c>
      <c r="F89" s="2">
        <f>F12/'Output-Calculation-sheet'!F11*'Output-Calculation-sheet'!F74</f>
        <v>104.26300326489752</v>
      </c>
      <c r="G89" s="2">
        <f>G12/'Output-Calculation-sheet'!G11*'Output-Calculation-sheet'!G74</f>
        <v>74.827792081486749</v>
      </c>
      <c r="H89" s="2">
        <f>H12/'Output-Calculation-sheet'!H11*'Output-Calculation-sheet'!H74</f>
        <v>217.46443393847835</v>
      </c>
      <c r="I89" s="2">
        <f>I12/'Output-Calculation-sheet'!I11*'Output-Calculation-sheet'!I74</f>
        <v>67.303131435074405</v>
      </c>
      <c r="J89" s="2">
        <f>J12/'Output-Calculation-sheet'!J11*'Output-Calculation-sheet'!J74</f>
        <v>66.608003353993041</v>
      </c>
      <c r="K89" s="2">
        <f>K12/'Output-Calculation-sheet'!K11*'Output-Calculation-sheet'!K74</f>
        <v>66.148384146730052</v>
      </c>
      <c r="L89" s="2">
        <f>L12/'Output-Calculation-sheet'!L11*'Output-Calculation-sheet'!L74</f>
        <v>52.598025355635144</v>
      </c>
      <c r="M89" s="2">
        <f>M12/'Output-Calculation-sheet'!M11*'Output-Calculation-sheet'!M74</f>
        <v>149.63681066296181</v>
      </c>
      <c r="N89" s="2">
        <f>N12/'Output-Calculation-sheet'!N11*'Output-Calculation-sheet'!N74</f>
        <v>98.045982512580522</v>
      </c>
      <c r="O89" s="2">
        <f>O12/'Output-Calculation-sheet'!O11*'Output-Calculation-sheet'!O74</f>
        <v>640.46459725065381</v>
      </c>
      <c r="P89" s="2">
        <f>P12/'Output-Calculation-sheet'!P11*'Output-Calculation-sheet'!P74</f>
        <v>67.932616125806547</v>
      </c>
      <c r="Q89" s="2">
        <f>Q12/'Output-Calculation-sheet'!Q11*'Output-Calculation-sheet'!Q74</f>
        <v>85.903030519330031</v>
      </c>
      <c r="R89" s="2">
        <f>R12/'Output-Calculation-sheet'!R11*'Output-Calculation-sheet'!R74</f>
        <v>42.594436203359351</v>
      </c>
      <c r="S89" s="2">
        <f>S12/'Output-Calculation-sheet'!S11*'Output-Calculation-sheet'!S74</f>
        <v>56.203189319431125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20.556236638454088</v>
      </c>
      <c r="V89" s="2">
        <f>V12/'Output-Calculation-sheet'!V11*'Output-Calculation-sheet'!V74</f>
        <v>10.567148530490982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30.095132860014406</v>
      </c>
      <c r="Y89" s="2">
        <f>Y12/'Output-Calculation-sheet'!Y11*'Output-Calculation-sheet'!Y74</f>
        <v>7.9206440198973347</v>
      </c>
      <c r="AA89" s="2">
        <f t="shared" si="7"/>
        <v>6.2520462430397332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11722739051.15123</v>
      </c>
      <c r="C96" s="2">
        <f>C8/'Output-Calculation-sheet'!C7*'Output-Calculation-sheet'!C79</f>
        <v>3965855898.931675</v>
      </c>
      <c r="D96" s="2">
        <f>D8/'Output-Calculation-sheet'!D7*'Output-Calculation-sheet'!D79</f>
        <v>4140092376.3420048</v>
      </c>
      <c r="E96" s="2">
        <f>E8/'Output-Calculation-sheet'!E7*'Output-Calculation-sheet'!E79</f>
        <v>7360731737.2926435</v>
      </c>
      <c r="F96" s="2">
        <f>F8/'Output-Calculation-sheet'!F7*'Output-Calculation-sheet'!F79</f>
        <v>3046534331.9588084</v>
      </c>
      <c r="G96" s="2">
        <f>G8/'Output-Calculation-sheet'!G7*'Output-Calculation-sheet'!G79</f>
        <v>2372999735.7571106</v>
      </c>
      <c r="H96" s="2">
        <f>H8/'Output-Calculation-sheet'!H7*'Output-Calculation-sheet'!H79</f>
        <v>2031153757.9324205</v>
      </c>
      <c r="I96" s="2">
        <f>I8/'Output-Calculation-sheet'!I7*'Output-Calculation-sheet'!I79</f>
        <v>1653046596.0832644</v>
      </c>
      <c r="J96" s="2">
        <f>J8/'Output-Calculation-sheet'!J7*'Output-Calculation-sheet'!J79</f>
        <v>1117832805.5709</v>
      </c>
      <c r="K96" s="2">
        <f>K8/'Output-Calculation-sheet'!K7*'Output-Calculation-sheet'!K79</f>
        <v>1599285289.7270441</v>
      </c>
      <c r="L96" s="2">
        <f>L8/'Output-Calculation-sheet'!L7*'Output-Calculation-sheet'!L79</f>
        <v>1128454308.8467669</v>
      </c>
      <c r="M96" s="2">
        <f>M8/'Output-Calculation-sheet'!M7*'Output-Calculation-sheet'!M79</f>
        <v>1516216997.4743042</v>
      </c>
      <c r="N96" s="2">
        <f>N8/'Output-Calculation-sheet'!N7*'Output-Calculation-sheet'!N79</f>
        <v>1128186200.9576471</v>
      </c>
      <c r="O96" s="2">
        <f>O8/'Output-Calculation-sheet'!O7*'Output-Calculation-sheet'!O79</f>
        <v>570336765.22611713</v>
      </c>
      <c r="P96" s="2">
        <f>P8/'Output-Calculation-sheet'!P7*'Output-Calculation-sheet'!P79</f>
        <v>1907656860.315778</v>
      </c>
      <c r="Q96" s="2">
        <f>Q8/'Output-Calculation-sheet'!Q7*'Output-Calculation-sheet'!Q79</f>
        <v>889049692.16422069</v>
      </c>
      <c r="R96" s="2">
        <f>R8/'Output-Calculation-sheet'!R7*'Output-Calculation-sheet'!R79</f>
        <v>1109195175.7025712</v>
      </c>
      <c r="S96" s="2">
        <f>S8/'Output-Calculation-sheet'!S7*'Output-Calculation-sheet'!S79</f>
        <v>646310063.61828518</v>
      </c>
      <c r="T96" s="2">
        <f>T8/'Output-Calculation-sheet'!T7*'Output-Calculation-sheet'!T79</f>
        <v>493632099.54963821</v>
      </c>
      <c r="U96" s="2">
        <f>U8/'Output-Calculation-sheet'!U7*'Output-Calculation-sheet'!U79</f>
        <v>310086998.15474534</v>
      </c>
      <c r="V96" s="2">
        <f>V8/'Output-Calculation-sheet'!V7*'Output-Calculation-sheet'!V79</f>
        <v>160889304.89036381</v>
      </c>
      <c r="W96" s="2">
        <f>W8/'Output-Calculation-sheet'!W7*'Output-Calculation-sheet'!W79</f>
        <v>475414852.20714098</v>
      </c>
      <c r="X96" s="2">
        <f>X8/'Output-Calculation-sheet'!X7*'Output-Calculation-sheet'!X79</f>
        <v>167094866.54506513</v>
      </c>
      <c r="Y96" s="2">
        <f>Y8/'Output-Calculation-sheet'!Y7*'Output-Calculation-sheet'!Y79</f>
        <v>261334067.19070464</v>
      </c>
      <c r="AA96" s="2">
        <f t="shared" si="8"/>
        <v>49.774129833590465</v>
      </c>
    </row>
    <row r="97" spans="1:27" x14ac:dyDescent="0.25">
      <c r="A97" s="2">
        <v>2032</v>
      </c>
      <c r="B97" s="2">
        <f>B9/'Output-Calculation-sheet'!B8*'Output-Calculation-sheet'!B80</f>
        <v>16105182686.346552</v>
      </c>
      <c r="C97" s="2">
        <f>C9/'Output-Calculation-sheet'!C8*'Output-Calculation-sheet'!C80</f>
        <v>5485512033.4831085</v>
      </c>
      <c r="D97" s="2">
        <f>D9/'Output-Calculation-sheet'!D8*'Output-Calculation-sheet'!D80</f>
        <v>5465778764.9796839</v>
      </c>
      <c r="E97" s="2">
        <f>E9/'Output-Calculation-sheet'!E8*'Output-Calculation-sheet'!E80</f>
        <v>9996091671.4826813</v>
      </c>
      <c r="F97" s="2">
        <f>F9/'Output-Calculation-sheet'!F8*'Output-Calculation-sheet'!F80</f>
        <v>4129386279.1588559</v>
      </c>
      <c r="G97" s="2">
        <f>G9/'Output-Calculation-sheet'!G8*'Output-Calculation-sheet'!G80</f>
        <v>3125718543.4627495</v>
      </c>
      <c r="H97" s="2">
        <f>H9/'Output-Calculation-sheet'!H8*'Output-Calculation-sheet'!H80</f>
        <v>2750000978.6135416</v>
      </c>
      <c r="I97" s="2">
        <f>I9/'Output-Calculation-sheet'!I8*'Output-Calculation-sheet'!I80</f>
        <v>2262131011.6401811</v>
      </c>
      <c r="J97" s="2">
        <f>J9/'Output-Calculation-sheet'!J8*'Output-Calculation-sheet'!J80</f>
        <v>1487142344.4970279</v>
      </c>
      <c r="K97" s="2">
        <f>K9/'Output-Calculation-sheet'!K8*'Output-Calculation-sheet'!K80</f>
        <v>2144029021.2579038</v>
      </c>
      <c r="L97" s="2">
        <f>L9/'Output-Calculation-sheet'!L8*'Output-Calculation-sheet'!L80</f>
        <v>1560497965.5363095</v>
      </c>
      <c r="M97" s="2">
        <f>M9/'Output-Calculation-sheet'!M8*'Output-Calculation-sheet'!M80</f>
        <v>2058902483.9174702</v>
      </c>
      <c r="N97" s="2">
        <f>N9/'Output-Calculation-sheet'!N8*'Output-Calculation-sheet'!N80</f>
        <v>1504303542.934103</v>
      </c>
      <c r="O97" s="2">
        <f>O9/'Output-Calculation-sheet'!O8*'Output-Calculation-sheet'!O80</f>
        <v>778228129.83900547</v>
      </c>
      <c r="P97" s="2">
        <f>P9/'Output-Calculation-sheet'!P8*'Output-Calculation-sheet'!P80</f>
        <v>2546216102.8774924</v>
      </c>
      <c r="Q97" s="2">
        <f>Q9/'Output-Calculation-sheet'!Q8*'Output-Calculation-sheet'!Q80</f>
        <v>1191022252.6273286</v>
      </c>
      <c r="R97" s="2">
        <f>R9/'Output-Calculation-sheet'!R8*'Output-Calculation-sheet'!R80</f>
        <v>1504853580.8051882</v>
      </c>
      <c r="S97" s="2">
        <f>S9/'Output-Calculation-sheet'!S8*'Output-Calculation-sheet'!S80</f>
        <v>873412663.77120614</v>
      </c>
      <c r="T97" s="2">
        <f>T9/'Output-Calculation-sheet'!T8*'Output-Calculation-sheet'!T80</f>
        <v>657710452.93227482</v>
      </c>
      <c r="U97" s="2">
        <f>U9/'Output-Calculation-sheet'!U8*'Output-Calculation-sheet'!U80</f>
        <v>420469575.56302917</v>
      </c>
      <c r="V97" s="2">
        <f>V9/'Output-Calculation-sheet'!V8*'Output-Calculation-sheet'!V80</f>
        <v>220469187.34201396</v>
      </c>
      <c r="W97" s="2">
        <f>W9/'Output-Calculation-sheet'!W8*'Output-Calculation-sheet'!W80</f>
        <v>638483026.46181417</v>
      </c>
      <c r="X97" s="2">
        <f>X9/'Output-Calculation-sheet'!X8*'Output-Calculation-sheet'!X80</f>
        <v>229277021.09374428</v>
      </c>
      <c r="Y97" s="2">
        <f>Y9/'Output-Calculation-sheet'!Y8*'Output-Calculation-sheet'!Y80</f>
        <v>350951600.23139346</v>
      </c>
      <c r="AA97" s="2">
        <f t="shared" si="8"/>
        <v>67.485770920854662</v>
      </c>
    </row>
    <row r="98" spans="1:27" x14ac:dyDescent="0.25">
      <c r="A98" s="2">
        <v>2033</v>
      </c>
      <c r="B98" s="2">
        <f>B10/'Output-Calculation-sheet'!B9*'Output-Calculation-sheet'!B81</f>
        <v>20783913946.119892</v>
      </c>
      <c r="C98" s="2">
        <f>C10/'Output-Calculation-sheet'!C9*'Output-Calculation-sheet'!C81</f>
        <v>7125756348.0868263</v>
      </c>
      <c r="D98" s="2">
        <f>D10/'Output-Calculation-sheet'!D9*'Output-Calculation-sheet'!D81</f>
        <v>6781549712.7208424</v>
      </c>
      <c r="E98" s="2">
        <f>E10/'Output-Calculation-sheet'!E9*'Output-Calculation-sheet'!E81</f>
        <v>12756521702.87858</v>
      </c>
      <c r="F98" s="2">
        <f>F10/'Output-Calculation-sheet'!F9*'Output-Calculation-sheet'!F81</f>
        <v>5261097889.2083578</v>
      </c>
      <c r="G98" s="2">
        <f>G10/'Output-Calculation-sheet'!G9*'Output-Calculation-sheet'!G81</f>
        <v>3862859039.4249425</v>
      </c>
      <c r="H98" s="2">
        <f>H10/'Output-Calculation-sheet'!H9*'Output-Calculation-sheet'!H81</f>
        <v>3499781850.2274308</v>
      </c>
      <c r="I98" s="2">
        <f>I10/'Output-Calculation-sheet'!I9*'Output-Calculation-sheet'!I81</f>
        <v>2909351944.2626696</v>
      </c>
      <c r="J98" s="2">
        <f>J10/'Output-Calculation-sheet'!J9*'Output-Calculation-sheet'!J81</f>
        <v>1860312962.3875408</v>
      </c>
      <c r="K98" s="2">
        <f>K10/'Output-Calculation-sheet'!K9*'Output-Calculation-sheet'!K81</f>
        <v>2702178352.0155892</v>
      </c>
      <c r="L98" s="2">
        <f>L10/'Output-Calculation-sheet'!L9*'Output-Calculation-sheet'!L81</f>
        <v>2026674212.540729</v>
      </c>
      <c r="M98" s="2">
        <f>M10/'Output-Calculation-sheet'!M9*'Output-Calculation-sheet'!M81</f>
        <v>2628189226.8279195</v>
      </c>
      <c r="N98" s="2">
        <f>N10/'Output-Calculation-sheet'!N9*'Output-Calculation-sheet'!N81</f>
        <v>1885520705.2981277</v>
      </c>
      <c r="O98" s="2">
        <f>O10/'Output-Calculation-sheet'!O9*'Output-Calculation-sheet'!O81</f>
        <v>998489736.99903166</v>
      </c>
      <c r="P98" s="2">
        <f>P10/'Output-Calculation-sheet'!P9*'Output-Calculation-sheet'!P81</f>
        <v>3190883492.26123</v>
      </c>
      <c r="Q98" s="2">
        <f>Q10/'Output-Calculation-sheet'!Q9*'Output-Calculation-sheet'!Q81</f>
        <v>1500272527.285392</v>
      </c>
      <c r="R98" s="2">
        <f>R10/'Output-Calculation-sheet'!R9*'Output-Calculation-sheet'!R81</f>
        <v>1919075535.9565322</v>
      </c>
      <c r="S98" s="2">
        <f>S10/'Output-Calculation-sheet'!S9*'Output-Calculation-sheet'!S81</f>
        <v>1109567329.6812453</v>
      </c>
      <c r="T98" s="2">
        <f>T10/'Output-Calculation-sheet'!T9*'Output-Calculation-sheet'!T81</f>
        <v>823344605.77658939</v>
      </c>
      <c r="U98" s="2">
        <f>U10/'Output-Calculation-sheet'!U9*'Output-Calculation-sheet'!U81</f>
        <v>535721399.69354326</v>
      </c>
      <c r="V98" s="2">
        <f>V10/'Output-Calculation-sheet'!V9*'Output-Calculation-sheet'!V81</f>
        <v>283727074.70091039</v>
      </c>
      <c r="W98" s="2">
        <f>W10/'Output-Calculation-sheet'!W9*'Output-Calculation-sheet'!W81</f>
        <v>804464142.70551038</v>
      </c>
      <c r="X98" s="2">
        <f>X10/'Output-Calculation-sheet'!X9*'Output-Calculation-sheet'!X81</f>
        <v>295616233.16820782</v>
      </c>
      <c r="Y98" s="2">
        <f>Y10/'Output-Calculation-sheet'!Y9*'Output-Calculation-sheet'!Y81</f>
        <v>442344205.13650858</v>
      </c>
      <c r="AA98" s="2">
        <f t="shared" si="8"/>
        <v>85.987214175364144</v>
      </c>
    </row>
    <row r="99" spans="1:27" x14ac:dyDescent="0.25">
      <c r="A99" s="2">
        <v>2034</v>
      </c>
      <c r="B99" s="2">
        <f>B11/'Output-Calculation-sheet'!B10*'Output-Calculation-sheet'!B82</f>
        <v>25756867416.770355</v>
      </c>
      <c r="C99" s="2">
        <f>C11/'Output-Calculation-sheet'!C10*'Output-Calculation-sheet'!C82</f>
        <v>8887176005.9176273</v>
      </c>
      <c r="D99" s="2">
        <f>D11/'Output-Calculation-sheet'!D10*'Output-Calculation-sheet'!D82</f>
        <v>8084830344.0864658</v>
      </c>
      <c r="E99" s="2">
        <f>E11/'Output-Calculation-sheet'!E10*'Output-Calculation-sheet'!E82</f>
        <v>15639395350.430767</v>
      </c>
      <c r="F99" s="2">
        <f>F11/'Output-Calculation-sheet'!F10*'Output-Calculation-sheet'!F82</f>
        <v>6441065566.4200916</v>
      </c>
      <c r="G99" s="2">
        <f>G11/'Output-Calculation-sheet'!G10*'Output-Calculation-sheet'!G82</f>
        <v>4579139269.5991554</v>
      </c>
      <c r="H99" s="2">
        <f>H11/'Output-Calculation-sheet'!H10*'Output-Calculation-sheet'!H82</f>
        <v>4280037032.5623088</v>
      </c>
      <c r="I99" s="2">
        <f>I11/'Output-Calculation-sheet'!I10*'Output-Calculation-sheet'!I82</f>
        <v>3594933144.3809252</v>
      </c>
      <c r="J99" s="2">
        <f>J11/'Output-Calculation-sheet'!J10*'Output-Calculation-sheet'!J82</f>
        <v>2237125520.8337851</v>
      </c>
      <c r="K99" s="2">
        <f>K11/'Output-Calculation-sheet'!K10*'Output-Calculation-sheet'!K82</f>
        <v>3273208207.8631678</v>
      </c>
      <c r="L99" s="2">
        <f>L11/'Output-Calculation-sheet'!L10*'Output-Calculation-sheet'!L82</f>
        <v>2527156104.1786695</v>
      </c>
      <c r="M99" s="2">
        <f>M11/'Output-Calculation-sheet'!M10*'Output-Calculation-sheet'!M82</f>
        <v>3224072564.6333866</v>
      </c>
      <c r="N99" s="2">
        <f>N11/'Output-Calculation-sheet'!N10*'Output-Calculation-sheet'!N82</f>
        <v>2271362134.2760377</v>
      </c>
      <c r="O99" s="2">
        <f>O11/'Output-Calculation-sheet'!O10*'Output-Calculation-sheet'!O82</f>
        <v>1231419403.4426696</v>
      </c>
      <c r="P99" s="2">
        <f>P11/'Output-Calculation-sheet'!P10*'Output-Calculation-sheet'!P82</f>
        <v>3838613247.4904613</v>
      </c>
      <c r="Q99" s="2">
        <f>Q11/'Output-Calculation-sheet'!Q10*'Output-Calculation-sheet'!Q82</f>
        <v>1816673009.243161</v>
      </c>
      <c r="R99" s="2">
        <f>R11/'Output-Calculation-sheet'!R10*'Output-Calculation-sheet'!R82</f>
        <v>2351674809.0687637</v>
      </c>
      <c r="S99" s="2">
        <f>S11/'Output-Calculation-sheet'!S10*'Output-Calculation-sheet'!S82</f>
        <v>1354630434.6237581</v>
      </c>
      <c r="T99" s="2">
        <f>T11/'Output-Calculation-sheet'!T10*'Output-Calculation-sheet'!T82</f>
        <v>990076472.79269636</v>
      </c>
      <c r="U99" s="2">
        <f>U11/'Output-Calculation-sheet'!U10*'Output-Calculation-sheet'!U82</f>
        <v>655648598.69990981</v>
      </c>
      <c r="V99" s="2">
        <f>V11/'Output-Calculation-sheet'!V10*'Output-Calculation-sheet'!V82</f>
        <v>350567131.48066378</v>
      </c>
      <c r="W99" s="2">
        <f>W11/'Output-Calculation-sheet'!W10*'Output-Calculation-sheet'!W82</f>
        <v>972134929.58672452</v>
      </c>
      <c r="X99" s="2">
        <f>X11/'Output-Calculation-sheet'!X10*'Output-Calculation-sheet'!X82</f>
        <v>366132778.4275986</v>
      </c>
      <c r="Y99" s="2">
        <f>Y11/'Output-Calculation-sheet'!Y10*'Output-Calculation-sheet'!Y82</f>
        <v>534982536.7299273</v>
      </c>
      <c r="AA99" s="2">
        <f t="shared" si="8"/>
        <v>105.25892201353908</v>
      </c>
    </row>
    <row r="100" spans="1:27" x14ac:dyDescent="0.25">
      <c r="A100" s="2">
        <v>2035</v>
      </c>
      <c r="B100" s="2">
        <f>B12/'Output-Calculation-sheet'!B11*'Output-Calculation-sheet'!B83</f>
        <v>31018719452.364674</v>
      </c>
      <c r="C100" s="2">
        <f>C12/'Output-Calculation-sheet'!C11*'Output-Calculation-sheet'!C83</f>
        <v>10769195576.334597</v>
      </c>
      <c r="D100" s="2">
        <f>D12/'Output-Calculation-sheet'!D11*'Output-Calculation-sheet'!D83</f>
        <v>9373203899.9668465</v>
      </c>
      <c r="E100" s="2">
        <f>E12/'Output-Calculation-sheet'!E11*'Output-Calculation-sheet'!E83</f>
        <v>18640884000.010513</v>
      </c>
      <c r="F100" s="2">
        <f>F12/'Output-Calculation-sheet'!F11*'Output-Calculation-sheet'!F83</f>
        <v>7668116411.8198261</v>
      </c>
      <c r="G100" s="2">
        <f>G12/'Output-Calculation-sheet'!G11*'Output-Calculation-sheet'!G83</f>
        <v>5269489101.4560232</v>
      </c>
      <c r="H100" s="2">
        <f>H12/'Output-Calculation-sheet'!H11*'Output-Calculation-sheet'!H83</f>
        <v>5089932672.2844696</v>
      </c>
      <c r="I100" s="2">
        <f>I12/'Output-Calculation-sheet'!I11*'Output-Calculation-sheet'!I83</f>
        <v>4318707337.9258547</v>
      </c>
      <c r="J100" s="2">
        <f>J12/'Output-Calculation-sheet'!J11*'Output-Calculation-sheet'!J83</f>
        <v>2617322526.1131945</v>
      </c>
      <c r="K100" s="2">
        <f>K12/'Output-Calculation-sheet'!K11*'Output-Calculation-sheet'!K83</f>
        <v>3856430951.2391181</v>
      </c>
      <c r="L100" s="2">
        <f>L12/'Output-Calculation-sheet'!L11*'Output-Calculation-sheet'!L83</f>
        <v>3061786283.8781452</v>
      </c>
      <c r="M100" s="2">
        <f>M12/'Output-Calculation-sheet'!M11*'Output-Calculation-sheet'!M83</f>
        <v>3846282038.9086809</v>
      </c>
      <c r="N100" s="2">
        <f>N12/'Output-Calculation-sheet'!N11*'Output-Calculation-sheet'!N83</f>
        <v>2661323382.0780435</v>
      </c>
      <c r="O100" s="2">
        <f>O12/'Output-Calculation-sheet'!O11*'Output-Calculation-sheet'!O83</f>
        <v>1477203458.8638253</v>
      </c>
      <c r="P100" s="2">
        <f>P12/'Output-Calculation-sheet'!P11*'Output-Calculation-sheet'!P83</f>
        <v>4486371867.8724537</v>
      </c>
      <c r="Q100" s="2">
        <f>Q12/'Output-Calculation-sheet'!Q11*'Output-Calculation-sheet'!Q83</f>
        <v>2140019947.1763468</v>
      </c>
      <c r="R100" s="2">
        <f>R12/'Output-Calculation-sheet'!R11*'Output-Calculation-sheet'!R83</f>
        <v>2802236844.4955678</v>
      </c>
      <c r="S100" s="2">
        <f>S12/'Output-Calculation-sheet'!S11*'Output-Calculation-sheet'!S83</f>
        <v>1608339972.2392337</v>
      </c>
      <c r="T100" s="2">
        <f>T12/'Output-Calculation-sheet'!T11*'Output-Calculation-sheet'!T83</f>
        <v>1157447529.5221384</v>
      </c>
      <c r="U100" s="2">
        <f>U12/'Output-Calculation-sheet'!U11*'Output-Calculation-sheet'!U83</f>
        <v>779988583.84105361</v>
      </c>
      <c r="V100" s="2">
        <f>V12/'Output-Calculation-sheet'!V11*'Output-Calculation-sheet'!V83</f>
        <v>420849159.46206933</v>
      </c>
      <c r="W100" s="2">
        <f>W12/'Output-Calculation-sheet'!W11*'Output-Calculation-sheet'!W83</f>
        <v>1140183764.0764291</v>
      </c>
      <c r="X100" s="2">
        <f>X12/'Output-Calculation-sheet'!X11*'Output-Calculation-sheet'!X83</f>
        <v>440805873.32968318</v>
      </c>
      <c r="Y100" s="2">
        <f>Y12/'Output-Calculation-sheet'!Y11*'Output-Calculation-sheet'!Y83</f>
        <v>628309311.22183335</v>
      </c>
      <c r="AA100" s="2">
        <f t="shared" si="8"/>
        <v>125.27314994648061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1037.6250859230158</v>
      </c>
      <c r="C19" s="2">
        <f>C8/'Output-Calculation-sheet'!C7*'Output-Calculation-sheet'!C25</f>
        <v>9670.422192402144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4655.7781400955209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3234.7517733053319</v>
      </c>
      <c r="N19" s="2">
        <f>N8/'Output-Calculation-sheet'!N7*'Output-Calculation-sheet'!N25</f>
        <v>1107.4787578775185</v>
      </c>
      <c r="O19" s="2">
        <f>O8/'Output-Calculation-sheet'!O7*'Output-Calculation-sheet'!O25</f>
        <v>1715.4579294113059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395.16590366548797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361.95756928816172</v>
      </c>
      <c r="Y19" s="2">
        <f>Y8/'Output-Calculation-sheet'!Y7*'Output-Calculation-sheet'!Y25</f>
        <v>0</v>
      </c>
      <c r="AA19" s="2">
        <f t="shared" si="0"/>
        <v>22.17863735196849</v>
      </c>
    </row>
    <row r="20" spans="1:27" x14ac:dyDescent="0.25">
      <c r="A20" s="2">
        <v>2032</v>
      </c>
      <c r="B20" s="2">
        <f>B9/'Output-Calculation-sheet'!B8*'Output-Calculation-sheet'!B26</f>
        <v>5488.4563694999024</v>
      </c>
      <c r="C20" s="2">
        <f>C9/'Output-Calculation-sheet'!C8*'Output-Calculation-sheet'!C26</f>
        <v>11155.570019210518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5971.0561503486661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4152.7828331994633</v>
      </c>
      <c r="N20" s="2">
        <f>N9/'Output-Calculation-sheet'!N8*'Output-Calculation-sheet'!N26</f>
        <v>1872.409033879667</v>
      </c>
      <c r="O20" s="2">
        <f>O9/'Output-Calculation-sheet'!O8*'Output-Calculation-sheet'!O26</f>
        <v>1942.4712918811149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677.00789065869139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464.14401793134806</v>
      </c>
      <c r="Y20" s="2">
        <f>Y9/'Output-Calculation-sheet'!Y8*'Output-Calculation-sheet'!Y26</f>
        <v>0</v>
      </c>
      <c r="AA20" s="2">
        <f t="shared" si="0"/>
        <v>31.72389760660937</v>
      </c>
    </row>
    <row r="21" spans="1:27" x14ac:dyDescent="0.25">
      <c r="A21" s="2">
        <v>2033</v>
      </c>
      <c r="B21" s="2">
        <f>B10/'Output-Calculation-sheet'!B9*'Output-Calculation-sheet'!B27</f>
        <v>11868.559525441151</v>
      </c>
      <c r="C21" s="2">
        <f>C10/'Output-Calculation-sheet'!C9*'Output-Calculation-sheet'!C27</f>
        <v>12099.343836056636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6861.5167315268582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4765.8020610566628</v>
      </c>
      <c r="N21" s="2">
        <f>N10/'Output-Calculation-sheet'!N9*'Output-Calculation-sheet'!N27</f>
        <v>2593.2633712127481</v>
      </c>
      <c r="O21" s="2">
        <f>O10/'Output-Calculation-sheet'!O9*'Output-Calculation-sheet'!O27</f>
        <v>2011.7666415490121</v>
      </c>
      <c r="P21" s="2">
        <f>P10/'Output-Calculation-sheet'!P9*'Output-Calculation-sheet'!P27</f>
        <v>0</v>
      </c>
      <c r="Q21" s="2">
        <f>Q10/'Output-Calculation-sheet'!Q9*'Output-Calculation-sheet'!Q27</f>
        <v>177.09937169811514</v>
      </c>
      <c r="R21" s="2">
        <f>R10/'Output-Calculation-sheet'!R9*'Output-Calculation-sheet'!R27</f>
        <v>0</v>
      </c>
      <c r="S21" s="2">
        <f>S10/'Output-Calculation-sheet'!S9*'Output-Calculation-sheet'!S27</f>
        <v>1134.7974227753684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560.38379015957457</v>
      </c>
      <c r="Y21" s="2">
        <f>Y10/'Output-Calculation-sheet'!Y9*'Output-Calculation-sheet'!Y27</f>
        <v>0</v>
      </c>
      <c r="AA21" s="2">
        <f t="shared" si="0"/>
        <v>42.072532751476132</v>
      </c>
    </row>
    <row r="22" spans="1:27" x14ac:dyDescent="0.25">
      <c r="A22" s="2">
        <v>2034</v>
      </c>
      <c r="B22" s="2">
        <f>B11/'Output-Calculation-sheet'!B10*'Output-Calculation-sheet'!B28</f>
        <v>17457.825632903281</v>
      </c>
      <c r="C22" s="2">
        <f>C11/'Output-Calculation-sheet'!C10*'Output-Calculation-sheet'!C28</f>
        <v>12465.246767686645</v>
      </c>
      <c r="D22" s="2">
        <f>D11/'Output-Calculation-sheet'!D10*'Output-Calculation-sheet'!D28</f>
        <v>0</v>
      </c>
      <c r="E22" s="2">
        <f>E11/'Output-Calculation-sheet'!E10*'Output-Calculation-sheet'!E28</f>
        <v>1009.7319114851664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7339.0973983831354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501.40253471329277</v>
      </c>
      <c r="M22" s="2">
        <f>M11/'Output-Calculation-sheet'!M10*'Output-Calculation-sheet'!M28</f>
        <v>5098.7804993770942</v>
      </c>
      <c r="N22" s="2">
        <f>N11/'Output-Calculation-sheet'!N10*'Output-Calculation-sheet'!N28</f>
        <v>2960.3008668083367</v>
      </c>
      <c r="O22" s="2">
        <f>O11/'Output-Calculation-sheet'!O10*'Output-Calculation-sheet'!O28</f>
        <v>1918.5361339874667</v>
      </c>
      <c r="P22" s="2">
        <f>P11/'Output-Calculation-sheet'!P10*'Output-Calculation-sheet'!P28</f>
        <v>0</v>
      </c>
      <c r="Q22" s="2">
        <f>Q11/'Output-Calculation-sheet'!Q10*'Output-Calculation-sheet'!Q28</f>
        <v>442.57904199451269</v>
      </c>
      <c r="R22" s="2">
        <f>R11/'Output-Calculation-sheet'!R10*'Output-Calculation-sheet'!R28</f>
        <v>0</v>
      </c>
      <c r="S22" s="2">
        <f>S11/'Output-Calculation-sheet'!S10*'Output-Calculation-sheet'!S28</f>
        <v>1382.7178081341551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531.0078684817114</v>
      </c>
      <c r="Y22" s="2">
        <f>Y11/'Output-Calculation-sheet'!Y10*'Output-Calculation-sheet'!Y28</f>
        <v>55.907736861728665</v>
      </c>
      <c r="AA22" s="2">
        <f t="shared" si="0"/>
        <v>51.163134200816522</v>
      </c>
    </row>
    <row r="23" spans="1:27" x14ac:dyDescent="0.25">
      <c r="A23" s="2">
        <v>2035</v>
      </c>
      <c r="B23" s="2">
        <f>B12/'Output-Calculation-sheet'!B11*'Output-Calculation-sheet'!B29</f>
        <v>16796.498181895284</v>
      </c>
      <c r="C23" s="2">
        <f>C12/'Output-Calculation-sheet'!C11*'Output-Calculation-sheet'!C29</f>
        <v>12251.613682444668</v>
      </c>
      <c r="D23" s="2">
        <f>D12/'Output-Calculation-sheet'!D11*'Output-Calculation-sheet'!D29</f>
        <v>0</v>
      </c>
      <c r="E23" s="2">
        <f>E12/'Output-Calculation-sheet'!E11*'Output-Calculation-sheet'!E29</f>
        <v>2136.6686704335621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6149.9887481798332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505.7332560721635</v>
      </c>
      <c r="M23" s="2">
        <f>M12/'Output-Calculation-sheet'!M11*'Output-Calculation-sheet'!M29</f>
        <v>4336.1376613299253</v>
      </c>
      <c r="N23" s="2">
        <f>N12/'Output-Calculation-sheet'!N11*'Output-Calculation-sheet'!N29</f>
        <v>2555.0068921858119</v>
      </c>
      <c r="O23" s="2">
        <f>O12/'Output-Calculation-sheet'!O11*'Output-Calculation-sheet'!O29</f>
        <v>1690.3611717163444</v>
      </c>
      <c r="P23" s="2">
        <f>P12/'Output-Calculation-sheet'!P11*'Output-Calculation-sheet'!P29</f>
        <v>360.40273961349902</v>
      </c>
      <c r="Q23" s="2">
        <f>Q12/'Output-Calculation-sheet'!Q11*'Output-Calculation-sheet'!Q29</f>
        <v>545.88711094666769</v>
      </c>
      <c r="R23" s="2">
        <f>R12/'Output-Calculation-sheet'!R11*'Output-Calculation-sheet'!R29</f>
        <v>0</v>
      </c>
      <c r="S23" s="2">
        <f>S12/'Output-Calculation-sheet'!S11*'Output-Calculation-sheet'!S29</f>
        <v>1249.4796352032122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450.45256833244065</v>
      </c>
      <c r="Y23" s="2">
        <f>Y12/'Output-Calculation-sheet'!Y11*'Output-Calculation-sheet'!Y29</f>
        <v>114.38224418722916</v>
      </c>
      <c r="AA23" s="2">
        <f t="shared" si="0"/>
        <v>49.142612562540648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18085.468178909639</v>
      </c>
      <c r="C30" s="2">
        <f>C8/'Output-Calculation-sheet'!C7*'Output-Calculation-sheet'!C16</f>
        <v>0</v>
      </c>
      <c r="D30" s="2">
        <f>D8/'Output-Calculation-sheet'!D7*'Output-Calculation-sheet'!D16</f>
        <v>3045.353757677432</v>
      </c>
      <c r="E30" s="2">
        <f>E8/'Output-Calculation-sheet'!E7*'Output-Calculation-sheet'!E16</f>
        <v>3276.6285872967997</v>
      </c>
      <c r="F30" s="2">
        <f>F8/'Output-Calculation-sheet'!F7*'Output-Calculation-sheet'!F16</f>
        <v>1653.0765581237924</v>
      </c>
      <c r="G30" s="2">
        <f>G8/'Output-Calculation-sheet'!G7*'Output-Calculation-sheet'!G16</f>
        <v>1082.5688069977859</v>
      </c>
      <c r="H30" s="2">
        <f>H8/'Output-Calculation-sheet'!H7*'Output-Calculation-sheet'!H16</f>
        <v>0</v>
      </c>
      <c r="I30" s="2">
        <f>I8/'Output-Calculation-sheet'!I7*'Output-Calculation-sheet'!I16</f>
        <v>1055.3424923787115</v>
      </c>
      <c r="J30" s="2">
        <f>J8/'Output-Calculation-sheet'!J7*'Output-Calculation-sheet'!J16</f>
        <v>939.45774349220176</v>
      </c>
      <c r="K30" s="2">
        <f>K8/'Output-Calculation-sheet'!K7*'Output-Calculation-sheet'!K16</f>
        <v>1254.3556553351107</v>
      </c>
      <c r="L30" s="2">
        <f>L8/'Output-Calculation-sheet'!L7*'Output-Calculation-sheet'!L16</f>
        <v>1059.5227213720323</v>
      </c>
      <c r="M30" s="2">
        <f>M8/'Output-Calculation-sheet'!M7*'Output-Calculation-sheet'!M16</f>
        <v>0</v>
      </c>
      <c r="N30" s="2">
        <f>N8/'Output-Calculation-sheet'!N7*'Output-Calculation-sheet'!N16</f>
        <v>1504.9627622206713</v>
      </c>
      <c r="O30" s="2">
        <f>O8/'Output-Calculation-sheet'!O7*'Output-Calculation-sheet'!O16</f>
        <v>0</v>
      </c>
      <c r="P30" s="2">
        <f>P8/'Output-Calculation-sheet'!P7*'Output-Calculation-sheet'!P16</f>
        <v>1352.611148912192</v>
      </c>
      <c r="Q30" s="2">
        <f>Q8/'Output-Calculation-sheet'!Q7*'Output-Calculation-sheet'!Q16</f>
        <v>1487.4255506687073</v>
      </c>
      <c r="R30" s="2">
        <f>R8/'Output-Calculation-sheet'!R7*'Output-Calculation-sheet'!R16</f>
        <v>943.77797682211678</v>
      </c>
      <c r="S30" s="2">
        <f>S8/'Output-Calculation-sheet'!S7*'Output-Calculation-sheet'!S16</f>
        <v>949.16389819370249</v>
      </c>
      <c r="T30" s="2">
        <f>T8/'Output-Calculation-sheet'!T7*'Output-Calculation-sheet'!T16</f>
        <v>283.30858255019876</v>
      </c>
      <c r="U30" s="2">
        <f>U8/'Output-Calculation-sheet'!U7*'Output-Calculation-sheet'!U16</f>
        <v>282.802175642946</v>
      </c>
      <c r="V30" s="2">
        <f>V8/'Output-Calculation-sheet'!V7*'Output-Calculation-sheet'!V16</f>
        <v>220.09955766566614</v>
      </c>
      <c r="W30" s="2">
        <f>W8/'Output-Calculation-sheet'!W7*'Output-Calculation-sheet'!W16</f>
        <v>133.50147750107934</v>
      </c>
      <c r="X30" s="2">
        <f>X8/'Output-Calculation-sheet'!X7*'Output-Calculation-sheet'!X16</f>
        <v>0</v>
      </c>
      <c r="Y30" s="2">
        <f>Y8/'Output-Calculation-sheet'!Y7*'Output-Calculation-sheet'!Y16</f>
        <v>112.99382327585751</v>
      </c>
      <c r="AA30" s="2">
        <f t="shared" si="1"/>
        <v>38.722421455036631</v>
      </c>
    </row>
    <row r="31" spans="1:27" x14ac:dyDescent="0.25">
      <c r="A31" s="2">
        <v>2032</v>
      </c>
      <c r="B31" s="2">
        <f>B9/'Output-Calculation-sheet'!B8*'Output-Calculation-sheet'!B17</f>
        <v>23239.937585794723</v>
      </c>
      <c r="C31" s="2">
        <f>C9/'Output-Calculation-sheet'!C8*'Output-Calculation-sheet'!C17</f>
        <v>0</v>
      </c>
      <c r="D31" s="2">
        <f>D9/'Output-Calculation-sheet'!D8*'Output-Calculation-sheet'!D17</f>
        <v>3897.6426651406377</v>
      </c>
      <c r="E31" s="2">
        <f>E9/'Output-Calculation-sheet'!E8*'Output-Calculation-sheet'!E17</f>
        <v>4581.1464249203937</v>
      </c>
      <c r="F31" s="2">
        <f>F9/'Output-Calculation-sheet'!F8*'Output-Calculation-sheet'!F17</f>
        <v>2115.7668938205766</v>
      </c>
      <c r="G31" s="2">
        <f>G9/'Output-Calculation-sheet'!G8*'Output-Calculation-sheet'!G17</f>
        <v>1385.5631853858133</v>
      </c>
      <c r="H31" s="2">
        <f>H9/'Output-Calculation-sheet'!H8*'Output-Calculation-sheet'!H17</f>
        <v>0</v>
      </c>
      <c r="I31" s="2">
        <f>I9/'Output-Calculation-sheet'!I8*'Output-Calculation-sheet'!I17</f>
        <v>1350.7229702520838</v>
      </c>
      <c r="J31" s="2">
        <f>J9/'Output-Calculation-sheet'!J8*'Output-Calculation-sheet'!J17</f>
        <v>1202.4037950584507</v>
      </c>
      <c r="K31" s="2">
        <f>K9/'Output-Calculation-sheet'!K8*'Output-Calculation-sheet'!K17</f>
        <v>1711.9037485833226</v>
      </c>
      <c r="L31" s="2">
        <f>L9/'Output-Calculation-sheet'!L8*'Output-Calculation-sheet'!L17</f>
        <v>1459.9529524714685</v>
      </c>
      <c r="M31" s="2">
        <f>M9/'Output-Calculation-sheet'!M8*'Output-Calculation-sheet'!M17</f>
        <v>0</v>
      </c>
      <c r="N31" s="2">
        <f>N9/'Output-Calculation-sheet'!N8*'Output-Calculation-sheet'!N17</f>
        <v>1587.1181774210281</v>
      </c>
      <c r="O31" s="2">
        <f>O9/'Output-Calculation-sheet'!O8*'Output-Calculation-sheet'!O17</f>
        <v>0</v>
      </c>
      <c r="P31" s="2">
        <f>P9/'Output-Calculation-sheet'!P8*'Output-Calculation-sheet'!P17</f>
        <v>1969.8599964841237</v>
      </c>
      <c r="Q31" s="2">
        <f>Q9/'Output-Calculation-sheet'!Q8*'Output-Calculation-sheet'!Q17</f>
        <v>2100.051740979608</v>
      </c>
      <c r="R31" s="2">
        <f>R9/'Output-Calculation-sheet'!R8*'Output-Calculation-sheet'!R17</f>
        <v>1373.9648353966109</v>
      </c>
      <c r="S31" s="2">
        <f>S9/'Output-Calculation-sheet'!S8*'Output-Calculation-sheet'!S17</f>
        <v>1186.4412446634178</v>
      </c>
      <c r="T31" s="2">
        <f>T9/'Output-Calculation-sheet'!T8*'Output-Calculation-sheet'!T17</f>
        <v>372.83539637231763</v>
      </c>
      <c r="U31" s="2">
        <f>U9/'Output-Calculation-sheet'!U8*'Output-Calculation-sheet'!U17</f>
        <v>428.50673093841237</v>
      </c>
      <c r="V31" s="2">
        <f>V9/'Output-Calculation-sheet'!V8*'Output-Calculation-sheet'!V17</f>
        <v>306.91903919160137</v>
      </c>
      <c r="W31" s="2">
        <f>W9/'Output-Calculation-sheet'!W8*'Output-Calculation-sheet'!W17</f>
        <v>170.86907065091094</v>
      </c>
      <c r="X31" s="2">
        <f>X9/'Output-Calculation-sheet'!X8*'Output-Calculation-sheet'!X17</f>
        <v>0</v>
      </c>
      <c r="Y31" s="2">
        <f>Y9/'Output-Calculation-sheet'!Y8*'Output-Calculation-sheet'!Y17</f>
        <v>165.09654146955288</v>
      </c>
      <c r="AA31" s="2">
        <f t="shared" si="1"/>
        <v>50.606702994995054</v>
      </c>
    </row>
    <row r="32" spans="1:27" x14ac:dyDescent="0.25">
      <c r="A32" s="2">
        <v>2033</v>
      </c>
      <c r="B32" s="2">
        <f>B10/'Output-Calculation-sheet'!B9*'Output-Calculation-sheet'!B18</f>
        <v>24055.174850442607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1475.5518051620247</v>
      </c>
      <c r="O32" s="2">
        <f>O10/'Output-Calculation-sheet'!O9*'Output-Calculation-sheet'!O18</f>
        <v>0</v>
      </c>
      <c r="P32" s="2">
        <f>P10/'Output-Calculation-sheet'!P9*'Output-Calculation-sheet'!P18</f>
        <v>2361.2432034184644</v>
      </c>
      <c r="Q32" s="2">
        <f>Q10/'Output-Calculation-sheet'!Q9*'Output-Calculation-sheet'!Q18</f>
        <v>2572.9310165057236</v>
      </c>
      <c r="R32" s="2">
        <f>R10/'Output-Calculation-sheet'!R9*'Output-Calculation-sheet'!R18</f>
        <v>1695.265295812047</v>
      </c>
      <c r="S32" s="2">
        <f>S10/'Output-Calculation-sheet'!S9*'Output-Calculation-sheet'!S18</f>
        <v>1109.5263252617212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548.09026100362769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57.836292068480738</v>
      </c>
    </row>
    <row r="33" spans="1:27" x14ac:dyDescent="0.25">
      <c r="A33" s="2">
        <v>2034</v>
      </c>
      <c r="B33" s="2">
        <f>B11/'Output-Calculation-sheet'!B10*'Output-Calculation-sheet'!B19</f>
        <v>20006.137766009695</v>
      </c>
      <c r="C33" s="2">
        <f>C11/'Output-Calculation-sheet'!C10*'Output-Calculation-sheet'!C19</f>
        <v>0</v>
      </c>
      <c r="D33" s="2">
        <f>D11/'Output-Calculation-sheet'!D10*'Output-Calculation-sheet'!D19</f>
        <v>6056.4209025207501</v>
      </c>
      <c r="E33" s="2">
        <f>E11/'Output-Calculation-sheet'!E10*'Output-Calculation-sheet'!E19</f>
        <v>7510.291831872164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2057.9090957408066</v>
      </c>
      <c r="H33" s="2">
        <f>H11/'Output-Calculation-sheet'!H10*'Output-Calculation-sheet'!H19</f>
        <v>0</v>
      </c>
      <c r="I33" s="2">
        <f>I11/'Output-Calculation-sheet'!I10*'Output-Calculation-sheet'!I19</f>
        <v>2248.8515155991372</v>
      </c>
      <c r="J33" s="2">
        <f>J11/'Output-Calculation-sheet'!J10*'Output-Calculation-sheet'!J19</f>
        <v>1902.588926816989</v>
      </c>
      <c r="K33" s="2">
        <f>K11/'Output-Calculation-sheet'!K10*'Output-Calculation-sheet'!K19</f>
        <v>2634.3155320778228</v>
      </c>
      <c r="L33" s="2">
        <f>L11/'Output-Calculation-sheet'!L10*'Output-Calculation-sheet'!L19</f>
        <v>2080.9432717096852</v>
      </c>
      <c r="M33" s="2">
        <f>M11/'Output-Calculation-sheet'!M10*'Output-Calculation-sheet'!M19</f>
        <v>0</v>
      </c>
      <c r="N33" s="2">
        <f>N11/'Output-Calculation-sheet'!N10*'Output-Calculation-sheet'!N19</f>
        <v>1244.6318836201081</v>
      </c>
      <c r="O33" s="2">
        <f>O11/'Output-Calculation-sheet'!O10*'Output-Calculation-sheet'!O19</f>
        <v>0</v>
      </c>
      <c r="P33" s="2">
        <f>P11/'Output-Calculation-sheet'!P10*'Output-Calculation-sheet'!P19</f>
        <v>2665.8231748148974</v>
      </c>
      <c r="Q33" s="2">
        <f>Q11/'Output-Calculation-sheet'!Q10*'Output-Calculation-sheet'!Q19</f>
        <v>2201.49808903758</v>
      </c>
      <c r="R33" s="2">
        <f>R11/'Output-Calculation-sheet'!R10*'Output-Calculation-sheet'!R19</f>
        <v>1903.4417541648252</v>
      </c>
      <c r="S33" s="2">
        <f>S11/'Output-Calculation-sheet'!S10*'Output-Calculation-sheet'!S19</f>
        <v>935.00936190581569</v>
      </c>
      <c r="T33" s="2">
        <f>T11/'Output-Calculation-sheet'!T10*'Output-Calculation-sheet'!T19</f>
        <v>558.48451247129094</v>
      </c>
      <c r="U33" s="2">
        <f>U11/'Output-Calculation-sheet'!U10*'Output-Calculation-sheet'!U19</f>
        <v>601.18966214098145</v>
      </c>
      <c r="V33" s="2">
        <f>V11/'Output-Calculation-sheet'!V10*'Output-Calculation-sheet'!V19</f>
        <v>438.06569668076423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0</v>
      </c>
      <c r="Y33" s="2">
        <f>Y11/'Output-Calculation-sheet'!Y10*'Output-Calculation-sheet'!Y19</f>
        <v>245.81138571692648</v>
      </c>
      <c r="AA33" s="2">
        <f t="shared" si="1"/>
        <v>59.000850284665752</v>
      </c>
    </row>
    <row r="34" spans="1:27" x14ac:dyDescent="0.25">
      <c r="A34" s="2">
        <v>2035</v>
      </c>
      <c r="B34" s="2">
        <f>B12/'Output-Calculation-sheet'!B11*'Output-Calculation-sheet'!B20</f>
        <v>15947.676758794905</v>
      </c>
      <c r="C34" s="2">
        <f>C12/'Output-Calculation-sheet'!C11*'Output-Calculation-sheet'!C20</f>
        <v>0</v>
      </c>
      <c r="D34" s="2">
        <f>D12/'Output-Calculation-sheet'!D11*'Output-Calculation-sheet'!D20</f>
        <v>4892.6315363276162</v>
      </c>
      <c r="E34" s="2">
        <f>E12/'Output-Calculation-sheet'!E11*'Output-Calculation-sheet'!E20</f>
        <v>5767.1891239167853</v>
      </c>
      <c r="F34" s="2">
        <f>F12/'Output-Calculation-sheet'!F11*'Output-Calculation-sheet'!F20</f>
        <v>3300.204983271396</v>
      </c>
      <c r="G34" s="2">
        <f>G12/'Output-Calculation-sheet'!G11*'Output-Calculation-sheet'!G20</f>
        <v>1767.3696958707294</v>
      </c>
      <c r="H34" s="2">
        <f>H12/'Output-Calculation-sheet'!H11*'Output-Calculation-sheet'!H20</f>
        <v>0</v>
      </c>
      <c r="I34" s="2">
        <f>I12/'Output-Calculation-sheet'!I11*'Output-Calculation-sheet'!I20</f>
        <v>1965.7793313525551</v>
      </c>
      <c r="J34" s="2">
        <f>J12/'Output-Calculation-sheet'!J11*'Output-Calculation-sheet'!J20</f>
        <v>1532.3161673674858</v>
      </c>
      <c r="K34" s="2">
        <f>K12/'Output-Calculation-sheet'!K11*'Output-Calculation-sheet'!K20</f>
        <v>2264.957353305932</v>
      </c>
      <c r="L34" s="2">
        <f>L12/'Output-Calculation-sheet'!L11*'Output-Calculation-sheet'!L20</f>
        <v>1730.9880157502282</v>
      </c>
      <c r="M34" s="2">
        <f>M12/'Output-Calculation-sheet'!M11*'Output-Calculation-sheet'!M20</f>
        <v>0</v>
      </c>
      <c r="N34" s="2">
        <f>N12/'Output-Calculation-sheet'!N11*'Output-Calculation-sheet'!N20</f>
        <v>1004.4978635768416</v>
      </c>
      <c r="O34" s="2">
        <f>O12/'Output-Calculation-sheet'!O11*'Output-Calculation-sheet'!O20</f>
        <v>0</v>
      </c>
      <c r="P34" s="2">
        <f>P12/'Output-Calculation-sheet'!P11*'Output-Calculation-sheet'!P20</f>
        <v>2153.4707779407859</v>
      </c>
      <c r="Q34" s="2">
        <f>Q12/'Output-Calculation-sheet'!Q11*'Output-Calculation-sheet'!Q20</f>
        <v>1774.0510979866963</v>
      </c>
      <c r="R34" s="2">
        <f>R12/'Output-Calculation-sheet'!R11*'Output-Calculation-sheet'!R20</f>
        <v>1665.2952986077171</v>
      </c>
      <c r="S34" s="2">
        <f>S12/'Output-Calculation-sheet'!S11*'Output-Calculation-sheet'!S20</f>
        <v>710.54791888191005</v>
      </c>
      <c r="T34" s="2">
        <f>T12/'Output-Calculation-sheet'!T11*'Output-Calculation-sheet'!T20</f>
        <v>532.37300322274257</v>
      </c>
      <c r="U34" s="2">
        <f>U12/'Output-Calculation-sheet'!U11*'Output-Calculation-sheet'!U20</f>
        <v>496.64656839888937</v>
      </c>
      <c r="V34" s="2">
        <f>V12/'Output-Calculation-sheet'!V11*'Output-Calculation-sheet'!V20</f>
        <v>368.81884338255577</v>
      </c>
      <c r="W34" s="2">
        <f>W12/'Output-Calculation-sheet'!W11*'Output-Calculation-sheet'!W20</f>
        <v>293.71100000987758</v>
      </c>
      <c r="X34" s="2">
        <f>X12/'Output-Calculation-sheet'!X11*'Output-Calculation-sheet'!X20</f>
        <v>11.513040372674123</v>
      </c>
      <c r="Y34" s="2">
        <f>Y12/'Output-Calculation-sheet'!Y11*'Output-Calculation-sheet'!Y20</f>
        <v>171.85985035708353</v>
      </c>
      <c r="AA34" s="2">
        <f t="shared" si="1"/>
        <v>48.35189822869539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1.9716495509780099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0.38303846589082252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2.3546880168688324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3.0281807655925053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0.58829405779403954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3.6164748233865449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3.8563645692610797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0.56189091811198399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4.4182554873730639</v>
      </c>
    </row>
    <row r="44" spans="1:27" x14ac:dyDescent="0.25">
      <c r="A44" s="2">
        <v>2034</v>
      </c>
      <c r="B44" s="2">
        <f>B11/'Output-Calculation-sheet'!B10*'Output-Calculation-sheet'!B37*0.0114</f>
        <v>1.8082135140926863</v>
      </c>
      <c r="C44" s="2">
        <f>C11/'Output-Calculation-sheet'!C10*'Output-Calculation-sheet'!C37*0.0114</f>
        <v>3.4328738531616803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0.26418637143207829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0.19169591842952369</v>
      </c>
      <c r="M44" s="2">
        <f>M11/'Output-Calculation-sheet'!M10*'Output-Calculation-sheet'!M37*0.0114</f>
        <v>0.18178607566191987</v>
      </c>
      <c r="N44" s="2">
        <f>N11/'Output-Calculation-sheet'!N10*'Output-Calculation-sheet'!N37*0.0114</f>
        <v>0.1786665425079548</v>
      </c>
      <c r="O44" s="2">
        <f>O11/'Output-Calculation-sheet'!O10*'Output-Calculation-sheet'!O37*0.0114</f>
        <v>0.66691503754281167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0.1565387694684448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0.10241755201274369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4.9945432174428026E-2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1.9942380639341624E-2</v>
      </c>
      <c r="Y44" s="2">
        <f>Y11/'Output-Calculation-sheet'!Y10*'Output-Calculation-sheet'!Y37*0.0114</f>
        <v>0</v>
      </c>
      <c r="AA44" s="2">
        <f t="shared" si="2"/>
        <v>7.0531814471236141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2.8280253705130214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0.54940924916616396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3.2857343909997498E-2</v>
      </c>
      <c r="Y45" s="2">
        <f>Y12/'Output-Calculation-sheet'!Y11*'Output-Calculation-sheet'!Y38*0.0114</f>
        <v>1.5853973151133311E-2</v>
      </c>
      <c r="AA45" s="2">
        <f t="shared" si="2"/>
        <v>8.4754978808039247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6601.7506131784767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4506.0161624099592</v>
      </c>
      <c r="N52" s="2">
        <f>N8/'Output-Calculation-sheet'!N7*'Output-Calculation-sheet'!N43</f>
        <v>144.02246635922018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580.72679870691968</v>
      </c>
      <c r="Y52" s="2">
        <f>Y8/'Output-Calculation-sheet'!Y7*'Output-Calculation-sheet'!Y43</f>
        <v>0</v>
      </c>
      <c r="AA52" s="2">
        <f t="shared" si="3"/>
        <v>11.832516040654575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619.80308067682847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11938.296406868652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8158.4509779595828</v>
      </c>
      <c r="N53" s="2">
        <f>N9/'Output-Calculation-sheet'!N8*'Output-Calculation-sheet'!N44</f>
        <v>2912.4478465119155</v>
      </c>
      <c r="O53" s="2">
        <f>O9/'Output-Calculation-sheet'!O8*'Output-Calculation-sheet'!O44</f>
        <v>0</v>
      </c>
      <c r="P53" s="2">
        <f>P9/'Output-Calculation-sheet'!P8*'Output-Calculation-sheet'!P44</f>
        <v>136.23174850551959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898.15471439479279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1022.5657142497196</v>
      </c>
      <c r="Y53" s="2">
        <f>Y9/'Output-Calculation-sheet'!Y8*'Output-Calculation-sheet'!Y44</f>
        <v>0</v>
      </c>
      <c r="AA53" s="2">
        <f t="shared" si="3"/>
        <v>25.685950489167013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4566.7475162302262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0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663.29352695923274</v>
      </c>
      <c r="R54" s="2">
        <f>R10/'Output-Calculation-sheet'!R9*'Output-Calculation-sheet'!R45</f>
        <v>1131.992130534474</v>
      </c>
      <c r="S54" s="2">
        <f>S10/'Output-Calculation-sheet'!S9*'Output-Calculation-sheet'!S45</f>
        <v>2714.8263702760014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403.57570649405517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69.85465576441274</v>
      </c>
    </row>
    <row r="55" spans="1:27" x14ac:dyDescent="0.25">
      <c r="A55" s="2">
        <v>2034</v>
      </c>
      <c r="B55" s="2">
        <f>B11/'Output-Calculation-sheet'!B10*'Output-Calculation-sheet'!B46</f>
        <v>47584.566160333852</v>
      </c>
      <c r="C55" s="2">
        <f>C11/'Output-Calculation-sheet'!C10*'Output-Calculation-sheet'!C46</f>
        <v>9786.7017743644392</v>
      </c>
      <c r="D55" s="2">
        <f>D11/'Output-Calculation-sheet'!D10*'Output-Calculation-sheet'!D46</f>
        <v>5268.3086095172685</v>
      </c>
      <c r="E55" s="2">
        <f>E11/'Output-Calculation-sheet'!E10*'Output-Calculation-sheet'!E46</f>
        <v>6518.8444841840992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17102.591413760856</v>
      </c>
      <c r="I55" s="2">
        <f>I11/'Output-Calculation-sheet'!I10*'Output-Calculation-sheet'!I46</f>
        <v>1269.4799833553307</v>
      </c>
      <c r="J55" s="2">
        <f>J11/'Output-Calculation-sheet'!J10*'Output-Calculation-sheet'!J46</f>
        <v>915.65831928470493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487.64751179440236</v>
      </c>
      <c r="M55" s="2">
        <f>M11/'Output-Calculation-sheet'!M10*'Output-Calculation-sheet'!M46</f>
        <v>11863.933358988454</v>
      </c>
      <c r="N55" s="2">
        <f>N11/'Output-Calculation-sheet'!N10*'Output-Calculation-sheet'!N46</f>
        <v>8431.8070060771643</v>
      </c>
      <c r="O55" s="2">
        <f>O11/'Output-Calculation-sheet'!O10*'Output-Calculation-sheet'!O46</f>
        <v>0</v>
      </c>
      <c r="P55" s="2">
        <f>P11/'Output-Calculation-sheet'!P10*'Output-Calculation-sheet'!P46</f>
        <v>3431.4209732195536</v>
      </c>
      <c r="Q55" s="2">
        <f>Q11/'Output-Calculation-sheet'!Q10*'Output-Calculation-sheet'!Q46</f>
        <v>1263.2953325523615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3809.2142152108177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823.66151305197093</v>
      </c>
      <c r="V55" s="2">
        <f>V11/'Output-Calculation-sheet'!V10*'Output-Calculation-sheet'!V46</f>
        <v>425.66400954551364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1210.5374914407371</v>
      </c>
      <c r="Y55" s="2">
        <f>Y11/'Output-Calculation-sheet'!Y10*'Output-Calculation-sheet'!Y46</f>
        <v>322.43425752129275</v>
      </c>
      <c r="AA55" s="2">
        <f t="shared" si="3"/>
        <v>129.06386167480844</v>
      </c>
    </row>
    <row r="56" spans="1:27" x14ac:dyDescent="0.25">
      <c r="A56" s="2">
        <v>2035</v>
      </c>
      <c r="B56" s="2">
        <f>B12/'Output-Calculation-sheet'!B11*'Output-Calculation-sheet'!B47</f>
        <v>47432.601075344341</v>
      </c>
      <c r="C56" s="2">
        <f>C12/'Output-Calculation-sheet'!C11*'Output-Calculation-sheet'!C47</f>
        <v>17303.049964323091</v>
      </c>
      <c r="D56" s="2">
        <f>D12/'Output-Calculation-sheet'!D11*'Output-Calculation-sheet'!D47</f>
        <v>3790.6934358126782</v>
      </c>
      <c r="E56" s="2">
        <f>E12/'Output-Calculation-sheet'!E11*'Output-Calculation-sheet'!E47</f>
        <v>9518.0385417163852</v>
      </c>
      <c r="F56" s="2">
        <f>F12/'Output-Calculation-sheet'!F11*'Output-Calculation-sheet'!F47</f>
        <v>1153.3033456816102</v>
      </c>
      <c r="G56" s="2">
        <f>G12/'Output-Calculation-sheet'!G11*'Output-Calculation-sheet'!G47</f>
        <v>3034.9230401544623</v>
      </c>
      <c r="H56" s="2">
        <f>H12/'Output-Calculation-sheet'!H11*'Output-Calculation-sheet'!H47</f>
        <v>14261.053752853071</v>
      </c>
      <c r="I56" s="2">
        <f>I12/'Output-Calculation-sheet'!I11*'Output-Calculation-sheet'!I47</f>
        <v>1719.3766976059535</v>
      </c>
      <c r="J56" s="2">
        <f>J12/'Output-Calculation-sheet'!J11*'Output-Calculation-sheet'!J47</f>
        <v>596.4435733722712</v>
      </c>
      <c r="K56" s="2">
        <f>K12/'Output-Calculation-sheet'!K11*'Output-Calculation-sheet'!K47</f>
        <v>2526.1042706665653</v>
      </c>
      <c r="L56" s="2">
        <f>L12/'Output-Calculation-sheet'!L11*'Output-Calculation-sheet'!L47</f>
        <v>651.07546388166111</v>
      </c>
      <c r="M56" s="2">
        <f>M12/'Output-Calculation-sheet'!M11*'Output-Calculation-sheet'!M47</f>
        <v>9931.2294277343917</v>
      </c>
      <c r="N56" s="2">
        <f>N12/'Output-Calculation-sheet'!N11*'Output-Calculation-sheet'!N47</f>
        <v>7281.870349447162</v>
      </c>
      <c r="O56" s="2">
        <f>O12/'Output-Calculation-sheet'!O11*'Output-Calculation-sheet'!O47</f>
        <v>0</v>
      </c>
      <c r="P56" s="2">
        <f>P12/'Output-Calculation-sheet'!P11*'Output-Calculation-sheet'!P47</f>
        <v>3828.7423688090144</v>
      </c>
      <c r="Q56" s="2">
        <f>Q12/'Output-Calculation-sheet'!Q11*'Output-Calculation-sheet'!Q47</f>
        <v>1357.4497650827884</v>
      </c>
      <c r="R56" s="2">
        <f>R12/'Output-Calculation-sheet'!R11*'Output-Calculation-sheet'!R47</f>
        <v>2625.0208818859519</v>
      </c>
      <c r="S56" s="2">
        <f>S12/'Output-Calculation-sheet'!S11*'Output-Calculation-sheet'!S47</f>
        <v>3456.3035447560774</v>
      </c>
      <c r="T56" s="2">
        <f>T12/'Output-Calculation-sheet'!T11*'Output-Calculation-sheet'!T47</f>
        <v>946.26381600936509</v>
      </c>
      <c r="U56" s="2">
        <f>U12/'Output-Calculation-sheet'!U11*'Output-Calculation-sheet'!U47</f>
        <v>714.63053794206633</v>
      </c>
      <c r="V56" s="2">
        <f>V12/'Output-Calculation-sheet'!V11*'Output-Calculation-sheet'!V47</f>
        <v>397.97691422398736</v>
      </c>
      <c r="W56" s="2">
        <f>W12/'Output-Calculation-sheet'!W11*'Output-Calculation-sheet'!W47</f>
        <v>385.58666186599828</v>
      </c>
      <c r="X56" s="2">
        <f>X12/'Output-Calculation-sheet'!X11*'Output-Calculation-sheet'!X47</f>
        <v>1011.6603256499229</v>
      </c>
      <c r="Y56" s="2">
        <f>Y12/'Output-Calculation-sheet'!Y11*'Output-Calculation-sheet'!Y47</f>
        <v>447.80520654955484</v>
      </c>
      <c r="AA56" s="2">
        <f t="shared" si="3"/>
        <v>134.37120296136834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5.046277791806669</v>
      </c>
      <c r="C63" s="2">
        <f>C8*'Output-Calculation-sheet'!C52/10^9</f>
        <v>3.156510182560631</v>
      </c>
      <c r="D63" s="2">
        <f>D8*'Output-Calculation-sheet'!D52/10^9</f>
        <v>1.4412649960125785</v>
      </c>
      <c r="E63" s="2">
        <f>E8*'Output-Calculation-sheet'!E52/10^9</f>
        <v>1.3239002447827588</v>
      </c>
      <c r="F63" s="2">
        <f>F8*'Output-Calculation-sheet'!F52/10^9</f>
        <v>0.69771909110240293</v>
      </c>
      <c r="G63" s="2">
        <f>G8*'Output-Calculation-sheet'!G52/10^9</f>
        <v>0.5159847074316104</v>
      </c>
      <c r="H63" s="2">
        <f>H8*'Output-Calculation-sheet'!H52/10^9</f>
        <v>0.89028086378820737</v>
      </c>
      <c r="I63" s="2">
        <f>I8*'Output-Calculation-sheet'!I52/10^9</f>
        <v>0.47834063081140127</v>
      </c>
      <c r="J63" s="2">
        <f>J8*'Output-Calculation-sheet'!J52/10^9</f>
        <v>0.48629990660435496</v>
      </c>
      <c r="K63" s="2">
        <f>K8*'Output-Calculation-sheet'!K52/10^9</f>
        <v>0.48939452072614531</v>
      </c>
      <c r="L63" s="2">
        <f>L8*'Output-Calculation-sheet'!L52/10^9</f>
        <v>0.39895284120055718</v>
      </c>
      <c r="M63" s="2">
        <f>M8*'Output-Calculation-sheet'!M52/10^9</f>
        <v>0.61638961155029226</v>
      </c>
      <c r="N63" s="2">
        <f>N8*'Output-Calculation-sheet'!N52/10^9</f>
        <v>0.55304482146365275</v>
      </c>
      <c r="O63" s="2">
        <f>O8*'Output-Calculation-sheet'!O52/10^9</f>
        <v>0.59808597573608435</v>
      </c>
      <c r="P63" s="2">
        <f>P8*'Output-Calculation-sheet'!P52/10^9</f>
        <v>0.3939766540872553</v>
      </c>
      <c r="Q63" s="2">
        <f>Q8*'Output-Calculation-sheet'!Q52/10^9</f>
        <v>0.40630218909215426</v>
      </c>
      <c r="R63" s="2">
        <f>R8*'Output-Calculation-sheet'!R52/10^9</f>
        <v>0.33275705677053136</v>
      </c>
      <c r="S63" s="2">
        <f>S8*'Output-Calculation-sheet'!S52/10^9</f>
        <v>0.30597571845187493</v>
      </c>
      <c r="T63" s="2">
        <f>T8*'Output-Calculation-sheet'!T52/10^9</f>
        <v>0.11472904172176106</v>
      </c>
      <c r="U63" s="2">
        <f>U8*'Output-Calculation-sheet'!U52/10^9</f>
        <v>0.10422606848949394</v>
      </c>
      <c r="V63" s="2">
        <f>V8*'Output-Calculation-sheet'!V52/10^9</f>
        <v>8.0534873675790514E-2</v>
      </c>
      <c r="W63" s="2">
        <f>W8*'Output-Calculation-sheet'!W52/10^9</f>
        <v>6.2918450242681834E-2</v>
      </c>
      <c r="X63" s="2">
        <f>X8*'Output-Calculation-sheet'!X52/10^9</f>
        <v>7.5470729317681617E-2</v>
      </c>
      <c r="Y63" s="2">
        <f>Y8*'Output-Calculation-sheet'!Y52/10^9</f>
        <v>4.0899506006930916E-2</v>
      </c>
      <c r="AA63" s="2">
        <f t="shared" si="4"/>
        <v>18.610236473433506</v>
      </c>
    </row>
    <row r="64" spans="1:27" x14ac:dyDescent="0.25">
      <c r="A64" s="2">
        <v>2032</v>
      </c>
      <c r="B64" s="2">
        <f>B9*'Output-Calculation-sheet'!B53/10^9</f>
        <v>5.3477978482211288</v>
      </c>
      <c r="C64" s="2">
        <f>C9*'Output-Calculation-sheet'!C53/10^9</f>
        <v>3.541183691102324</v>
      </c>
      <c r="D64" s="2">
        <f>D9*'Output-Calculation-sheet'!D53/10^9</f>
        <v>1.2884878232351429</v>
      </c>
      <c r="E64" s="2">
        <f>E9*'Output-Calculation-sheet'!E53/10^9</f>
        <v>1.2579581898325307</v>
      </c>
      <c r="F64" s="2">
        <f>F9*'Output-Calculation-sheet'!F53/10^9</f>
        <v>0.63442989805078853</v>
      </c>
      <c r="G64" s="2">
        <f>G9*'Output-Calculation-sheet'!G53/10^9</f>
        <v>0.46083023814860302</v>
      </c>
      <c r="H64" s="2">
        <f>H9*'Output-Calculation-sheet'!H53/10^9</f>
        <v>0.98938086604532871</v>
      </c>
      <c r="I64" s="2">
        <f>I9*'Output-Calculation-sheet'!I53/10^9</f>
        <v>0.43029892439753459</v>
      </c>
      <c r="J64" s="2">
        <f>J9*'Output-Calculation-sheet'!J53/10^9</f>
        <v>0.42949629696451896</v>
      </c>
      <c r="K64" s="2">
        <f>K9*'Output-Calculation-sheet'!K53/10^9</f>
        <v>0.46324664805039495</v>
      </c>
      <c r="L64" s="2">
        <f>L9*'Output-Calculation-sheet'!L53/10^9</f>
        <v>0.38186311851114257</v>
      </c>
      <c r="M64" s="2">
        <f>M9*'Output-Calculation-sheet'!M53/10^9</f>
        <v>0.68543269101157456</v>
      </c>
      <c r="N64" s="2">
        <f>N9*'Output-Calculation-sheet'!N53/10^9</f>
        <v>0.60905749124895081</v>
      </c>
      <c r="O64" s="2">
        <f>O9*'Output-Calculation-sheet'!O53/10^9</f>
        <v>0.65529840227599812</v>
      </c>
      <c r="P64" s="2">
        <f>P9*'Output-Calculation-sheet'!P53/10^9</f>
        <v>0.41431958831762561</v>
      </c>
      <c r="Q64" s="2">
        <f>Q9*'Output-Calculation-sheet'!Q53/10^9</f>
        <v>0.42396189435755999</v>
      </c>
      <c r="R64" s="2">
        <f>R9*'Output-Calculation-sheet'!R53/10^9</f>
        <v>0.33146863970990664</v>
      </c>
      <c r="S64" s="2">
        <f>S9*'Output-Calculation-sheet'!S53/10^9</f>
        <v>0.33547341705410322</v>
      </c>
      <c r="T64" s="2">
        <f>T9*'Output-Calculation-sheet'!T53/10^9</f>
        <v>0.10621707062421093</v>
      </c>
      <c r="U64" s="2">
        <f>U9*'Output-Calculation-sheet'!U53/10^9</f>
        <v>0.10477796791051121</v>
      </c>
      <c r="V64" s="2">
        <f>V9*'Output-Calculation-sheet'!V53/10^9</f>
        <v>7.795776978278228E-2</v>
      </c>
      <c r="W64" s="2">
        <f>W9*'Output-Calculation-sheet'!W53/10^9</f>
        <v>5.628228389757569E-2</v>
      </c>
      <c r="X64" s="2">
        <f>X9*'Output-Calculation-sheet'!X53/10^9</f>
        <v>8.4113574800355903E-2</v>
      </c>
      <c r="Y64" s="2">
        <f>Y9*'Output-Calculation-sheet'!Y53/10^9</f>
        <v>4.0570182362910531E-2</v>
      </c>
      <c r="AA64" s="2">
        <f t="shared" si="4"/>
        <v>19.149904515913505</v>
      </c>
    </row>
    <row r="65" spans="1:27" x14ac:dyDescent="0.25">
      <c r="A65" s="2">
        <v>2033</v>
      </c>
      <c r="B65" s="2">
        <f>B10*'Output-Calculation-sheet'!B54/10^9</f>
        <v>5.5617620587537768</v>
      </c>
      <c r="C65" s="2">
        <f>C10*'Output-Calculation-sheet'!C54/10^9</f>
        <v>3.6733046097495916</v>
      </c>
      <c r="D65" s="2">
        <f>D10*'Output-Calculation-sheet'!D54/10^9</f>
        <v>1.0683820034953515</v>
      </c>
      <c r="E65" s="2">
        <f>E10*'Output-Calculation-sheet'!E54/10^9</f>
        <v>1.2123694889495609</v>
      </c>
      <c r="F65" s="2">
        <f>F10*'Output-Calculation-sheet'!F54/10^9</f>
        <v>0.54998342149142732</v>
      </c>
      <c r="G65" s="2">
        <f>G10*'Output-Calculation-sheet'!G54/10^9</f>
        <v>0.37958018169756569</v>
      </c>
      <c r="H65" s="2">
        <f>H10*'Output-Calculation-sheet'!H54/10^9</f>
        <v>1.0089320963670816</v>
      </c>
      <c r="I65" s="2">
        <f>I10*'Output-Calculation-sheet'!I54/10^9</f>
        <v>0.37338061431401087</v>
      </c>
      <c r="J65" s="2">
        <f>J10*'Output-Calculation-sheet'!J54/10^9</f>
        <v>0.34435389220529766</v>
      </c>
      <c r="K65" s="2">
        <f>K10*'Output-Calculation-sheet'!K54/10^9</f>
        <v>0.43916444135624888</v>
      </c>
      <c r="L65" s="2">
        <f>L10*'Output-Calculation-sheet'!L54/10^9</f>
        <v>0.36527789714492581</v>
      </c>
      <c r="M65" s="2">
        <f>M10*'Output-Calculation-sheet'!M54/10^9</f>
        <v>0.69915083100839315</v>
      </c>
      <c r="N65" s="2">
        <f>N10*'Output-Calculation-sheet'!N54/10^9</f>
        <v>0.6285631492674546</v>
      </c>
      <c r="O65" s="2">
        <f>O10*'Output-Calculation-sheet'!O54/10^9</f>
        <v>0.66539447136507834</v>
      </c>
      <c r="P65" s="2">
        <f>P10*'Output-Calculation-sheet'!P54/10^9</f>
        <v>0.42414349077381008</v>
      </c>
      <c r="Q65" s="2">
        <f>Q10*'Output-Calculation-sheet'!Q54/10^9</f>
        <v>0.4400274876248646</v>
      </c>
      <c r="R65" s="2">
        <f>R10*'Output-Calculation-sheet'!R54/10^9</f>
        <v>0.3288165693726377</v>
      </c>
      <c r="S65" s="2">
        <f>S10*'Output-Calculation-sheet'!S54/10^9</f>
        <v>0.34772872944614674</v>
      </c>
      <c r="T65" s="2">
        <f>T10*'Output-Calculation-sheet'!T54/10^9</f>
        <v>9.8696084202396811E-2</v>
      </c>
      <c r="U65" s="2">
        <f>U10*'Output-Calculation-sheet'!U54/10^9</f>
        <v>0.10670776320059486</v>
      </c>
      <c r="V65" s="2">
        <f>V10*'Output-Calculation-sheet'!V54/10^9</f>
        <v>7.4472521520397544E-2</v>
      </c>
      <c r="W65" s="2">
        <f>W10*'Output-Calculation-sheet'!W54/10^9</f>
        <v>4.6584155367842994E-2</v>
      </c>
      <c r="X65" s="2">
        <f>X10*'Output-Calculation-sheet'!X54/10^9</f>
        <v>8.6448691485767767E-2</v>
      </c>
      <c r="Y65" s="2">
        <f>Y10*'Output-Calculation-sheet'!Y54/10^9</f>
        <v>4.1095641333333134E-2</v>
      </c>
      <c r="AA65" s="2">
        <f t="shared" si="4"/>
        <v>18.964320291493557</v>
      </c>
    </row>
    <row r="66" spans="1:27" x14ac:dyDescent="0.25">
      <c r="A66" s="2">
        <v>2034</v>
      </c>
      <c r="B66" s="2">
        <f>B11*'Output-Calculation-sheet'!B55/10^9</f>
        <v>5.5251611591994543</v>
      </c>
      <c r="C66" s="2">
        <f>C11*'Output-Calculation-sheet'!C55/10^9</f>
        <v>3.5184625660402604</v>
      </c>
      <c r="D66" s="2">
        <f>D11*'Output-Calculation-sheet'!D55/10^9</f>
        <v>1.0368519679713242</v>
      </c>
      <c r="E66" s="2">
        <f>E11*'Output-Calculation-sheet'!E55/10^9</f>
        <v>1.2777246607846373</v>
      </c>
      <c r="F66" s="2">
        <f>F11*'Output-Calculation-sheet'!F55/10^9</f>
        <v>0.51168925735930282</v>
      </c>
      <c r="G66" s="2">
        <f>G11*'Output-Calculation-sheet'!G55/10^9</f>
        <v>0.36859066924706735</v>
      </c>
      <c r="H66" s="2">
        <f>H11*'Output-Calculation-sheet'!H55/10^9</f>
        <v>0.971280826484338</v>
      </c>
      <c r="I66" s="2">
        <f>I11*'Output-Calculation-sheet'!I55/10^9</f>
        <v>0.36230462259543034</v>
      </c>
      <c r="J66" s="2">
        <f>J11*'Output-Calculation-sheet'!J55/10^9</f>
        <v>0.31987146820844187</v>
      </c>
      <c r="K66" s="2">
        <f>K11*'Output-Calculation-sheet'!K55/10^9</f>
        <v>0.42720272681256227</v>
      </c>
      <c r="L66" s="2">
        <f>L11*'Output-Calculation-sheet'!L55/10^9</f>
        <v>0.37469315624296734</v>
      </c>
      <c r="M66" s="2">
        <f>M11*'Output-Calculation-sheet'!M55/10^9</f>
        <v>0.6742017542949541</v>
      </c>
      <c r="N66" s="2">
        <f>N11*'Output-Calculation-sheet'!N55/10^9</f>
        <v>0.60383207776315473</v>
      </c>
      <c r="O66" s="2">
        <f>O11*'Output-Calculation-sheet'!O55/10^9</f>
        <v>0.62618057601420851</v>
      </c>
      <c r="P66" s="2">
        <f>P11*'Output-Calculation-sheet'!P55/10^9</f>
        <v>0.42422268347023157</v>
      </c>
      <c r="Q66" s="2">
        <f>Q11*'Output-Calculation-sheet'!Q55/10^9</f>
        <v>0.44049258463024094</v>
      </c>
      <c r="R66" s="2">
        <f>R11*'Output-Calculation-sheet'!R55/10^9</f>
        <v>0.32106283619613479</v>
      </c>
      <c r="S66" s="2">
        <f>S11*'Output-Calculation-sheet'!S55/10^9</f>
        <v>0.34002616949317371</v>
      </c>
      <c r="T66" s="2">
        <f>T11*'Output-Calculation-sheet'!T55/10^9</f>
        <v>9.4521829612658537E-2</v>
      </c>
      <c r="U66" s="2">
        <f>U11*'Output-Calculation-sheet'!U55/10^9</f>
        <v>0.10926008753907028</v>
      </c>
      <c r="V66" s="2">
        <f>V11*'Output-Calculation-sheet'!V55/10^9</f>
        <v>7.0597349722611155E-2</v>
      </c>
      <c r="W66" s="2">
        <f>W11*'Output-Calculation-sheet'!W55/10^9</f>
        <v>4.3012310695037886E-2</v>
      </c>
      <c r="X66" s="2">
        <f>X11*'Output-Calculation-sheet'!X55/10^9</f>
        <v>8.5101644167511203E-2</v>
      </c>
      <c r="Y66" s="2">
        <f>Y11*'Output-Calculation-sheet'!Y55/10^9</f>
        <v>4.4602525333202837E-2</v>
      </c>
      <c r="AA66" s="2">
        <f t="shared" si="4"/>
        <v>18.570947509877982</v>
      </c>
    </row>
    <row r="67" spans="1:27" x14ac:dyDescent="0.25">
      <c r="A67" s="2">
        <v>2035</v>
      </c>
      <c r="B67" s="2">
        <f>B12*'Output-Calculation-sheet'!B56/10^9</f>
        <v>5.0666295360306561</v>
      </c>
      <c r="C67" s="2">
        <f>C12*'Output-Calculation-sheet'!C56/10^9</f>
        <v>3.0897552270408748</v>
      </c>
      <c r="D67" s="2">
        <f>D12*'Output-Calculation-sheet'!D56/10^9</f>
        <v>1.0319376127376894</v>
      </c>
      <c r="E67" s="2">
        <f>E12*'Output-Calculation-sheet'!E56/10^9</f>
        <v>1.3944431401685622</v>
      </c>
      <c r="F67" s="2">
        <f>F12*'Output-Calculation-sheet'!F56/10^9</f>
        <v>0.55339952600338571</v>
      </c>
      <c r="G67" s="2">
        <f>G12*'Output-Calculation-sheet'!G56/10^9</f>
        <v>0.40136750390424497</v>
      </c>
      <c r="H67" s="2">
        <f>H12*'Output-Calculation-sheet'!H56/10^9</f>
        <v>0.87424379118914775</v>
      </c>
      <c r="I67" s="2">
        <f>I12*'Output-Calculation-sheet'!I56/10^9</f>
        <v>0.37923153725671149</v>
      </c>
      <c r="J67" s="2">
        <f>J12*'Output-Calculation-sheet'!J56/10^9</f>
        <v>0.31344687226742957</v>
      </c>
      <c r="K67" s="2">
        <f>K12*'Output-Calculation-sheet'!K56/10^9</f>
        <v>0.42326952434128995</v>
      </c>
      <c r="L67" s="2">
        <f>L12*'Output-Calculation-sheet'!L56/10^9</f>
        <v>0.36502972142921114</v>
      </c>
      <c r="M67" s="2">
        <f>M12*'Output-Calculation-sheet'!M56/10^9</f>
        <v>0.61263537211619334</v>
      </c>
      <c r="N67" s="2">
        <f>N12*'Output-Calculation-sheet'!N56/10^9</f>
        <v>0.53631664862874995</v>
      </c>
      <c r="O67" s="2">
        <f>O12*'Output-Calculation-sheet'!O56/10^9</f>
        <v>0.54271782840537663</v>
      </c>
      <c r="P67" s="2">
        <f>P12*'Output-Calculation-sheet'!P56/10^9</f>
        <v>0.4276794522607742</v>
      </c>
      <c r="Q67" s="2">
        <f>Q12*'Output-Calculation-sheet'!Q56/10^9</f>
        <v>0.40057738942588933</v>
      </c>
      <c r="R67" s="2">
        <f>R12*'Output-Calculation-sheet'!R56/10^9</f>
        <v>0.31483199854586563</v>
      </c>
      <c r="S67" s="2">
        <f>S12*'Output-Calculation-sheet'!S56/10^9</f>
        <v>0.30521983862938951</v>
      </c>
      <c r="T67" s="2">
        <f>T12*'Output-Calculation-sheet'!T56/10^9</f>
        <v>9.6781386875662262E-2</v>
      </c>
      <c r="U67" s="2">
        <f>U12*'Output-Calculation-sheet'!U56/10^9</f>
        <v>0.10439142934697755</v>
      </c>
      <c r="V67" s="2">
        <f>V12*'Output-Calculation-sheet'!V56/10^9</f>
        <v>6.587320887485594E-2</v>
      </c>
      <c r="W67" s="2">
        <f>W12*'Output-Calculation-sheet'!W56/10^9</f>
        <v>5.1215251892001754E-2</v>
      </c>
      <c r="X67" s="2">
        <f>X12*'Output-Calculation-sheet'!X56/10^9</f>
        <v>7.6840843802835943E-2</v>
      </c>
      <c r="Y67" s="2">
        <f>Y12*'Output-Calculation-sheet'!Y56/10^9</f>
        <v>4.8087580932314009E-2</v>
      </c>
      <c r="AA67" s="2">
        <f t="shared" si="4"/>
        <v>17.475922222106092</v>
      </c>
    </row>
    <row r="68" spans="1:27" x14ac:dyDescent="0.25">
      <c r="B68" s="2">
        <f>SUM(B60:B67)</f>
        <v>37.861184061561644</v>
      </c>
      <c r="C68" s="2">
        <f t="shared" ref="C68:Y68" si="5">SUM(C60:C67)</f>
        <v>22.75219503637825</v>
      </c>
      <c r="D68" s="2">
        <f t="shared" si="5"/>
        <v>9.7113289086368209</v>
      </c>
      <c r="E68" s="2">
        <f t="shared" si="5"/>
        <v>9.8849401262517862</v>
      </c>
      <c r="F68" s="2">
        <f t="shared" si="5"/>
        <v>4.7662102809143994</v>
      </c>
      <c r="G68" s="2">
        <f t="shared" si="5"/>
        <v>3.5044916716986432</v>
      </c>
      <c r="H68" s="2">
        <f t="shared" si="5"/>
        <v>6.4142489661965287</v>
      </c>
      <c r="I68" s="2">
        <f t="shared" si="5"/>
        <v>3.2889670894213054</v>
      </c>
      <c r="J68" s="2">
        <f t="shared" si="5"/>
        <v>3.2113462689322501</v>
      </c>
      <c r="K68" s="2">
        <f t="shared" si="5"/>
        <v>3.4958317388809781</v>
      </c>
      <c r="L68" s="2">
        <f t="shared" si="5"/>
        <v>2.8990071817030429</v>
      </c>
      <c r="M68" s="2">
        <f t="shared" si="5"/>
        <v>4.4493322081598077</v>
      </c>
      <c r="N68" s="2">
        <f t="shared" si="5"/>
        <v>4.1057839034143608</v>
      </c>
      <c r="O68" s="2">
        <f t="shared" si="5"/>
        <v>4.2205008105423003</v>
      </c>
      <c r="P68" s="2">
        <f t="shared" si="5"/>
        <v>2.9971242008769763</v>
      </c>
      <c r="Q68" s="2">
        <f t="shared" si="5"/>
        <v>3.0335793096509556</v>
      </c>
      <c r="R68" s="2">
        <f t="shared" si="5"/>
        <v>2.4585881892019206</v>
      </c>
      <c r="S68" s="2">
        <f t="shared" si="5"/>
        <v>2.2965698652605213</v>
      </c>
      <c r="T68" s="2">
        <f t="shared" si="5"/>
        <v>0.80734709842134877</v>
      </c>
      <c r="U68" s="2">
        <f t="shared" si="5"/>
        <v>0.7926450855119932</v>
      </c>
      <c r="V68" s="2">
        <f t="shared" si="5"/>
        <v>0.57250017162637357</v>
      </c>
      <c r="W68" s="2">
        <f t="shared" si="5"/>
        <v>0.42770854780701423</v>
      </c>
      <c r="X68" s="2">
        <f t="shared" si="5"/>
        <v>0.54765969878102161</v>
      </c>
      <c r="Y68" s="2">
        <f t="shared" si="5"/>
        <v>0.3180781581831662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1413.7063298954411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944.59653446877724</v>
      </c>
      <c r="N74" s="2">
        <f>N8/'Output-Calculation-sheet'!N7*'Output-Calculation-sheet'!N61</f>
        <v>39.588175440490645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116.30611456455541</v>
      </c>
      <c r="Y74" s="2">
        <f>Y8/'Output-Calculation-sheet'!Y7*'Output-Calculation-sheet'!Y61</f>
        <v>0</v>
      </c>
      <c r="AA74" s="2">
        <f t="shared" si="6"/>
        <v>2.5141971543692643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170.26876059164874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2273.1552101288557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1544.1978420006947</v>
      </c>
      <c r="N75" s="2">
        <f>N9/'Output-Calculation-sheet'!N8*'Output-Calculation-sheet'!N62</f>
        <v>597.23614067712697</v>
      </c>
      <c r="O75" s="2">
        <f>O9/'Output-Calculation-sheet'!O8*'Output-Calculation-sheet'!O62</f>
        <v>0</v>
      </c>
      <c r="P75" s="2">
        <f>P9/'Output-Calculation-sheet'!P8*'Output-Calculation-sheet'!P62</f>
        <v>39.984018186369994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197.55177106264762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186.67893840101721</v>
      </c>
      <c r="Y75" s="2">
        <f>Y9/'Output-Calculation-sheet'!Y8*'Output-Calculation-sheet'!Y62</f>
        <v>0</v>
      </c>
      <c r="AA75" s="2">
        <f t="shared" si="6"/>
        <v>5.0090726810483606</v>
      </c>
    </row>
    <row r="76" spans="1:27" x14ac:dyDescent="0.25">
      <c r="A76" s="2">
        <v>2033</v>
      </c>
      <c r="B76" s="2">
        <f>B10/'Output-Calculation-sheet'!B9*'Output-Calculation-sheet'!B63</f>
        <v>4577.15259333622</v>
      </c>
      <c r="C76" s="2">
        <f>C10/'Output-Calculation-sheet'!C9*'Output-Calculation-sheet'!C63</f>
        <v>1148.4524309334531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2988.0525741946935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2034.4870222006909</v>
      </c>
      <c r="N76" s="2">
        <f>N10/'Output-Calculation-sheet'!N9*'Output-Calculation-sheet'!N63</f>
        <v>1164.7017553834694</v>
      </c>
      <c r="O76" s="2">
        <f>O10/'Output-Calculation-sheet'!O9*'Output-Calculation-sheet'!O63</f>
        <v>0</v>
      </c>
      <c r="P76" s="2">
        <f>P10/'Output-Calculation-sheet'!P9*'Output-Calculation-sheet'!P63</f>
        <v>399.20064738457319</v>
      </c>
      <c r="Q76" s="2">
        <f>Q10/'Output-Calculation-sheet'!Q9*'Output-Calculation-sheet'!Q63</f>
        <v>177.74723979421486</v>
      </c>
      <c r="R76" s="2">
        <f>R10/'Output-Calculation-sheet'!R9*'Output-Calculation-sheet'!R63</f>
        <v>306.4027347919664</v>
      </c>
      <c r="S76" s="2">
        <f>S10/'Output-Calculation-sheet'!S9*'Output-Calculation-sheet'!S63</f>
        <v>516.31153262806674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107.61198564015264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239.60694462593941</v>
      </c>
      <c r="Y76" s="2">
        <f>Y10/'Output-Calculation-sheet'!Y9*'Output-Calculation-sheet'!Y63</f>
        <v>4.5456509469597863</v>
      </c>
      <c r="AA76" s="2">
        <f t="shared" si="6"/>
        <v>13.771861888747656</v>
      </c>
    </row>
    <row r="77" spans="1:27" x14ac:dyDescent="0.25">
      <c r="A77" s="2">
        <v>2034</v>
      </c>
      <c r="B77" s="2">
        <f>B11/'Output-Calculation-sheet'!B10*'Output-Calculation-sheet'!B64</f>
        <v>8119.9889848199018</v>
      </c>
      <c r="C77" s="2">
        <f>C11/'Output-Calculation-sheet'!C10*'Output-Calculation-sheet'!C64</f>
        <v>2211.7193186850222</v>
      </c>
      <c r="D77" s="2">
        <f>D11/'Output-Calculation-sheet'!D10*'Output-Calculation-sheet'!D64</f>
        <v>1209.7103566663702</v>
      </c>
      <c r="E77" s="2">
        <f>E11/'Output-Calculation-sheet'!E10*'Output-Calculation-sheet'!E64</f>
        <v>1500.5002035465059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645.66075552507255</v>
      </c>
      <c r="H77" s="2">
        <f>H11/'Output-Calculation-sheet'!H10*'Output-Calculation-sheet'!H64</f>
        <v>3181.406442363033</v>
      </c>
      <c r="I77" s="2">
        <f>I11/'Output-Calculation-sheet'!I10*'Output-Calculation-sheet'!I64</f>
        <v>376.77735573788465</v>
      </c>
      <c r="J77" s="2">
        <f>J11/'Output-Calculation-sheet'!J10*'Output-Calculation-sheet'!J64</f>
        <v>258.62023924913353</v>
      </c>
      <c r="K77" s="2">
        <f>K11/'Output-Calculation-sheet'!K10*'Output-Calculation-sheet'!K64</f>
        <v>584.05001537240651</v>
      </c>
      <c r="L77" s="2">
        <f>L11/'Output-Calculation-sheet'!L10*'Output-Calculation-sheet'!L64</f>
        <v>143.20021415314244</v>
      </c>
      <c r="M77" s="2">
        <f>M11/'Output-Calculation-sheet'!M10*'Output-Calculation-sheet'!M64</f>
        <v>2180.0774854490678</v>
      </c>
      <c r="N77" s="2">
        <f>N11/'Output-Calculation-sheet'!N10*'Output-Calculation-sheet'!N64</f>
        <v>1476.0050561679093</v>
      </c>
      <c r="O77" s="2">
        <f>O11/'Output-Calculation-sheet'!O10*'Output-Calculation-sheet'!O64</f>
        <v>0</v>
      </c>
      <c r="P77" s="2">
        <f>P11/'Output-Calculation-sheet'!P10*'Output-Calculation-sheet'!P64</f>
        <v>717.63029762711881</v>
      </c>
      <c r="Q77" s="2">
        <f>Q11/'Output-Calculation-sheet'!Q10*'Output-Calculation-sheet'!Q64</f>
        <v>292.83735067403984</v>
      </c>
      <c r="R77" s="2">
        <f>R11/'Output-Calculation-sheet'!R10*'Output-Calculation-sheet'!R64</f>
        <v>609.52458744873582</v>
      </c>
      <c r="S77" s="2">
        <f>S11/'Output-Calculation-sheet'!S10*'Output-Calculation-sheet'!S64</f>
        <v>680.39393720466046</v>
      </c>
      <c r="T77" s="2">
        <f>T11/'Output-Calculation-sheet'!T10*'Output-Calculation-sheet'!T64</f>
        <v>168.8763742382022</v>
      </c>
      <c r="U77" s="2">
        <f>U11/'Output-Calculation-sheet'!U10*'Output-Calculation-sheet'!U64</f>
        <v>180.33805957577249</v>
      </c>
      <c r="V77" s="2">
        <f>V11/'Output-Calculation-sheet'!V10*'Output-Calculation-sheet'!V64</f>
        <v>87.362470530531596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223.19897264510851</v>
      </c>
      <c r="Y77" s="2">
        <f>Y11/'Output-Calculation-sheet'!Y10*'Output-Calculation-sheet'!Y64</f>
        <v>55.781126551183647</v>
      </c>
      <c r="AA77" s="2">
        <f t="shared" si="6"/>
        <v>25.016190190114795</v>
      </c>
    </row>
    <row r="78" spans="1:27" x14ac:dyDescent="0.25">
      <c r="A78" s="2">
        <v>2035</v>
      </c>
      <c r="B78" s="2">
        <f>B12/'Output-Calculation-sheet'!B11*'Output-Calculation-sheet'!B65</f>
        <v>8195.909193522928</v>
      </c>
      <c r="C78" s="2">
        <f>C12/'Output-Calculation-sheet'!C11*'Output-Calculation-sheet'!C65</f>
        <v>3525.7910162069247</v>
      </c>
      <c r="D78" s="2">
        <f>D12/'Output-Calculation-sheet'!D11*'Output-Calculation-sheet'!D65</f>
        <v>895.97709050244896</v>
      </c>
      <c r="E78" s="2">
        <f>E12/'Output-Calculation-sheet'!E11*'Output-Calculation-sheet'!E65</f>
        <v>1656.357009894929</v>
      </c>
      <c r="F78" s="2">
        <f>F12/'Output-Calculation-sheet'!F11*'Output-Calculation-sheet'!F65</f>
        <v>360.26999750816015</v>
      </c>
      <c r="G78" s="2">
        <f>G12/'Output-Calculation-sheet'!G11*'Output-Calculation-sheet'!G65</f>
        <v>684.84812057407612</v>
      </c>
      <c r="H78" s="2">
        <f>H12/'Output-Calculation-sheet'!H11*'Output-Calculation-sheet'!H65</f>
        <v>2646.8477583089802</v>
      </c>
      <c r="I78" s="2">
        <f>I12/'Output-Calculation-sheet'!I11*'Output-Calculation-sheet'!I65</f>
        <v>450.49442030572482</v>
      </c>
      <c r="J78" s="2">
        <f>J12/'Output-Calculation-sheet'!J11*'Output-Calculation-sheet'!J65</f>
        <v>183.68707814061915</v>
      </c>
      <c r="K78" s="2">
        <f>K12/'Output-Calculation-sheet'!K11*'Output-Calculation-sheet'!K65</f>
        <v>558.07740832091554</v>
      </c>
      <c r="L78" s="2">
        <f>L12/'Output-Calculation-sheet'!L11*'Output-Calculation-sheet'!L65</f>
        <v>178.64402515357239</v>
      </c>
      <c r="M78" s="2">
        <f>M12/'Output-Calculation-sheet'!M11*'Output-Calculation-sheet'!M65</f>
        <v>1843.4647577029032</v>
      </c>
      <c r="N78" s="2">
        <f>N12/'Output-Calculation-sheet'!N11*'Output-Calculation-sheet'!N65</f>
        <v>1277.5550905634693</v>
      </c>
      <c r="O78" s="2">
        <f>O12/'Output-Calculation-sheet'!O11*'Output-Calculation-sheet'!O65</f>
        <v>0</v>
      </c>
      <c r="P78" s="2">
        <f>P12/'Output-Calculation-sheet'!P11*'Output-Calculation-sheet'!P65</f>
        <v>736.01310078535153</v>
      </c>
      <c r="Q78" s="2">
        <f>Q12/'Output-Calculation-sheet'!Q11*'Output-Calculation-sheet'!Q65</f>
        <v>297.5756126688986</v>
      </c>
      <c r="R78" s="2">
        <f>R12/'Output-Calculation-sheet'!R11*'Output-Calculation-sheet'!R65</f>
        <v>579.43409654347511</v>
      </c>
      <c r="S78" s="2">
        <f>S12/'Output-Calculation-sheet'!S11*'Output-Calculation-sheet'!S65</f>
        <v>603.43951438574311</v>
      </c>
      <c r="T78" s="2">
        <f>T12/'Output-Calculation-sheet'!T11*'Output-Calculation-sheet'!T65</f>
        <v>214.06313641285541</v>
      </c>
      <c r="U78" s="2">
        <f>U12/'Output-Calculation-sheet'!U11*'Output-Calculation-sheet'!U65</f>
        <v>154.58036014909473</v>
      </c>
      <c r="V78" s="2">
        <f>V12/'Output-Calculation-sheet'!V11*'Output-Calculation-sheet'!V65</f>
        <v>77.864322420690343</v>
      </c>
      <c r="W78" s="2">
        <f>W12/'Output-Calculation-sheet'!W11*'Output-Calculation-sheet'!W65</f>
        <v>84.744718528236433</v>
      </c>
      <c r="X78" s="2">
        <f>X12/'Output-Calculation-sheet'!X11*'Output-Calculation-sheet'!X65</f>
        <v>186.2535832877108</v>
      </c>
      <c r="Y78" s="2">
        <f>Y12/'Output-Calculation-sheet'!Y11*'Output-Calculation-sheet'!Y65</f>
        <v>71.516716605002657</v>
      </c>
      <c r="AA78" s="2">
        <f t="shared" si="6"/>
        <v>25.463408128492706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1124.1861474874618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218.39912528862686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1.3425852727760887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1593.7793503118448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292.42687083329452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1.8862062211451394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1945.0961643202813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345.02073919156913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2.2901169035118505</v>
      </c>
    </row>
    <row r="88" spans="1:27" x14ac:dyDescent="0.25">
      <c r="A88" s="2">
        <v>2034</v>
      </c>
      <c r="B88" s="2">
        <f>B11/'Output-Calculation-sheet'!B10*'Output-Calculation-sheet'!B73</f>
        <v>158.61522053444617</v>
      </c>
      <c r="C88" s="2">
        <f>C11/'Output-Calculation-sheet'!C10*'Output-Calculation-sheet'!C73</f>
        <v>1957.3403548728879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23.174243108077043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16.815431441186288</v>
      </c>
      <c r="M88" s="2">
        <f>M11/'Output-Calculation-sheet'!M10*'Output-Calculation-sheet'!M73</f>
        <v>15.946146987887706</v>
      </c>
      <c r="N88" s="2">
        <f>N11/'Output-Calculation-sheet'!N10*'Output-Calculation-sheet'!N73</f>
        <v>15.672503728767964</v>
      </c>
      <c r="O88" s="2">
        <f>O11/'Output-Calculation-sheet'!O10*'Output-Calculation-sheet'!O73</f>
        <v>365.63324426689235</v>
      </c>
      <c r="P88" s="2">
        <f>P11/'Output-Calculation-sheet'!P10*'Output-Calculation-sheet'!P73</f>
        <v>0</v>
      </c>
      <c r="Q88" s="2">
        <f>Q11/'Output-Calculation-sheet'!Q10*'Output-Calculation-sheet'!Q73</f>
        <v>27.462942012007861</v>
      </c>
      <c r="R88" s="2">
        <f>R11/'Output-Calculation-sheet'!R10*'Output-Calculation-sheet'!R73</f>
        <v>0</v>
      </c>
      <c r="S88" s="2">
        <f>S11/'Output-Calculation-sheet'!S10*'Output-Calculation-sheet'!S73</f>
        <v>8.9839957905915515</v>
      </c>
      <c r="T88" s="2">
        <f>T11/'Output-Calculation-sheet'!T10*'Output-Calculation-sheet'!T73</f>
        <v>0</v>
      </c>
      <c r="U88" s="2">
        <f>U11/'Output-Calculation-sheet'!U10*'Output-Calculation-sheet'!U73</f>
        <v>4.3811782609147389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8.746658175149836</v>
      </c>
      <c r="Y88" s="2">
        <f>Y11/'Output-Calculation-sheet'!Y10*'Output-Calculation-sheet'!Y73</f>
        <v>0</v>
      </c>
      <c r="AA88" s="2">
        <f t="shared" si="7"/>
        <v>2.6027719191788092</v>
      </c>
    </row>
    <row r="89" spans="1:27" x14ac:dyDescent="0.25">
      <c r="A89" s="2">
        <v>2035</v>
      </c>
      <c r="B89" s="2">
        <f>B12/'Output-Calculation-sheet'!B11*'Output-Calculation-sheet'!B74</f>
        <v>392.00496756482926</v>
      </c>
      <c r="C89" s="2">
        <f>C12/'Output-Calculation-sheet'!C11*'Output-Calculation-sheet'!C74</f>
        <v>1674.4887062248151</v>
      </c>
      <c r="D89" s="2">
        <f>D12/'Output-Calculation-sheet'!D11*'Output-Calculation-sheet'!D74</f>
        <v>109.8751720525414</v>
      </c>
      <c r="E89" s="2">
        <f>E12/'Output-Calculation-sheet'!E11*'Output-Calculation-sheet'!E74</f>
        <v>130.98218176673925</v>
      </c>
      <c r="F89" s="2">
        <f>F12/'Output-Calculation-sheet'!F11*'Output-Calculation-sheet'!F74</f>
        <v>54.919206937219535</v>
      </c>
      <c r="G89" s="2">
        <f>G12/'Output-Calculation-sheet'!G11*'Output-Calculation-sheet'!G74</f>
        <v>39.414584937070941</v>
      </c>
      <c r="H89" s="2">
        <f>H12/'Output-Calculation-sheet'!H11*'Output-Calculation-sheet'!H74</f>
        <v>114.54661648877969</v>
      </c>
      <c r="I89" s="2">
        <f>I12/'Output-Calculation-sheet'!I11*'Output-Calculation-sheet'!I74</f>
        <v>35.451065930019659</v>
      </c>
      <c r="J89" s="2">
        <f>J12/'Output-Calculation-sheet'!J11*'Output-Calculation-sheet'!J74</f>
        <v>35.084916080721833</v>
      </c>
      <c r="K89" s="2">
        <f>K12/'Output-Calculation-sheet'!K11*'Output-Calculation-sheet'!K74</f>
        <v>34.842817526435383</v>
      </c>
      <c r="L89" s="2">
        <f>L12/'Output-Calculation-sheet'!L11*'Output-Calculation-sheet'!L74</f>
        <v>27.705338888581323</v>
      </c>
      <c r="M89" s="2">
        <f>M12/'Output-Calculation-sheet'!M11*'Output-Calculation-sheet'!M74</f>
        <v>78.819281172495181</v>
      </c>
      <c r="N89" s="2">
        <f>N12/'Output-Calculation-sheet'!N11*'Output-Calculation-sheet'!N74</f>
        <v>51.644470563455052</v>
      </c>
      <c r="O89" s="2">
        <f>O12/'Output-Calculation-sheet'!O11*'Output-Calculation-sheet'!O74</f>
        <v>337.35655650553929</v>
      </c>
      <c r="P89" s="2">
        <f>P12/'Output-Calculation-sheet'!P11*'Output-Calculation-sheet'!P74</f>
        <v>35.78263896083191</v>
      </c>
      <c r="Q89" s="2">
        <f>Q12/'Output-Calculation-sheet'!Q11*'Output-Calculation-sheet'!Q74</f>
        <v>45.248325502759613</v>
      </c>
      <c r="R89" s="2">
        <f>R12/'Output-Calculation-sheet'!R11*'Output-Calculation-sheet'!R74</f>
        <v>22.436075913555143</v>
      </c>
      <c r="S89" s="2">
        <f>S12/'Output-Calculation-sheet'!S11*'Output-Calculation-sheet'!S74</f>
        <v>29.604313017182676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10.82773542336464</v>
      </c>
      <c r="V89" s="2">
        <f>V12/'Output-Calculation-sheet'!V11*'Output-Calculation-sheet'!V74</f>
        <v>5.5661106884473757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15.852227324998792</v>
      </c>
      <c r="Y89" s="2">
        <f>Y12/'Output-Calculation-sheet'!Y11*'Output-Calculation-sheet'!Y74</f>
        <v>4.17209819766666</v>
      </c>
      <c r="AA89" s="2">
        <f t="shared" si="7"/>
        <v>3.2931856041994902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11409240794.637655</v>
      </c>
      <c r="C96" s="2">
        <f>C8/'Output-Calculation-sheet'!C7*'Output-Calculation-sheet'!C79</f>
        <v>3859798013.9549508</v>
      </c>
      <c r="D96" s="2">
        <f>D8/'Output-Calculation-sheet'!D7*'Output-Calculation-sheet'!D79</f>
        <v>4029374929.1545329</v>
      </c>
      <c r="E96" s="2">
        <f>E8/'Output-Calculation-sheet'!E7*'Output-Calculation-sheet'!E79</f>
        <v>7163885543.2217503</v>
      </c>
      <c r="F96" s="2">
        <f>F8/'Output-Calculation-sheet'!F7*'Output-Calculation-sheet'!F79</f>
        <v>2965061631.9942017</v>
      </c>
      <c r="G96" s="2">
        <f>G8/'Output-Calculation-sheet'!G7*'Output-Calculation-sheet'!G79</f>
        <v>2309539201.7794333</v>
      </c>
      <c r="H96" s="2">
        <f>H8/'Output-Calculation-sheet'!H7*'Output-Calculation-sheet'!H79</f>
        <v>1976835124.8003221</v>
      </c>
      <c r="I96" s="2">
        <f>I8/'Output-Calculation-sheet'!I7*'Output-Calculation-sheet'!I79</f>
        <v>1608839587.5039077</v>
      </c>
      <c r="J96" s="2">
        <f>J8/'Output-Calculation-sheet'!J7*'Output-Calculation-sheet'!J79</f>
        <v>1087938884.5264204</v>
      </c>
      <c r="K96" s="2">
        <f>K8/'Output-Calculation-sheet'!K7*'Output-Calculation-sheet'!K79</f>
        <v>1556516006.216635</v>
      </c>
      <c r="L96" s="2">
        <f>L8/'Output-Calculation-sheet'!L7*'Output-Calculation-sheet'!L79</f>
        <v>1098276339.6166196</v>
      </c>
      <c r="M96" s="2">
        <f>M8/'Output-Calculation-sheet'!M7*'Output-Calculation-sheet'!M79</f>
        <v>1475669188.37181</v>
      </c>
      <c r="N96" s="2">
        <f>N8/'Output-Calculation-sheet'!N7*'Output-Calculation-sheet'!N79</f>
        <v>1098015401.66922</v>
      </c>
      <c r="O96" s="2">
        <f>O8/'Output-Calculation-sheet'!O7*'Output-Calculation-sheet'!O79</f>
        <v>555084392.82886398</v>
      </c>
      <c r="P96" s="2">
        <f>P8/'Output-Calculation-sheet'!P7*'Output-Calculation-sheet'!P79</f>
        <v>1856640873.5975182</v>
      </c>
      <c r="Q96" s="2">
        <f>Q8/'Output-Calculation-sheet'!Q7*'Output-Calculation-sheet'!Q79</f>
        <v>865274060.27211273</v>
      </c>
      <c r="R96" s="2">
        <f>R8/'Output-Calculation-sheet'!R7*'Output-Calculation-sheet'!R79</f>
        <v>1079532248.6171241</v>
      </c>
      <c r="S96" s="2">
        <f>S8/'Output-Calculation-sheet'!S7*'Output-Calculation-sheet'!S79</f>
        <v>629025956.44611275</v>
      </c>
      <c r="T96" s="2">
        <f>T8/'Output-Calculation-sheet'!T7*'Output-Calculation-sheet'!T79</f>
        <v>480431020.6982969</v>
      </c>
      <c r="U96" s="2">
        <f>U8/'Output-Calculation-sheet'!U7*'Output-Calculation-sheet'!U79</f>
        <v>301794419.69975585</v>
      </c>
      <c r="V96" s="2">
        <f>V8/'Output-Calculation-sheet'!V7*'Output-Calculation-sheet'!V79</f>
        <v>156586682.75105616</v>
      </c>
      <c r="W96" s="2">
        <f>W8/'Output-Calculation-sheet'!W7*'Output-Calculation-sheet'!W79</f>
        <v>462700952.6110428</v>
      </c>
      <c r="X96" s="2">
        <f>X8/'Output-Calculation-sheet'!X7*'Output-Calculation-sheet'!X79</f>
        <v>162626290.63412207</v>
      </c>
      <c r="Y96" s="2">
        <f>Y8/'Output-Calculation-sheet'!Y7*'Output-Calculation-sheet'!Y79</f>
        <v>254345276.08357504</v>
      </c>
      <c r="AA96" s="2">
        <f t="shared" si="8"/>
        <v>48.443032821687041</v>
      </c>
    </row>
    <row r="97" spans="1:27" x14ac:dyDescent="0.25">
      <c r="A97" s="2">
        <v>2032</v>
      </c>
      <c r="B97" s="2">
        <f>B9/'Output-Calculation-sheet'!B8*'Output-Calculation-sheet'!B80</f>
        <v>14594322244.628841</v>
      </c>
      <c r="C97" s="2">
        <f>C9/'Output-Calculation-sheet'!C8*'Output-Calculation-sheet'!C80</f>
        <v>4970904823.1605425</v>
      </c>
      <c r="D97" s="2">
        <f>D9/'Output-Calculation-sheet'!D8*'Output-Calculation-sheet'!D80</f>
        <v>4953022773.320591</v>
      </c>
      <c r="E97" s="2">
        <f>E9/'Output-Calculation-sheet'!E8*'Output-Calculation-sheet'!E80</f>
        <v>9058337671.8940487</v>
      </c>
      <c r="F97" s="2">
        <f>F9/'Output-Calculation-sheet'!F8*'Output-Calculation-sheet'!F80</f>
        <v>3742000025.9720383</v>
      </c>
      <c r="G97" s="2">
        <f>G9/'Output-Calculation-sheet'!G8*'Output-Calculation-sheet'!G80</f>
        <v>2832488432.9303823</v>
      </c>
      <c r="H97" s="2">
        <f>H9/'Output-Calculation-sheet'!H8*'Output-Calculation-sheet'!H80</f>
        <v>2492017708.6196814</v>
      </c>
      <c r="I97" s="2">
        <f>I9/'Output-Calculation-sheet'!I8*'Output-Calculation-sheet'!I80</f>
        <v>2049915830.5998886</v>
      </c>
      <c r="J97" s="2">
        <f>J9/'Output-Calculation-sheet'!J8*'Output-Calculation-sheet'!J80</f>
        <v>1347630450.5146823</v>
      </c>
      <c r="K97" s="2">
        <f>K9/'Output-Calculation-sheet'!K8*'Output-Calculation-sheet'!K80</f>
        <v>1942893231.7918515</v>
      </c>
      <c r="L97" s="2">
        <f>L9/'Output-Calculation-sheet'!L8*'Output-Calculation-sheet'!L80</f>
        <v>1414104429.2798998</v>
      </c>
      <c r="M97" s="2">
        <f>M9/'Output-Calculation-sheet'!M8*'Output-Calculation-sheet'!M80</f>
        <v>1865752590.6882303</v>
      </c>
      <c r="N97" s="2">
        <f>N9/'Output-Calculation-sheet'!N8*'Output-Calculation-sheet'!N80</f>
        <v>1363181721.4920065</v>
      </c>
      <c r="O97" s="2">
        <f>O9/'Output-Calculation-sheet'!O8*'Output-Calculation-sheet'!O80</f>
        <v>705220942.09673238</v>
      </c>
      <c r="P97" s="2">
        <f>P9/'Output-Calculation-sheet'!P8*'Output-Calculation-sheet'!P80</f>
        <v>2307350312.8505602</v>
      </c>
      <c r="Q97" s="2">
        <f>Q9/'Output-Calculation-sheet'!Q8*'Output-Calculation-sheet'!Q80</f>
        <v>1079289995.890764</v>
      </c>
      <c r="R97" s="2">
        <f>R9/'Output-Calculation-sheet'!R8*'Output-Calculation-sheet'!R80</f>
        <v>1363680159.1746898</v>
      </c>
      <c r="S97" s="2">
        <f>S9/'Output-Calculation-sheet'!S8*'Output-Calculation-sheet'!S80</f>
        <v>791476018.36413944</v>
      </c>
      <c r="T97" s="2">
        <f>T9/'Output-Calculation-sheet'!T8*'Output-Calculation-sheet'!T80</f>
        <v>596009277.30500019</v>
      </c>
      <c r="U97" s="2">
        <f>U9/'Output-Calculation-sheet'!U8*'Output-Calculation-sheet'!U80</f>
        <v>381024456.49570066</v>
      </c>
      <c r="V97" s="2">
        <f>V9/'Output-Calculation-sheet'!V8*'Output-Calculation-sheet'!V80</f>
        <v>199786517.65363535</v>
      </c>
      <c r="W97" s="2">
        <f>W9/'Output-Calculation-sheet'!W8*'Output-Calculation-sheet'!W80</f>
        <v>578585615.41244042</v>
      </c>
      <c r="X97" s="2">
        <f>X9/'Output-Calculation-sheet'!X8*'Output-Calculation-sheet'!X80</f>
        <v>207768070.33473879</v>
      </c>
      <c r="Y97" s="2">
        <f>Y9/'Output-Calculation-sheet'!Y8*'Output-Calculation-sheet'!Y80</f>
        <v>318028105.97034043</v>
      </c>
      <c r="AA97" s="2">
        <f t="shared" si="8"/>
        <v>61.154791406441412</v>
      </c>
    </row>
    <row r="98" spans="1:27" x14ac:dyDescent="0.25">
      <c r="A98" s="2">
        <v>2033</v>
      </c>
      <c r="B98" s="2">
        <f>B10/'Output-Calculation-sheet'!B9*'Output-Calculation-sheet'!B81</f>
        <v>16719783563.087561</v>
      </c>
      <c r="C98" s="2">
        <f>C10/'Output-Calculation-sheet'!C9*'Output-Calculation-sheet'!C81</f>
        <v>5732370917.8247042</v>
      </c>
      <c r="D98" s="2">
        <f>D10/'Output-Calculation-sheet'!D9*'Output-Calculation-sheet'!D81</f>
        <v>5455471174.1471081</v>
      </c>
      <c r="E98" s="2">
        <f>E10/'Output-Calculation-sheet'!E9*'Output-Calculation-sheet'!E81</f>
        <v>10262084535.322906</v>
      </c>
      <c r="F98" s="2">
        <f>F10/'Output-Calculation-sheet'!F9*'Output-Calculation-sheet'!F81</f>
        <v>4232331708.061295</v>
      </c>
      <c r="G98" s="2">
        <f>G10/'Output-Calculation-sheet'!G9*'Output-Calculation-sheet'!G81</f>
        <v>3107507432.9760122</v>
      </c>
      <c r="H98" s="2">
        <f>H10/'Output-Calculation-sheet'!H9*'Output-Calculation-sheet'!H81</f>
        <v>2815427123.3762946</v>
      </c>
      <c r="I98" s="2">
        <f>I10/'Output-Calculation-sheet'!I9*'Output-Calculation-sheet'!I81</f>
        <v>2340451126.9159212</v>
      </c>
      <c r="J98" s="2">
        <f>J10/'Output-Calculation-sheet'!J9*'Output-Calculation-sheet'!J81</f>
        <v>1496543440.8244693</v>
      </c>
      <c r="K98" s="2">
        <f>K10/'Output-Calculation-sheet'!K9*'Output-Calculation-sheet'!K81</f>
        <v>2173788695.9927402</v>
      </c>
      <c r="L98" s="2">
        <f>L10/'Output-Calculation-sheet'!L9*'Output-Calculation-sheet'!L81</f>
        <v>1630374061.1328859</v>
      </c>
      <c r="M98" s="2">
        <f>M10/'Output-Calculation-sheet'!M9*'Output-Calculation-sheet'!M81</f>
        <v>2114267560.4469025</v>
      </c>
      <c r="N98" s="2">
        <f>N10/'Output-Calculation-sheet'!N9*'Output-Calculation-sheet'!N81</f>
        <v>1516822008.5028951</v>
      </c>
      <c r="O98" s="2">
        <f>O10/'Output-Calculation-sheet'!O9*'Output-Calculation-sheet'!O81</f>
        <v>803242947.20748222</v>
      </c>
      <c r="P98" s="2">
        <f>P10/'Output-Calculation-sheet'!P9*'Output-Calculation-sheet'!P81</f>
        <v>2566931402.0421414</v>
      </c>
      <c r="Q98" s="2">
        <f>Q10/'Output-Calculation-sheet'!Q9*'Output-Calculation-sheet'!Q81</f>
        <v>1206906072.0173478</v>
      </c>
      <c r="R98" s="2">
        <f>R10/'Output-Calculation-sheet'!R9*'Output-Calculation-sheet'!R81</f>
        <v>1543815456.7802014</v>
      </c>
      <c r="S98" s="2">
        <f>S10/'Output-Calculation-sheet'!S9*'Output-Calculation-sheet'!S81</f>
        <v>892600193.06454194</v>
      </c>
      <c r="T98" s="2">
        <f>T10/'Output-Calculation-sheet'!T9*'Output-Calculation-sheet'!T81</f>
        <v>662346064.4663707</v>
      </c>
      <c r="U98" s="2">
        <f>U10/'Output-Calculation-sheet'!U9*'Output-Calculation-sheet'!U81</f>
        <v>430965306.92971611</v>
      </c>
      <c r="V98" s="2">
        <f>V10/'Output-Calculation-sheet'!V9*'Output-Calculation-sheet'!V81</f>
        <v>228246483.90505964</v>
      </c>
      <c r="W98" s="2">
        <f>W10/'Output-Calculation-sheet'!W9*'Output-Calculation-sheet'!W81</f>
        <v>647157526.9783082</v>
      </c>
      <c r="X98" s="2">
        <f>X10/'Output-Calculation-sheet'!X9*'Output-Calculation-sheet'!X81</f>
        <v>237810811.24185434</v>
      </c>
      <c r="Y98" s="2">
        <f>Y10/'Output-Calculation-sheet'!Y9*'Output-Calculation-sheet'!Y81</f>
        <v>355847286.0040471</v>
      </c>
      <c r="AA98" s="2">
        <f t="shared" si="8"/>
        <v>69.173092899248786</v>
      </c>
    </row>
    <row r="99" spans="1:27" x14ac:dyDescent="0.25">
      <c r="A99" s="2">
        <v>2034</v>
      </c>
      <c r="B99" s="2">
        <f>B11/'Output-Calculation-sheet'!B10*'Output-Calculation-sheet'!B82</f>
        <v>17358405612.672291</v>
      </c>
      <c r="C99" s="2">
        <f>C11/'Output-Calculation-sheet'!C10*'Output-Calculation-sheet'!C82</f>
        <v>5989362113.2468662</v>
      </c>
      <c r="D99" s="2">
        <f>D11/'Output-Calculation-sheet'!D10*'Output-Calculation-sheet'!D82</f>
        <v>5448634810.7269545</v>
      </c>
      <c r="E99" s="2">
        <f>E11/'Output-Calculation-sheet'!E10*'Output-Calculation-sheet'!E82</f>
        <v>10539906256.339249</v>
      </c>
      <c r="F99" s="2">
        <f>F11/'Output-Calculation-sheet'!F10*'Output-Calculation-sheet'!F82</f>
        <v>4340847311.5383282</v>
      </c>
      <c r="G99" s="2">
        <f>G11/'Output-Calculation-sheet'!G10*'Output-Calculation-sheet'!G82</f>
        <v>3086033542.528708</v>
      </c>
      <c r="H99" s="2">
        <f>H11/'Output-Calculation-sheet'!H10*'Output-Calculation-sheet'!H82</f>
        <v>2884458643.4490657</v>
      </c>
      <c r="I99" s="2">
        <f>I11/'Output-Calculation-sheet'!I10*'Output-Calculation-sheet'!I82</f>
        <v>2422744453.3869529</v>
      </c>
      <c r="J99" s="2">
        <f>J11/'Output-Calculation-sheet'!J10*'Output-Calculation-sheet'!J82</f>
        <v>1507672946.7423272</v>
      </c>
      <c r="K99" s="2">
        <f>K11/'Output-Calculation-sheet'!K10*'Output-Calculation-sheet'!K82</f>
        <v>2205923368.2207375</v>
      </c>
      <c r="L99" s="2">
        <f>L11/'Output-Calculation-sheet'!L10*'Output-Calculation-sheet'!L82</f>
        <v>1703134158.089112</v>
      </c>
      <c r="M99" s="2">
        <f>M11/'Output-Calculation-sheet'!M10*'Output-Calculation-sheet'!M82</f>
        <v>2172809231.6519885</v>
      </c>
      <c r="N99" s="2">
        <f>N11/'Output-Calculation-sheet'!N10*'Output-Calculation-sheet'!N82</f>
        <v>1530746133.9167874</v>
      </c>
      <c r="O99" s="2">
        <f>O11/'Output-Calculation-sheet'!O10*'Output-Calculation-sheet'!O82</f>
        <v>829894301.13520634</v>
      </c>
      <c r="P99" s="2">
        <f>P11/'Output-Calculation-sheet'!P10*'Output-Calculation-sheet'!P82</f>
        <v>2586968541.7075315</v>
      </c>
      <c r="Q99" s="2">
        <f>Q11/'Output-Calculation-sheet'!Q10*'Output-Calculation-sheet'!Q82</f>
        <v>1224316080.4370384</v>
      </c>
      <c r="R99" s="2">
        <f>R11/'Output-Calculation-sheet'!R10*'Output-Calculation-sheet'!R82</f>
        <v>1584871504.146518</v>
      </c>
      <c r="S99" s="2">
        <f>S11/'Output-Calculation-sheet'!S10*'Output-Calculation-sheet'!S82</f>
        <v>912930293.85085797</v>
      </c>
      <c r="T99" s="2">
        <f>T11/'Output-Calculation-sheet'!T10*'Output-Calculation-sheet'!T82</f>
        <v>667245310.70535326</v>
      </c>
      <c r="U99" s="2">
        <f>U11/'Output-Calculation-sheet'!U10*'Output-Calculation-sheet'!U82</f>
        <v>441863295.3867299</v>
      </c>
      <c r="V99" s="2">
        <f>V11/'Output-Calculation-sheet'!V10*'Output-Calculation-sheet'!V82</f>
        <v>236258795.14953107</v>
      </c>
      <c r="W99" s="2">
        <f>W11/'Output-Calculation-sheet'!W10*'Output-Calculation-sheet'!W82</f>
        <v>655153910.79840016</v>
      </c>
      <c r="X99" s="2">
        <f>X11/'Output-Calculation-sheet'!X10*'Output-Calculation-sheet'!X82</f>
        <v>246748999.91537246</v>
      </c>
      <c r="Y99" s="2">
        <f>Y11/'Output-Calculation-sheet'!Y10*'Output-Calculation-sheet'!Y82</f>
        <v>360542441.67161435</v>
      </c>
      <c r="AA99" s="2">
        <f t="shared" si="8"/>
        <v>70.937472057413544</v>
      </c>
    </row>
    <row r="100" spans="1:27" x14ac:dyDescent="0.25">
      <c r="A100" s="2">
        <v>2035</v>
      </c>
      <c r="B100" s="2">
        <f>B12/'Output-Calculation-sheet'!B11*'Output-Calculation-sheet'!B83</f>
        <v>16338714780.773075</v>
      </c>
      <c r="C100" s="2">
        <f>C12/'Output-Calculation-sheet'!C11*'Output-Calculation-sheet'!C83</f>
        <v>5672536392.429327</v>
      </c>
      <c r="D100" s="2">
        <f>D12/'Output-Calculation-sheet'!D11*'Output-Calculation-sheet'!D83</f>
        <v>4937215584.8913755</v>
      </c>
      <c r="E100" s="2">
        <f>E12/'Output-Calculation-sheet'!E11*'Output-Calculation-sheet'!E83</f>
        <v>9818847854.2891541</v>
      </c>
      <c r="F100" s="2">
        <f>F12/'Output-Calculation-sheet'!F11*'Output-Calculation-sheet'!F83</f>
        <v>4039082501.4840541</v>
      </c>
      <c r="G100" s="2">
        <f>G12/'Output-Calculation-sheet'!G11*'Output-Calculation-sheet'!G83</f>
        <v>2775636163.8751884</v>
      </c>
      <c r="H100" s="2">
        <f>H12/'Output-Calculation-sheet'!H11*'Output-Calculation-sheet'!H83</f>
        <v>2681057105.3233547</v>
      </c>
      <c r="I100" s="2">
        <f>I12/'Output-Calculation-sheet'!I11*'Output-Calculation-sheet'!I83</f>
        <v>2274823998.5975013</v>
      </c>
      <c r="J100" s="2">
        <f>J12/'Output-Calculation-sheet'!J11*'Output-Calculation-sheet'!J83</f>
        <v>1378641252.7160573</v>
      </c>
      <c r="K100" s="2">
        <f>K12/'Output-Calculation-sheet'!K11*'Output-Calculation-sheet'!K83</f>
        <v>2031325808.9459248</v>
      </c>
      <c r="L100" s="2">
        <f>L12/'Output-Calculation-sheet'!L11*'Output-Calculation-sheet'!L83</f>
        <v>1612756867.3101518</v>
      </c>
      <c r="M100" s="2">
        <f>M12/'Output-Calculation-sheet'!M11*'Output-Calculation-sheet'!M83</f>
        <v>2025979998.8406193</v>
      </c>
      <c r="N100" s="2">
        <f>N12/'Output-Calculation-sheet'!N11*'Output-Calculation-sheet'!N83</f>
        <v>1401818142.2979627</v>
      </c>
      <c r="O100" s="2">
        <f>O12/'Output-Calculation-sheet'!O11*'Output-Calculation-sheet'!O83</f>
        <v>778098077.98843694</v>
      </c>
      <c r="P100" s="2">
        <f>P12/'Output-Calculation-sheet'!P11*'Output-Calculation-sheet'!P83</f>
        <v>2363139150.9317803</v>
      </c>
      <c r="Q100" s="2">
        <f>Q12/'Output-Calculation-sheet'!Q11*'Output-Calculation-sheet'!Q83</f>
        <v>1127228207.9785814</v>
      </c>
      <c r="R100" s="2">
        <f>R12/'Output-Calculation-sheet'!R11*'Output-Calculation-sheet'!R83</f>
        <v>1476042511.0616965</v>
      </c>
      <c r="S100" s="2">
        <f>S12/'Output-Calculation-sheet'!S11*'Output-Calculation-sheet'!S83</f>
        <v>847172563.56403351</v>
      </c>
      <c r="T100" s="2">
        <f>T12/'Output-Calculation-sheet'!T11*'Output-Calculation-sheet'!T83</f>
        <v>609670721.17901278</v>
      </c>
      <c r="U100" s="2">
        <f>U12/'Output-Calculation-sheet'!U11*'Output-Calculation-sheet'!U83</f>
        <v>410849036.60220438</v>
      </c>
      <c r="V100" s="2">
        <f>V12/'Output-Calculation-sheet'!V11*'Output-Calculation-sheet'!V83</f>
        <v>221676926.17802909</v>
      </c>
      <c r="W100" s="2">
        <f>W12/'Output-Calculation-sheet'!W11*'Output-Calculation-sheet'!W83</f>
        <v>600577252.95596826</v>
      </c>
      <c r="X100" s="2">
        <f>X12/'Output-Calculation-sheet'!X11*'Output-Calculation-sheet'!X83</f>
        <v>232188870.62967479</v>
      </c>
      <c r="Y100" s="2">
        <f>Y12/'Output-Calculation-sheet'!Y11*'Output-Calculation-sheet'!Y83</f>
        <v>330953914.64894658</v>
      </c>
      <c r="AA100" s="2">
        <f t="shared" si="8"/>
        <v>65.986033685492131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1057.8798297091118</v>
      </c>
      <c r="C19" s="2">
        <f>C8/'Output-Calculation-sheet'!C7*'Output-Calculation-sheet'!C25</f>
        <v>9859.1916491816555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4746.6602849394412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3297.8950697317441</v>
      </c>
      <c r="N19" s="2">
        <f>N8/'Output-Calculation-sheet'!N7*'Output-Calculation-sheet'!N25</f>
        <v>1129.0970656783545</v>
      </c>
      <c r="O19" s="2">
        <f>O8/'Output-Calculation-sheet'!O7*'Output-Calculation-sheet'!O25</f>
        <v>1748.9441676561573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402.87965715924202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369.02308642612496</v>
      </c>
      <c r="Y19" s="2">
        <f>Y8/'Output-Calculation-sheet'!Y7*'Output-Calculation-sheet'!Y25</f>
        <v>0</v>
      </c>
      <c r="AA19" s="2">
        <f t="shared" si="0"/>
        <v>22.611570810481833</v>
      </c>
    </row>
    <row r="20" spans="1:27" x14ac:dyDescent="0.25">
      <c r="A20" s="2">
        <v>2032</v>
      </c>
      <c r="B20" s="2">
        <f>B9/'Output-Calculation-sheet'!B8*'Output-Calculation-sheet'!B26</f>
        <v>5899.5817009296634</v>
      </c>
      <c r="C20" s="2">
        <f>C9/'Output-Calculation-sheet'!C8*'Output-Calculation-sheet'!C26</f>
        <v>11991.203412767718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6418.3317181093507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4463.8564946651422</v>
      </c>
      <c r="N20" s="2">
        <f>N9/'Output-Calculation-sheet'!N8*'Output-Calculation-sheet'!N26</f>
        <v>2012.6660994006238</v>
      </c>
      <c r="O20" s="2">
        <f>O9/'Output-Calculation-sheet'!O8*'Output-Calculation-sheet'!O26</f>
        <v>2087.976530495263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727.72070947134785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498.91178328402304</v>
      </c>
      <c r="Y20" s="2">
        <f>Y9/'Output-Calculation-sheet'!Y8*'Output-Calculation-sheet'!Y26</f>
        <v>0</v>
      </c>
      <c r="AA20" s="2">
        <f t="shared" si="0"/>
        <v>34.100248449123121</v>
      </c>
    </row>
    <row r="21" spans="1:27" x14ac:dyDescent="0.25">
      <c r="A21" s="2">
        <v>2033</v>
      </c>
      <c r="B21" s="2">
        <f>B10/'Output-Calculation-sheet'!B9*'Output-Calculation-sheet'!B27</f>
        <v>13962.36371401826</v>
      </c>
      <c r="C21" s="2">
        <f>C10/'Output-Calculation-sheet'!C9*'Output-Calculation-sheet'!C27</f>
        <v>14233.86207718484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8071.9982934777245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5606.5659546007664</v>
      </c>
      <c r="N21" s="2">
        <f>N10/'Output-Calculation-sheet'!N9*'Output-Calculation-sheet'!N27</f>
        <v>3050.7566076151684</v>
      </c>
      <c r="O21" s="2">
        <f>O10/'Output-Calculation-sheet'!O9*'Output-Calculation-sheet'!O27</f>
        <v>2366.6745317176346</v>
      </c>
      <c r="P21" s="2">
        <f>P10/'Output-Calculation-sheet'!P9*'Output-Calculation-sheet'!P27</f>
        <v>0</v>
      </c>
      <c r="Q21" s="2">
        <f>Q10/'Output-Calculation-sheet'!Q9*'Output-Calculation-sheet'!Q27</f>
        <v>208.34254029503089</v>
      </c>
      <c r="R21" s="2">
        <f>R10/'Output-Calculation-sheet'!R9*'Output-Calculation-sheet'!R27</f>
        <v>0</v>
      </c>
      <c r="S21" s="2">
        <f>S10/'Output-Calculation-sheet'!S9*'Output-Calculation-sheet'!S27</f>
        <v>1334.9938823288926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659.24447536165837</v>
      </c>
      <c r="Y21" s="2">
        <f>Y10/'Output-Calculation-sheet'!Y9*'Output-Calculation-sheet'!Y27</f>
        <v>0</v>
      </c>
      <c r="AA21" s="2">
        <f t="shared" si="0"/>
        <v>49.494802076599967</v>
      </c>
    </row>
    <row r="22" spans="1:27" x14ac:dyDescent="0.25">
      <c r="A22" s="2">
        <v>2034</v>
      </c>
      <c r="B22" s="2">
        <f>B11/'Output-Calculation-sheet'!B10*'Output-Calculation-sheet'!B28</f>
        <v>23527.006672630527</v>
      </c>
      <c r="C22" s="2">
        <f>C11/'Output-Calculation-sheet'!C10*'Output-Calculation-sheet'!C28</f>
        <v>16798.766928145698</v>
      </c>
      <c r="D22" s="2">
        <f>D11/'Output-Calculation-sheet'!D10*'Output-Calculation-sheet'!D28</f>
        <v>0</v>
      </c>
      <c r="E22" s="2">
        <f>E11/'Output-Calculation-sheet'!E10*'Output-Calculation-sheet'!E28</f>
        <v>1360.7633572823584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9890.521138979344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675.71420564771154</v>
      </c>
      <c r="M22" s="2">
        <f>M11/'Output-Calculation-sheet'!M10*'Output-Calculation-sheet'!M28</f>
        <v>6871.3621818419906</v>
      </c>
      <c r="N22" s="2">
        <f>N11/'Output-Calculation-sheet'!N10*'Output-Calculation-sheet'!N28</f>
        <v>3989.444029909881</v>
      </c>
      <c r="O22" s="2">
        <f>O11/'Output-Calculation-sheet'!O10*'Output-Calculation-sheet'!O28</f>
        <v>2585.511699746507</v>
      </c>
      <c r="P22" s="2">
        <f>P11/'Output-Calculation-sheet'!P10*'Output-Calculation-sheet'!P28</f>
        <v>0</v>
      </c>
      <c r="Q22" s="2">
        <f>Q11/'Output-Calculation-sheet'!Q10*'Output-Calculation-sheet'!Q28</f>
        <v>596.44083364806158</v>
      </c>
      <c r="R22" s="2">
        <f>R11/'Output-Calculation-sheet'!R10*'Output-Calculation-sheet'!R28</f>
        <v>0</v>
      </c>
      <c r="S22" s="2">
        <f>S11/'Output-Calculation-sheet'!S10*'Output-Calculation-sheet'!S28</f>
        <v>1863.4171163346246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715.61177936400986</v>
      </c>
      <c r="Y22" s="2">
        <f>Y11/'Output-Calculation-sheet'!Y10*'Output-Calculation-sheet'!Y28</f>
        <v>75.343958970382829</v>
      </c>
      <c r="AA22" s="2">
        <f t="shared" si="0"/>
        <v>68.949903902501092</v>
      </c>
    </row>
    <row r="23" spans="1:27" x14ac:dyDescent="0.25">
      <c r="A23" s="2">
        <v>2035</v>
      </c>
      <c r="B23" s="2">
        <f>B12/'Output-Calculation-sheet'!B11*'Output-Calculation-sheet'!B29</f>
        <v>27421.618343444938</v>
      </c>
      <c r="C23" s="2">
        <f>C12/'Output-Calculation-sheet'!C11*'Output-Calculation-sheet'!C29</f>
        <v>20001.73315015456</v>
      </c>
      <c r="D23" s="2">
        <f>D12/'Output-Calculation-sheet'!D11*'Output-Calculation-sheet'!D29</f>
        <v>0</v>
      </c>
      <c r="E23" s="2">
        <f>E12/'Output-Calculation-sheet'!E11*'Output-Calculation-sheet'!E29</f>
        <v>3488.2814365544014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10040.345460272529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825.64973850006004</v>
      </c>
      <c r="M23" s="2">
        <f>M12/'Output-Calculation-sheet'!M11*'Output-Calculation-sheet'!M29</f>
        <v>7079.0893879172982</v>
      </c>
      <c r="N23" s="2">
        <f>N12/'Output-Calculation-sheet'!N11*'Output-Calculation-sheet'!N29</f>
        <v>4171.2518349753418</v>
      </c>
      <c r="O23" s="2">
        <f>O12/'Output-Calculation-sheet'!O11*'Output-Calculation-sheet'!O29</f>
        <v>2759.6489703637544</v>
      </c>
      <c r="P23" s="2">
        <f>P12/'Output-Calculation-sheet'!P11*'Output-Calculation-sheet'!P29</f>
        <v>588.38611885576825</v>
      </c>
      <c r="Q23" s="2">
        <f>Q12/'Output-Calculation-sheet'!Q11*'Output-Calculation-sheet'!Q29</f>
        <v>891.20409819234249</v>
      </c>
      <c r="R23" s="2">
        <f>R12/'Output-Calculation-sheet'!R11*'Output-Calculation-sheet'!R29</f>
        <v>0</v>
      </c>
      <c r="S23" s="2">
        <f>S12/'Output-Calculation-sheet'!S11*'Output-Calculation-sheet'!S29</f>
        <v>2039.8748187512467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735.39962180634427</v>
      </c>
      <c r="Y23" s="2">
        <f>Y12/'Output-Calculation-sheet'!Y11*'Output-Calculation-sheet'!Y29</f>
        <v>186.73810525278191</v>
      </c>
      <c r="AA23" s="2">
        <f t="shared" si="0"/>
        <v>80.229221085041374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18438.501783421572</v>
      </c>
      <c r="C30" s="2">
        <f>C8/'Output-Calculation-sheet'!C7*'Output-Calculation-sheet'!C16</f>
        <v>0</v>
      </c>
      <c r="D30" s="2">
        <f>D8/'Output-Calculation-sheet'!D7*'Output-Calculation-sheet'!D16</f>
        <v>3104.7999496947646</v>
      </c>
      <c r="E30" s="2">
        <f>E8/'Output-Calculation-sheet'!E7*'Output-Calculation-sheet'!E16</f>
        <v>3340.5893313249344</v>
      </c>
      <c r="F30" s="2">
        <f>F8/'Output-Calculation-sheet'!F7*'Output-Calculation-sheet'!F16</f>
        <v>1685.3450938385145</v>
      </c>
      <c r="G30" s="2">
        <f>G8/'Output-Calculation-sheet'!G7*'Output-Calculation-sheet'!G16</f>
        <v>1103.7008653048133</v>
      </c>
      <c r="H30" s="2">
        <f>H8/'Output-Calculation-sheet'!H7*'Output-Calculation-sheet'!H16</f>
        <v>0</v>
      </c>
      <c r="I30" s="2">
        <f>I8/'Output-Calculation-sheet'!I7*'Output-Calculation-sheet'!I16</f>
        <v>1075.9430850973195</v>
      </c>
      <c r="J30" s="2">
        <f>J8/'Output-Calculation-sheet'!J7*'Output-Calculation-sheet'!J16</f>
        <v>957.79623217221615</v>
      </c>
      <c r="K30" s="2">
        <f>K8/'Output-Calculation-sheet'!K7*'Output-Calculation-sheet'!K16</f>
        <v>1278.8410429381415</v>
      </c>
      <c r="L30" s="2">
        <f>L8/'Output-Calculation-sheet'!L7*'Output-Calculation-sheet'!L16</f>
        <v>1080.2049133776807</v>
      </c>
      <c r="M30" s="2">
        <f>M8/'Output-Calculation-sheet'!M7*'Output-Calculation-sheet'!M16</f>
        <v>0</v>
      </c>
      <c r="N30" s="2">
        <f>N8/'Output-Calculation-sheet'!N7*'Output-Calculation-sheet'!N16</f>
        <v>1534.3400735154141</v>
      </c>
      <c r="O30" s="2">
        <f>O8/'Output-Calculation-sheet'!O7*'Output-Calculation-sheet'!O16</f>
        <v>0</v>
      </c>
      <c r="P30" s="2">
        <f>P8/'Output-Calculation-sheet'!P7*'Output-Calculation-sheet'!P16</f>
        <v>1379.0145123573443</v>
      </c>
      <c r="Q30" s="2">
        <f>Q8/'Output-Calculation-sheet'!Q7*'Output-Calculation-sheet'!Q16</f>
        <v>1516.4605304879235</v>
      </c>
      <c r="R30" s="2">
        <f>R8/'Output-Calculation-sheet'!R7*'Output-Calculation-sheet'!R16</f>
        <v>962.20079771458518</v>
      </c>
      <c r="S30" s="2">
        <f>S8/'Output-Calculation-sheet'!S7*'Output-Calculation-sheet'!S16</f>
        <v>967.69185383947774</v>
      </c>
      <c r="T30" s="2">
        <f>T8/'Output-Calculation-sheet'!T7*'Output-Calculation-sheet'!T16</f>
        <v>288.83884856805605</v>
      </c>
      <c r="U30" s="2">
        <f>U8/'Output-Calculation-sheet'!U7*'Output-Calculation-sheet'!U16</f>
        <v>288.32255645053118</v>
      </c>
      <c r="V30" s="2">
        <f>V8/'Output-Calculation-sheet'!V7*'Output-Calculation-sheet'!V16</f>
        <v>224.39596511420564</v>
      </c>
      <c r="W30" s="2">
        <f>W8/'Output-Calculation-sheet'!W7*'Output-Calculation-sheet'!W16</f>
        <v>136.10746521141331</v>
      </c>
      <c r="X30" s="2">
        <f>X8/'Output-Calculation-sheet'!X7*'Output-Calculation-sheet'!X16</f>
        <v>0</v>
      </c>
      <c r="Y30" s="2">
        <f>Y8/'Output-Calculation-sheet'!Y7*'Output-Calculation-sheet'!Y16</f>
        <v>115.19949560482591</v>
      </c>
      <c r="AA30" s="2">
        <f t="shared" si="1"/>
        <v>39.478294396033732</v>
      </c>
    </row>
    <row r="31" spans="1:27" x14ac:dyDescent="0.25">
      <c r="A31" s="2">
        <v>2032</v>
      </c>
      <c r="B31" s="2">
        <f>B9/'Output-Calculation-sheet'!B8*'Output-Calculation-sheet'!B17</f>
        <v>24980.778069735275</v>
      </c>
      <c r="C31" s="2">
        <f>C9/'Output-Calculation-sheet'!C8*'Output-Calculation-sheet'!C17</f>
        <v>0</v>
      </c>
      <c r="D31" s="2">
        <f>D9/'Output-Calculation-sheet'!D8*'Output-Calculation-sheet'!D17</f>
        <v>4189.6044709054777</v>
      </c>
      <c r="E31" s="2">
        <f>E9/'Output-Calculation-sheet'!E8*'Output-Calculation-sheet'!E17</f>
        <v>4924.3076373771637</v>
      </c>
      <c r="F31" s="2">
        <f>F9/'Output-Calculation-sheet'!F8*'Output-Calculation-sheet'!F17</f>
        <v>2274.2532344033225</v>
      </c>
      <c r="G31" s="2">
        <f>G9/'Output-Calculation-sheet'!G8*'Output-Calculation-sheet'!G17</f>
        <v>1489.3519532029698</v>
      </c>
      <c r="H31" s="2">
        <f>H9/'Output-Calculation-sheet'!H8*'Output-Calculation-sheet'!H17</f>
        <v>0</v>
      </c>
      <c r="I31" s="2">
        <f>I9/'Output-Calculation-sheet'!I8*'Output-Calculation-sheet'!I17</f>
        <v>1451.9019523609059</v>
      </c>
      <c r="J31" s="2">
        <f>J9/'Output-Calculation-sheet'!J8*'Output-Calculation-sheet'!J17</f>
        <v>1292.4725913602515</v>
      </c>
      <c r="K31" s="2">
        <f>K9/'Output-Calculation-sheet'!K8*'Output-Calculation-sheet'!K17</f>
        <v>1840.1377999503557</v>
      </c>
      <c r="L31" s="2">
        <f>L9/'Output-Calculation-sheet'!L8*'Output-Calculation-sheet'!L17</f>
        <v>1569.3140553112789</v>
      </c>
      <c r="M31" s="2">
        <f>M9/'Output-Calculation-sheet'!M8*'Output-Calculation-sheet'!M17</f>
        <v>0</v>
      </c>
      <c r="N31" s="2">
        <f>N9/'Output-Calculation-sheet'!N8*'Output-Calculation-sheet'!N17</f>
        <v>1706.0048812192906</v>
      </c>
      <c r="O31" s="2">
        <f>O9/'Output-Calculation-sheet'!O8*'Output-Calculation-sheet'!O17</f>
        <v>0</v>
      </c>
      <c r="P31" s="2">
        <f>P9/'Output-Calculation-sheet'!P8*'Output-Calculation-sheet'!P17</f>
        <v>2117.4168484298302</v>
      </c>
      <c r="Q31" s="2">
        <f>Q9/'Output-Calculation-sheet'!Q8*'Output-Calculation-sheet'!Q17</f>
        <v>2257.3609022271744</v>
      </c>
      <c r="R31" s="2">
        <f>R9/'Output-Calculation-sheet'!R8*'Output-Calculation-sheet'!R17</f>
        <v>1476.8848023775527</v>
      </c>
      <c r="S31" s="2">
        <f>S9/'Output-Calculation-sheet'!S8*'Output-Calculation-sheet'!S17</f>
        <v>1275.3143297524832</v>
      </c>
      <c r="T31" s="2">
        <f>T9/'Output-Calculation-sheet'!T8*'Output-Calculation-sheet'!T17</f>
        <v>400.76348135339271</v>
      </c>
      <c r="U31" s="2">
        <f>U9/'Output-Calculation-sheet'!U8*'Output-Calculation-sheet'!U17</f>
        <v>460.60500409877477</v>
      </c>
      <c r="V31" s="2">
        <f>V9/'Output-Calculation-sheet'!V8*'Output-Calculation-sheet'!V17</f>
        <v>329.90950922812431</v>
      </c>
      <c r="W31" s="2">
        <f>W9/'Output-Calculation-sheet'!W8*'Output-Calculation-sheet'!W17</f>
        <v>183.6684077637706</v>
      </c>
      <c r="X31" s="2">
        <f>X9/'Output-Calculation-sheet'!X8*'Output-Calculation-sheet'!X17</f>
        <v>0</v>
      </c>
      <c r="Y31" s="2">
        <f>Y9/'Output-Calculation-sheet'!Y8*'Output-Calculation-sheet'!Y17</f>
        <v>177.46347412966657</v>
      </c>
      <c r="AA31" s="2">
        <f t="shared" si="1"/>
        <v>54.397513405187063</v>
      </c>
    </row>
    <row r="32" spans="1:27" x14ac:dyDescent="0.25">
      <c r="A32" s="2">
        <v>2033</v>
      </c>
      <c r="B32" s="2">
        <f>B10/'Output-Calculation-sheet'!B9*'Output-Calculation-sheet'!B18</f>
        <v>28298.893370019174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1735.8628010742202</v>
      </c>
      <c r="O32" s="2">
        <f>O10/'Output-Calculation-sheet'!O9*'Output-Calculation-sheet'!O18</f>
        <v>0</v>
      </c>
      <c r="P32" s="2">
        <f>P10/'Output-Calculation-sheet'!P9*'Output-Calculation-sheet'!P18</f>
        <v>2777.8043622489877</v>
      </c>
      <c r="Q32" s="2">
        <f>Q10/'Output-Calculation-sheet'!Q9*'Output-Calculation-sheet'!Q18</f>
        <v>3026.8372995497398</v>
      </c>
      <c r="R32" s="2">
        <f>R10/'Output-Calculation-sheet'!R9*'Output-Calculation-sheet'!R18</f>
        <v>1994.3372741352746</v>
      </c>
      <c r="S32" s="2">
        <f>S10/'Output-Calculation-sheet'!S9*'Output-Calculation-sheet'!S18</f>
        <v>1305.2645580430251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644.78217056078688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68.039541277044876</v>
      </c>
    </row>
    <row r="33" spans="1:27" x14ac:dyDescent="0.25">
      <c r="A33" s="2">
        <v>2034</v>
      </c>
      <c r="B33" s="2">
        <f>B11/'Output-Calculation-sheet'!B10*'Output-Calculation-sheet'!B19</f>
        <v>26961.234841718353</v>
      </c>
      <c r="C33" s="2">
        <f>C11/'Output-Calculation-sheet'!C10*'Output-Calculation-sheet'!C19</f>
        <v>0</v>
      </c>
      <c r="D33" s="2">
        <f>D11/'Output-Calculation-sheet'!D10*'Output-Calculation-sheet'!D19</f>
        <v>8161.9245135150504</v>
      </c>
      <c r="E33" s="2">
        <f>E11/'Output-Calculation-sheet'!E10*'Output-Calculation-sheet'!E19</f>
        <v>10121.231003065881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2773.3374158525862</v>
      </c>
      <c r="H33" s="2">
        <f>H11/'Output-Calculation-sheet'!H10*'Output-Calculation-sheet'!H19</f>
        <v>0</v>
      </c>
      <c r="I33" s="2">
        <f>I11/'Output-Calculation-sheet'!I10*'Output-Calculation-sheet'!I19</f>
        <v>3030.6606175248708</v>
      </c>
      <c r="J33" s="2">
        <f>J11/'Output-Calculation-sheet'!J10*'Output-Calculation-sheet'!J19</f>
        <v>2564.0204752722225</v>
      </c>
      <c r="K33" s="2">
        <f>K11/'Output-Calculation-sheet'!K10*'Output-Calculation-sheet'!K19</f>
        <v>3550.1304918636747</v>
      </c>
      <c r="L33" s="2">
        <f>L11/'Output-Calculation-sheet'!L10*'Output-Calculation-sheet'!L19</f>
        <v>2804.3793808208329</v>
      </c>
      <c r="M33" s="2">
        <f>M11/'Output-Calculation-sheet'!M10*'Output-Calculation-sheet'!M19</f>
        <v>0</v>
      </c>
      <c r="N33" s="2">
        <f>N11/'Output-Calculation-sheet'!N10*'Output-Calculation-sheet'!N19</f>
        <v>1677.3258736018913</v>
      </c>
      <c r="O33" s="2">
        <f>O11/'Output-Calculation-sheet'!O10*'Output-Calculation-sheet'!O19</f>
        <v>0</v>
      </c>
      <c r="P33" s="2">
        <f>P11/'Output-Calculation-sheet'!P10*'Output-Calculation-sheet'!P19</f>
        <v>3592.5917087701418</v>
      </c>
      <c r="Q33" s="2">
        <f>Q11/'Output-Calculation-sheet'!Q10*'Output-Calculation-sheet'!Q19</f>
        <v>2966.8448591301994</v>
      </c>
      <c r="R33" s="2">
        <f>R11/'Output-Calculation-sheet'!R10*'Output-Calculation-sheet'!R19</f>
        <v>2565.1697864822804</v>
      </c>
      <c r="S33" s="2">
        <f>S11/'Output-Calculation-sheet'!S10*'Output-Calculation-sheet'!S19</f>
        <v>1260.0636504851961</v>
      </c>
      <c r="T33" s="2">
        <f>T11/'Output-Calculation-sheet'!T10*'Output-Calculation-sheet'!T19</f>
        <v>752.6406282067868</v>
      </c>
      <c r="U33" s="2">
        <f>U11/'Output-Calculation-sheet'!U10*'Output-Calculation-sheet'!U19</f>
        <v>810.19214477943819</v>
      </c>
      <c r="V33" s="2">
        <f>V11/'Output-Calculation-sheet'!V10*'Output-Calculation-sheet'!V19</f>
        <v>590.35843211964232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0</v>
      </c>
      <c r="Y33" s="2">
        <f>Y11/'Output-Calculation-sheet'!Y10*'Output-Calculation-sheet'!Y19</f>
        <v>331.26726280682448</v>
      </c>
      <c r="AA33" s="2">
        <f t="shared" si="1"/>
        <v>79.512387597799531</v>
      </c>
    </row>
    <row r="34" spans="1:27" x14ac:dyDescent="0.25">
      <c r="A34" s="2">
        <v>2035</v>
      </c>
      <c r="B34" s="2">
        <f>B12/'Output-Calculation-sheet'!B11*'Output-Calculation-sheet'!B20</f>
        <v>26035.84990207498</v>
      </c>
      <c r="C34" s="2">
        <f>C12/'Output-Calculation-sheet'!C11*'Output-Calculation-sheet'!C20</f>
        <v>0</v>
      </c>
      <c r="D34" s="2">
        <f>D12/'Output-Calculation-sheet'!D11*'Output-Calculation-sheet'!D20</f>
        <v>7987.6098714964264</v>
      </c>
      <c r="E34" s="2">
        <f>E12/'Output-Calculation-sheet'!E11*'Output-Calculation-sheet'!E20</f>
        <v>9415.3946470208721</v>
      </c>
      <c r="F34" s="2">
        <f>F12/'Output-Calculation-sheet'!F11*'Output-Calculation-sheet'!F20</f>
        <v>5387.8469503809292</v>
      </c>
      <c r="G34" s="2">
        <f>G12/'Output-Calculation-sheet'!G11*'Output-Calculation-sheet'!G20</f>
        <v>2885.3715070309313</v>
      </c>
      <c r="H34" s="2">
        <f>H12/'Output-Calculation-sheet'!H11*'Output-Calculation-sheet'!H20</f>
        <v>0</v>
      </c>
      <c r="I34" s="2">
        <f>I12/'Output-Calculation-sheet'!I11*'Output-Calculation-sheet'!I20</f>
        <v>3209.2910074485317</v>
      </c>
      <c r="J34" s="2">
        <f>J12/'Output-Calculation-sheet'!J11*'Output-Calculation-sheet'!J20</f>
        <v>2501.6279386338256</v>
      </c>
      <c r="K34" s="2">
        <f>K12/'Output-Calculation-sheet'!K11*'Output-Calculation-sheet'!K20</f>
        <v>3697.7229083072007</v>
      </c>
      <c r="L34" s="2">
        <f>L12/'Output-Calculation-sheet'!L11*'Output-Calculation-sheet'!L20</f>
        <v>2825.9755224540372</v>
      </c>
      <c r="M34" s="2">
        <f>M12/'Output-Calculation-sheet'!M11*'Output-Calculation-sheet'!M20</f>
        <v>0</v>
      </c>
      <c r="N34" s="2">
        <f>N12/'Output-Calculation-sheet'!N11*'Output-Calculation-sheet'!N20</f>
        <v>1639.9226043140529</v>
      </c>
      <c r="O34" s="2">
        <f>O12/'Output-Calculation-sheet'!O11*'Output-Calculation-sheet'!O20</f>
        <v>0</v>
      </c>
      <c r="P34" s="2">
        <f>P12/'Output-Calculation-sheet'!P11*'Output-Calculation-sheet'!P20</f>
        <v>3515.7122125672995</v>
      </c>
      <c r="Q34" s="2">
        <f>Q12/'Output-Calculation-sheet'!Q11*'Output-Calculation-sheet'!Q20</f>
        <v>2896.2794270532499</v>
      </c>
      <c r="R34" s="2">
        <f>R12/'Output-Calculation-sheet'!R11*'Output-Calculation-sheet'!R20</f>
        <v>2718.7269401651683</v>
      </c>
      <c r="S34" s="2">
        <f>S12/'Output-Calculation-sheet'!S11*'Output-Calculation-sheet'!S20</f>
        <v>1160.0259551309778</v>
      </c>
      <c r="T34" s="2">
        <f>T12/'Output-Calculation-sheet'!T11*'Output-Calculation-sheet'!T20</f>
        <v>869.14124317074516</v>
      </c>
      <c r="U34" s="2">
        <f>U12/'Output-Calculation-sheet'!U11*'Output-Calculation-sheet'!U20</f>
        <v>810.81499862248324</v>
      </c>
      <c r="V34" s="2">
        <f>V12/'Output-Calculation-sheet'!V11*'Output-Calculation-sheet'!V20</f>
        <v>602.12607720867413</v>
      </c>
      <c r="W34" s="2">
        <f>W12/'Output-Calculation-sheet'!W11*'Output-Calculation-sheet'!W20</f>
        <v>479.50655299232227</v>
      </c>
      <c r="X34" s="2">
        <f>X12/'Output-Calculation-sheet'!X11*'Output-Calculation-sheet'!X20</f>
        <v>18.795953516813302</v>
      </c>
      <c r="Y34" s="2">
        <f>Y12/'Output-Calculation-sheet'!Y11*'Output-Calculation-sheet'!Y20</f>
        <v>280.57486590468199</v>
      </c>
      <c r="AA34" s="2">
        <f t="shared" si="1"/>
        <v>78.938317085494219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2.0101367242671042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0.39051548826826088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2.4006522125353653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3.2550135464454009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0.63236156479524275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3.8873751112406438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4.536689108266085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0.66101748484861422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5.1977065931146988</v>
      </c>
    </row>
    <row r="44" spans="1:27" x14ac:dyDescent="0.25">
      <c r="A44" s="2">
        <v>2034</v>
      </c>
      <c r="B44" s="2">
        <f>B11/'Output-Calculation-sheet'!B10*'Output-Calculation-sheet'!B37*0.0114</f>
        <v>2.4368356235280206</v>
      </c>
      <c r="C44" s="2">
        <f>C11/'Output-Calculation-sheet'!C10*'Output-Calculation-sheet'!C37*0.0114</f>
        <v>4.6263061476231657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0.35603027858096992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0.25833865263880584</v>
      </c>
      <c r="M44" s="2">
        <f>M11/'Output-Calculation-sheet'!M10*'Output-Calculation-sheet'!M37*0.0114</f>
        <v>0.24498367122126252</v>
      </c>
      <c r="N44" s="2">
        <f>N11/'Output-Calculation-sheet'!N10*'Output-Calculation-sheet'!N37*0.0114</f>
        <v>0.24077963809181591</v>
      </c>
      <c r="O44" s="2">
        <f>O11/'Output-Calculation-sheet'!O10*'Output-Calculation-sheet'!O37*0.0114</f>
        <v>0.89876682630939964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0.21095918536774849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0.13802282599597634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6.7308870001571153E-2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2.6875312666981982E-2</v>
      </c>
      <c r="Y44" s="2">
        <f>Y11/'Output-Calculation-sheet'!Y10*'Output-Calculation-sheet'!Y37*0.0114</f>
        <v>0</v>
      </c>
      <c r="AA44" s="2">
        <f t="shared" si="2"/>
        <v>9.5052070320257194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4.6169762015856719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0.89695426879111606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5.3642225583094671E-2</v>
      </c>
      <c r="Y45" s="2">
        <f>Y12/'Output-Calculation-sheet'!Y11*'Output-Calculation-sheet'!Y38*0.0114</f>
        <v>2.5882871314581675E-2</v>
      </c>
      <c r="AA45" s="2">
        <f t="shared" si="2"/>
        <v>13.836923961245404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6730.6187072749908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4593.9749098456314</v>
      </c>
      <c r="N52" s="2">
        <f>N8/'Output-Calculation-sheet'!N7*'Output-Calculation-sheet'!N43</f>
        <v>146.8338268352949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592.06275489871211</v>
      </c>
      <c r="Y52" s="2">
        <f>Y8/'Output-Calculation-sheet'!Y7*'Output-Calculation-sheet'!Y43</f>
        <v>0</v>
      </c>
      <c r="AA52" s="2">
        <f t="shared" si="3"/>
        <v>12.06349019885463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666.23084283970184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12832.561704167143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8769.5783399090287</v>
      </c>
      <c r="N53" s="2">
        <f>N9/'Output-Calculation-sheet'!N8*'Output-Calculation-sheet'!N44</f>
        <v>3130.6113893293677</v>
      </c>
      <c r="O53" s="2">
        <f>O9/'Output-Calculation-sheet'!O8*'Output-Calculation-sheet'!O44</f>
        <v>0</v>
      </c>
      <c r="P53" s="2">
        <f>P9/'Output-Calculation-sheet'!P8*'Output-Calculation-sheet'!P44</f>
        <v>146.43649807168791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965.43303998789736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1099.1633292942452</v>
      </c>
      <c r="Y53" s="2">
        <f>Y9/'Output-Calculation-sheet'!Y8*'Output-Calculation-sheet'!Y44</f>
        <v>0</v>
      </c>
      <c r="AA53" s="2">
        <f t="shared" si="3"/>
        <v>27.610015143599071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5372.3949966308892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0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780.30913968176367</v>
      </c>
      <c r="R54" s="2">
        <f>R10/'Output-Calculation-sheet'!R9*'Output-Calculation-sheet'!R45</f>
        <v>1331.6936915595309</v>
      </c>
      <c r="S54" s="2">
        <f>S10/'Output-Calculation-sheet'!S9*'Output-Calculation-sheet'!S45</f>
        <v>3193.7652687294085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474.77293163783776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82.178137019034764</v>
      </c>
    </row>
    <row r="55" spans="1:27" x14ac:dyDescent="0.25">
      <c r="A55" s="2">
        <v>2034</v>
      </c>
      <c r="B55" s="2">
        <f>B11/'Output-Calculation-sheet'!B10*'Output-Calculation-sheet'!B46</f>
        <v>64127.253250737376</v>
      </c>
      <c r="C55" s="2">
        <f>C11/'Output-Calculation-sheet'!C10*'Output-Calculation-sheet'!C46</f>
        <v>13189.030684013411</v>
      </c>
      <c r="D55" s="2">
        <f>D11/'Output-Calculation-sheet'!D10*'Output-Calculation-sheet'!D46</f>
        <v>7099.8264283257613</v>
      </c>
      <c r="E55" s="2">
        <f>E11/'Output-Calculation-sheet'!E10*'Output-Calculation-sheet'!E46</f>
        <v>8785.1088046257664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23048.275929189105</v>
      </c>
      <c r="I55" s="2">
        <f>I11/'Output-Calculation-sheet'!I10*'Output-Calculation-sheet'!I46</f>
        <v>1710.8123696046325</v>
      </c>
      <c r="J55" s="2">
        <f>J11/'Output-Calculation-sheet'!J10*'Output-Calculation-sheet'!J46</f>
        <v>1233.9852534131596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657.17727425661133</v>
      </c>
      <c r="M55" s="2">
        <f>M11/'Output-Calculation-sheet'!M10*'Output-Calculation-sheet'!M46</f>
        <v>15988.408016545554</v>
      </c>
      <c r="N55" s="2">
        <f>N11/'Output-Calculation-sheet'!N10*'Output-Calculation-sheet'!N46</f>
        <v>11363.109236262891</v>
      </c>
      <c r="O55" s="2">
        <f>O11/'Output-Calculation-sheet'!O10*'Output-Calculation-sheet'!O46</f>
        <v>0</v>
      </c>
      <c r="P55" s="2">
        <f>P11/'Output-Calculation-sheet'!P10*'Output-Calculation-sheet'!P46</f>
        <v>4624.3481766357281</v>
      </c>
      <c r="Q55" s="2">
        <f>Q11/'Output-Calculation-sheet'!Q10*'Output-Calculation-sheet'!Q46</f>
        <v>1702.4776363011281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5133.4805458152596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1110.0059263416997</v>
      </c>
      <c r="V55" s="2">
        <f>V11/'Output-Calculation-sheet'!V10*'Output-Calculation-sheet'!V46</f>
        <v>573.64532121349362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1631.3786285571518</v>
      </c>
      <c r="Y55" s="2">
        <f>Y11/'Output-Calculation-sheet'!Y10*'Output-Calculation-sheet'!Y46</f>
        <v>434.52793536273686</v>
      </c>
      <c r="AA55" s="2">
        <f t="shared" si="3"/>
        <v>173.93267630624777</v>
      </c>
    </row>
    <row r="56" spans="1:27" x14ac:dyDescent="0.25">
      <c r="A56" s="2">
        <v>2035</v>
      </c>
      <c r="B56" s="2">
        <f>B12/'Output-Calculation-sheet'!B11*'Output-Calculation-sheet'!B47</f>
        <v>77437.491412760806</v>
      </c>
      <c r="C56" s="2">
        <f>C12/'Output-Calculation-sheet'!C11*'Output-Calculation-sheet'!C47</f>
        <v>28248.604391280754</v>
      </c>
      <c r="D56" s="2">
        <f>D12/'Output-Calculation-sheet'!D11*'Output-Calculation-sheet'!D47</f>
        <v>6188.608335391019</v>
      </c>
      <c r="E56" s="2">
        <f>E12/'Output-Calculation-sheet'!E11*'Output-Calculation-sheet'!E47</f>
        <v>15538.954456023121</v>
      </c>
      <c r="F56" s="2">
        <f>F12/'Output-Calculation-sheet'!F11*'Output-Calculation-sheet'!F47</f>
        <v>1882.8593815815668</v>
      </c>
      <c r="G56" s="2">
        <f>G12/'Output-Calculation-sheet'!G11*'Output-Calculation-sheet'!G47</f>
        <v>4954.7530924361172</v>
      </c>
      <c r="H56" s="2">
        <f>H12/'Output-Calculation-sheet'!H11*'Output-Calculation-sheet'!H47</f>
        <v>23282.303784464406</v>
      </c>
      <c r="I56" s="2">
        <f>I12/'Output-Calculation-sheet'!I11*'Output-Calculation-sheet'!I47</f>
        <v>2807.0191226635252</v>
      </c>
      <c r="J56" s="2">
        <f>J12/'Output-Calculation-sheet'!J11*'Output-Calculation-sheet'!J47</f>
        <v>973.74154155800375</v>
      </c>
      <c r="K56" s="2">
        <f>K12/'Output-Calculation-sheet'!K11*'Output-Calculation-sheet'!K47</f>
        <v>4124.0660080343368</v>
      </c>
      <c r="L56" s="2">
        <f>L12/'Output-Calculation-sheet'!L11*'Output-Calculation-sheet'!L47</f>
        <v>1062.9324452038682</v>
      </c>
      <c r="M56" s="2">
        <f>M12/'Output-Calculation-sheet'!M11*'Output-Calculation-sheet'!M47</f>
        <v>16213.521419724424</v>
      </c>
      <c r="N56" s="2">
        <f>N12/'Output-Calculation-sheet'!N11*'Output-Calculation-sheet'!N47</f>
        <v>11888.232141400829</v>
      </c>
      <c r="O56" s="2">
        <f>O12/'Output-Calculation-sheet'!O11*'Output-Calculation-sheet'!O47</f>
        <v>0</v>
      </c>
      <c r="P56" s="2">
        <f>P12/'Output-Calculation-sheet'!P11*'Output-Calculation-sheet'!P47</f>
        <v>6250.7262428084987</v>
      </c>
      <c r="Q56" s="2">
        <f>Q12/'Output-Calculation-sheet'!Q11*'Output-Calculation-sheet'!Q47</f>
        <v>2216.1446377329944</v>
      </c>
      <c r="R56" s="2">
        <f>R12/'Output-Calculation-sheet'!R11*'Output-Calculation-sheet'!R47</f>
        <v>4285.5552381887892</v>
      </c>
      <c r="S56" s="2">
        <f>S12/'Output-Calculation-sheet'!S11*'Output-Calculation-sheet'!S47</f>
        <v>5642.6902594230214</v>
      </c>
      <c r="T56" s="2">
        <f>T12/'Output-Calculation-sheet'!T11*'Output-Calculation-sheet'!T47</f>
        <v>1544.8508929551576</v>
      </c>
      <c r="U56" s="2">
        <f>U12/'Output-Calculation-sheet'!U11*'Output-Calculation-sheet'!U47</f>
        <v>1166.6911552516765</v>
      </c>
      <c r="V56" s="2">
        <f>V12/'Output-Calculation-sheet'!V11*'Output-Calculation-sheet'!V47</f>
        <v>649.72894547241162</v>
      </c>
      <c r="W56" s="2">
        <f>W12/'Output-Calculation-sheet'!W11*'Output-Calculation-sheet'!W47</f>
        <v>629.50087366480329</v>
      </c>
      <c r="X56" s="2">
        <f>X12/'Output-Calculation-sheet'!X11*'Output-Calculation-sheet'!X47</f>
        <v>1651.615892953178</v>
      </c>
      <c r="Y56" s="2">
        <f>Y12/'Output-Calculation-sheet'!Y11*'Output-Calculation-sheet'!Y47</f>
        <v>731.07759327151746</v>
      </c>
      <c r="AA56" s="2">
        <f t="shared" si="3"/>
        <v>219.37166926424482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5.1447826035475952</v>
      </c>
      <c r="C63" s="2">
        <f>C8*'Output-Calculation-sheet'!C52/10^9</f>
        <v>3.2181261803553403</v>
      </c>
      <c r="D63" s="2">
        <f>D8*'Output-Calculation-sheet'!D52/10^9</f>
        <v>1.4693989083650687</v>
      </c>
      <c r="E63" s="2">
        <f>E8*'Output-Calculation-sheet'!E52/10^9</f>
        <v>1.349743163020005</v>
      </c>
      <c r="F63" s="2">
        <f>F8*'Output-Calculation-sheet'!F52/10^9</f>
        <v>0.71133877090455</v>
      </c>
      <c r="G63" s="2">
        <f>G8*'Output-Calculation-sheet'!G52/10^9</f>
        <v>0.52605687915177857</v>
      </c>
      <c r="H63" s="2">
        <f>H8*'Output-Calculation-sheet'!H52/10^9</f>
        <v>0.907659405458346</v>
      </c>
      <c r="I63" s="2">
        <f>I8*'Output-Calculation-sheet'!I52/10^9</f>
        <v>0.48767797919571282</v>
      </c>
      <c r="J63" s="2">
        <f>J8*'Output-Calculation-sheet'!J52/10^9</f>
        <v>0.49579262236952132</v>
      </c>
      <c r="K63" s="2">
        <f>K8*'Output-Calculation-sheet'!K52/10^9</f>
        <v>0.4989476442599789</v>
      </c>
      <c r="L63" s="2">
        <f>L8*'Output-Calculation-sheet'!L52/10^9</f>
        <v>0.40674051681757828</v>
      </c>
      <c r="M63" s="2">
        <f>M8*'Output-Calculation-sheet'!M52/10^9</f>
        <v>0.62842171623216436</v>
      </c>
      <c r="N63" s="2">
        <f>N8*'Output-Calculation-sheet'!N52/10^9</f>
        <v>0.56384041739993329</v>
      </c>
      <c r="O63" s="2">
        <f>O8*'Output-Calculation-sheet'!O52/10^9</f>
        <v>0.60976078811768319</v>
      </c>
      <c r="P63" s="2">
        <f>P8*'Output-Calculation-sheet'!P52/10^9</f>
        <v>0.40166719308298721</v>
      </c>
      <c r="Q63" s="2">
        <f>Q8*'Output-Calculation-sheet'!Q52/10^9</f>
        <v>0.41423332611981284</v>
      </c>
      <c r="R63" s="2">
        <f>R8*'Output-Calculation-sheet'!R52/10^9</f>
        <v>0.33925257140229936</v>
      </c>
      <c r="S63" s="2">
        <f>S8*'Output-Calculation-sheet'!S52/10^9</f>
        <v>0.31194845356216411</v>
      </c>
      <c r="T63" s="2">
        <f>T8*'Output-Calculation-sheet'!T52/10^9</f>
        <v>0.11696858602000963</v>
      </c>
      <c r="U63" s="2">
        <f>U8*'Output-Calculation-sheet'!U52/10^9</f>
        <v>0.10626059169226412</v>
      </c>
      <c r="V63" s="2">
        <f>V8*'Output-Calculation-sheet'!V52/10^9</f>
        <v>8.2106937858006851E-2</v>
      </c>
      <c r="W63" s="2">
        <f>W8*'Output-Calculation-sheet'!W52/10^9</f>
        <v>6.414663671038863E-2</v>
      </c>
      <c r="X63" s="2">
        <f>X8*'Output-Calculation-sheet'!X52/10^9</f>
        <v>7.6943939927580862E-2</v>
      </c>
      <c r="Y63" s="2">
        <f>Y8*'Output-Calculation-sheet'!Y52/10^9</f>
        <v>4.169787627224824E-2</v>
      </c>
      <c r="AA63" s="2">
        <f t="shared" si="4"/>
        <v>18.973513707843018</v>
      </c>
    </row>
    <row r="64" spans="1:27" x14ac:dyDescent="0.25">
      <c r="A64" s="2">
        <v>2032</v>
      </c>
      <c r="B64" s="2">
        <f>B9*'Output-Calculation-sheet'!B53/10^9</f>
        <v>5.7483868325824288</v>
      </c>
      <c r="C64" s="2">
        <f>C9*'Output-Calculation-sheet'!C53/10^9</f>
        <v>3.8064441251195427</v>
      </c>
      <c r="D64" s="2">
        <f>D9*'Output-Calculation-sheet'!D53/10^9</f>
        <v>1.3850049398354576</v>
      </c>
      <c r="E64" s="2">
        <f>E9*'Output-Calculation-sheet'!E53/10^9</f>
        <v>1.3521884146720164</v>
      </c>
      <c r="F64" s="2">
        <f>F9*'Output-Calculation-sheet'!F53/10^9</f>
        <v>0.681953315300591</v>
      </c>
      <c r="G64" s="2">
        <f>G9*'Output-Calculation-sheet'!G53/10^9</f>
        <v>0.49534977727522334</v>
      </c>
      <c r="H64" s="2">
        <f>H9*'Output-Calculation-sheet'!H53/10^9</f>
        <v>1.0634926944136054</v>
      </c>
      <c r="I64" s="2">
        <f>I9*'Output-Calculation-sheet'!I53/10^9</f>
        <v>0.46253144589299583</v>
      </c>
      <c r="J64" s="2">
        <f>J9*'Output-Calculation-sheet'!J53/10^9</f>
        <v>0.46166869582308595</v>
      </c>
      <c r="K64" s="2">
        <f>K9*'Output-Calculation-sheet'!K53/10^9</f>
        <v>0.49794719386721414</v>
      </c>
      <c r="L64" s="2">
        <f>L9*'Output-Calculation-sheet'!L53/10^9</f>
        <v>0.41046744559136328</v>
      </c>
      <c r="M64" s="2">
        <f>M9*'Output-Calculation-sheet'!M53/10^9</f>
        <v>0.73677658869306495</v>
      </c>
      <c r="N64" s="2">
        <f>N9*'Output-Calculation-sheet'!N53/10^9</f>
        <v>0.65468033054872299</v>
      </c>
      <c r="O64" s="2">
        <f>O9*'Output-Calculation-sheet'!O53/10^9</f>
        <v>0.70438502238985401</v>
      </c>
      <c r="P64" s="2">
        <f>P9*'Output-Calculation-sheet'!P53/10^9</f>
        <v>0.44535514123037423</v>
      </c>
      <c r="Q64" s="2">
        <f>Q9*'Output-Calculation-sheet'!Q53/10^9</f>
        <v>0.45571972617707829</v>
      </c>
      <c r="R64" s="2">
        <f>R9*'Output-Calculation-sheet'!R53/10^9</f>
        <v>0.35629805351678451</v>
      </c>
      <c r="S64" s="2">
        <f>S9*'Output-Calculation-sheet'!S53/10^9</f>
        <v>0.36060281783401871</v>
      </c>
      <c r="T64" s="2">
        <f>T9*'Output-Calculation-sheet'!T53/10^9</f>
        <v>0.11417350234635219</v>
      </c>
      <c r="U64" s="2">
        <f>U9*'Output-Calculation-sheet'!U53/10^9</f>
        <v>0.11262660036446129</v>
      </c>
      <c r="V64" s="2">
        <f>V9*'Output-Calculation-sheet'!V53/10^9</f>
        <v>8.379737417821484E-2</v>
      </c>
      <c r="W64" s="2">
        <f>W9*'Output-Calculation-sheet'!W53/10^9</f>
        <v>6.0498236628766508E-2</v>
      </c>
      <c r="X64" s="2">
        <f>X9*'Output-Calculation-sheet'!X53/10^9</f>
        <v>9.0414293798453615E-2</v>
      </c>
      <c r="Y64" s="2">
        <f>Y9*'Output-Calculation-sheet'!Y53/10^9</f>
        <v>4.3609184323973267E-2</v>
      </c>
      <c r="AA64" s="2">
        <f t="shared" si="4"/>
        <v>20.584371752403644</v>
      </c>
    </row>
    <row r="65" spans="1:27" x14ac:dyDescent="0.25">
      <c r="A65" s="2">
        <v>2033</v>
      </c>
      <c r="B65" s="2">
        <f>B10*'Output-Calculation-sheet'!B54/10^9</f>
        <v>6.542946057496458</v>
      </c>
      <c r="C65" s="2">
        <f>C10*'Output-Calculation-sheet'!C54/10^9</f>
        <v>4.321334436901461</v>
      </c>
      <c r="D65" s="2">
        <f>D10*'Output-Calculation-sheet'!D54/10^9</f>
        <v>1.2568617182512853</v>
      </c>
      <c r="E65" s="2">
        <f>E10*'Output-Calculation-sheet'!E54/10^9</f>
        <v>1.4262509046870218</v>
      </c>
      <c r="F65" s="2">
        <f>F10*'Output-Calculation-sheet'!F54/10^9</f>
        <v>0.6470093149116245</v>
      </c>
      <c r="G65" s="2">
        <f>G10*'Output-Calculation-sheet'!G54/10^9</f>
        <v>0.44654421154765672</v>
      </c>
      <c r="H65" s="2">
        <f>H10*'Output-Calculation-sheet'!H54/10^9</f>
        <v>1.1869238943468585</v>
      </c>
      <c r="I65" s="2">
        <f>I10*'Output-Calculation-sheet'!I54/10^9</f>
        <v>0.439250941080149</v>
      </c>
      <c r="J65" s="2">
        <f>J10*'Output-Calculation-sheet'!J54/10^9</f>
        <v>0.40510343980681951</v>
      </c>
      <c r="K65" s="2">
        <f>K10*'Output-Calculation-sheet'!K54/10^9</f>
        <v>0.51664008992293231</v>
      </c>
      <c r="L65" s="2">
        <f>L10*'Output-Calculation-sheet'!L54/10^9</f>
        <v>0.4297187746917952</v>
      </c>
      <c r="M65" s="2">
        <f>M10*'Output-Calculation-sheet'!M54/10^9</f>
        <v>0.82249224706436808</v>
      </c>
      <c r="N65" s="2">
        <f>N10*'Output-Calculation-sheet'!N54/10^9</f>
        <v>0.73945176653396294</v>
      </c>
      <c r="O65" s="2">
        <f>O10*'Output-Calculation-sheet'!O54/10^9</f>
        <v>0.7827807243651842</v>
      </c>
      <c r="P65" s="2">
        <f>P10*'Output-Calculation-sheet'!P54/10^9</f>
        <v>0.49896920282726259</v>
      </c>
      <c r="Q65" s="2">
        <f>Q10*'Output-Calculation-sheet'!Q54/10^9</f>
        <v>0.51765539139052885</v>
      </c>
      <c r="R65" s="2">
        <f>R10*'Output-Calculation-sheet'!R54/10^9</f>
        <v>0.38682508411700756</v>
      </c>
      <c r="S65" s="2">
        <f>S10*'Output-Calculation-sheet'!S54/10^9</f>
        <v>0.40907365244562721</v>
      </c>
      <c r="T65" s="2">
        <f>T10*'Output-Calculation-sheet'!T54/10^9</f>
        <v>0.11610765584731016</v>
      </c>
      <c r="U65" s="2">
        <f>U10*'Output-Calculation-sheet'!U54/10^9</f>
        <v>0.12553272347181996</v>
      </c>
      <c r="V65" s="2">
        <f>V10*'Output-Calculation-sheet'!V54/10^9</f>
        <v>8.7610668332490246E-2</v>
      </c>
      <c r="W65" s="2">
        <f>W10*'Output-Calculation-sheet'!W54/10^9</f>
        <v>5.4802347257215604E-2</v>
      </c>
      <c r="X65" s="2">
        <f>X10*'Output-Calculation-sheet'!X54/10^9</f>
        <v>0.1016996266933563</v>
      </c>
      <c r="Y65" s="2">
        <f>Y10*'Output-Calculation-sheet'!Y54/10^9</f>
        <v>4.8345571349823251E-2</v>
      </c>
      <c r="AA65" s="2">
        <f t="shared" si="4"/>
        <v>22.309930445340022</v>
      </c>
    </row>
    <row r="66" spans="1:27" x14ac:dyDescent="0.25">
      <c r="A66" s="2">
        <v>2034</v>
      </c>
      <c r="B66" s="2">
        <f>B11*'Output-Calculation-sheet'!B55/10^9</f>
        <v>7.4459732954857589</v>
      </c>
      <c r="C66" s="2">
        <f>C11*'Output-Calculation-sheet'!C55/10^9</f>
        <v>4.7416496194471156</v>
      </c>
      <c r="D66" s="2">
        <f>D11*'Output-Calculation-sheet'!D55/10^9</f>
        <v>1.3973116516306188</v>
      </c>
      <c r="E66" s="2">
        <f>E11*'Output-Calculation-sheet'!E55/10^9</f>
        <v>1.7219232940102123</v>
      </c>
      <c r="F66" s="2">
        <f>F11*'Output-Calculation-sheet'!F55/10^9</f>
        <v>0.68957708854167554</v>
      </c>
      <c r="G66" s="2">
        <f>G11*'Output-Calculation-sheet'!G55/10^9</f>
        <v>0.49673053891093072</v>
      </c>
      <c r="H66" s="2">
        <f>H11*'Output-Calculation-sheet'!H55/10^9</f>
        <v>1.3089448231529208</v>
      </c>
      <c r="I66" s="2">
        <f>I11*'Output-Calculation-sheet'!I55/10^9</f>
        <v>0.48825915967806705</v>
      </c>
      <c r="J66" s="2">
        <f>J11*'Output-Calculation-sheet'!J55/10^9</f>
        <v>0.43107419704893712</v>
      </c>
      <c r="K66" s="2">
        <f>K11*'Output-Calculation-sheet'!K55/10^9</f>
        <v>0.57571897071431777</v>
      </c>
      <c r="L66" s="2">
        <f>L11*'Output-Calculation-sheet'!L55/10^9</f>
        <v>0.50495454431064002</v>
      </c>
      <c r="M66" s="2">
        <f>M11*'Output-Calculation-sheet'!M55/10^9</f>
        <v>0.9085867567666106</v>
      </c>
      <c r="N66" s="2">
        <f>N11*'Output-Calculation-sheet'!N55/10^9</f>
        <v>0.81375319134285262</v>
      </c>
      <c r="O66" s="2">
        <f>O11*'Output-Calculation-sheet'!O55/10^9</f>
        <v>0.84387110399314458</v>
      </c>
      <c r="P66" s="2">
        <f>P11*'Output-Calculation-sheet'!P55/10^9</f>
        <v>0.57170292077350482</v>
      </c>
      <c r="Q66" s="2">
        <f>Q11*'Output-Calculation-sheet'!Q55/10^9</f>
        <v>0.59362902321051969</v>
      </c>
      <c r="R66" s="2">
        <f>R11*'Output-Calculation-sheet'!R55/10^9</f>
        <v>0.43267974193095171</v>
      </c>
      <c r="S66" s="2">
        <f>S11*'Output-Calculation-sheet'!S55/10^9</f>
        <v>0.45823564324399263</v>
      </c>
      <c r="T66" s="2">
        <f>T11*'Output-Calculation-sheet'!T55/10^9</f>
        <v>0.12738217019506551</v>
      </c>
      <c r="U66" s="2">
        <f>U11*'Output-Calculation-sheet'!U55/10^9</f>
        <v>0.14724415643945291</v>
      </c>
      <c r="V66" s="2">
        <f>V11*'Output-Calculation-sheet'!V55/10^9</f>
        <v>9.514038878149135E-2</v>
      </c>
      <c r="W66" s="2">
        <f>W11*'Output-Calculation-sheet'!W55/10^9</f>
        <v>5.7965461564707103E-2</v>
      </c>
      <c r="X66" s="2">
        <f>X11*'Output-Calculation-sheet'!X55/10^9</f>
        <v>0.11468707456942888</v>
      </c>
      <c r="Y66" s="2">
        <f>Y11*'Output-Calculation-sheet'!Y55/10^9</f>
        <v>6.0108511403199512E-2</v>
      </c>
      <c r="AA66" s="2">
        <f t="shared" si="4"/>
        <v>25.027103327146101</v>
      </c>
    </row>
    <row r="67" spans="1:27" x14ac:dyDescent="0.25">
      <c r="A67" s="2">
        <v>2035</v>
      </c>
      <c r="B67" s="2">
        <f>B12*'Output-Calculation-sheet'!B56/10^9</f>
        <v>8.2716754361581444</v>
      </c>
      <c r="C67" s="2">
        <f>C12*'Output-Calculation-sheet'!C56/10^9</f>
        <v>5.0442709958379313</v>
      </c>
      <c r="D67" s="2">
        <f>D12*'Output-Calculation-sheet'!D56/10^9</f>
        <v>1.6847201758542731</v>
      </c>
      <c r="E67" s="2">
        <f>E12*'Output-Calculation-sheet'!E56/10^9</f>
        <v>2.2765392629609722</v>
      </c>
      <c r="F67" s="2">
        <f>F12*'Output-Calculation-sheet'!F56/10^9</f>
        <v>0.90346871289309683</v>
      </c>
      <c r="G67" s="2">
        <f>G12*'Output-Calculation-sheet'!G56/10^9</f>
        <v>0.65526435262480642</v>
      </c>
      <c r="H67" s="2">
        <f>H12*'Output-Calculation-sheet'!H56/10^9</f>
        <v>1.4272724779594559</v>
      </c>
      <c r="I67" s="2">
        <f>I12*'Output-Calculation-sheet'!I56/10^9</f>
        <v>0.6191256276061492</v>
      </c>
      <c r="J67" s="2">
        <f>J12*'Output-Calculation-sheet'!J56/10^9</f>
        <v>0.51172693314899775</v>
      </c>
      <c r="K67" s="2">
        <f>K12*'Output-Calculation-sheet'!K56/10^9</f>
        <v>0.69102114185974017</v>
      </c>
      <c r="L67" s="2">
        <f>L12*'Output-Calculation-sheet'!L56/10^9</f>
        <v>0.59594003444332089</v>
      </c>
      <c r="M67" s="2">
        <f>M12*'Output-Calculation-sheet'!M56/10^9</f>
        <v>1.0001759400047161</v>
      </c>
      <c r="N67" s="2">
        <f>N12*'Output-Calculation-sheet'!N56/10^9</f>
        <v>0.87557955775479224</v>
      </c>
      <c r="O67" s="2">
        <f>O12*'Output-Calculation-sheet'!O56/10^9</f>
        <v>0.88602999253480119</v>
      </c>
      <c r="P67" s="2">
        <f>P12*'Output-Calculation-sheet'!P56/10^9</f>
        <v>0.69822069970927725</v>
      </c>
      <c r="Q67" s="2">
        <f>Q12*'Output-Calculation-sheet'!Q56/10^9</f>
        <v>0.65397442793702532</v>
      </c>
      <c r="R67" s="2">
        <f>R12*'Output-Calculation-sheet'!R56/10^9</f>
        <v>0.51398826189463409</v>
      </c>
      <c r="S67" s="2">
        <f>S12*'Output-Calculation-sheet'!S56/10^9</f>
        <v>0.49829564681312394</v>
      </c>
      <c r="T67" s="2">
        <f>T12*'Output-Calculation-sheet'!T56/10^9</f>
        <v>0.15800330669605325</v>
      </c>
      <c r="U67" s="2">
        <f>U12*'Output-Calculation-sheet'!U56/10^9</f>
        <v>0.17042730591100552</v>
      </c>
      <c r="V67" s="2">
        <f>V12*'Output-Calculation-sheet'!V56/10^9</f>
        <v>0.10754324938821887</v>
      </c>
      <c r="W67" s="2">
        <f>W12*'Output-Calculation-sheet'!W56/10^9</f>
        <v>8.3612969533117171E-2</v>
      </c>
      <c r="X67" s="2">
        <f>X12*'Output-Calculation-sheet'!X56/10^9</f>
        <v>0.12544878516528216</v>
      </c>
      <c r="Y67" s="2">
        <f>Y12*'Output-Calculation-sheet'!Y56/10^9</f>
        <v>7.8506798090019619E-2</v>
      </c>
      <c r="AA67" s="2">
        <f t="shared" si="4"/>
        <v>28.530832092778954</v>
      </c>
    </row>
    <row r="68" spans="1:27" x14ac:dyDescent="0.25">
      <c r="B68" s="2">
        <f>SUM(B60:B67)</f>
        <v>44.467319892820342</v>
      </c>
      <c r="C68" s="2">
        <f t="shared" ref="C68:Y68" si="5">SUM(C60:C67)</f>
        <v>26.904804117545961</v>
      </c>
      <c r="D68" s="2">
        <f t="shared" si="5"/>
        <v>11.037701899121437</v>
      </c>
      <c r="E68" s="2">
        <f t="shared" si="5"/>
        <v>11.545189441083965</v>
      </c>
      <c r="F68" s="2">
        <f t="shared" si="5"/>
        <v>5.4523362894586302</v>
      </c>
      <c r="G68" s="2">
        <f t="shared" si="5"/>
        <v>3.9980841307799477</v>
      </c>
      <c r="H68" s="2">
        <f t="shared" si="5"/>
        <v>7.5744238176536118</v>
      </c>
      <c r="I68" s="2">
        <f t="shared" si="5"/>
        <v>3.7622559134992906</v>
      </c>
      <c r="J68" s="2">
        <f t="shared" si="5"/>
        <v>3.623243720879568</v>
      </c>
      <c r="K68" s="2">
        <f t="shared" si="5"/>
        <v>4.0338289182185205</v>
      </c>
      <c r="L68" s="2">
        <f t="shared" si="5"/>
        <v>3.3610117630289364</v>
      </c>
      <c r="M68" s="2">
        <f t="shared" si="5"/>
        <v>5.2579751969393254</v>
      </c>
      <c r="N68" s="2">
        <f t="shared" si="5"/>
        <v>4.8222749786226622</v>
      </c>
      <c r="O68" s="2">
        <f t="shared" si="5"/>
        <v>4.9596511881462213</v>
      </c>
      <c r="P68" s="2">
        <f t="shared" si="5"/>
        <v>3.5286974895906855</v>
      </c>
      <c r="Q68" s="2">
        <f t="shared" si="5"/>
        <v>3.5574296593552113</v>
      </c>
      <c r="R68" s="2">
        <f t="shared" si="5"/>
        <v>2.8586948014685216</v>
      </c>
      <c r="S68" s="2">
        <f t="shared" si="5"/>
        <v>2.7003022060847597</v>
      </c>
      <c r="T68" s="2">
        <f t="shared" si="5"/>
        <v>0.92903690648944992</v>
      </c>
      <c r="U68" s="2">
        <f t="shared" si="5"/>
        <v>0.92537314690434913</v>
      </c>
      <c r="V68" s="2">
        <f t="shared" si="5"/>
        <v>0.65926306658835843</v>
      </c>
      <c r="W68" s="2">
        <f t="shared" si="5"/>
        <v>0.48872174740606911</v>
      </c>
      <c r="X68" s="2">
        <f t="shared" si="5"/>
        <v>0.64887793536097094</v>
      </c>
      <c r="Y68" s="2">
        <f t="shared" si="5"/>
        <v>0.37509066365373867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1441.3022890615039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963.03533384483489</v>
      </c>
      <c r="N74" s="2">
        <f>N8/'Output-Calculation-sheet'!N7*'Output-Calculation-sheet'!N61</f>
        <v>40.360948151351685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118.57644378386665</v>
      </c>
      <c r="Y74" s="2">
        <f>Y8/'Output-Calculation-sheet'!Y7*'Output-Calculation-sheet'!Y61</f>
        <v>0</v>
      </c>
      <c r="AA74" s="2">
        <f t="shared" si="6"/>
        <v>2.5632750148415573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183.02313011153524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2443.4310812005378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1659.8695002676088</v>
      </c>
      <c r="N75" s="2">
        <f>N9/'Output-Calculation-sheet'!N8*'Output-Calculation-sheet'!N62</f>
        <v>641.97347477387041</v>
      </c>
      <c r="O75" s="2">
        <f>O9/'Output-Calculation-sheet'!O8*'Output-Calculation-sheet'!O62</f>
        <v>0</v>
      </c>
      <c r="P75" s="2">
        <f>P9/'Output-Calculation-sheet'!P8*'Output-Calculation-sheet'!P62</f>
        <v>42.979112184040396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212.34983665427919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200.66254968516188</v>
      </c>
      <c r="Y75" s="2">
        <f>Y9/'Output-Calculation-sheet'!Y8*'Output-Calculation-sheet'!Y62</f>
        <v>0</v>
      </c>
      <c r="AA75" s="2">
        <f t="shared" si="6"/>
        <v>5.3842886848770339</v>
      </c>
    </row>
    <row r="76" spans="1:27" x14ac:dyDescent="0.25">
      <c r="A76" s="2">
        <v>2033</v>
      </c>
      <c r="B76" s="2">
        <f>B10/'Output-Calculation-sheet'!B9*'Output-Calculation-sheet'!B63</f>
        <v>5384.6356961626971</v>
      </c>
      <c r="C76" s="2">
        <f>C10/'Output-Calculation-sheet'!C9*'Output-Calculation-sheet'!C63</f>
        <v>1351.0578528564349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3515.1929556475902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2393.4031517915091</v>
      </c>
      <c r="N76" s="2">
        <f>N10/'Output-Calculation-sheet'!N9*'Output-Calculation-sheet'!N63</f>
        <v>1370.1738186644072</v>
      </c>
      <c r="O76" s="2">
        <f>O10/'Output-Calculation-sheet'!O9*'Output-Calculation-sheet'!O63</f>
        <v>0</v>
      </c>
      <c r="P76" s="2">
        <f>P10/'Output-Calculation-sheet'!P9*'Output-Calculation-sheet'!P63</f>
        <v>469.62604195624044</v>
      </c>
      <c r="Q76" s="2">
        <f>Q10/'Output-Calculation-sheet'!Q9*'Output-Calculation-sheet'!Q63</f>
        <v>209.10470271053401</v>
      </c>
      <c r="R76" s="2">
        <f>R10/'Output-Calculation-sheet'!R9*'Output-Calculation-sheet'!R63</f>
        <v>360.45708975591083</v>
      </c>
      <c r="S76" s="2">
        <f>S10/'Output-Calculation-sheet'!S9*'Output-Calculation-sheet'!S63</f>
        <v>607.39716499229667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126.5964652470893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281.8774512695253</v>
      </c>
      <c r="Y76" s="2">
        <f>Y10/'Output-Calculation-sheet'!Y9*'Output-Calculation-sheet'!Y63</f>
        <v>5.3475766543004273</v>
      </c>
      <c r="AA76" s="2">
        <f t="shared" si="6"/>
        <v>16.201439129806609</v>
      </c>
    </row>
    <row r="77" spans="1:27" x14ac:dyDescent="0.25">
      <c r="A77" s="2">
        <v>2034</v>
      </c>
      <c r="B77" s="2">
        <f>B11/'Output-Calculation-sheet'!B10*'Output-Calculation-sheet'!B64</f>
        <v>10942.888252216662</v>
      </c>
      <c r="C77" s="2">
        <f>C11/'Output-Calculation-sheet'!C10*'Output-Calculation-sheet'!C64</f>
        <v>2980.6194805048463</v>
      </c>
      <c r="D77" s="2">
        <f>D11/'Output-Calculation-sheet'!D10*'Output-Calculation-sheet'!D64</f>
        <v>1630.2639418965737</v>
      </c>
      <c r="E77" s="2">
        <f>E11/'Output-Calculation-sheet'!E10*'Output-Calculation-sheet'!E64</f>
        <v>2022.1463453379242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870.12353215764358</v>
      </c>
      <c r="H77" s="2">
        <f>H11/'Output-Calculation-sheet'!H10*'Output-Calculation-sheet'!H64</f>
        <v>4287.4165529958518</v>
      </c>
      <c r="I77" s="2">
        <f>I11/'Output-Calculation-sheet'!I10*'Output-Calculation-sheet'!I64</f>
        <v>507.76331193469019</v>
      </c>
      <c r="J77" s="2">
        <f>J11/'Output-Calculation-sheet'!J10*'Output-Calculation-sheet'!J64</f>
        <v>348.52909076053078</v>
      </c>
      <c r="K77" s="2">
        <f>K11/'Output-Calculation-sheet'!K10*'Output-Calculation-sheet'!K64</f>
        <v>787.09393126934435</v>
      </c>
      <c r="L77" s="2">
        <f>L11/'Output-Calculation-sheet'!L10*'Output-Calculation-sheet'!L64</f>
        <v>192.98350577825178</v>
      </c>
      <c r="M77" s="2">
        <f>M11/'Output-Calculation-sheet'!M10*'Output-Calculation-sheet'!M64</f>
        <v>2937.9774220188515</v>
      </c>
      <c r="N77" s="2">
        <f>N11/'Output-Calculation-sheet'!N10*'Output-Calculation-sheet'!N64</f>
        <v>1989.1355049307929</v>
      </c>
      <c r="O77" s="2">
        <f>O11/'Output-Calculation-sheet'!O10*'Output-Calculation-sheet'!O64</f>
        <v>0</v>
      </c>
      <c r="P77" s="2">
        <f>P11/'Output-Calculation-sheet'!P10*'Output-Calculation-sheet'!P64</f>
        <v>967.11315348080109</v>
      </c>
      <c r="Q77" s="2">
        <f>Q11/'Output-Calculation-sheet'!Q10*'Output-Calculation-sheet'!Q64</f>
        <v>394.64171817128107</v>
      </c>
      <c r="R77" s="2">
        <f>R11/'Output-Calculation-sheet'!R10*'Output-Calculation-sheet'!R64</f>
        <v>821.42469157277003</v>
      </c>
      <c r="S77" s="2">
        <f>S11/'Output-Calculation-sheet'!S10*'Output-Calculation-sheet'!S64</f>
        <v>916.931640699936</v>
      </c>
      <c r="T77" s="2">
        <f>T11/'Output-Calculation-sheet'!T10*'Output-Calculation-sheet'!T64</f>
        <v>227.58593579165495</v>
      </c>
      <c r="U77" s="2">
        <f>U11/'Output-Calculation-sheet'!U10*'Output-Calculation-sheet'!U64</f>
        <v>243.03225500040978</v>
      </c>
      <c r="V77" s="2">
        <f>V11/'Output-Calculation-sheet'!V10*'Output-Calculation-sheet'!V64</f>
        <v>117.73387306810274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300.79368583271037</v>
      </c>
      <c r="Y77" s="2">
        <f>Y11/'Output-Calculation-sheet'!Y10*'Output-Calculation-sheet'!Y64</f>
        <v>75.173332817753476</v>
      </c>
      <c r="AA77" s="2">
        <f t="shared" si="6"/>
        <v>33.713022795768794</v>
      </c>
    </row>
    <row r="78" spans="1:27" x14ac:dyDescent="0.25">
      <c r="A78" s="2">
        <v>2035</v>
      </c>
      <c r="B78" s="2">
        <f>B12/'Output-Calculation-sheet'!B11*'Output-Calculation-sheet'!B65</f>
        <v>13380.473206288143</v>
      </c>
      <c r="C78" s="2">
        <f>C12/'Output-Calculation-sheet'!C11*'Output-Calculation-sheet'!C65</f>
        <v>5756.1340797444518</v>
      </c>
      <c r="D78" s="2">
        <f>D12/'Output-Calculation-sheet'!D11*'Output-Calculation-sheet'!D65</f>
        <v>1462.7538165491615</v>
      </c>
      <c r="E78" s="2">
        <f>E12/'Output-Calculation-sheet'!E11*'Output-Calculation-sheet'!E65</f>
        <v>2704.1344733860051</v>
      </c>
      <c r="F78" s="2">
        <f>F12/'Output-Calculation-sheet'!F11*'Output-Calculation-sheet'!F65</f>
        <v>588.16940681786082</v>
      </c>
      <c r="G78" s="2">
        <f>G12/'Output-Calculation-sheet'!G11*'Output-Calculation-sheet'!G65</f>
        <v>1118.0689916574513</v>
      </c>
      <c r="H78" s="2">
        <f>H12/'Output-Calculation-sheet'!H11*'Output-Calculation-sheet'!H65</f>
        <v>4321.1893488480573</v>
      </c>
      <c r="I78" s="2">
        <f>I12/'Output-Calculation-sheet'!I11*'Output-Calculation-sheet'!I65</f>
        <v>735.46794847931426</v>
      </c>
      <c r="J78" s="2">
        <f>J12/'Output-Calculation-sheet'!J11*'Output-Calculation-sheet'!J65</f>
        <v>299.88375534276048</v>
      </c>
      <c r="K78" s="2">
        <f>K12/'Output-Calculation-sheet'!K11*'Output-Calculation-sheet'!K65</f>
        <v>911.10572759566855</v>
      </c>
      <c r="L78" s="2">
        <f>L12/'Output-Calculation-sheet'!L11*'Output-Calculation-sheet'!L65</f>
        <v>291.65057049678904</v>
      </c>
      <c r="M78" s="2">
        <f>M12/'Output-Calculation-sheet'!M11*'Output-Calculation-sheet'!M65</f>
        <v>3009.6027438509896</v>
      </c>
      <c r="N78" s="2">
        <f>N12/'Output-Calculation-sheet'!N11*'Output-Calculation-sheet'!N65</f>
        <v>2085.7102311908016</v>
      </c>
      <c r="O78" s="2">
        <f>O12/'Output-Calculation-sheet'!O11*'Output-Calculation-sheet'!O65</f>
        <v>0</v>
      </c>
      <c r="P78" s="2">
        <f>P12/'Output-Calculation-sheet'!P11*'Output-Calculation-sheet'!P65</f>
        <v>1201.5998886759628</v>
      </c>
      <c r="Q78" s="2">
        <f>Q12/'Output-Calculation-sheet'!Q11*'Output-Calculation-sheet'!Q65</f>
        <v>485.81584033503458</v>
      </c>
      <c r="R78" s="2">
        <f>R12/'Output-Calculation-sheet'!R11*'Output-Calculation-sheet'!R65</f>
        <v>945.97221864498863</v>
      </c>
      <c r="S78" s="2">
        <f>S12/'Output-Calculation-sheet'!S11*'Output-Calculation-sheet'!S65</f>
        <v>985.16297133147043</v>
      </c>
      <c r="T78" s="2">
        <f>T12/'Output-Calculation-sheet'!T11*'Output-Calculation-sheet'!T65</f>
        <v>349.47508489842602</v>
      </c>
      <c r="U78" s="2">
        <f>U12/'Output-Calculation-sheet'!U11*'Output-Calculation-sheet'!U65</f>
        <v>252.36472468825278</v>
      </c>
      <c r="V78" s="2">
        <f>V12/'Output-Calculation-sheet'!V11*'Output-Calculation-sheet'!V65</f>
        <v>127.1196953596303</v>
      </c>
      <c r="W78" s="2">
        <f>W12/'Output-Calculation-sheet'!W11*'Output-Calculation-sheet'!W65</f>
        <v>138.35248889014252</v>
      </c>
      <c r="X78" s="2">
        <f>X12/'Output-Calculation-sheet'!X11*'Output-Calculation-sheet'!X65</f>
        <v>304.07377899280283</v>
      </c>
      <c r="Y78" s="2">
        <f>Y12/'Output-Calculation-sheet'!Y11*'Output-Calculation-sheet'!Y65</f>
        <v>116.75672432915461</v>
      </c>
      <c r="AA78" s="2">
        <f t="shared" si="6"/>
        <v>41.57103771639332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1146.1305883979103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222.66233980207858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1.3687929281999889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1713.1650244449474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314.33177197424345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2.0274967964191912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2288.2423133798234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405.88792929300871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2.694130242672832</v>
      </c>
    </row>
    <row r="88" spans="1:27" x14ac:dyDescent="0.25">
      <c r="A88" s="2">
        <v>2034</v>
      </c>
      <c r="B88" s="2">
        <f>B11/'Output-Calculation-sheet'!B10*'Output-Calculation-sheet'!B73</f>
        <v>213.75751083579127</v>
      </c>
      <c r="C88" s="2">
        <f>C11/'Output-Calculation-sheet'!C10*'Output-Calculation-sheet'!C73</f>
        <v>2637.806136802682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31.230726191313149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22.661285319193492</v>
      </c>
      <c r="M88" s="2">
        <f>M11/'Output-Calculation-sheet'!M10*'Output-Calculation-sheet'!M73</f>
        <v>21.489795721163379</v>
      </c>
      <c r="N88" s="2">
        <f>N11/'Output-Calculation-sheet'!N10*'Output-Calculation-sheet'!N73</f>
        <v>21.12102088524701</v>
      </c>
      <c r="O88" s="2">
        <f>O11/'Output-Calculation-sheet'!O10*'Output-Calculation-sheet'!O73</f>
        <v>492.74497056436377</v>
      </c>
      <c r="P88" s="2">
        <f>P11/'Output-Calculation-sheet'!P10*'Output-Calculation-sheet'!P73</f>
        <v>0</v>
      </c>
      <c r="Q88" s="2">
        <f>Q11/'Output-Calculation-sheet'!Q10*'Output-Calculation-sheet'!Q73</f>
        <v>37.01038339785061</v>
      </c>
      <c r="R88" s="2">
        <f>R11/'Output-Calculation-sheet'!R10*'Output-Calculation-sheet'!R73</f>
        <v>0</v>
      </c>
      <c r="S88" s="2">
        <f>S11/'Output-Calculation-sheet'!S10*'Output-Calculation-sheet'!S73</f>
        <v>12.107265438243537</v>
      </c>
      <c r="T88" s="2">
        <f>T11/'Output-Calculation-sheet'!T10*'Output-Calculation-sheet'!T73</f>
        <v>0</v>
      </c>
      <c r="U88" s="2">
        <f>U11/'Output-Calculation-sheet'!U10*'Output-Calculation-sheet'!U73</f>
        <v>5.9042868422430832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11.787417836395607</v>
      </c>
      <c r="Y88" s="2">
        <f>Y11/'Output-Calculation-sheet'!Y10*'Output-Calculation-sheet'!Y73</f>
        <v>0</v>
      </c>
      <c r="AA88" s="2">
        <f t="shared" si="7"/>
        <v>3.5076207998344877</v>
      </c>
    </row>
    <row r="89" spans="1:27" x14ac:dyDescent="0.25">
      <c r="A89" s="2">
        <v>2035</v>
      </c>
      <c r="B89" s="2">
        <f>B12/'Output-Calculation-sheet'!B11*'Output-Calculation-sheet'!B74</f>
        <v>639.97926787405629</v>
      </c>
      <c r="C89" s="2">
        <f>C12/'Output-Calculation-sheet'!C11*'Output-Calculation-sheet'!C74</f>
        <v>2733.7359088336211</v>
      </c>
      <c r="D89" s="2">
        <f>D12/'Output-Calculation-sheet'!D11*'Output-Calculation-sheet'!D74</f>
        <v>179.37995175046433</v>
      </c>
      <c r="E89" s="2">
        <f>E12/'Output-Calculation-sheet'!E11*'Output-Calculation-sheet'!E74</f>
        <v>213.83882278930901</v>
      </c>
      <c r="F89" s="2">
        <f>F12/'Output-Calculation-sheet'!F11*'Output-Calculation-sheet'!F74</f>
        <v>89.659970551503179</v>
      </c>
      <c r="G89" s="2">
        <f>G12/'Output-Calculation-sheet'!G11*'Output-Calculation-sheet'!G74</f>
        <v>64.347442758910617</v>
      </c>
      <c r="H89" s="2">
        <f>H12/'Output-Calculation-sheet'!H11*'Output-Calculation-sheet'!H74</f>
        <v>187.00645610011571</v>
      </c>
      <c r="I89" s="2">
        <f>I12/'Output-Calculation-sheet'!I11*'Output-Calculation-sheet'!I74</f>
        <v>57.87668294151598</v>
      </c>
      <c r="J89" s="2">
        <f>J12/'Output-Calculation-sheet'!J11*'Output-Calculation-sheet'!J74</f>
        <v>57.278914209294335</v>
      </c>
      <c r="K89" s="2">
        <f>K12/'Output-Calculation-sheet'!K11*'Output-Calculation-sheet'!K74</f>
        <v>56.883669076335678</v>
      </c>
      <c r="L89" s="2">
        <f>L12/'Output-Calculation-sheet'!L11*'Output-Calculation-sheet'!L74</f>
        <v>45.231167881015665</v>
      </c>
      <c r="M89" s="2">
        <f>M12/'Output-Calculation-sheet'!M11*'Output-Calculation-sheet'!M74</f>
        <v>128.67874142638431</v>
      </c>
      <c r="N89" s="2">
        <f>N12/'Output-Calculation-sheet'!N11*'Output-Calculation-sheet'!N74</f>
        <v>84.313703130502333</v>
      </c>
      <c r="O89" s="2">
        <f>O12/'Output-Calculation-sheet'!O11*'Output-Calculation-sheet'!O74</f>
        <v>550.76139311735187</v>
      </c>
      <c r="P89" s="2">
        <f>P12/'Output-Calculation-sheet'!P11*'Output-Calculation-sheet'!P74</f>
        <v>58.418002269238308</v>
      </c>
      <c r="Q89" s="2">
        <f>Q12/'Output-Calculation-sheet'!Q11*'Output-Calculation-sheet'!Q74</f>
        <v>73.87148792443314</v>
      </c>
      <c r="R89" s="2">
        <f>R12/'Output-Calculation-sheet'!R11*'Output-Calculation-sheet'!R74</f>
        <v>36.62867724947683</v>
      </c>
      <c r="S89" s="2">
        <f>S12/'Output-Calculation-sheet'!S11*'Output-Calculation-sheet'!S74</f>
        <v>48.331394084993761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17.67713871593449</v>
      </c>
      <c r="V89" s="2">
        <f>V12/'Output-Calculation-sheet'!V11*'Output-Calculation-sheet'!V74</f>
        <v>9.0871181184952672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25.880021114650937</v>
      </c>
      <c r="Y89" s="2">
        <f>Y12/'Output-Calculation-sheet'!Y11*'Output-Calculation-sheet'!Y74</f>
        <v>6.811281924889915</v>
      </c>
      <c r="AA89" s="2">
        <f t="shared" si="7"/>
        <v>5.3763872561141062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11631952496.797104</v>
      </c>
      <c r="C96" s="2">
        <f>C8/'Output-Calculation-sheet'!C7*'Output-Calculation-sheet'!C79</f>
        <v>3935142394.9836683</v>
      </c>
      <c r="D96" s="2">
        <f>D8/'Output-Calculation-sheet'!D7*'Output-Calculation-sheet'!D79</f>
        <v>4108029500.9409733</v>
      </c>
      <c r="E96" s="2">
        <f>E8/'Output-Calculation-sheet'!E7*'Output-Calculation-sheet'!E79</f>
        <v>7303726674.8206415</v>
      </c>
      <c r="F96" s="2">
        <f>F8/'Output-Calculation-sheet'!F7*'Output-Calculation-sheet'!F79</f>
        <v>3022940498.3408089</v>
      </c>
      <c r="G96" s="2">
        <f>G8/'Output-Calculation-sheet'!G7*'Output-Calculation-sheet'!G79</f>
        <v>2354622079.4301548</v>
      </c>
      <c r="H96" s="2">
        <f>H8/'Output-Calculation-sheet'!H7*'Output-Calculation-sheet'!H79</f>
        <v>2015423522.0002294</v>
      </c>
      <c r="I96" s="2">
        <f>I8/'Output-Calculation-sheet'!I7*'Output-Calculation-sheet'!I79</f>
        <v>1640244604.6723509</v>
      </c>
      <c r="J96" s="2">
        <f>J8/'Output-Calculation-sheet'!J7*'Output-Calculation-sheet'!J79</f>
        <v>1109175768.3103273</v>
      </c>
      <c r="K96" s="2">
        <f>K8/'Output-Calculation-sheet'!K7*'Output-Calculation-sheet'!K79</f>
        <v>1586899651.8441217</v>
      </c>
      <c r="L96" s="2">
        <f>L8/'Output-Calculation-sheet'!L7*'Output-Calculation-sheet'!L79</f>
        <v>1119715013.5336802</v>
      </c>
      <c r="M96" s="2">
        <f>M8/'Output-Calculation-sheet'!M7*'Output-Calculation-sheet'!M79</f>
        <v>1504474680.5760765</v>
      </c>
      <c r="N96" s="2">
        <f>N8/'Output-Calculation-sheet'!N7*'Output-Calculation-sheet'!N79</f>
        <v>1119448982.0015745</v>
      </c>
      <c r="O96" s="2">
        <f>O8/'Output-Calculation-sheet'!O7*'Output-Calculation-sheet'!O79</f>
        <v>565919801.79202342</v>
      </c>
      <c r="P96" s="2">
        <f>P8/'Output-Calculation-sheet'!P7*'Output-Calculation-sheet'!P79</f>
        <v>1892883044.018888</v>
      </c>
      <c r="Q96" s="2">
        <f>Q8/'Output-Calculation-sheet'!Q7*'Output-Calculation-sheet'!Q79</f>
        <v>882164461.85678184</v>
      </c>
      <c r="R96" s="2">
        <f>R8/'Output-Calculation-sheet'!R7*'Output-Calculation-sheet'!R79</f>
        <v>1100605032.4204543</v>
      </c>
      <c r="S96" s="2">
        <f>S8/'Output-Calculation-sheet'!S7*'Output-Calculation-sheet'!S79</f>
        <v>641304726.25947595</v>
      </c>
      <c r="T96" s="2">
        <f>T8/'Output-Calculation-sheet'!T7*'Output-Calculation-sheet'!T79</f>
        <v>489809174.10182643</v>
      </c>
      <c r="U96" s="2">
        <f>U8/'Output-Calculation-sheet'!U7*'Output-Calculation-sheet'!U79</f>
        <v>307685534.64100122</v>
      </c>
      <c r="V96" s="2">
        <f>V8/'Output-Calculation-sheet'!V7*'Output-Calculation-sheet'!V79</f>
        <v>159643300.38922361</v>
      </c>
      <c r="W96" s="2">
        <f>W8/'Output-Calculation-sheet'!W7*'Output-Calculation-sheet'!W79</f>
        <v>471733009.92332584</v>
      </c>
      <c r="X96" s="2">
        <f>X8/'Output-Calculation-sheet'!X7*'Output-Calculation-sheet'!X79</f>
        <v>165800803.176624</v>
      </c>
      <c r="Y96" s="2">
        <f>Y8/'Output-Calculation-sheet'!Y7*'Output-Calculation-sheet'!Y79</f>
        <v>259310169.92641607</v>
      </c>
      <c r="AA96" s="2">
        <f t="shared" si="8"/>
        <v>49.388654926757745</v>
      </c>
    </row>
    <row r="97" spans="1:27" x14ac:dyDescent="0.25">
      <c r="A97" s="2">
        <v>2032</v>
      </c>
      <c r="B97" s="2">
        <f>B9/'Output-Calculation-sheet'!B8*'Output-Calculation-sheet'!B80</f>
        <v>15687543209.845787</v>
      </c>
      <c r="C97" s="2">
        <f>C9/'Output-Calculation-sheet'!C8*'Output-Calculation-sheet'!C80</f>
        <v>5343261776.6173649</v>
      </c>
      <c r="D97" s="2">
        <f>D9/'Output-Calculation-sheet'!D8*'Output-Calculation-sheet'!D80</f>
        <v>5324040231.08461</v>
      </c>
      <c r="E97" s="2">
        <f>E9/'Output-Calculation-sheet'!E8*'Output-Calculation-sheet'!E80</f>
        <v>9736873097.3108444</v>
      </c>
      <c r="F97" s="2">
        <f>F9/'Output-Calculation-sheet'!F8*'Output-Calculation-sheet'!F80</f>
        <v>4022303065.1721315</v>
      </c>
      <c r="G97" s="2">
        <f>G9/'Output-Calculation-sheet'!G8*'Output-Calculation-sheet'!G80</f>
        <v>3044662433.6623178</v>
      </c>
      <c r="H97" s="2">
        <f>H9/'Output-Calculation-sheet'!H8*'Output-Calculation-sheet'!H80</f>
        <v>2678687973.8838029</v>
      </c>
      <c r="I97" s="2">
        <f>I9/'Output-Calculation-sheet'!I8*'Output-Calculation-sheet'!I80</f>
        <v>2203469447.2309504</v>
      </c>
      <c r="J97" s="2">
        <f>J9/'Output-Calculation-sheet'!J8*'Output-Calculation-sheet'!J80</f>
        <v>1448577780.3853524</v>
      </c>
      <c r="K97" s="2">
        <f>K9/'Output-Calculation-sheet'!K8*'Output-Calculation-sheet'!K80</f>
        <v>2088430076.7765279</v>
      </c>
      <c r="L97" s="2">
        <f>L9/'Output-Calculation-sheet'!L8*'Output-Calculation-sheet'!L80</f>
        <v>1520031144.0106149</v>
      </c>
      <c r="M97" s="2">
        <f>M9/'Output-Calculation-sheet'!M8*'Output-Calculation-sheet'!M80</f>
        <v>2005511040.1632566</v>
      </c>
      <c r="N97" s="2">
        <f>N9/'Output-Calculation-sheet'!N8*'Output-Calculation-sheet'!N80</f>
        <v>1465293954.7534077</v>
      </c>
      <c r="O97" s="2">
        <f>O9/'Output-Calculation-sheet'!O8*'Output-Calculation-sheet'!O80</f>
        <v>758047123.81914389</v>
      </c>
      <c r="P97" s="2">
        <f>P9/'Output-Calculation-sheet'!P8*'Output-Calculation-sheet'!P80</f>
        <v>2480187646.0152745</v>
      </c>
      <c r="Q97" s="2">
        <f>Q9/'Output-Calculation-sheet'!Q8*'Output-Calculation-sheet'!Q80</f>
        <v>1160136672.5146778</v>
      </c>
      <c r="R97" s="2">
        <f>R9/'Output-Calculation-sheet'!R8*'Output-Calculation-sheet'!R80</f>
        <v>1465829729.0465496</v>
      </c>
      <c r="S97" s="2">
        <f>S9/'Output-Calculation-sheet'!S8*'Output-Calculation-sheet'!S80</f>
        <v>850763333.13208306</v>
      </c>
      <c r="T97" s="2">
        <f>T9/'Output-Calculation-sheet'!T8*'Output-Calculation-sheet'!T80</f>
        <v>640654710.40508294</v>
      </c>
      <c r="U97" s="2">
        <f>U9/'Output-Calculation-sheet'!U8*'Output-Calculation-sheet'!U80</f>
        <v>409565961.68651509</v>
      </c>
      <c r="V97" s="2">
        <f>V9/'Output-Calculation-sheet'!V8*'Output-Calculation-sheet'!V80</f>
        <v>214751982.03119636</v>
      </c>
      <c r="W97" s="2">
        <f>W9/'Output-Calculation-sheet'!W8*'Output-Calculation-sheet'!W80</f>
        <v>621925889.41349006</v>
      </c>
      <c r="X97" s="2">
        <f>X9/'Output-Calculation-sheet'!X8*'Output-Calculation-sheet'!X80</f>
        <v>223331411.10420817</v>
      </c>
      <c r="Y97" s="2">
        <f>Y9/'Output-Calculation-sheet'!Y8*'Output-Calculation-sheet'!Y80</f>
        <v>341850725.96922171</v>
      </c>
      <c r="AA97" s="2">
        <f t="shared" si="8"/>
        <v>65.735730416034414</v>
      </c>
    </row>
    <row r="98" spans="1:27" x14ac:dyDescent="0.25">
      <c r="A98" s="2">
        <v>2033</v>
      </c>
      <c r="B98" s="2">
        <f>B10/'Output-Calculation-sheet'!B9*'Output-Calculation-sheet'!B81</f>
        <v>19669421451.447411</v>
      </c>
      <c r="C98" s="2">
        <f>C10/'Output-Calculation-sheet'!C9*'Output-Calculation-sheet'!C81</f>
        <v>6743653054.6746569</v>
      </c>
      <c r="D98" s="2">
        <f>D10/'Output-Calculation-sheet'!D9*'Output-Calculation-sheet'!D81</f>
        <v>6417903756.6863365</v>
      </c>
      <c r="E98" s="2">
        <f>E10/'Output-Calculation-sheet'!E9*'Output-Calculation-sheet'!E81</f>
        <v>12072480779.073711</v>
      </c>
      <c r="F98" s="2">
        <f>F10/'Output-Calculation-sheet'!F9*'Output-Calculation-sheet'!F81</f>
        <v>4978982878.2214813</v>
      </c>
      <c r="G98" s="2">
        <f>G10/'Output-Calculation-sheet'!G9*'Output-Calculation-sheet'!G81</f>
        <v>3655721566.7344079</v>
      </c>
      <c r="H98" s="2">
        <f>H10/'Output-Calculation-sheet'!H9*'Output-Calculation-sheet'!H81</f>
        <v>3312113607.6057081</v>
      </c>
      <c r="I98" s="2">
        <f>I10/'Output-Calculation-sheet'!I9*'Output-Calculation-sheet'!I81</f>
        <v>2753344230.0926032</v>
      </c>
      <c r="J98" s="2">
        <f>J10/'Output-Calculation-sheet'!J9*'Output-Calculation-sheet'!J81</f>
        <v>1760557697.8258388</v>
      </c>
      <c r="K98" s="2">
        <f>K10/'Output-Calculation-sheet'!K9*'Output-Calculation-sheet'!K81</f>
        <v>2557279874.2603908</v>
      </c>
      <c r="L98" s="2">
        <f>L10/'Output-Calculation-sheet'!L9*'Output-Calculation-sheet'!L81</f>
        <v>1917998185.2593243</v>
      </c>
      <c r="M98" s="2">
        <f>M10/'Output-Calculation-sheet'!M9*'Output-Calculation-sheet'!M81</f>
        <v>2487258256.1035337</v>
      </c>
      <c r="N98" s="2">
        <f>N10/'Output-Calculation-sheet'!N9*'Output-Calculation-sheet'!N81</f>
        <v>1784413729.9684584</v>
      </c>
      <c r="O98" s="2">
        <f>O10/'Output-Calculation-sheet'!O9*'Output-Calculation-sheet'!O81</f>
        <v>944947881.4670198</v>
      </c>
      <c r="P98" s="2">
        <f>P10/'Output-Calculation-sheet'!P9*'Output-Calculation-sheet'!P81</f>
        <v>3019779256.9031277</v>
      </c>
      <c r="Q98" s="2">
        <f>Q10/'Output-Calculation-sheet'!Q9*'Output-Calculation-sheet'!Q81</f>
        <v>1419823653.4131527</v>
      </c>
      <c r="R98" s="2">
        <f>R10/'Output-Calculation-sheet'!R9*'Output-Calculation-sheet'!R81</f>
        <v>1816169255.3070972</v>
      </c>
      <c r="S98" s="2">
        <f>S10/'Output-Calculation-sheet'!S9*'Output-Calculation-sheet'!S81</f>
        <v>1050069178.1555365</v>
      </c>
      <c r="T98" s="2">
        <f>T10/'Output-Calculation-sheet'!T9*'Output-Calculation-sheet'!T81</f>
        <v>779194529.61452043</v>
      </c>
      <c r="U98" s="2">
        <f>U10/'Output-Calculation-sheet'!U9*'Output-Calculation-sheet'!U81</f>
        <v>506994496.72706169</v>
      </c>
      <c r="V98" s="2">
        <f>V10/'Output-Calculation-sheet'!V9*'Output-Calculation-sheet'!V81</f>
        <v>268512823.13552731</v>
      </c>
      <c r="W98" s="2">
        <f>W10/'Output-Calculation-sheet'!W9*'Output-Calculation-sheet'!W81</f>
        <v>761326490.59615886</v>
      </c>
      <c r="X98" s="2">
        <f>X10/'Output-Calculation-sheet'!X9*'Output-Calculation-sheet'!X81</f>
        <v>279764451.15913033</v>
      </c>
      <c r="Y98" s="2">
        <f>Y10/'Output-Calculation-sheet'!Y9*'Output-Calculation-sheet'!Y81</f>
        <v>418624452.54493582</v>
      </c>
      <c r="AA98" s="2">
        <f t="shared" si="8"/>
        <v>81.376335536977109</v>
      </c>
    </row>
    <row r="99" spans="1:27" x14ac:dyDescent="0.25">
      <c r="A99" s="2">
        <v>2034</v>
      </c>
      <c r="B99" s="2">
        <f>B11/'Output-Calculation-sheet'!B10*'Output-Calculation-sheet'!B82</f>
        <v>23393023464.838657</v>
      </c>
      <c r="C99" s="2">
        <f>C11/'Output-Calculation-sheet'!C10*'Output-Calculation-sheet'!C82</f>
        <v>8071552859.2277231</v>
      </c>
      <c r="D99" s="2">
        <f>D11/'Output-Calculation-sheet'!D10*'Output-Calculation-sheet'!D82</f>
        <v>7342842702.4208784</v>
      </c>
      <c r="E99" s="2">
        <f>E11/'Output-Calculation-sheet'!E10*'Output-Calculation-sheet'!E82</f>
        <v>14204085321.738619</v>
      </c>
      <c r="F99" s="2">
        <f>F11/'Output-Calculation-sheet'!F10*'Output-Calculation-sheet'!F82</f>
        <v>5849934912.3381376</v>
      </c>
      <c r="G99" s="2">
        <f>G11/'Output-Calculation-sheet'!G10*'Output-Calculation-sheet'!G82</f>
        <v>4158887439.5785871</v>
      </c>
      <c r="H99" s="2">
        <f>H11/'Output-Calculation-sheet'!H10*'Output-Calculation-sheet'!H82</f>
        <v>3887235396.7982225</v>
      </c>
      <c r="I99" s="2">
        <f>I11/'Output-Calculation-sheet'!I10*'Output-Calculation-sheet'!I82</f>
        <v>3265007115.9769168</v>
      </c>
      <c r="J99" s="2">
        <f>J11/'Output-Calculation-sheet'!J10*'Output-Calculation-sheet'!J82</f>
        <v>2031812679.5411429</v>
      </c>
      <c r="K99" s="2">
        <f>K11/'Output-Calculation-sheet'!K10*'Output-Calculation-sheet'!K82</f>
        <v>2972808578.499361</v>
      </c>
      <c r="L99" s="2">
        <f>L11/'Output-Calculation-sheet'!L10*'Output-Calculation-sheet'!L82</f>
        <v>2295225622.2691936</v>
      </c>
      <c r="M99" s="2">
        <f>M11/'Output-Calculation-sheet'!M10*'Output-Calculation-sheet'!M82</f>
        <v>2928182373.1291451</v>
      </c>
      <c r="N99" s="2">
        <f>N11/'Output-Calculation-sheet'!N10*'Output-Calculation-sheet'!N82</f>
        <v>2062907217.8889925</v>
      </c>
      <c r="O99" s="2">
        <f>O11/'Output-Calculation-sheet'!O10*'Output-Calculation-sheet'!O82</f>
        <v>1118405531.7626059</v>
      </c>
      <c r="P99" s="2">
        <f>P11/'Output-Calculation-sheet'!P10*'Output-Calculation-sheet'!P82</f>
        <v>3486323407.1903477</v>
      </c>
      <c r="Q99" s="2">
        <f>Q11/'Output-Calculation-sheet'!Q10*'Output-Calculation-sheet'!Q82</f>
        <v>1649947318.7292228</v>
      </c>
      <c r="R99" s="2">
        <f>R11/'Output-Calculation-sheet'!R10*'Output-Calculation-sheet'!R82</f>
        <v>2135849173.7390628</v>
      </c>
      <c r="S99" s="2">
        <f>S11/'Output-Calculation-sheet'!S10*'Output-Calculation-sheet'!S82</f>
        <v>1230308834.9441688</v>
      </c>
      <c r="T99" s="2">
        <f>T11/'Output-Calculation-sheet'!T10*'Output-Calculation-sheet'!T82</f>
        <v>899211918.33072591</v>
      </c>
      <c r="U99" s="2">
        <f>U11/'Output-Calculation-sheet'!U10*'Output-Calculation-sheet'!U82</f>
        <v>595476259.04574192</v>
      </c>
      <c r="V99" s="2">
        <f>V11/'Output-Calculation-sheet'!V10*'Output-Calculation-sheet'!V82</f>
        <v>318393731.66120231</v>
      </c>
      <c r="W99" s="2">
        <f>W11/'Output-Calculation-sheet'!W10*'Output-Calculation-sheet'!W82</f>
        <v>882916965.43830049</v>
      </c>
      <c r="X99" s="2">
        <f>X11/'Output-Calculation-sheet'!X10*'Output-Calculation-sheet'!X82</f>
        <v>332530836.86049205</v>
      </c>
      <c r="Y99" s="2">
        <f>Y11/'Output-Calculation-sheet'!Y10*'Output-Calculation-sheet'!Y82</f>
        <v>485884359.7903387</v>
      </c>
      <c r="AA99" s="2">
        <f t="shared" si="8"/>
        <v>95.598754021737776</v>
      </c>
    </row>
    <row r="100" spans="1:27" x14ac:dyDescent="0.25">
      <c r="A100" s="2">
        <v>2035</v>
      </c>
      <c r="B100" s="2">
        <f>B12/'Output-Calculation-sheet'!B11*'Output-Calculation-sheet'!B83</f>
        <v>26674250554.421616</v>
      </c>
      <c r="C100" s="2">
        <f>C12/'Output-Calculation-sheet'!C11*'Output-Calculation-sheet'!C83</f>
        <v>9260866539.4412003</v>
      </c>
      <c r="D100" s="2">
        <f>D12/'Output-Calculation-sheet'!D11*'Output-Calculation-sheet'!D83</f>
        <v>8060396874.5182123</v>
      </c>
      <c r="E100" s="2">
        <f>E12/'Output-Calculation-sheet'!E11*'Output-Calculation-sheet'!E83</f>
        <v>16030049568.480289</v>
      </c>
      <c r="F100" s="2">
        <f>F12/'Output-Calculation-sheet'!F11*'Output-Calculation-sheet'!F83</f>
        <v>6594123228.1837978</v>
      </c>
      <c r="G100" s="2">
        <f>G12/'Output-Calculation-sheet'!G11*'Output-Calculation-sheet'!G83</f>
        <v>4531446657.618762</v>
      </c>
      <c r="H100" s="2">
        <f>H12/'Output-Calculation-sheet'!H11*'Output-Calculation-sheet'!H83</f>
        <v>4377038826.9623566</v>
      </c>
      <c r="I100" s="2">
        <f>I12/'Output-Calculation-sheet'!I11*'Output-Calculation-sheet'!I83</f>
        <v>3713830990.9911976</v>
      </c>
      <c r="J100" s="2">
        <f>J12/'Output-Calculation-sheet'!J11*'Output-Calculation-sheet'!J83</f>
        <v>2250741425.6894083</v>
      </c>
      <c r="K100" s="2">
        <f>K12/'Output-Calculation-sheet'!K11*'Output-Calculation-sheet'!K83</f>
        <v>3316300842.0496473</v>
      </c>
      <c r="L100" s="2">
        <f>L12/'Output-Calculation-sheet'!L11*'Output-Calculation-sheet'!L83</f>
        <v>2632953775.0801969</v>
      </c>
      <c r="M100" s="2">
        <f>M12/'Output-Calculation-sheet'!M11*'Output-Calculation-sheet'!M83</f>
        <v>3307573382.1436157</v>
      </c>
      <c r="N100" s="2">
        <f>N12/'Output-Calculation-sheet'!N11*'Output-Calculation-sheet'!N83</f>
        <v>2288579540.1356812</v>
      </c>
      <c r="O100" s="2">
        <f>O12/'Output-Calculation-sheet'!O11*'Output-Calculation-sheet'!O83</f>
        <v>1270306959.0639746</v>
      </c>
      <c r="P100" s="2">
        <f>P12/'Output-Calculation-sheet'!P11*'Output-Calculation-sheet'!P83</f>
        <v>3858012496.8639016</v>
      </c>
      <c r="Q100" s="2">
        <f>Q12/'Output-Calculation-sheet'!Q11*'Output-Calculation-sheet'!Q83</f>
        <v>1840289646.7117152</v>
      </c>
      <c r="R100" s="2">
        <f>R12/'Output-Calculation-sheet'!R11*'Output-Calculation-sheet'!R83</f>
        <v>2409756721.8303814</v>
      </c>
      <c r="S100" s="2">
        <f>S12/'Output-Calculation-sheet'!S11*'Output-Calculation-sheet'!S83</f>
        <v>1383076547.1180761</v>
      </c>
      <c r="T100" s="2">
        <f>T12/'Output-Calculation-sheet'!T11*'Output-Calculation-sheet'!T83</f>
        <v>995335911.70592904</v>
      </c>
      <c r="U100" s="2">
        <f>U12/'Output-Calculation-sheet'!U11*'Output-Calculation-sheet'!U83</f>
        <v>670743708.38924706</v>
      </c>
      <c r="V100" s="2">
        <f>V12/'Output-Calculation-sheet'!V11*'Output-Calculation-sheet'!V83</f>
        <v>361905201.86845386</v>
      </c>
      <c r="W100" s="2">
        <f>W12/'Output-Calculation-sheet'!W11*'Output-Calculation-sheet'!W83</f>
        <v>980490102.0419035</v>
      </c>
      <c r="X100" s="2">
        <f>X12/'Output-Calculation-sheet'!X11*'Output-Calculation-sheet'!X83</f>
        <v>379066786.72256529</v>
      </c>
      <c r="Y100" s="2">
        <f>Y12/'Output-Calculation-sheet'!Y11*'Output-Calculation-sheet'!Y83</f>
        <v>540308571.37558579</v>
      </c>
      <c r="AA100" s="2">
        <f t="shared" si="8"/>
        <v>107.72744485940773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1062.4034465893317</v>
      </c>
      <c r="C19" s="2">
        <f>C8/'Output-Calculation-sheet'!C7*'Output-Calculation-sheet'!C25</f>
        <v>9901.3506964732751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4766.9575549947031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3311.9972516503967</v>
      </c>
      <c r="N19" s="2">
        <f>N8/'Output-Calculation-sheet'!N7*'Output-Calculation-sheet'!N25</f>
        <v>1133.9252157217427</v>
      </c>
      <c r="O19" s="2">
        <f>O8/'Output-Calculation-sheet'!O7*'Output-Calculation-sheet'!O25</f>
        <v>1756.4228558182585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404.60241731275005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370.60107195535761</v>
      </c>
      <c r="Y19" s="2">
        <f>Y8/'Output-Calculation-sheet'!Y7*'Output-Calculation-sheet'!Y25</f>
        <v>0</v>
      </c>
      <c r="AA19" s="2">
        <f t="shared" si="0"/>
        <v>22.70826051051581</v>
      </c>
    </row>
    <row r="20" spans="1:27" x14ac:dyDescent="0.25">
      <c r="A20" s="2">
        <v>2032</v>
      </c>
      <c r="B20" s="2">
        <f>B9/'Output-Calculation-sheet'!B8*'Output-Calculation-sheet'!B26</f>
        <v>5979.2567118786374</v>
      </c>
      <c r="C20" s="2">
        <f>C9/'Output-Calculation-sheet'!C8*'Output-Calculation-sheet'!C26</f>
        <v>12153.146972775212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6505.0125500459471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4524.1417543863599</v>
      </c>
      <c r="N20" s="2">
        <f>N9/'Output-Calculation-sheet'!N8*'Output-Calculation-sheet'!N26</f>
        <v>2039.847550838291</v>
      </c>
      <c r="O20" s="2">
        <f>O9/'Output-Calculation-sheet'!O8*'Output-Calculation-sheet'!O26</f>
        <v>2116.1750641137041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737.54872074980631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505.64968502194841</v>
      </c>
      <c r="Y20" s="2">
        <f>Y9/'Output-Calculation-sheet'!Y8*'Output-Calculation-sheet'!Y26</f>
        <v>0</v>
      </c>
      <c r="AA20" s="2">
        <f t="shared" si="0"/>
        <v>34.560779009809913</v>
      </c>
    </row>
    <row r="21" spans="1:27" x14ac:dyDescent="0.25">
      <c r="A21" s="2">
        <v>2033</v>
      </c>
      <c r="B21" s="2">
        <f>B10/'Output-Calculation-sheet'!B9*'Output-Calculation-sheet'!B27</f>
        <v>14347.274842337403</v>
      </c>
      <c r="C21" s="2">
        <f>C10/'Output-Calculation-sheet'!C9*'Output-Calculation-sheet'!C27</f>
        <v>14626.257807928307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8294.5252262071208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5761.126433885117</v>
      </c>
      <c r="N21" s="2">
        <f>N10/'Output-Calculation-sheet'!N9*'Output-Calculation-sheet'!N27</f>
        <v>3134.8591415496803</v>
      </c>
      <c r="O21" s="2">
        <f>O10/'Output-Calculation-sheet'!O9*'Output-Calculation-sheet'!O27</f>
        <v>2431.9184533791945</v>
      </c>
      <c r="P21" s="2">
        <f>P10/'Output-Calculation-sheet'!P9*'Output-Calculation-sheet'!P27</f>
        <v>0</v>
      </c>
      <c r="Q21" s="2">
        <f>Q10/'Output-Calculation-sheet'!Q9*'Output-Calculation-sheet'!Q27</f>
        <v>214.08607798709957</v>
      </c>
      <c r="R21" s="2">
        <f>R10/'Output-Calculation-sheet'!R9*'Output-Calculation-sheet'!R27</f>
        <v>0</v>
      </c>
      <c r="S21" s="2">
        <f>S10/'Output-Calculation-sheet'!S9*'Output-Calculation-sheet'!S27</f>
        <v>1371.7966767605014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677.41837055927829</v>
      </c>
      <c r="Y21" s="2">
        <f>Y10/'Output-Calculation-sheet'!Y9*'Output-Calculation-sheet'!Y27</f>
        <v>0</v>
      </c>
      <c r="AA21" s="2">
        <f t="shared" si="0"/>
        <v>50.859263030593702</v>
      </c>
    </row>
    <row r="22" spans="1:27" x14ac:dyDescent="0.25">
      <c r="A22" s="2">
        <v>2034</v>
      </c>
      <c r="B22" s="2">
        <f>B11/'Output-Calculation-sheet'!B10*'Output-Calculation-sheet'!B28</f>
        <v>24661.366724516251</v>
      </c>
      <c r="C22" s="2">
        <f>C11/'Output-Calculation-sheet'!C10*'Output-Calculation-sheet'!C28</f>
        <v>17608.723349265587</v>
      </c>
      <c r="D22" s="2">
        <f>D11/'Output-Calculation-sheet'!D10*'Output-Calculation-sheet'!D28</f>
        <v>0</v>
      </c>
      <c r="E22" s="2">
        <f>E11/'Output-Calculation-sheet'!E10*'Output-Calculation-sheet'!E28</f>
        <v>1426.372876336336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10367.394896380929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708.29392188803342</v>
      </c>
      <c r="M22" s="2">
        <f>M11/'Output-Calculation-sheet'!M10*'Output-Calculation-sheet'!M28</f>
        <v>7202.6664939280454</v>
      </c>
      <c r="N22" s="2">
        <f>N11/'Output-Calculation-sheet'!N10*'Output-Calculation-sheet'!N28</f>
        <v>4181.7959937501573</v>
      </c>
      <c r="O22" s="2">
        <f>O11/'Output-Calculation-sheet'!O10*'Output-Calculation-sheet'!O28</f>
        <v>2710.1727425508811</v>
      </c>
      <c r="P22" s="2">
        <f>P11/'Output-Calculation-sheet'!P10*'Output-Calculation-sheet'!P28</f>
        <v>0</v>
      </c>
      <c r="Q22" s="2">
        <f>Q11/'Output-Calculation-sheet'!Q10*'Output-Calculation-sheet'!Q28</f>
        <v>625.19836597752942</v>
      </c>
      <c r="R22" s="2">
        <f>R11/'Output-Calculation-sheet'!R10*'Output-Calculation-sheet'!R28</f>
        <v>0</v>
      </c>
      <c r="S22" s="2">
        <f>S11/'Output-Calculation-sheet'!S10*'Output-Calculation-sheet'!S28</f>
        <v>1953.2622022897838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750.11516632116718</v>
      </c>
      <c r="Y22" s="2">
        <f>Y11/'Output-Calculation-sheet'!Y10*'Output-Calculation-sheet'!Y28</f>
        <v>78.976685325935108</v>
      </c>
      <c r="AA22" s="2">
        <f t="shared" si="0"/>
        <v>72.274339418530644</v>
      </c>
    </row>
    <row r="23" spans="1:27" x14ac:dyDescent="0.25">
      <c r="A23" s="2">
        <v>2035</v>
      </c>
      <c r="B23" s="2">
        <f>B12/'Output-Calculation-sheet'!B11*'Output-Calculation-sheet'!B29</f>
        <v>29532.782260652079</v>
      </c>
      <c r="C23" s="2">
        <f>C12/'Output-Calculation-sheet'!C11*'Output-Calculation-sheet'!C29</f>
        <v>21541.647271171656</v>
      </c>
      <c r="D23" s="2">
        <f>D12/'Output-Calculation-sheet'!D11*'Output-Calculation-sheet'!D29</f>
        <v>0</v>
      </c>
      <c r="E23" s="2">
        <f>E12/'Output-Calculation-sheet'!E11*'Output-Calculation-sheet'!E29</f>
        <v>3756.8408559760337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10813.341962030381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889.2157145975109</v>
      </c>
      <c r="M23" s="2">
        <f>M12/'Output-Calculation-sheet'!M11*'Output-Calculation-sheet'!M29</f>
        <v>7624.1016441332995</v>
      </c>
      <c r="N23" s="2">
        <f>N12/'Output-Calculation-sheet'!N11*'Output-Calculation-sheet'!N29</f>
        <v>4492.392485876755</v>
      </c>
      <c r="O23" s="2">
        <f>O12/'Output-Calculation-sheet'!O11*'Output-Calculation-sheet'!O29</f>
        <v>2972.1116798005405</v>
      </c>
      <c r="P23" s="2">
        <f>P12/'Output-Calculation-sheet'!P11*'Output-Calculation-sheet'!P29</f>
        <v>633.6853979849592</v>
      </c>
      <c r="Q23" s="2">
        <f>Q12/'Output-Calculation-sheet'!Q11*'Output-Calculation-sheet'!Q29</f>
        <v>959.81704114144327</v>
      </c>
      <c r="R23" s="2">
        <f>R12/'Output-Calculation-sheet'!R11*'Output-Calculation-sheet'!R29</f>
        <v>0</v>
      </c>
      <c r="S23" s="2">
        <f>S12/'Output-Calculation-sheet'!S11*'Output-Calculation-sheet'!S29</f>
        <v>2196.9228112887317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792.01732856749402</v>
      </c>
      <c r="Y23" s="2">
        <f>Y12/'Output-Calculation-sheet'!Y11*'Output-Calculation-sheet'!Y29</f>
        <v>201.11489165683977</v>
      </c>
      <c r="AA23" s="2">
        <f t="shared" si="0"/>
        <v>86.405991344877719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18517.346956163343</v>
      </c>
      <c r="C30" s="2">
        <f>C8/'Output-Calculation-sheet'!C7*'Output-Calculation-sheet'!C16</f>
        <v>0</v>
      </c>
      <c r="D30" s="2">
        <f>D8/'Output-Calculation-sheet'!D7*'Output-Calculation-sheet'!D16</f>
        <v>3118.0764344784916</v>
      </c>
      <c r="E30" s="2">
        <f>E8/'Output-Calculation-sheet'!E7*'Output-Calculation-sheet'!E16</f>
        <v>3354.8740788592727</v>
      </c>
      <c r="F30" s="2">
        <f>F8/'Output-Calculation-sheet'!F7*'Output-Calculation-sheet'!F16</f>
        <v>1692.551824982618</v>
      </c>
      <c r="G30" s="2">
        <f>G8/'Output-Calculation-sheet'!G7*'Output-Calculation-sheet'!G16</f>
        <v>1108.420418249101</v>
      </c>
      <c r="H30" s="2">
        <f>H8/'Output-Calculation-sheet'!H7*'Output-Calculation-sheet'!H16</f>
        <v>0</v>
      </c>
      <c r="I30" s="2">
        <f>I8/'Output-Calculation-sheet'!I7*'Output-Calculation-sheet'!I16</f>
        <v>1080.5439425531615</v>
      </c>
      <c r="J30" s="2">
        <f>J8/'Output-Calculation-sheet'!J7*'Output-Calculation-sheet'!J16</f>
        <v>961.89187997831584</v>
      </c>
      <c r="K30" s="2">
        <f>K8/'Output-Calculation-sheet'!K7*'Output-Calculation-sheet'!K16</f>
        <v>1284.3095156006209</v>
      </c>
      <c r="L30" s="2">
        <f>L8/'Output-Calculation-sheet'!L7*'Output-Calculation-sheet'!L16</f>
        <v>1084.8239949056795</v>
      </c>
      <c r="M30" s="2">
        <f>M8/'Output-Calculation-sheet'!M7*'Output-Calculation-sheet'!M16</f>
        <v>0</v>
      </c>
      <c r="N30" s="2">
        <f>N8/'Output-Calculation-sheet'!N7*'Output-Calculation-sheet'!N16</f>
        <v>1540.9010896739892</v>
      </c>
      <c r="O30" s="2">
        <f>O8/'Output-Calculation-sheet'!O7*'Output-Calculation-sheet'!O16</f>
        <v>0</v>
      </c>
      <c r="P30" s="2">
        <f>P8/'Output-Calculation-sheet'!P7*'Output-Calculation-sheet'!P16</f>
        <v>1384.9113383965396</v>
      </c>
      <c r="Q30" s="2">
        <f>Q8/'Output-Calculation-sheet'!Q7*'Output-Calculation-sheet'!Q16</f>
        <v>1522.9450916462438</v>
      </c>
      <c r="R30" s="2">
        <f>R8/'Output-Calculation-sheet'!R7*'Output-Calculation-sheet'!R16</f>
        <v>966.31527995393321</v>
      </c>
      <c r="S30" s="2">
        <f>S8/'Output-Calculation-sheet'!S7*'Output-Calculation-sheet'!S16</f>
        <v>971.82981647185261</v>
      </c>
      <c r="T30" s="2">
        <f>T8/'Output-Calculation-sheet'!T7*'Output-Calculation-sheet'!T16</f>
        <v>290.07395699375024</v>
      </c>
      <c r="U30" s="2">
        <f>U8/'Output-Calculation-sheet'!U7*'Output-Calculation-sheet'!U16</f>
        <v>289.55545715123401</v>
      </c>
      <c r="V30" s="2">
        <f>V8/'Output-Calculation-sheet'!V7*'Output-Calculation-sheet'!V16</f>
        <v>225.35550829400415</v>
      </c>
      <c r="W30" s="2">
        <f>W8/'Output-Calculation-sheet'!W7*'Output-Calculation-sheet'!W16</f>
        <v>136.68947652296612</v>
      </c>
      <c r="X30" s="2">
        <f>X8/'Output-Calculation-sheet'!X7*'Output-Calculation-sheet'!X16</f>
        <v>0</v>
      </c>
      <c r="Y30" s="2">
        <f>Y8/'Output-Calculation-sheet'!Y7*'Output-Calculation-sheet'!Y16</f>
        <v>115.69210201273341</v>
      </c>
      <c r="AA30" s="2">
        <f t="shared" si="1"/>
        <v>39.647108162887847</v>
      </c>
    </row>
    <row r="31" spans="1:27" x14ac:dyDescent="0.25">
      <c r="A31" s="2">
        <v>2032</v>
      </c>
      <c r="B31" s="2">
        <f>B9/'Output-Calculation-sheet'!B8*'Output-Calculation-sheet'!B17</f>
        <v>25318.148389720234</v>
      </c>
      <c r="C31" s="2">
        <f>C9/'Output-Calculation-sheet'!C8*'Output-Calculation-sheet'!C17</f>
        <v>0</v>
      </c>
      <c r="D31" s="2">
        <f>D9/'Output-Calculation-sheet'!D8*'Output-Calculation-sheet'!D17</f>
        <v>4246.1859031176382</v>
      </c>
      <c r="E31" s="2">
        <f>E9/'Output-Calculation-sheet'!E8*'Output-Calculation-sheet'!E17</f>
        <v>4990.8113803225851</v>
      </c>
      <c r="F31" s="2">
        <f>F9/'Output-Calculation-sheet'!F8*'Output-Calculation-sheet'!F17</f>
        <v>2304.9674715369933</v>
      </c>
      <c r="G31" s="2">
        <f>G9/'Output-Calculation-sheet'!G8*'Output-Calculation-sheet'!G17</f>
        <v>1509.4659441931481</v>
      </c>
      <c r="H31" s="2">
        <f>H9/'Output-Calculation-sheet'!H8*'Output-Calculation-sheet'!H17</f>
        <v>0</v>
      </c>
      <c r="I31" s="2">
        <f>I9/'Output-Calculation-sheet'!I8*'Output-Calculation-sheet'!I17</f>
        <v>1471.5101737256446</v>
      </c>
      <c r="J31" s="2">
        <f>J9/'Output-Calculation-sheet'!J8*'Output-Calculation-sheet'!J17</f>
        <v>1309.9276878549144</v>
      </c>
      <c r="K31" s="2">
        <f>K9/'Output-Calculation-sheet'!K8*'Output-Calculation-sheet'!K17</f>
        <v>1864.9892227784455</v>
      </c>
      <c r="L31" s="2">
        <f>L9/'Output-Calculation-sheet'!L8*'Output-Calculation-sheet'!L17</f>
        <v>1590.5079502139633</v>
      </c>
      <c r="M31" s="2">
        <f>M9/'Output-Calculation-sheet'!M8*'Output-Calculation-sheet'!M17</f>
        <v>0</v>
      </c>
      <c r="N31" s="2">
        <f>N9/'Output-Calculation-sheet'!N8*'Output-Calculation-sheet'!N17</f>
        <v>1729.0448126043798</v>
      </c>
      <c r="O31" s="2">
        <f>O9/'Output-Calculation-sheet'!O8*'Output-Calculation-sheet'!O17</f>
        <v>0</v>
      </c>
      <c r="P31" s="2">
        <f>P9/'Output-Calculation-sheet'!P8*'Output-Calculation-sheet'!P17</f>
        <v>2146.0129793310434</v>
      </c>
      <c r="Q31" s="2">
        <f>Q9/'Output-Calculation-sheet'!Q8*'Output-Calculation-sheet'!Q17</f>
        <v>2287.8470050931437</v>
      </c>
      <c r="R31" s="2">
        <f>R9/'Output-Calculation-sheet'!R8*'Output-Calculation-sheet'!R17</f>
        <v>1496.8304220443267</v>
      </c>
      <c r="S31" s="2">
        <f>S9/'Output-Calculation-sheet'!S8*'Output-Calculation-sheet'!S17</f>
        <v>1292.5377005501789</v>
      </c>
      <c r="T31" s="2">
        <f>T9/'Output-Calculation-sheet'!T8*'Output-Calculation-sheet'!T17</f>
        <v>406.17587097412604</v>
      </c>
      <c r="U31" s="2">
        <f>U9/'Output-Calculation-sheet'!U8*'Output-Calculation-sheet'!U17</f>
        <v>466.82556525126097</v>
      </c>
      <c r="V31" s="2">
        <f>V9/'Output-Calculation-sheet'!V8*'Output-Calculation-sheet'!V17</f>
        <v>334.36500202277091</v>
      </c>
      <c r="W31" s="2">
        <f>W9/'Output-Calculation-sheet'!W8*'Output-Calculation-sheet'!W17</f>
        <v>186.14888572668326</v>
      </c>
      <c r="X31" s="2">
        <f>X9/'Output-Calculation-sheet'!X8*'Output-Calculation-sheet'!X17</f>
        <v>0</v>
      </c>
      <c r="Y31" s="2">
        <f>Y9/'Output-Calculation-sheet'!Y8*'Output-Calculation-sheet'!Y17</f>
        <v>179.86015324372917</v>
      </c>
      <c r="AA31" s="2">
        <f t="shared" si="1"/>
        <v>55.132162520305194</v>
      </c>
    </row>
    <row r="32" spans="1:27" x14ac:dyDescent="0.25">
      <c r="A32" s="2">
        <v>2033</v>
      </c>
      <c r="B32" s="2">
        <f>B10/'Output-Calculation-sheet'!B9*'Output-Calculation-sheet'!B18</f>
        <v>29079.030544522157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1783.7166546948556</v>
      </c>
      <c r="O32" s="2">
        <f>O10/'Output-Calculation-sheet'!O9*'Output-Calculation-sheet'!O18</f>
        <v>0</v>
      </c>
      <c r="P32" s="2">
        <f>P10/'Output-Calculation-sheet'!P9*'Output-Calculation-sheet'!P18</f>
        <v>2854.382213479837</v>
      </c>
      <c r="Q32" s="2">
        <f>Q10/'Output-Calculation-sheet'!Q9*'Output-Calculation-sheet'!Q18</f>
        <v>3110.2804316777488</v>
      </c>
      <c r="R32" s="2">
        <f>R10/'Output-Calculation-sheet'!R9*'Output-Calculation-sheet'!R18</f>
        <v>2049.3166906695697</v>
      </c>
      <c r="S32" s="2">
        <f>S10/'Output-Calculation-sheet'!S9*'Output-Calculation-sheet'!S18</f>
        <v>1341.2477815202151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662.5573723728869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69.915239198949763</v>
      </c>
    </row>
    <row r="33" spans="1:27" x14ac:dyDescent="0.25">
      <c r="A33" s="2">
        <v>2034</v>
      </c>
      <c r="B33" s="2">
        <f>B11/'Output-Calculation-sheet'!B10*'Output-Calculation-sheet'!B19</f>
        <v>28261.176996685881</v>
      </c>
      <c r="C33" s="2">
        <f>C11/'Output-Calculation-sheet'!C10*'Output-Calculation-sheet'!C19</f>
        <v>0</v>
      </c>
      <c r="D33" s="2">
        <f>D11/'Output-Calculation-sheet'!D10*'Output-Calculation-sheet'!D19</f>
        <v>8555.4535860174601</v>
      </c>
      <c r="E33" s="2">
        <f>E11/'Output-Calculation-sheet'!E10*'Output-Calculation-sheet'!E19</f>
        <v>10609.228489764495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2907.0545188703245</v>
      </c>
      <c r="H33" s="2">
        <f>H11/'Output-Calculation-sheet'!H10*'Output-Calculation-sheet'!H19</f>
        <v>0</v>
      </c>
      <c r="I33" s="2">
        <f>I11/'Output-Calculation-sheet'!I10*'Output-Calculation-sheet'!I19</f>
        <v>3176.7846180481874</v>
      </c>
      <c r="J33" s="2">
        <f>J11/'Output-Calculation-sheet'!J10*'Output-Calculation-sheet'!J19</f>
        <v>2687.6453137328413</v>
      </c>
      <c r="K33" s="2">
        <f>K11/'Output-Calculation-sheet'!K10*'Output-Calculation-sheet'!K19</f>
        <v>3721.3008521643924</v>
      </c>
      <c r="L33" s="2">
        <f>L11/'Output-Calculation-sheet'!L10*'Output-Calculation-sheet'!L19</f>
        <v>2939.593179337578</v>
      </c>
      <c r="M33" s="2">
        <f>M11/'Output-Calculation-sheet'!M10*'Output-Calculation-sheet'!M19</f>
        <v>0</v>
      </c>
      <c r="N33" s="2">
        <f>N11/'Output-Calculation-sheet'!N10*'Output-Calculation-sheet'!N19</f>
        <v>1758.1985273773396</v>
      </c>
      <c r="O33" s="2">
        <f>O11/'Output-Calculation-sheet'!O10*'Output-Calculation-sheet'!O19</f>
        <v>0</v>
      </c>
      <c r="P33" s="2">
        <f>P11/'Output-Calculation-sheet'!P10*'Output-Calculation-sheet'!P19</f>
        <v>3765.8093464352687</v>
      </c>
      <c r="Q33" s="2">
        <f>Q11/'Output-Calculation-sheet'!Q10*'Output-Calculation-sheet'!Q19</f>
        <v>3109.8919681470443</v>
      </c>
      <c r="R33" s="2">
        <f>R11/'Output-Calculation-sheet'!R10*'Output-Calculation-sheet'!R19</f>
        <v>2688.8500392479159</v>
      </c>
      <c r="S33" s="2">
        <f>S11/'Output-Calculation-sheet'!S10*'Output-Calculation-sheet'!S19</f>
        <v>1320.8179099552935</v>
      </c>
      <c r="T33" s="2">
        <f>T11/'Output-Calculation-sheet'!T10*'Output-Calculation-sheet'!T19</f>
        <v>788.92936964949467</v>
      </c>
      <c r="U33" s="2">
        <f>U11/'Output-Calculation-sheet'!U10*'Output-Calculation-sheet'!U19</f>
        <v>849.25574586467769</v>
      </c>
      <c r="V33" s="2">
        <f>V11/'Output-Calculation-sheet'!V10*'Output-Calculation-sheet'!V19</f>
        <v>618.82270005685768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0</v>
      </c>
      <c r="Y33" s="2">
        <f>Y11/'Output-Calculation-sheet'!Y10*'Output-Calculation-sheet'!Y19</f>
        <v>347.23939027099266</v>
      </c>
      <c r="AA33" s="2">
        <f t="shared" si="1"/>
        <v>83.346095700833501</v>
      </c>
    </row>
    <row r="34" spans="1:27" x14ac:dyDescent="0.25">
      <c r="A34" s="2">
        <v>2035</v>
      </c>
      <c r="B34" s="2">
        <f>B12/'Output-Calculation-sheet'!B11*'Output-Calculation-sheet'!B20</f>
        <v>28040.324845116451</v>
      </c>
      <c r="C34" s="2">
        <f>C12/'Output-Calculation-sheet'!C11*'Output-Calculation-sheet'!C20</f>
        <v>0</v>
      </c>
      <c r="D34" s="2">
        <f>D12/'Output-Calculation-sheet'!D11*'Output-Calculation-sheet'!D20</f>
        <v>8602.5682424512906</v>
      </c>
      <c r="E34" s="2">
        <f>E12/'Output-Calculation-sheet'!E11*'Output-Calculation-sheet'!E20</f>
        <v>10140.276789135851</v>
      </c>
      <c r="F34" s="2">
        <f>F12/'Output-Calculation-sheet'!F11*'Output-Calculation-sheet'!F20</f>
        <v>5802.6520844403431</v>
      </c>
      <c r="G34" s="2">
        <f>G12/'Output-Calculation-sheet'!G11*'Output-Calculation-sheet'!G20</f>
        <v>3107.5134731646508</v>
      </c>
      <c r="H34" s="2">
        <f>H12/'Output-Calculation-sheet'!H11*'Output-Calculation-sheet'!H20</f>
        <v>0</v>
      </c>
      <c r="I34" s="2">
        <f>I12/'Output-Calculation-sheet'!I11*'Output-Calculation-sheet'!I20</f>
        <v>3456.371223133991</v>
      </c>
      <c r="J34" s="2">
        <f>J12/'Output-Calculation-sheet'!J11*'Output-Calculation-sheet'!J20</f>
        <v>2694.2258579897966</v>
      </c>
      <c r="K34" s="2">
        <f>K12/'Output-Calculation-sheet'!K11*'Output-Calculation-sheet'!K20</f>
        <v>3982.407024396744</v>
      </c>
      <c r="L34" s="2">
        <f>L12/'Output-Calculation-sheet'!L11*'Output-Calculation-sheet'!L20</f>
        <v>3043.5446490895465</v>
      </c>
      <c r="M34" s="2">
        <f>M12/'Output-Calculation-sheet'!M11*'Output-Calculation-sheet'!M20</f>
        <v>0</v>
      </c>
      <c r="N34" s="2">
        <f>N12/'Output-Calculation-sheet'!N11*'Output-Calculation-sheet'!N20</f>
        <v>1766.1786620666701</v>
      </c>
      <c r="O34" s="2">
        <f>O12/'Output-Calculation-sheet'!O11*'Output-Calculation-sheet'!O20</f>
        <v>0</v>
      </c>
      <c r="P34" s="2">
        <f>P12/'Output-Calculation-sheet'!P11*'Output-Calculation-sheet'!P20</f>
        <v>3786.3835009462678</v>
      </c>
      <c r="Q34" s="2">
        <f>Q12/'Output-Calculation-sheet'!Q11*'Output-Calculation-sheet'!Q20</f>
        <v>3119.2611834165045</v>
      </c>
      <c r="R34" s="2">
        <f>R12/'Output-Calculation-sheet'!R11*'Output-Calculation-sheet'!R20</f>
        <v>2928.039102012383</v>
      </c>
      <c r="S34" s="2">
        <f>S12/'Output-Calculation-sheet'!S11*'Output-Calculation-sheet'!S20</f>
        <v>1249.3352332641446</v>
      </c>
      <c r="T34" s="2">
        <f>T12/'Output-Calculation-sheet'!T11*'Output-Calculation-sheet'!T20</f>
        <v>936.05558821622151</v>
      </c>
      <c r="U34" s="2">
        <f>U12/'Output-Calculation-sheet'!U11*'Output-Calculation-sheet'!U20</f>
        <v>873.2388624215846</v>
      </c>
      <c r="V34" s="2">
        <f>V12/'Output-Calculation-sheet'!V11*'Output-Calculation-sheet'!V20</f>
        <v>648.48318246378062</v>
      </c>
      <c r="W34" s="2">
        <f>W12/'Output-Calculation-sheet'!W11*'Output-Calculation-sheet'!W20</f>
        <v>516.42329948273346</v>
      </c>
      <c r="X34" s="2">
        <f>X12/'Output-Calculation-sheet'!X11*'Output-Calculation-sheet'!X20</f>
        <v>20.243035828192806</v>
      </c>
      <c r="Y34" s="2">
        <f>Y12/'Output-Calculation-sheet'!Y11*'Output-Calculation-sheet'!Y20</f>
        <v>302.1760539000212</v>
      </c>
      <c r="AA34" s="2">
        <f t="shared" si="1"/>
        <v>85.015701892937159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2.0187323021031465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0.39218537780118001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2.4109176799043266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3.2989731444472756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0.64090173207368395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3.9398748765209595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4.6617554766305362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0.67924025795087273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5.3409957345814085</v>
      </c>
    </row>
    <row r="44" spans="1:27" x14ac:dyDescent="0.25">
      <c r="A44" s="2">
        <v>2034</v>
      </c>
      <c r="B44" s="2">
        <f>B11/'Output-Calculation-sheet'!B10*'Output-Calculation-sheet'!B37*0.0114</f>
        <v>2.5543282150338467</v>
      </c>
      <c r="C44" s="2">
        <f>C11/'Output-Calculation-sheet'!C10*'Output-Calculation-sheet'!C37*0.0114</f>
        <v>4.8493645653249828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0.37319636056086858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0.2707945103468905</v>
      </c>
      <c r="M44" s="2">
        <f>M11/'Output-Calculation-sheet'!M10*'Output-Calculation-sheet'!M37*0.0114</f>
        <v>0.25679561542073404</v>
      </c>
      <c r="N44" s="2">
        <f>N11/'Output-Calculation-sheet'!N10*'Output-Calculation-sheet'!N37*0.0114</f>
        <v>0.25238888386453029</v>
      </c>
      <c r="O44" s="2">
        <f>O11/'Output-Calculation-sheet'!O10*'Output-Calculation-sheet'!O37*0.0114</f>
        <v>0.94210107608931459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0.22113063113598197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0.14467762837848039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7.0554182689656297E-2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2.817111206448154E-2</v>
      </c>
      <c r="Y44" s="2">
        <f>Y11/'Output-Calculation-sheet'!Y10*'Output-Calculation-sheet'!Y37*0.0114</f>
        <v>0</v>
      </c>
      <c r="AA44" s="2">
        <f t="shared" si="2"/>
        <v>9.9635027809097654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4.9724327410689373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0.96600991182209639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5.7772088732356494E-2</v>
      </c>
      <c r="Y45" s="2">
        <f>Y12/'Output-Calculation-sheet'!Y11*'Output-Calculation-sheet'!Y38*0.0114</f>
        <v>2.7875568583892295E-2</v>
      </c>
      <c r="AA45" s="2">
        <f t="shared" si="2"/>
        <v>14.902215375714498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6759.3996137101994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4613.619279523421</v>
      </c>
      <c r="N52" s="2">
        <f>N8/'Output-Calculation-sheet'!N7*'Output-Calculation-sheet'!N43</f>
        <v>147.46170531355463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594.59448392595505</v>
      </c>
      <c r="Y52" s="2">
        <f>Y8/'Output-Calculation-sheet'!Y7*'Output-Calculation-sheet'!Y43</f>
        <v>0</v>
      </c>
      <c r="AA52" s="2">
        <f t="shared" si="3"/>
        <v>12.115075082473131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675.22842137809732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13005.867973342423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8888.0132198158553</v>
      </c>
      <c r="N53" s="2">
        <f>N9/'Output-Calculation-sheet'!N8*'Output-Calculation-sheet'!N44</f>
        <v>3172.8909117372855</v>
      </c>
      <c r="O53" s="2">
        <f>O9/'Output-Calculation-sheet'!O8*'Output-Calculation-sheet'!O44</f>
        <v>0</v>
      </c>
      <c r="P53" s="2">
        <f>P9/'Output-Calculation-sheet'!P8*'Output-Calculation-sheet'!P44</f>
        <v>148.41415177302616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978.47140303309675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1114.0077461928922</v>
      </c>
      <c r="Y53" s="2">
        <f>Y9/'Output-Calculation-sheet'!Y8*'Output-Calculation-sheet'!Y44</f>
        <v>0</v>
      </c>
      <c r="AA53" s="2">
        <f t="shared" si="3"/>
        <v>27.982893827272679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5520.4999065361608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0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801.82051680561631</v>
      </c>
      <c r="R54" s="2">
        <f>R10/'Output-Calculation-sheet'!R9*'Output-Calculation-sheet'!R45</f>
        <v>1368.4055071154478</v>
      </c>
      <c r="S54" s="2">
        <f>S10/'Output-Calculation-sheet'!S9*'Output-Calculation-sheet'!S45</f>
        <v>3281.8102314844537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487.86135911008802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84.443604391969913</v>
      </c>
    </row>
    <row r="55" spans="1:27" x14ac:dyDescent="0.25">
      <c r="A55" s="2">
        <v>2034</v>
      </c>
      <c r="B55" s="2">
        <f>B11/'Output-Calculation-sheet'!B10*'Output-Calculation-sheet'!B46</f>
        <v>67219.163553522274</v>
      </c>
      <c r="C55" s="2">
        <f>C11/'Output-Calculation-sheet'!C10*'Output-Calculation-sheet'!C46</f>
        <v>13824.942839742276</v>
      </c>
      <c r="D55" s="2">
        <f>D11/'Output-Calculation-sheet'!D10*'Output-Calculation-sheet'!D46</f>
        <v>7442.1461967383048</v>
      </c>
      <c r="E55" s="2">
        <f>E11/'Output-Calculation-sheet'!E10*'Output-Calculation-sheet'!E46</f>
        <v>9208.6848514260619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24159.553867887804</v>
      </c>
      <c r="I55" s="2">
        <f>I11/'Output-Calculation-sheet'!I10*'Output-Calculation-sheet'!I46</f>
        <v>1793.2995825066071</v>
      </c>
      <c r="J55" s="2">
        <f>J11/'Output-Calculation-sheet'!J10*'Output-Calculation-sheet'!J46</f>
        <v>1293.4821369549306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688.86322807542308</v>
      </c>
      <c r="M55" s="2">
        <f>M11/'Output-Calculation-sheet'!M10*'Output-Calculation-sheet'!M46</f>
        <v>16759.292795879486</v>
      </c>
      <c r="N55" s="2">
        <f>N11/'Output-Calculation-sheet'!N10*'Output-Calculation-sheet'!N46</f>
        <v>11910.984168343621</v>
      </c>
      <c r="O55" s="2">
        <f>O11/'Output-Calculation-sheet'!O10*'Output-Calculation-sheet'!O46</f>
        <v>0</v>
      </c>
      <c r="P55" s="2">
        <f>P11/'Output-Calculation-sheet'!P10*'Output-Calculation-sheet'!P46</f>
        <v>4847.3121903148922</v>
      </c>
      <c r="Q55" s="2">
        <f>Q11/'Output-Calculation-sheet'!Q10*'Output-Calculation-sheet'!Q46</f>
        <v>1784.5629881149421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5380.9924940768142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1163.5251180399457</v>
      </c>
      <c r="V55" s="2">
        <f>V11/'Output-Calculation-sheet'!V10*'Output-Calculation-sheet'!V46</f>
        <v>601.30376265444147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1710.0359253176512</v>
      </c>
      <c r="Y55" s="2">
        <f>Y11/'Output-Calculation-sheet'!Y10*'Output-Calculation-sheet'!Y46</f>
        <v>455.4787999653845</v>
      </c>
      <c r="AA55" s="2">
        <f t="shared" si="3"/>
        <v>182.31888040202443</v>
      </c>
    </row>
    <row r="56" spans="1:27" x14ac:dyDescent="0.25">
      <c r="A56" s="2">
        <v>2035</v>
      </c>
      <c r="B56" s="2">
        <f>B12/'Output-Calculation-sheet'!B11*'Output-Calculation-sheet'!B47</f>
        <v>83399.329100897783</v>
      </c>
      <c r="C56" s="2">
        <f>C12/'Output-Calculation-sheet'!C11*'Output-Calculation-sheet'!C47</f>
        <v>30423.437165750733</v>
      </c>
      <c r="D56" s="2">
        <f>D12/'Output-Calculation-sheet'!D11*'Output-Calculation-sheet'!D47</f>
        <v>6665.0633152455594</v>
      </c>
      <c r="E56" s="2">
        <f>E12/'Output-Calculation-sheet'!E11*'Output-Calculation-sheet'!E47</f>
        <v>16735.283554758578</v>
      </c>
      <c r="F56" s="2">
        <f>F12/'Output-Calculation-sheet'!F11*'Output-Calculation-sheet'!F47</f>
        <v>2027.8189072297014</v>
      </c>
      <c r="G56" s="2">
        <f>G12/'Output-Calculation-sheet'!G11*'Output-Calculation-sheet'!G47</f>
        <v>5336.2147485794785</v>
      </c>
      <c r="H56" s="2">
        <f>H12/'Output-Calculation-sheet'!H11*'Output-Calculation-sheet'!H47</f>
        <v>25074.785870809479</v>
      </c>
      <c r="I56" s="2">
        <f>I12/'Output-Calculation-sheet'!I11*'Output-Calculation-sheet'!I47</f>
        <v>3023.1288143839743</v>
      </c>
      <c r="J56" s="2">
        <f>J12/'Output-Calculation-sheet'!J11*'Output-Calculation-sheet'!J47</f>
        <v>1048.7089625714443</v>
      </c>
      <c r="K56" s="2">
        <f>K12/'Output-Calculation-sheet'!K11*'Output-Calculation-sheet'!K47</f>
        <v>4441.5738676834699</v>
      </c>
      <c r="L56" s="2">
        <f>L12/'Output-Calculation-sheet'!L11*'Output-Calculation-sheet'!L47</f>
        <v>1144.7665877638603</v>
      </c>
      <c r="M56" s="2">
        <f>M12/'Output-Calculation-sheet'!M11*'Output-Calculation-sheet'!M47</f>
        <v>17461.784777615183</v>
      </c>
      <c r="N56" s="2">
        <f>N12/'Output-Calculation-sheet'!N11*'Output-Calculation-sheet'!N47</f>
        <v>12803.495654369504</v>
      </c>
      <c r="O56" s="2">
        <f>O12/'Output-Calculation-sheet'!O11*'Output-Calculation-sheet'!O47</f>
        <v>0</v>
      </c>
      <c r="P56" s="2">
        <f>P12/'Output-Calculation-sheet'!P11*'Output-Calculation-sheet'!P47</f>
        <v>6731.9636203723812</v>
      </c>
      <c r="Q56" s="2">
        <f>Q12/'Output-Calculation-sheet'!Q11*'Output-Calculation-sheet'!Q47</f>
        <v>2386.7634734229891</v>
      </c>
      <c r="R56" s="2">
        <f>R12/'Output-Calculation-sheet'!R11*'Output-Calculation-sheet'!R47</f>
        <v>4615.4959977291546</v>
      </c>
      <c r="S56" s="2">
        <f>S12/'Output-Calculation-sheet'!S11*'Output-Calculation-sheet'!S47</f>
        <v>6077.1155337620103</v>
      </c>
      <c r="T56" s="2">
        <f>T12/'Output-Calculation-sheet'!T11*'Output-Calculation-sheet'!T47</f>
        <v>1663.7874714540633</v>
      </c>
      <c r="U56" s="2">
        <f>U12/'Output-Calculation-sheet'!U11*'Output-Calculation-sheet'!U47</f>
        <v>1256.5135807060385</v>
      </c>
      <c r="V56" s="2">
        <f>V12/'Output-Calculation-sheet'!V11*'Output-Calculation-sheet'!V47</f>
        <v>699.75094958852901</v>
      </c>
      <c r="W56" s="2">
        <f>W12/'Output-Calculation-sheet'!W11*'Output-Calculation-sheet'!W47</f>
        <v>677.96553806522502</v>
      </c>
      <c r="X56" s="2">
        <f>X12/'Output-Calculation-sheet'!X11*'Output-Calculation-sheet'!X47</f>
        <v>1778.7722057067656</v>
      </c>
      <c r="Y56" s="2">
        <f>Y12/'Output-Calculation-sheet'!Y11*'Output-Calculation-sheet'!Y47</f>
        <v>787.36255122923853</v>
      </c>
      <c r="AA56" s="2">
        <f t="shared" si="3"/>
        <v>236.26088224969513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5.1667822908248064</v>
      </c>
      <c r="C63" s="2">
        <f>C8*'Output-Calculation-sheet'!C52/10^9</f>
        <v>3.2318872612487488</v>
      </c>
      <c r="D63" s="2">
        <f>D8*'Output-Calculation-sheet'!D52/10^9</f>
        <v>1.4756822285674065</v>
      </c>
      <c r="E63" s="2">
        <f>E8*'Output-Calculation-sheet'!E52/10^9</f>
        <v>1.3555148213735606</v>
      </c>
      <c r="F63" s="2">
        <f>F8*'Output-Calculation-sheet'!F52/10^9</f>
        <v>0.71438053801386658</v>
      </c>
      <c r="G63" s="2">
        <f>G8*'Output-Calculation-sheet'!G52/10^9</f>
        <v>0.52830635939675219</v>
      </c>
      <c r="H63" s="2">
        <f>H8*'Output-Calculation-sheet'!H52/10^9</f>
        <v>0.91154066237686626</v>
      </c>
      <c r="I63" s="2">
        <f>I8*'Output-Calculation-sheet'!I52/10^9</f>
        <v>0.48976334681200223</v>
      </c>
      <c r="J63" s="2">
        <f>J8*'Output-Calculation-sheet'!J52/10^9</f>
        <v>0.49791268914143044</v>
      </c>
      <c r="K63" s="2">
        <f>K8*'Output-Calculation-sheet'!K52/10^9</f>
        <v>0.50108120227151687</v>
      </c>
      <c r="L63" s="2">
        <f>L8*'Output-Calculation-sheet'!L52/10^9</f>
        <v>0.40847978645489741</v>
      </c>
      <c r="M63" s="2">
        <f>M8*'Output-Calculation-sheet'!M52/10^9</f>
        <v>0.63110892039620092</v>
      </c>
      <c r="N63" s="2">
        <f>N8*'Output-Calculation-sheet'!N52/10^9</f>
        <v>0.56625146443785812</v>
      </c>
      <c r="O63" s="2">
        <f>O8*'Output-Calculation-sheet'!O52/10^9</f>
        <v>0.6123681959881816</v>
      </c>
      <c r="P63" s="2">
        <f>P8*'Output-Calculation-sheet'!P52/10^9</f>
        <v>0.40338476859944294</v>
      </c>
      <c r="Q63" s="2">
        <f>Q8*'Output-Calculation-sheet'!Q52/10^9</f>
        <v>0.41600463587897557</v>
      </c>
      <c r="R63" s="2">
        <f>R8*'Output-Calculation-sheet'!R52/10^9</f>
        <v>0.34070325475550722</v>
      </c>
      <c r="S63" s="2">
        <f>S8*'Output-Calculation-sheet'!S52/10^9</f>
        <v>0.31328238133984021</v>
      </c>
      <c r="T63" s="2">
        <f>T8*'Output-Calculation-sheet'!T52/10^9</f>
        <v>0.11746875726377089</v>
      </c>
      <c r="U63" s="2">
        <f>U8*'Output-Calculation-sheet'!U52/10^9</f>
        <v>0.10671497431000762</v>
      </c>
      <c r="V63" s="2">
        <f>V8*'Output-Calculation-sheet'!V52/10^9</f>
        <v>8.2458036649804181E-2</v>
      </c>
      <c r="W63" s="2">
        <f>W8*'Output-Calculation-sheet'!W52/10^9</f>
        <v>6.4420935170840632E-2</v>
      </c>
      <c r="X63" s="2">
        <f>X8*'Output-Calculation-sheet'!X52/10^9</f>
        <v>7.7272961141250041E-2</v>
      </c>
      <c r="Y63" s="2">
        <f>Y8*'Output-Calculation-sheet'!Y52/10^9</f>
        <v>4.1876181228706601E-2</v>
      </c>
      <c r="AA63" s="2">
        <f t="shared" si="4"/>
        <v>19.054646653642244</v>
      </c>
    </row>
    <row r="64" spans="1:27" x14ac:dyDescent="0.25">
      <c r="A64" s="2">
        <v>2032</v>
      </c>
      <c r="B64" s="2">
        <f>B9*'Output-Calculation-sheet'!B53/10^9</f>
        <v>5.82601992710382</v>
      </c>
      <c r="C64" s="2">
        <f>C9*'Output-Calculation-sheet'!C53/10^9</f>
        <v>3.8578509015182418</v>
      </c>
      <c r="D64" s="2">
        <f>D9*'Output-Calculation-sheet'!D53/10^9</f>
        <v>1.4037097038915907</v>
      </c>
      <c r="E64" s="2">
        <f>E9*'Output-Calculation-sheet'!E53/10^9</f>
        <v>1.370449985102864</v>
      </c>
      <c r="F64" s="2">
        <f>F9*'Output-Calculation-sheet'!F53/10^9</f>
        <v>0.69116322892119575</v>
      </c>
      <c r="G64" s="2">
        <f>G9*'Output-Calculation-sheet'!G53/10^9</f>
        <v>0.50203957342157646</v>
      </c>
      <c r="H64" s="2">
        <f>H9*'Output-Calculation-sheet'!H53/10^9</f>
        <v>1.0778553723740112</v>
      </c>
      <c r="I64" s="2">
        <f>I9*'Output-Calculation-sheet'!I53/10^9</f>
        <v>0.46877802402072333</v>
      </c>
      <c r="J64" s="2">
        <f>J9*'Output-Calculation-sheet'!J53/10^9</f>
        <v>0.46790362234147037</v>
      </c>
      <c r="K64" s="2">
        <f>K9*'Output-Calculation-sheet'!K53/10^9</f>
        <v>0.50467206863539116</v>
      </c>
      <c r="L64" s="2">
        <f>L9*'Output-Calculation-sheet'!L53/10^9</f>
        <v>0.41601088915729195</v>
      </c>
      <c r="M64" s="2">
        <f>M9*'Output-Calculation-sheet'!M53/10^9</f>
        <v>0.7467269014011364</v>
      </c>
      <c r="N64" s="2">
        <f>N9*'Output-Calculation-sheet'!N53/10^9</f>
        <v>0.66352191714736719</v>
      </c>
      <c r="O64" s="2">
        <f>O9*'Output-Calculation-sheet'!O53/10^9</f>
        <v>0.71389788062560988</v>
      </c>
      <c r="P64" s="2">
        <f>P9*'Output-Calculation-sheet'!P53/10^9</f>
        <v>0.45136974998613061</v>
      </c>
      <c r="Q64" s="2">
        <f>Q9*'Output-Calculation-sheet'!Q53/10^9</f>
        <v>0.46187431069060403</v>
      </c>
      <c r="R64" s="2">
        <f>R9*'Output-Calculation-sheet'!R53/10^9</f>
        <v>0.36110992879102199</v>
      </c>
      <c r="S64" s="2">
        <f>S9*'Output-Calculation-sheet'!S53/10^9</f>
        <v>0.36547282979683782</v>
      </c>
      <c r="T64" s="2">
        <f>T9*'Output-Calculation-sheet'!T53/10^9</f>
        <v>0.11571543794631085</v>
      </c>
      <c r="U64" s="2">
        <f>U9*'Output-Calculation-sheet'!U53/10^9</f>
        <v>0.11414764474897586</v>
      </c>
      <c r="V64" s="2">
        <f>V9*'Output-Calculation-sheet'!V53/10^9</f>
        <v>8.4929074194182455E-2</v>
      </c>
      <c r="W64" s="2">
        <f>W9*'Output-Calculation-sheet'!W53/10^9</f>
        <v>6.131527721064893E-2</v>
      </c>
      <c r="X64" s="2">
        <f>X9*'Output-Calculation-sheet'!X53/10^9</f>
        <v>9.1635356615025892E-2</v>
      </c>
      <c r="Y64" s="2">
        <f>Y9*'Output-Calculation-sheet'!Y53/10^9</f>
        <v>4.4198134933461537E-2</v>
      </c>
      <c r="AA64" s="2">
        <f t="shared" si="4"/>
        <v>20.862367740575493</v>
      </c>
    </row>
    <row r="65" spans="1:27" x14ac:dyDescent="0.25">
      <c r="A65" s="2">
        <v>2033</v>
      </c>
      <c r="B65" s="2">
        <f>B10*'Output-Calculation-sheet'!B54/10^9</f>
        <v>6.7233204411685952</v>
      </c>
      <c r="C65" s="2">
        <f>C10*'Output-Calculation-sheet'!C54/10^9</f>
        <v>4.4404639588091381</v>
      </c>
      <c r="D65" s="2">
        <f>D10*'Output-Calculation-sheet'!D54/10^9</f>
        <v>1.2915105837315277</v>
      </c>
      <c r="E65" s="2">
        <f>E10*'Output-Calculation-sheet'!E54/10^9</f>
        <v>1.465569451047342</v>
      </c>
      <c r="F65" s="2">
        <f>F10*'Output-Calculation-sheet'!F54/10^9</f>
        <v>0.6648459141104831</v>
      </c>
      <c r="G65" s="2">
        <f>G10*'Output-Calculation-sheet'!G54/10^9</f>
        <v>0.45885443636572404</v>
      </c>
      <c r="H65" s="2">
        <f>H10*'Output-Calculation-sheet'!H54/10^9</f>
        <v>1.219644730500361</v>
      </c>
      <c r="I65" s="2">
        <f>I10*'Output-Calculation-sheet'!I54/10^9</f>
        <v>0.45136010674932975</v>
      </c>
      <c r="J65" s="2">
        <f>J10*'Output-Calculation-sheet'!J54/10^9</f>
        <v>0.4162712352672297</v>
      </c>
      <c r="K65" s="2">
        <f>K10*'Output-Calculation-sheet'!K54/10^9</f>
        <v>0.53088270127587112</v>
      </c>
      <c r="L65" s="2">
        <f>L10*'Output-Calculation-sheet'!L54/10^9</f>
        <v>0.44156515986083883</v>
      </c>
      <c r="M65" s="2">
        <f>M10*'Output-Calculation-sheet'!M54/10^9</f>
        <v>0.84516651807862619</v>
      </c>
      <c r="N65" s="2">
        <f>N10*'Output-Calculation-sheet'!N54/10^9</f>
        <v>0.75983679729407749</v>
      </c>
      <c r="O65" s="2">
        <f>O10*'Output-Calculation-sheet'!O54/10^9</f>
        <v>0.80436023754885599</v>
      </c>
      <c r="P65" s="2">
        <f>P10*'Output-Calculation-sheet'!P54/10^9</f>
        <v>0.51272466735966959</v>
      </c>
      <c r="Q65" s="2">
        <f>Q10*'Output-Calculation-sheet'!Q54/10^9</f>
        <v>0.53192599233330229</v>
      </c>
      <c r="R65" s="2">
        <f>R10*'Output-Calculation-sheet'!R54/10^9</f>
        <v>0.39748898620689044</v>
      </c>
      <c r="S65" s="2">
        <f>S10*'Output-Calculation-sheet'!S54/10^9</f>
        <v>0.42035089778556861</v>
      </c>
      <c r="T65" s="2">
        <f>T10*'Output-Calculation-sheet'!T54/10^9</f>
        <v>0.11930848414071787</v>
      </c>
      <c r="U65" s="2">
        <f>U10*'Output-Calculation-sheet'!U54/10^9</f>
        <v>0.12899337979206751</v>
      </c>
      <c r="V65" s="2">
        <f>V10*'Output-Calculation-sheet'!V54/10^9</f>
        <v>9.0025898439037008E-2</v>
      </c>
      <c r="W65" s="2">
        <f>W10*'Output-Calculation-sheet'!W54/10^9</f>
        <v>5.6313125356781499E-2</v>
      </c>
      <c r="X65" s="2">
        <f>X10*'Output-Calculation-sheet'!X54/10^9</f>
        <v>0.10450325785939402</v>
      </c>
      <c r="Y65" s="2">
        <f>Y10*'Output-Calculation-sheet'!Y54/10^9</f>
        <v>4.9678350583959016E-2</v>
      </c>
      <c r="AA65" s="2">
        <f t="shared" si="4"/>
        <v>22.924965311665392</v>
      </c>
    </row>
    <row r="66" spans="1:27" x14ac:dyDescent="0.25">
      <c r="A66" s="2">
        <v>2034</v>
      </c>
      <c r="B66" s="2">
        <f>B11*'Output-Calculation-sheet'!B55/10^9</f>
        <v>7.8049826149174919</v>
      </c>
      <c r="C66" s="2">
        <f>C11*'Output-Calculation-sheet'!C55/10^9</f>
        <v>4.9702693492403309</v>
      </c>
      <c r="D66" s="2">
        <f>D11*'Output-Calculation-sheet'!D55/10^9</f>
        <v>1.4646833551243814</v>
      </c>
      <c r="E66" s="2">
        <f>E11*'Output-Calculation-sheet'!E55/10^9</f>
        <v>1.8049462226945041</v>
      </c>
      <c r="F66" s="2">
        <f>F11*'Output-Calculation-sheet'!F55/10^9</f>
        <v>0.72282520687741458</v>
      </c>
      <c r="G66" s="2">
        <f>G11*'Output-Calculation-sheet'!G55/10^9</f>
        <v>0.52068051638714419</v>
      </c>
      <c r="H66" s="2">
        <f>H11*'Output-Calculation-sheet'!H55/10^9</f>
        <v>1.3720558996348524</v>
      </c>
      <c r="I66" s="2">
        <f>I11*'Output-Calculation-sheet'!I55/10^9</f>
        <v>0.51180068765112663</v>
      </c>
      <c r="J66" s="2">
        <f>J11*'Output-Calculation-sheet'!J55/10^9</f>
        <v>0.45185853886237681</v>
      </c>
      <c r="K66" s="2">
        <f>K11*'Output-Calculation-sheet'!K55/10^9</f>
        <v>0.60347739364411712</v>
      </c>
      <c r="L66" s="2">
        <f>L11*'Output-Calculation-sheet'!L55/10^9</f>
        <v>0.52930104410359924</v>
      </c>
      <c r="M66" s="2">
        <f>M11*'Output-Calculation-sheet'!M55/10^9</f>
        <v>0.95239447675792799</v>
      </c>
      <c r="N66" s="2">
        <f>N11*'Output-Calculation-sheet'!N55/10^9</f>
        <v>0.85298848910929992</v>
      </c>
      <c r="O66" s="2">
        <f>O11*'Output-Calculation-sheet'!O55/10^9</f>
        <v>0.88455854386300792</v>
      </c>
      <c r="P66" s="2">
        <f>P11*'Output-Calculation-sheet'!P55/10^9</f>
        <v>0.59926770892933467</v>
      </c>
      <c r="Q66" s="2">
        <f>Q11*'Output-Calculation-sheet'!Q55/10^9</f>
        <v>0.62225098345135743</v>
      </c>
      <c r="R66" s="2">
        <f>R11*'Output-Calculation-sheet'!R55/10^9</f>
        <v>0.45354149546110517</v>
      </c>
      <c r="S66" s="2">
        <f>S11*'Output-Calculation-sheet'!S55/10^9</f>
        <v>0.48032958044896834</v>
      </c>
      <c r="T66" s="2">
        <f>T11*'Output-Calculation-sheet'!T55/10^9</f>
        <v>0.13352393090446707</v>
      </c>
      <c r="U66" s="2">
        <f>U11*'Output-Calculation-sheet'!U55/10^9</f>
        <v>0.15434356739566413</v>
      </c>
      <c r="V66" s="2">
        <f>V11*'Output-Calculation-sheet'!V55/10^9</f>
        <v>9.9727604565305883E-2</v>
      </c>
      <c r="W66" s="2">
        <f>W11*'Output-Calculation-sheet'!W55/10^9</f>
        <v>6.0760279660483571E-2</v>
      </c>
      <c r="X66" s="2">
        <f>X11*'Output-Calculation-sheet'!X55/10^9</f>
        <v>0.12021673831583921</v>
      </c>
      <c r="Y66" s="2">
        <f>Y11*'Output-Calculation-sheet'!Y55/10^9</f>
        <v>6.3006657141111325E-2</v>
      </c>
      <c r="AA66" s="2">
        <f t="shared" si="4"/>
        <v>26.233790885141218</v>
      </c>
    </row>
    <row r="67" spans="1:27" x14ac:dyDescent="0.25">
      <c r="A67" s="2">
        <v>2035</v>
      </c>
      <c r="B67" s="2">
        <f>B12*'Output-Calculation-sheet'!B56/10^9</f>
        <v>8.9085037406349361</v>
      </c>
      <c r="C67" s="2">
        <f>C12*'Output-Calculation-sheet'!C56/10^9</f>
        <v>5.4326245489232949</v>
      </c>
      <c r="D67" s="2">
        <f>D12*'Output-Calculation-sheet'!D56/10^9</f>
        <v>1.8144251553820276</v>
      </c>
      <c r="E67" s="2">
        <f>E12*'Output-Calculation-sheet'!E56/10^9</f>
        <v>2.4518078225285898</v>
      </c>
      <c r="F67" s="2">
        <f>F12*'Output-Calculation-sheet'!F56/10^9</f>
        <v>0.97302589668496586</v>
      </c>
      <c r="G67" s="2">
        <f>G12*'Output-Calculation-sheet'!G56/10^9</f>
        <v>0.7057125223924483</v>
      </c>
      <c r="H67" s="2">
        <f>H12*'Output-Calculation-sheet'!H56/10^9</f>
        <v>1.5371568078247329</v>
      </c>
      <c r="I67" s="2">
        <f>I12*'Output-Calculation-sheet'!I56/10^9</f>
        <v>0.66679151183113272</v>
      </c>
      <c r="J67" s="2">
        <f>J12*'Output-Calculation-sheet'!J56/10^9</f>
        <v>0.55112429559480269</v>
      </c>
      <c r="K67" s="2">
        <f>K12*'Output-Calculation-sheet'!K56/10^9</f>
        <v>0.7442221923028588</v>
      </c>
      <c r="L67" s="2">
        <f>L12*'Output-Calculation-sheet'!L56/10^9</f>
        <v>0.64182088223933265</v>
      </c>
      <c r="M67" s="2">
        <f>M12*'Output-Calculation-sheet'!M56/10^9</f>
        <v>1.0771785198288004</v>
      </c>
      <c r="N67" s="2">
        <f>N12*'Output-Calculation-sheet'!N56/10^9</f>
        <v>0.94298958242308417</v>
      </c>
      <c r="O67" s="2">
        <f>O12*'Output-Calculation-sheet'!O56/10^9</f>
        <v>0.95424458608558393</v>
      </c>
      <c r="P67" s="2">
        <f>P12*'Output-Calculation-sheet'!P56/10^9</f>
        <v>0.75197603715914463</v>
      </c>
      <c r="Q67" s="2">
        <f>Q12*'Output-Calculation-sheet'!Q56/10^9</f>
        <v>0.70432328764854091</v>
      </c>
      <c r="R67" s="2">
        <f>R12*'Output-Calculation-sheet'!R56/10^9</f>
        <v>0.55355972185696556</v>
      </c>
      <c r="S67" s="2">
        <f>S12*'Output-Calculation-sheet'!S56/10^9</f>
        <v>0.53665894749354259</v>
      </c>
      <c r="T67" s="2">
        <f>T12*'Output-Calculation-sheet'!T56/10^9</f>
        <v>0.17016782870632552</v>
      </c>
      <c r="U67" s="2">
        <f>U12*'Output-Calculation-sheet'!U56/10^9</f>
        <v>0.18354833962388803</v>
      </c>
      <c r="V67" s="2">
        <f>V12*'Output-Calculation-sheet'!V56/10^9</f>
        <v>0.11582290031195404</v>
      </c>
      <c r="W67" s="2">
        <f>W12*'Output-Calculation-sheet'!W56/10^9</f>
        <v>9.0050251318532074E-2</v>
      </c>
      <c r="X67" s="2">
        <f>X12*'Output-Calculation-sheet'!X56/10^9</f>
        <v>0.13510696599842484</v>
      </c>
      <c r="Y67" s="2">
        <f>Y12*'Output-Calculation-sheet'!Y56/10^9</f>
        <v>8.455096066668738E-2</v>
      </c>
      <c r="AA67" s="2">
        <f t="shared" si="4"/>
        <v>30.727393305460602</v>
      </c>
    </row>
    <row r="68" spans="1:27" x14ac:dyDescent="0.25">
      <c r="B68" s="2">
        <f>SUM(B60:B67)</f>
        <v>45.743164682199605</v>
      </c>
      <c r="C68" s="2">
        <f t="shared" ref="C68:Y68" si="5">SUM(C60:C67)</f>
        <v>27.706074779624323</v>
      </c>
      <c r="D68" s="2">
        <f t="shared" si="5"/>
        <v>11.294415531881667</v>
      </c>
      <c r="E68" s="2">
        <f t="shared" si="5"/>
        <v>11.866832704480597</v>
      </c>
      <c r="F68" s="2">
        <f t="shared" si="5"/>
        <v>5.5852298715150184</v>
      </c>
      <c r="G68" s="2">
        <f t="shared" si="5"/>
        <v>4.0937317792331971</v>
      </c>
      <c r="H68" s="2">
        <f t="shared" si="5"/>
        <v>7.798383995033249</v>
      </c>
      <c r="I68" s="2">
        <f t="shared" si="5"/>
        <v>3.8539044371105309</v>
      </c>
      <c r="J68" s="2">
        <f t="shared" si="5"/>
        <v>3.7029482138895169</v>
      </c>
      <c r="K68" s="2">
        <f t="shared" si="5"/>
        <v>4.1378894357240918</v>
      </c>
      <c r="L68" s="2">
        <f t="shared" si="5"/>
        <v>3.450368208990199</v>
      </c>
      <c r="M68" s="2">
        <f t="shared" si="5"/>
        <v>5.4140972846410929</v>
      </c>
      <c r="N68" s="2">
        <f t="shared" si="5"/>
        <v>4.9605579654540843</v>
      </c>
      <c r="O68" s="2">
        <f t="shared" si="5"/>
        <v>5.102253000856793</v>
      </c>
      <c r="P68" s="2">
        <f t="shared" si="5"/>
        <v>3.6315052640010022</v>
      </c>
      <c r="Q68" s="2">
        <f t="shared" si="5"/>
        <v>3.6585969745230265</v>
      </c>
      <c r="R68" s="2">
        <f t="shared" si="5"/>
        <v>2.9360544756783344</v>
      </c>
      <c r="S68" s="2">
        <f t="shared" si="5"/>
        <v>2.7782406290505905</v>
      </c>
      <c r="T68" s="2">
        <f t="shared" si="5"/>
        <v>0.95258612434625145</v>
      </c>
      <c r="U68" s="2">
        <f t="shared" si="5"/>
        <v>0.95102967489594858</v>
      </c>
      <c r="V68" s="2">
        <f t="shared" si="5"/>
        <v>0.67602796221021977</v>
      </c>
      <c r="W68" s="2">
        <f t="shared" si="5"/>
        <v>0.50055596442916084</v>
      </c>
      <c r="X68" s="2">
        <f t="shared" si="5"/>
        <v>0.6684194951368031</v>
      </c>
      <c r="Y68" s="2">
        <f t="shared" si="5"/>
        <v>0.38613300676840062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1447.4654648601111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967.15338465749312</v>
      </c>
      <c r="N74" s="2">
        <f>N8/'Output-Calculation-sheet'!N7*'Output-Calculation-sheet'!N61</f>
        <v>40.533536248063328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119.08349041395944</v>
      </c>
      <c r="Y74" s="2">
        <f>Y8/'Output-Calculation-sheet'!Y7*'Output-Calculation-sheet'!Y61</f>
        <v>0</v>
      </c>
      <c r="AA74" s="2">
        <f t="shared" si="6"/>
        <v>2.5742358761796269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185.49489347286874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2476.430098421883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1682.286364261008</v>
      </c>
      <c r="N75" s="2">
        <f>N9/'Output-Calculation-sheet'!N8*'Output-Calculation-sheet'!N62</f>
        <v>650.64345278663325</v>
      </c>
      <c r="O75" s="2">
        <f>O9/'Output-Calculation-sheet'!O8*'Output-Calculation-sheet'!O62</f>
        <v>0</v>
      </c>
      <c r="P75" s="2">
        <f>P9/'Output-Calculation-sheet'!P8*'Output-Calculation-sheet'!P62</f>
        <v>43.559553545383174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215.21766295419738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203.37253687640543</v>
      </c>
      <c r="Y75" s="2">
        <f>Y9/'Output-Calculation-sheet'!Y8*'Output-Calculation-sheet'!Y62</f>
        <v>0</v>
      </c>
      <c r="AA75" s="2">
        <f t="shared" si="6"/>
        <v>5.4570045623183789</v>
      </c>
    </row>
    <row r="76" spans="1:27" x14ac:dyDescent="0.25">
      <c r="A76" s="2">
        <v>2033</v>
      </c>
      <c r="B76" s="2">
        <f>B10/'Output-Calculation-sheet'!B9*'Output-Calculation-sheet'!B63</f>
        <v>5533.0780547668219</v>
      </c>
      <c r="C76" s="2">
        <f>C10/'Output-Calculation-sheet'!C9*'Output-Calculation-sheet'!C63</f>
        <v>1388.3034950140939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3612.098960571338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2459.3839217061141</v>
      </c>
      <c r="N76" s="2">
        <f>N10/'Output-Calculation-sheet'!N9*'Output-Calculation-sheet'!N63</f>
        <v>1407.946445229489</v>
      </c>
      <c r="O76" s="2">
        <f>O10/'Output-Calculation-sheet'!O9*'Output-Calculation-sheet'!O63</f>
        <v>0</v>
      </c>
      <c r="P76" s="2">
        <f>P10/'Output-Calculation-sheet'!P9*'Output-Calculation-sheet'!P63</f>
        <v>482.5725811955773</v>
      </c>
      <c r="Q76" s="2">
        <f>Q10/'Output-Calculation-sheet'!Q9*'Output-Calculation-sheet'!Q63</f>
        <v>214.86925151514225</v>
      </c>
      <c r="R76" s="2">
        <f>R10/'Output-Calculation-sheet'!R9*'Output-Calculation-sheet'!R63</f>
        <v>370.39408523678946</v>
      </c>
      <c r="S76" s="2">
        <f>S10/'Output-Calculation-sheet'!S9*'Output-Calculation-sheet'!S63</f>
        <v>624.14174584577381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130.08644654807406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289.64818193076326</v>
      </c>
      <c r="Y76" s="2">
        <f>Y10/'Output-Calculation-sheet'!Y9*'Output-Calculation-sheet'!Y63</f>
        <v>5.4949973780360022</v>
      </c>
      <c r="AA76" s="2">
        <f t="shared" si="6"/>
        <v>16.648076557650342</v>
      </c>
    </row>
    <row r="77" spans="1:27" x14ac:dyDescent="0.25">
      <c r="A77" s="2">
        <v>2034</v>
      </c>
      <c r="B77" s="2">
        <f>B11/'Output-Calculation-sheet'!B10*'Output-Calculation-sheet'!B64</f>
        <v>11470.502132651553</v>
      </c>
      <c r="C77" s="2">
        <f>C11/'Output-Calculation-sheet'!C10*'Output-Calculation-sheet'!C64</f>
        <v>3124.3307360676026</v>
      </c>
      <c r="D77" s="2">
        <f>D11/'Output-Calculation-sheet'!D10*'Output-Calculation-sheet'!D64</f>
        <v>1708.8674937826943</v>
      </c>
      <c r="E77" s="2">
        <f>E11/'Output-Calculation-sheet'!E10*'Output-Calculation-sheet'!E64</f>
        <v>2119.6445976713389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912.07673890508624</v>
      </c>
      <c r="H77" s="2">
        <f>H11/'Output-Calculation-sheet'!H10*'Output-Calculation-sheet'!H64</f>
        <v>4494.135330747119</v>
      </c>
      <c r="I77" s="2">
        <f>I11/'Output-Calculation-sheet'!I10*'Output-Calculation-sheet'!I64</f>
        <v>532.24523710632536</v>
      </c>
      <c r="J77" s="2">
        <f>J11/'Output-Calculation-sheet'!J10*'Output-Calculation-sheet'!J64</f>
        <v>365.33350123994495</v>
      </c>
      <c r="K77" s="2">
        <f>K11/'Output-Calculation-sheet'!K10*'Output-Calculation-sheet'!K64</f>
        <v>825.04384666390661</v>
      </c>
      <c r="L77" s="2">
        <f>L11/'Output-Calculation-sheet'!L10*'Output-Calculation-sheet'!L64</f>
        <v>202.28825001001047</v>
      </c>
      <c r="M77" s="2">
        <f>M11/'Output-Calculation-sheet'!M10*'Output-Calculation-sheet'!M64</f>
        <v>3079.6326808987419</v>
      </c>
      <c r="N77" s="2">
        <f>N11/'Output-Calculation-sheet'!N10*'Output-Calculation-sheet'!N64</f>
        <v>2085.0421319819061</v>
      </c>
      <c r="O77" s="2">
        <f>O11/'Output-Calculation-sheet'!O10*'Output-Calculation-sheet'!O64</f>
        <v>0</v>
      </c>
      <c r="P77" s="2">
        <f>P11/'Output-Calculation-sheet'!P10*'Output-Calculation-sheet'!P64</f>
        <v>1013.7427371854752</v>
      </c>
      <c r="Q77" s="2">
        <f>Q11/'Output-Calculation-sheet'!Q10*'Output-Calculation-sheet'!Q64</f>
        <v>413.66945961455713</v>
      </c>
      <c r="R77" s="2">
        <f>R11/'Output-Calculation-sheet'!R10*'Output-Calculation-sheet'!R64</f>
        <v>861.02987249179762</v>
      </c>
      <c r="S77" s="2">
        <f>S11/'Output-Calculation-sheet'!S10*'Output-Calculation-sheet'!S64</f>
        <v>961.14171119437117</v>
      </c>
      <c r="T77" s="2">
        <f>T11/'Output-Calculation-sheet'!T10*'Output-Calculation-sheet'!T64</f>
        <v>238.55904416559062</v>
      </c>
      <c r="U77" s="2">
        <f>U11/'Output-Calculation-sheet'!U10*'Output-Calculation-sheet'!U64</f>
        <v>254.75011121680984</v>
      </c>
      <c r="V77" s="2">
        <f>V11/'Output-Calculation-sheet'!V10*'Output-Calculation-sheet'!V64</f>
        <v>123.41043890669727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315.29652275607577</v>
      </c>
      <c r="Y77" s="2">
        <f>Y11/'Output-Calculation-sheet'!Y10*'Output-Calculation-sheet'!Y64</f>
        <v>78.797832394011522</v>
      </c>
      <c r="AA77" s="2">
        <f t="shared" si="6"/>
        <v>35.338503963856432</v>
      </c>
    </row>
    <row r="78" spans="1:27" x14ac:dyDescent="0.25">
      <c r="A78" s="2">
        <v>2035</v>
      </c>
      <c r="B78" s="2">
        <f>B12/'Output-Calculation-sheet'!B11*'Output-Calculation-sheet'!B65</f>
        <v>14410.622917894247</v>
      </c>
      <c r="C78" s="2">
        <f>C12/'Output-Calculation-sheet'!C11*'Output-Calculation-sheet'!C65</f>
        <v>6199.2932842655728</v>
      </c>
      <c r="D78" s="2">
        <f>D12/'Output-Calculation-sheet'!D11*'Output-Calculation-sheet'!D65</f>
        <v>1575.3698204107222</v>
      </c>
      <c r="E78" s="2">
        <f>E12/'Output-Calculation-sheet'!E11*'Output-Calculation-sheet'!E65</f>
        <v>2912.3231753067712</v>
      </c>
      <c r="F78" s="2">
        <f>F12/'Output-Calculation-sheet'!F11*'Output-Calculation-sheet'!F65</f>
        <v>633.45200149651623</v>
      </c>
      <c r="G78" s="2">
        <f>G12/'Output-Calculation-sheet'!G11*'Output-Calculation-sheet'!G65</f>
        <v>1204.1480436875679</v>
      </c>
      <c r="H78" s="2">
        <f>H12/'Output-Calculation-sheet'!H11*'Output-Calculation-sheet'!H65</f>
        <v>4653.8735441588206</v>
      </c>
      <c r="I78" s="2">
        <f>I12/'Output-Calculation-sheet'!I11*'Output-Calculation-sheet'!I65</f>
        <v>792.09091564503819</v>
      </c>
      <c r="J78" s="2">
        <f>J12/'Output-Calculation-sheet'!J11*'Output-Calculation-sheet'!J65</f>
        <v>322.97151609075274</v>
      </c>
      <c r="K78" s="2">
        <f>K12/'Output-Calculation-sheet'!K11*'Output-Calculation-sheet'!K65</f>
        <v>981.25087777498118</v>
      </c>
      <c r="L78" s="2">
        <f>L12/'Output-Calculation-sheet'!L11*'Output-Calculation-sheet'!L65</f>
        <v>314.10446629367539</v>
      </c>
      <c r="M78" s="2">
        <f>M12/'Output-Calculation-sheet'!M11*'Output-Calculation-sheet'!M65</f>
        <v>3241.3091529464496</v>
      </c>
      <c r="N78" s="2">
        <f>N12/'Output-Calculation-sheet'!N11*'Output-Calculation-sheet'!N65</f>
        <v>2246.2870478720965</v>
      </c>
      <c r="O78" s="2">
        <f>O12/'Output-Calculation-sheet'!O11*'Output-Calculation-sheet'!O65</f>
        <v>0</v>
      </c>
      <c r="P78" s="2">
        <f>P12/'Output-Calculation-sheet'!P11*'Output-Calculation-sheet'!P65</f>
        <v>1294.109903807846</v>
      </c>
      <c r="Q78" s="2">
        <f>Q12/'Output-Calculation-sheet'!Q11*'Output-Calculation-sheet'!Q65</f>
        <v>523.21833276554298</v>
      </c>
      <c r="R78" s="2">
        <f>R12/'Output-Calculation-sheet'!R11*'Output-Calculation-sheet'!R65</f>
        <v>1018.8017063021637</v>
      </c>
      <c r="S78" s="2">
        <f>S12/'Output-Calculation-sheet'!S11*'Output-Calculation-sheet'!S65</f>
        <v>1061.0097171943294</v>
      </c>
      <c r="T78" s="2">
        <f>T12/'Output-Calculation-sheet'!T11*'Output-Calculation-sheet'!T65</f>
        <v>376.38083422218278</v>
      </c>
      <c r="U78" s="2">
        <f>U12/'Output-Calculation-sheet'!U11*'Output-Calculation-sheet'!U65</f>
        <v>271.79404115181273</v>
      </c>
      <c r="V78" s="2">
        <f>V12/'Output-Calculation-sheet'!V11*'Output-Calculation-sheet'!V65</f>
        <v>136.9065179551599</v>
      </c>
      <c r="W78" s="2">
        <f>W12/'Output-Calculation-sheet'!W11*'Output-Calculation-sheet'!W65</f>
        <v>149.00411341289771</v>
      </c>
      <c r="X78" s="2">
        <f>X12/'Output-Calculation-sheet'!X11*'Output-Calculation-sheet'!X65</f>
        <v>327.48412561561184</v>
      </c>
      <c r="Y78" s="2">
        <f>Y12/'Output-Calculation-sheet'!Y11*'Output-Calculation-sheet'!Y65</f>
        <v>125.74571179181238</v>
      </c>
      <c r="AA78" s="2">
        <f t="shared" si="6"/>
        <v>44.771551768062579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1151.0315757605661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223.61446979891844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1.3746460455594844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1736.3016549722504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318.57688436411189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2.0548785393363622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2351.3240342654021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417.07735137334288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2.7684013856387453</v>
      </c>
    </row>
    <row r="88" spans="1:27" x14ac:dyDescent="0.25">
      <c r="A88" s="2">
        <v>2034</v>
      </c>
      <c r="B88" s="2">
        <f>B11/'Output-Calculation-sheet'!B10*'Output-Calculation-sheet'!B73</f>
        <v>224.06387851174091</v>
      </c>
      <c r="C88" s="2">
        <f>C11/'Output-Calculation-sheet'!C10*'Output-Calculation-sheet'!C73</f>
        <v>2764.9885679484551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32.736522856216538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23.753904416393901</v>
      </c>
      <c r="M88" s="2">
        <f>M11/'Output-Calculation-sheet'!M10*'Output-Calculation-sheet'!M73</f>
        <v>22.525931177257373</v>
      </c>
      <c r="N88" s="2">
        <f>N11/'Output-Calculation-sheet'!N10*'Output-Calculation-sheet'!N73</f>
        <v>22.139375777590374</v>
      </c>
      <c r="O88" s="2">
        <f>O11/'Output-Calculation-sheet'!O10*'Output-Calculation-sheet'!O73</f>
        <v>516.5027829437031</v>
      </c>
      <c r="P88" s="2">
        <f>P11/'Output-Calculation-sheet'!P10*'Output-Calculation-sheet'!P73</f>
        <v>0</v>
      </c>
      <c r="Q88" s="2">
        <f>Q11/'Output-Calculation-sheet'!Q10*'Output-Calculation-sheet'!Q73</f>
        <v>38.794847567716133</v>
      </c>
      <c r="R88" s="2">
        <f>R11/'Output-Calculation-sheet'!R10*'Output-Calculation-sheet'!R73</f>
        <v>0</v>
      </c>
      <c r="S88" s="2">
        <f>S11/'Output-Calculation-sheet'!S10*'Output-Calculation-sheet'!S73</f>
        <v>12.691020033200033</v>
      </c>
      <c r="T88" s="2">
        <f>T11/'Output-Calculation-sheet'!T10*'Output-Calculation-sheet'!T73</f>
        <v>0</v>
      </c>
      <c r="U88" s="2">
        <f>U11/'Output-Calculation-sheet'!U10*'Output-Calculation-sheet'!U73</f>
        <v>6.188963393829499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12.355750905474359</v>
      </c>
      <c r="Y88" s="2">
        <f>Y11/'Output-Calculation-sheet'!Y10*'Output-Calculation-sheet'!Y73</f>
        <v>0</v>
      </c>
      <c r="AA88" s="2">
        <f t="shared" si="7"/>
        <v>3.6767415455315775</v>
      </c>
    </row>
    <row r="89" spans="1:27" x14ac:dyDescent="0.25">
      <c r="A89" s="2">
        <v>2035</v>
      </c>
      <c r="B89" s="2">
        <f>B12/'Output-Calculation-sheet'!B11*'Output-Calculation-sheet'!B74</f>
        <v>689.25065372642803</v>
      </c>
      <c r="C89" s="2">
        <f>C12/'Output-Calculation-sheet'!C11*'Output-Calculation-sheet'!C74</f>
        <v>2944.2035966855547</v>
      </c>
      <c r="D89" s="2">
        <f>D12/'Output-Calculation-sheet'!D11*'Output-Calculation-sheet'!D74</f>
        <v>193.1902410216104</v>
      </c>
      <c r="E89" s="2">
        <f>E12/'Output-Calculation-sheet'!E11*'Output-Calculation-sheet'!E74</f>
        <v>230.3020672673199</v>
      </c>
      <c r="F89" s="2">
        <f>F12/'Output-Calculation-sheet'!F11*'Output-Calculation-sheet'!F74</f>
        <v>96.562805106176256</v>
      </c>
      <c r="G89" s="2">
        <f>G12/'Output-Calculation-sheet'!G11*'Output-Calculation-sheet'!G74</f>
        <v>69.30149024129193</v>
      </c>
      <c r="H89" s="2">
        <f>H12/'Output-Calculation-sheet'!H11*'Output-Calculation-sheet'!H74</f>
        <v>201.40390257678297</v>
      </c>
      <c r="I89" s="2">
        <f>I12/'Output-Calculation-sheet'!I11*'Output-Calculation-sheet'!I74</f>
        <v>62.332552873896375</v>
      </c>
      <c r="J89" s="2">
        <f>J12/'Output-Calculation-sheet'!J11*'Output-Calculation-sheet'!J74</f>
        <v>61.6887625042026</v>
      </c>
      <c r="K89" s="2">
        <f>K12/'Output-Calculation-sheet'!K11*'Output-Calculation-sheet'!K74</f>
        <v>61.263087830116824</v>
      </c>
      <c r="L89" s="2">
        <f>L12/'Output-Calculation-sheet'!L11*'Output-Calculation-sheet'!L74</f>
        <v>48.713471819738736</v>
      </c>
      <c r="M89" s="2">
        <f>M12/'Output-Calculation-sheet'!M11*'Output-Calculation-sheet'!M74</f>
        <v>138.58559347313636</v>
      </c>
      <c r="N89" s="2">
        <f>N12/'Output-Calculation-sheet'!N11*'Output-Calculation-sheet'!N74</f>
        <v>90.804933718932659</v>
      </c>
      <c r="O89" s="2">
        <f>O12/'Output-Calculation-sheet'!O11*'Output-Calculation-sheet'!O74</f>
        <v>593.16398094339252</v>
      </c>
      <c r="P89" s="2">
        <f>P12/'Output-Calculation-sheet'!P11*'Output-Calculation-sheet'!P74</f>
        <v>62.915547853947487</v>
      </c>
      <c r="Q89" s="2">
        <f>Q12/'Output-Calculation-sheet'!Q11*'Output-Calculation-sheet'!Q74</f>
        <v>79.558782447432975</v>
      </c>
      <c r="R89" s="2">
        <f>R12/'Output-Calculation-sheet'!R11*'Output-Calculation-sheet'!R74</f>
        <v>39.448683741274827</v>
      </c>
      <c r="S89" s="2">
        <f>S12/'Output-Calculation-sheet'!S11*'Output-Calculation-sheet'!S74</f>
        <v>52.052381445499016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19.0380845561521</v>
      </c>
      <c r="V89" s="2">
        <f>V12/'Output-Calculation-sheet'!V11*'Output-Calculation-sheet'!V74</f>
        <v>9.7867265676717352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27.872498949821114</v>
      </c>
      <c r="Y89" s="2">
        <f>Y12/'Output-Calculation-sheet'!Y11*'Output-Calculation-sheet'!Y74</f>
        <v>7.3356759431295515</v>
      </c>
      <c r="AA89" s="2">
        <f t="shared" si="7"/>
        <v>5.7903101193777067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11681692075.137392</v>
      </c>
      <c r="C96" s="2">
        <f>C8/'Output-Calculation-sheet'!C7*'Output-Calculation-sheet'!C79</f>
        <v>3951969520.3944159</v>
      </c>
      <c r="D96" s="2">
        <f>D8/'Output-Calculation-sheet'!D7*'Output-Calculation-sheet'!D79</f>
        <v>4125595911.6740398</v>
      </c>
      <c r="E96" s="2">
        <f>E8/'Output-Calculation-sheet'!E7*'Output-Calculation-sheet'!E79</f>
        <v>7334958257.4133596</v>
      </c>
      <c r="F96" s="2">
        <f>F8/'Output-Calculation-sheet'!F7*'Output-Calculation-sheet'!F79</f>
        <v>3035866942.6137419</v>
      </c>
      <c r="G96" s="2">
        <f>G8/'Output-Calculation-sheet'!G7*'Output-Calculation-sheet'!G79</f>
        <v>2364690716.6098404</v>
      </c>
      <c r="H96" s="2">
        <f>H8/'Output-Calculation-sheet'!H7*'Output-Calculation-sheet'!H79</f>
        <v>2024041706.7967191</v>
      </c>
      <c r="I96" s="2">
        <f>I8/'Output-Calculation-sheet'!I7*'Output-Calculation-sheet'!I79</f>
        <v>1647258480.8925126</v>
      </c>
      <c r="J96" s="2">
        <f>J8/'Output-Calculation-sheet'!J7*'Output-Calculation-sheet'!J79</f>
        <v>1113918732.5750294</v>
      </c>
      <c r="K96" s="2">
        <f>K8/'Output-Calculation-sheet'!K7*'Output-Calculation-sheet'!K79</f>
        <v>1593685418.8572526</v>
      </c>
      <c r="L96" s="2">
        <f>L8/'Output-Calculation-sheet'!L7*'Output-Calculation-sheet'!L79</f>
        <v>1124503044.8336525</v>
      </c>
      <c r="M96" s="2">
        <f>M8/'Output-Calculation-sheet'!M7*'Output-Calculation-sheet'!M79</f>
        <v>1510907988.8496525</v>
      </c>
      <c r="N96" s="2">
        <f>N8/'Output-Calculation-sheet'!N7*'Output-Calculation-sheet'!N79</f>
        <v>1124235875.7198522</v>
      </c>
      <c r="O96" s="2">
        <f>O8/'Output-Calculation-sheet'!O7*'Output-Calculation-sheet'!O79</f>
        <v>568339740.51884532</v>
      </c>
      <c r="P96" s="2">
        <f>P8/'Output-Calculation-sheet'!P7*'Output-Calculation-sheet'!P79</f>
        <v>1900977231.5151753</v>
      </c>
      <c r="Q96" s="2">
        <f>Q8/'Output-Calculation-sheet'!Q7*'Output-Calculation-sheet'!Q79</f>
        <v>885936699.43870318</v>
      </c>
      <c r="R96" s="2">
        <f>R8/'Output-Calculation-sheet'!R7*'Output-Calculation-sheet'!R79</f>
        <v>1105311347.2241697</v>
      </c>
      <c r="S96" s="2">
        <f>S8/'Output-Calculation-sheet'!S7*'Output-Calculation-sheet'!S79</f>
        <v>644047019.66899276</v>
      </c>
      <c r="T96" s="2">
        <f>T8/'Output-Calculation-sheet'!T7*'Output-Calculation-sheet'!T79</f>
        <v>491903654.95478189</v>
      </c>
      <c r="U96" s="2">
        <f>U8/'Output-Calculation-sheet'!U7*'Output-Calculation-sheet'!U79</f>
        <v>309001233.68281412</v>
      </c>
      <c r="V96" s="2">
        <f>V8/'Output-Calculation-sheet'!V7*'Output-Calculation-sheet'!V79</f>
        <v>160325953.66247228</v>
      </c>
      <c r="W96" s="2">
        <f>W8/'Output-Calculation-sheet'!W7*'Output-Calculation-sheet'!W79</f>
        <v>473750195.00117415</v>
      </c>
      <c r="X96" s="2">
        <f>X8/'Output-Calculation-sheet'!X7*'Output-Calculation-sheet'!X79</f>
        <v>166509786.64614531</v>
      </c>
      <c r="Y96" s="2">
        <f>Y8/'Output-Calculation-sheet'!Y7*'Output-Calculation-sheet'!Y79</f>
        <v>260419010.29651213</v>
      </c>
      <c r="AA96" s="2">
        <f t="shared" si="8"/>
        <v>49.599846544977247</v>
      </c>
    </row>
    <row r="97" spans="1:27" x14ac:dyDescent="0.25">
      <c r="A97" s="2">
        <v>2032</v>
      </c>
      <c r="B97" s="2">
        <f>B9/'Output-Calculation-sheet'!B8*'Output-Calculation-sheet'!B80</f>
        <v>15899406565.651165</v>
      </c>
      <c r="C97" s="2">
        <f>C9/'Output-Calculation-sheet'!C8*'Output-Calculation-sheet'!C80</f>
        <v>5415423577.5952425</v>
      </c>
      <c r="D97" s="2">
        <f>D9/'Output-Calculation-sheet'!D8*'Output-Calculation-sheet'!D80</f>
        <v>5395942441.3103943</v>
      </c>
      <c r="E97" s="2">
        <f>E9/'Output-Calculation-sheet'!E8*'Output-Calculation-sheet'!E80</f>
        <v>9868371483.1226311</v>
      </c>
      <c r="F97" s="2">
        <f>F9/'Output-Calculation-sheet'!F8*'Output-Calculation-sheet'!F80</f>
        <v>4076625059.0021639</v>
      </c>
      <c r="G97" s="2">
        <f>G9/'Output-Calculation-sheet'!G8*'Output-Calculation-sheet'!G80</f>
        <v>3085781198.52318</v>
      </c>
      <c r="H97" s="2">
        <f>H9/'Output-Calculation-sheet'!H8*'Output-Calculation-sheet'!H80</f>
        <v>2714864181.7011204</v>
      </c>
      <c r="I97" s="2">
        <f>I9/'Output-Calculation-sheet'!I8*'Output-Calculation-sheet'!I80</f>
        <v>2233227735.4001245</v>
      </c>
      <c r="J97" s="2">
        <f>J9/'Output-Calculation-sheet'!J8*'Output-Calculation-sheet'!J80</f>
        <v>1468141108.1539049</v>
      </c>
      <c r="K97" s="2">
        <f>K9/'Output-Calculation-sheet'!K8*'Output-Calculation-sheet'!K80</f>
        <v>2116634735.6266825</v>
      </c>
      <c r="L97" s="2">
        <f>L9/'Output-Calculation-sheet'!L8*'Output-Calculation-sheet'!L80</f>
        <v>1540559463.5053246</v>
      </c>
      <c r="M97" s="2">
        <f>M9/'Output-Calculation-sheet'!M8*'Output-Calculation-sheet'!M80</f>
        <v>2032595861.1189713</v>
      </c>
      <c r="N97" s="2">
        <f>N9/'Output-Calculation-sheet'!N8*'Output-Calculation-sheet'!N80</f>
        <v>1485083037.7438245</v>
      </c>
      <c r="O97" s="2">
        <f>O9/'Output-Calculation-sheet'!O8*'Output-Calculation-sheet'!O80</f>
        <v>768284699.28667402</v>
      </c>
      <c r="P97" s="2">
        <f>P9/'Output-Calculation-sheet'!P8*'Output-Calculation-sheet'!P80</f>
        <v>2513683067.8721557</v>
      </c>
      <c r="Q97" s="2">
        <f>Q9/'Output-Calculation-sheet'!Q8*'Output-Calculation-sheet'!Q80</f>
        <v>1175804546.403151</v>
      </c>
      <c r="R97" s="2">
        <f>R9/'Output-Calculation-sheet'!R8*'Output-Calculation-sheet'!R80</f>
        <v>1485626047.7741487</v>
      </c>
      <c r="S97" s="2">
        <f>S9/'Output-Calculation-sheet'!S8*'Output-Calculation-sheet'!S80</f>
        <v>862253059.23785114</v>
      </c>
      <c r="T97" s="2">
        <f>T9/'Output-Calculation-sheet'!T8*'Output-Calculation-sheet'!T80</f>
        <v>649306878.24572706</v>
      </c>
      <c r="U97" s="2">
        <f>U9/'Output-Calculation-sheet'!U8*'Output-Calculation-sheet'!U80</f>
        <v>415097230.53504336</v>
      </c>
      <c r="V97" s="2">
        <f>V9/'Output-Calculation-sheet'!V8*'Output-Calculation-sheet'!V80</f>
        <v>217652249.77678126</v>
      </c>
      <c r="W97" s="2">
        <f>W9/'Output-Calculation-sheet'!W8*'Output-Calculation-sheet'!W80</f>
        <v>630325120.84385753</v>
      </c>
      <c r="X97" s="2">
        <f>X9/'Output-Calculation-sheet'!X8*'Output-Calculation-sheet'!X80</f>
        <v>226347545.72646007</v>
      </c>
      <c r="Y97" s="2">
        <f>Y9/'Output-Calculation-sheet'!Y8*'Output-Calculation-sheet'!Y80</f>
        <v>346467487.24404573</v>
      </c>
      <c r="AA97" s="2">
        <f t="shared" si="8"/>
        <v>66.623504381400636</v>
      </c>
    </row>
    <row r="98" spans="1:27" x14ac:dyDescent="0.25">
      <c r="A98" s="2">
        <v>2033</v>
      </c>
      <c r="B98" s="2">
        <f>B10/'Output-Calculation-sheet'!B9*'Output-Calculation-sheet'!B81</f>
        <v>20211663392.664005</v>
      </c>
      <c r="C98" s="2">
        <f>C10/'Output-Calculation-sheet'!C9*'Output-Calculation-sheet'!C81</f>
        <v>6929560481.1988306</v>
      </c>
      <c r="D98" s="2">
        <f>D10/'Output-Calculation-sheet'!D9*'Output-Calculation-sheet'!D81</f>
        <v>6594831003.8937397</v>
      </c>
      <c r="E98" s="2">
        <f>E10/'Output-Calculation-sheet'!E9*'Output-Calculation-sheet'!E81</f>
        <v>12405292063.284777</v>
      </c>
      <c r="F98" s="2">
        <f>F10/'Output-Calculation-sheet'!F9*'Output-Calculation-sheet'!F81</f>
        <v>5116242296.2392035</v>
      </c>
      <c r="G98" s="2">
        <f>G10/'Output-Calculation-sheet'!G9*'Output-Calculation-sheet'!G81</f>
        <v>3756501631.0482745</v>
      </c>
      <c r="H98" s="2">
        <f>H10/'Output-Calculation-sheet'!H9*'Output-Calculation-sheet'!H81</f>
        <v>3403421169.2719846</v>
      </c>
      <c r="I98" s="2">
        <f>I10/'Output-Calculation-sheet'!I9*'Output-Calculation-sheet'!I81</f>
        <v>2829247770.2067966</v>
      </c>
      <c r="J98" s="2">
        <f>J10/'Output-Calculation-sheet'!J9*'Output-Calculation-sheet'!J81</f>
        <v>1809092334.4977603</v>
      </c>
      <c r="K98" s="2">
        <f>K10/'Output-Calculation-sheet'!K9*'Output-Calculation-sheet'!K81</f>
        <v>2627778358.7570477</v>
      </c>
      <c r="L98" s="2">
        <f>L10/'Output-Calculation-sheet'!L9*'Output-Calculation-sheet'!L81</f>
        <v>1970873103.9137509</v>
      </c>
      <c r="M98" s="2">
        <f>M10/'Output-Calculation-sheet'!M9*'Output-Calculation-sheet'!M81</f>
        <v>2555826401.2533917</v>
      </c>
      <c r="N98" s="2">
        <f>N10/'Output-Calculation-sheet'!N9*'Output-Calculation-sheet'!N81</f>
        <v>1833606024.0712636</v>
      </c>
      <c r="O98" s="2">
        <f>O10/'Output-Calculation-sheet'!O9*'Output-Calculation-sheet'!O81</f>
        <v>970997980.34054208</v>
      </c>
      <c r="P98" s="2">
        <f>P10/'Output-Calculation-sheet'!P9*'Output-Calculation-sheet'!P81</f>
        <v>3103027814.5869765</v>
      </c>
      <c r="Q98" s="2">
        <f>Q10/'Output-Calculation-sheet'!Q9*'Output-Calculation-sheet'!Q81</f>
        <v>1458965014.8361304</v>
      </c>
      <c r="R98" s="2">
        <f>R10/'Output-Calculation-sheet'!R9*'Output-Calculation-sheet'!R81</f>
        <v>1866236978.1939414</v>
      </c>
      <c r="S98" s="2">
        <f>S10/'Output-Calculation-sheet'!S9*'Output-Calculation-sheet'!S81</f>
        <v>1079017235.9812472</v>
      </c>
      <c r="T98" s="2">
        <f>T10/'Output-Calculation-sheet'!T9*'Output-Calculation-sheet'!T81</f>
        <v>800675179.43263888</v>
      </c>
      <c r="U98" s="2">
        <f>U10/'Output-Calculation-sheet'!U9*'Output-Calculation-sheet'!U81</f>
        <v>520971200.65656036</v>
      </c>
      <c r="V98" s="2">
        <f>V10/'Output-Calculation-sheet'!V9*'Output-Calculation-sheet'!V81</f>
        <v>275915120.90101856</v>
      </c>
      <c r="W98" s="2">
        <f>W10/'Output-Calculation-sheet'!W9*'Output-Calculation-sheet'!W81</f>
        <v>782314558.55634272</v>
      </c>
      <c r="X98" s="2">
        <f>X10/'Output-Calculation-sheet'!X9*'Output-Calculation-sheet'!X81</f>
        <v>287476931.13493359</v>
      </c>
      <c r="Y98" s="2">
        <f>Y10/'Output-Calculation-sheet'!Y9*'Output-Calculation-sheet'!Y81</f>
        <v>430164992.07473463</v>
      </c>
      <c r="AA98" s="2">
        <f t="shared" si="8"/>
        <v>83.619699036995868</v>
      </c>
    </row>
    <row r="99" spans="1:27" x14ac:dyDescent="0.25">
      <c r="A99" s="2">
        <v>2034</v>
      </c>
      <c r="B99" s="2">
        <f>B11/'Output-Calculation-sheet'!B10*'Output-Calculation-sheet'!B82</f>
        <v>24520923485.465092</v>
      </c>
      <c r="C99" s="2">
        <f>C11/'Output-Calculation-sheet'!C10*'Output-Calculation-sheet'!C82</f>
        <v>8460724641.5795927</v>
      </c>
      <c r="D99" s="2">
        <f>D11/'Output-Calculation-sheet'!D10*'Output-Calculation-sheet'!D82</f>
        <v>7696879556.5267878</v>
      </c>
      <c r="E99" s="2">
        <f>E11/'Output-Calculation-sheet'!E10*'Output-Calculation-sheet'!E82</f>
        <v>14888938570.889977</v>
      </c>
      <c r="F99" s="2">
        <f>F11/'Output-Calculation-sheet'!F10*'Output-Calculation-sheet'!F82</f>
        <v>6131990873.0910082</v>
      </c>
      <c r="G99" s="2">
        <f>G11/'Output-Calculation-sheet'!G10*'Output-Calculation-sheet'!G82</f>
        <v>4359409156.4885168</v>
      </c>
      <c r="H99" s="2">
        <f>H11/'Output-Calculation-sheet'!H10*'Output-Calculation-sheet'!H82</f>
        <v>4074659347.8244171</v>
      </c>
      <c r="I99" s="2">
        <f>I11/'Output-Calculation-sheet'!I10*'Output-Calculation-sheet'!I82</f>
        <v>3422430186.9617786</v>
      </c>
      <c r="J99" s="2">
        <f>J11/'Output-Calculation-sheet'!J10*'Output-Calculation-sheet'!J82</f>
        <v>2129776996.4071553</v>
      </c>
      <c r="K99" s="2">
        <f>K11/'Output-Calculation-sheet'!K10*'Output-Calculation-sheet'!K82</f>
        <v>3116143229.6207824</v>
      </c>
      <c r="L99" s="2">
        <f>L11/'Output-Calculation-sheet'!L10*'Output-Calculation-sheet'!L82</f>
        <v>2405890454.9100399</v>
      </c>
      <c r="M99" s="2">
        <f>M11/'Output-Calculation-sheet'!M10*'Output-Calculation-sheet'!M82</f>
        <v>3069365361.4681478</v>
      </c>
      <c r="N99" s="2">
        <f>N11/'Output-Calculation-sheet'!N10*'Output-Calculation-sheet'!N82</f>
        <v>2162370765.0916314</v>
      </c>
      <c r="O99" s="2">
        <f>O11/'Output-Calculation-sheet'!O10*'Output-Calculation-sheet'!O82</f>
        <v>1172329712.373112</v>
      </c>
      <c r="P99" s="2">
        <f>P11/'Output-Calculation-sheet'!P10*'Output-Calculation-sheet'!P82</f>
        <v>3654417294.1900702</v>
      </c>
      <c r="Q99" s="2">
        <f>Q11/'Output-Calculation-sheet'!Q10*'Output-Calculation-sheet'!Q82</f>
        <v>1729499909.16818</v>
      </c>
      <c r="R99" s="2">
        <f>R11/'Output-Calculation-sheet'!R10*'Output-Calculation-sheet'!R82</f>
        <v>2238829634.1629229</v>
      </c>
      <c r="S99" s="2">
        <f>S11/'Output-Calculation-sheet'!S10*'Output-Calculation-sheet'!S82</f>
        <v>1289628459.121701</v>
      </c>
      <c r="T99" s="2">
        <f>T11/'Output-Calculation-sheet'!T10*'Output-Calculation-sheet'!T82</f>
        <v>942567628.32508421</v>
      </c>
      <c r="U99" s="2">
        <f>U11/'Output-Calculation-sheet'!U10*'Output-Calculation-sheet'!U82</f>
        <v>624187284.1883347</v>
      </c>
      <c r="V99" s="2">
        <f>V11/'Output-Calculation-sheet'!V10*'Output-Calculation-sheet'!V82</f>
        <v>333745158.85263723</v>
      </c>
      <c r="W99" s="2">
        <f>W11/'Output-Calculation-sheet'!W10*'Output-Calculation-sheet'!W82</f>
        <v>925487010.52144742</v>
      </c>
      <c r="X99" s="2">
        <f>X11/'Output-Calculation-sheet'!X10*'Output-Calculation-sheet'!X82</f>
        <v>348563887.83902925</v>
      </c>
      <c r="Y99" s="2">
        <f>Y11/'Output-Calculation-sheet'!Y10*'Output-Calculation-sheet'!Y82</f>
        <v>509311386.2391991</v>
      </c>
      <c r="AA99" s="2">
        <f t="shared" si="8"/>
        <v>100.20806999130664</v>
      </c>
    </row>
    <row r="100" spans="1:27" x14ac:dyDescent="0.25">
      <c r="A100" s="2">
        <v>2035</v>
      </c>
      <c r="B100" s="2">
        <f>B12/'Output-Calculation-sheet'!B11*'Output-Calculation-sheet'!B83</f>
        <v>28727875347.230354</v>
      </c>
      <c r="C100" s="2">
        <f>C12/'Output-Calculation-sheet'!C11*'Output-Calculation-sheet'!C83</f>
        <v>9973851711.7701321</v>
      </c>
      <c r="D100" s="2">
        <f>D12/'Output-Calculation-sheet'!D11*'Output-Calculation-sheet'!D83</f>
        <v>8680959046.5506287</v>
      </c>
      <c r="E100" s="2">
        <f>E12/'Output-Calculation-sheet'!E11*'Output-Calculation-sheet'!E83</f>
        <v>17264187605.709129</v>
      </c>
      <c r="F100" s="2">
        <f>F12/'Output-Calculation-sheet'!F11*'Output-Calculation-sheet'!F83</f>
        <v>7101798408.0583286</v>
      </c>
      <c r="G100" s="2">
        <f>G12/'Output-Calculation-sheet'!G11*'Output-Calculation-sheet'!G83</f>
        <v>4880318360.1016521</v>
      </c>
      <c r="H100" s="2">
        <f>H12/'Output-Calculation-sheet'!H11*'Output-Calculation-sheet'!H83</f>
        <v>4714022819.6633768</v>
      </c>
      <c r="I100" s="2">
        <f>I12/'Output-Calculation-sheet'!I11*'Output-Calculation-sheet'!I83</f>
        <v>3999755252.8121824</v>
      </c>
      <c r="J100" s="2">
        <f>J12/'Output-Calculation-sheet'!J11*'Output-Calculation-sheet'!J83</f>
        <v>2424023834.6765761</v>
      </c>
      <c r="K100" s="2">
        <f>K12/'Output-Calculation-sheet'!K11*'Output-Calculation-sheet'!K83</f>
        <v>3571619641.5694618</v>
      </c>
      <c r="L100" s="2">
        <f>L12/'Output-Calculation-sheet'!L11*'Output-Calculation-sheet'!L83</f>
        <v>2835662343.7724028</v>
      </c>
      <c r="M100" s="2">
        <f>M12/'Output-Calculation-sheet'!M11*'Output-Calculation-sheet'!M83</f>
        <v>3562220262.9527354</v>
      </c>
      <c r="N100" s="2">
        <f>N12/'Output-Calculation-sheet'!N11*'Output-Calculation-sheet'!N83</f>
        <v>2464775069.0165634</v>
      </c>
      <c r="O100" s="2">
        <f>O12/'Output-Calculation-sheet'!O11*'Output-Calculation-sheet'!O83</f>
        <v>1368106665.1996291</v>
      </c>
      <c r="P100" s="2">
        <f>P12/'Output-Calculation-sheet'!P11*'Output-Calculation-sheet'!P83</f>
        <v>4155037153.5964732</v>
      </c>
      <c r="Q100" s="2">
        <f>Q12/'Output-Calculation-sheet'!Q11*'Output-Calculation-sheet'!Q83</f>
        <v>1981971769.5787044</v>
      </c>
      <c r="R100" s="2">
        <f>R12/'Output-Calculation-sheet'!R11*'Output-Calculation-sheet'!R83</f>
        <v>2595281564.9179811</v>
      </c>
      <c r="S100" s="2">
        <f>S12/'Output-Calculation-sheet'!S11*'Output-Calculation-sheet'!S83</f>
        <v>1489558274.9446588</v>
      </c>
      <c r="T100" s="2">
        <f>T12/'Output-Calculation-sheet'!T11*'Output-Calculation-sheet'!T83</f>
        <v>1071965862.4249518</v>
      </c>
      <c r="U100" s="2">
        <f>U12/'Output-Calculation-sheet'!U11*'Output-Calculation-sheet'!U83</f>
        <v>722383618.80990934</v>
      </c>
      <c r="V100" s="2">
        <f>V12/'Output-Calculation-sheet'!V11*'Output-Calculation-sheet'!V83</f>
        <v>389767933.89487672</v>
      </c>
      <c r="W100" s="2">
        <f>W12/'Output-Calculation-sheet'!W11*'Output-Calculation-sheet'!W83</f>
        <v>1055977088.2104073</v>
      </c>
      <c r="X100" s="2">
        <f>X12/'Output-Calculation-sheet'!X11*'Output-Calculation-sheet'!X83</f>
        <v>408250772.59521663</v>
      </c>
      <c r="Y100" s="2">
        <f>Y12/'Output-Calculation-sheet'!Y11*'Output-Calculation-sheet'!Y83</f>
        <v>581906406.54925466</v>
      </c>
      <c r="AA100" s="2">
        <f t="shared" si="8"/>
        <v>116.02127681460557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1028.8328216835048</v>
      </c>
      <c r="C19" s="2">
        <f>C8/'Output-Calculation-sheet'!C7*'Output-Calculation-sheet'!C25</f>
        <v>9588.4803538934884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4616.327637015359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3207.34226603149</v>
      </c>
      <c r="N19" s="2">
        <f>N8/'Output-Calculation-sheet'!N7*'Output-Calculation-sheet'!N25</f>
        <v>1098.0945920444008</v>
      </c>
      <c r="O19" s="2">
        <f>O8/'Output-Calculation-sheet'!O7*'Output-Calculation-sheet'!O25</f>
        <v>1700.9220824934071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391.81748515613634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358.89053993830566</v>
      </c>
      <c r="Y19" s="2">
        <f>Y8/'Output-Calculation-sheet'!Y7*'Output-Calculation-sheet'!Y25</f>
        <v>0</v>
      </c>
      <c r="AA19" s="2">
        <f t="shared" si="0"/>
        <v>21.990707778256088</v>
      </c>
    </row>
    <row r="20" spans="1:27" x14ac:dyDescent="0.25">
      <c r="A20" s="2">
        <v>2032</v>
      </c>
      <c r="B20" s="2">
        <f>B9/'Output-Calculation-sheet'!B8*'Output-Calculation-sheet'!B26</f>
        <v>5305.0038161207949</v>
      </c>
      <c r="C20" s="2">
        <f>C9/'Output-Calculation-sheet'!C8*'Output-Calculation-sheet'!C26</f>
        <v>10782.693263590054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5771.4726202255515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4013.9753866079227</v>
      </c>
      <c r="N20" s="2">
        <f>N9/'Output-Calculation-sheet'!N8*'Output-Calculation-sheet'!N26</f>
        <v>1809.8234551467838</v>
      </c>
      <c r="O20" s="2">
        <f>O9/'Output-Calculation-sheet'!O8*'Output-Calculation-sheet'!O26</f>
        <v>1877.5438706955345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654.37879099246652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448.629928086647</v>
      </c>
      <c r="Y20" s="2">
        <f>Y9/'Output-Calculation-sheet'!Y8*'Output-Calculation-sheet'!Y26</f>
        <v>0</v>
      </c>
      <c r="AA20" s="2">
        <f t="shared" si="0"/>
        <v>30.663521131465753</v>
      </c>
    </row>
    <row r="21" spans="1:27" x14ac:dyDescent="0.25">
      <c r="A21" s="2">
        <v>2033</v>
      </c>
      <c r="B21" s="2">
        <f>B10/'Output-Calculation-sheet'!B9*'Output-Calculation-sheet'!B27</f>
        <v>11005.96882949298</v>
      </c>
      <c r="C21" s="2">
        <f>C10/'Output-Calculation-sheet'!C9*'Output-Calculation-sheet'!C27</f>
        <v>11219.980051623634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6362.8310671022382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4419.4300765048747</v>
      </c>
      <c r="N21" s="2">
        <f>N10/'Output-Calculation-sheet'!N9*'Output-Calculation-sheet'!N27</f>
        <v>2404.7885313337983</v>
      </c>
      <c r="O21" s="2">
        <f>O10/'Output-Calculation-sheet'!O9*'Output-Calculation-sheet'!O27</f>
        <v>1865.5541897599585</v>
      </c>
      <c r="P21" s="2">
        <f>P10/'Output-Calculation-sheet'!P9*'Output-Calculation-sheet'!P27</f>
        <v>0</v>
      </c>
      <c r="Q21" s="2">
        <f>Q10/'Output-Calculation-sheet'!Q9*'Output-Calculation-sheet'!Q27</f>
        <v>164.22803124963031</v>
      </c>
      <c r="R21" s="2">
        <f>R10/'Output-Calculation-sheet'!R9*'Output-Calculation-sheet'!R27</f>
        <v>0</v>
      </c>
      <c r="S21" s="2">
        <f>S10/'Output-Calculation-sheet'!S9*'Output-Calculation-sheet'!S27</f>
        <v>1052.3218960213658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519.65586167628589</v>
      </c>
      <c r="Y21" s="2">
        <f>Y10/'Output-Calculation-sheet'!Y9*'Output-Calculation-sheet'!Y27</f>
        <v>0</v>
      </c>
      <c r="AA21" s="2">
        <f t="shared" si="0"/>
        <v>39.014758534764759</v>
      </c>
    </row>
    <row r="22" spans="1:27" x14ac:dyDescent="0.25">
      <c r="A22" s="2">
        <v>2034</v>
      </c>
      <c r="B22" s="2">
        <f>B11/'Output-Calculation-sheet'!B10*'Output-Calculation-sheet'!B28</f>
        <v>15291.222854421259</v>
      </c>
      <c r="C22" s="2">
        <f>C11/'Output-Calculation-sheet'!C10*'Output-Calculation-sheet'!C28</f>
        <v>10918.247797182979</v>
      </c>
      <c r="D22" s="2">
        <f>D11/'Output-Calculation-sheet'!D10*'Output-Calculation-sheet'!D28</f>
        <v>0</v>
      </c>
      <c r="E22" s="2">
        <f>E11/'Output-Calculation-sheet'!E10*'Output-Calculation-sheet'!E28</f>
        <v>884.41917145971195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6428.2789981283995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439.1759924341506</v>
      </c>
      <c r="M22" s="2">
        <f>M11/'Output-Calculation-sheet'!M10*'Output-Calculation-sheet'!M28</f>
        <v>4465.996541677363</v>
      </c>
      <c r="N22" s="2">
        <f>N11/'Output-Calculation-sheet'!N10*'Output-Calculation-sheet'!N28</f>
        <v>2592.9128416305966</v>
      </c>
      <c r="O22" s="2">
        <f>O11/'Output-Calculation-sheet'!O10*'Output-Calculation-sheet'!O28</f>
        <v>1680.4362808945862</v>
      </c>
      <c r="P22" s="2">
        <f>P11/'Output-Calculation-sheet'!P10*'Output-Calculation-sheet'!P28</f>
        <v>0</v>
      </c>
      <c r="Q22" s="2">
        <f>Q11/'Output-Calculation-sheet'!Q10*'Output-Calculation-sheet'!Q28</f>
        <v>387.65278701600226</v>
      </c>
      <c r="R22" s="2">
        <f>R11/'Output-Calculation-sheet'!R10*'Output-Calculation-sheet'!R28</f>
        <v>0</v>
      </c>
      <c r="S22" s="2">
        <f>S11/'Output-Calculation-sheet'!S10*'Output-Calculation-sheet'!S28</f>
        <v>1211.1156677557017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465.10715739430418</v>
      </c>
      <c r="Y22" s="2">
        <f>Y11/'Output-Calculation-sheet'!Y10*'Output-Calculation-sheet'!Y28</f>
        <v>48.969309329552722</v>
      </c>
      <c r="AA22" s="2">
        <f t="shared" si="0"/>
        <v>44.8135353993246</v>
      </c>
    </row>
    <row r="23" spans="1:27" x14ac:dyDescent="0.25">
      <c r="A23" s="2">
        <v>2035</v>
      </c>
      <c r="B23" s="2">
        <f>B12/'Output-Calculation-sheet'!B11*'Output-Calculation-sheet'!B29</f>
        <v>13594.462351808235</v>
      </c>
      <c r="C23" s="2">
        <f>C12/'Output-Calculation-sheet'!C11*'Output-Calculation-sheet'!C29</f>
        <v>9916.0014874064091</v>
      </c>
      <c r="D23" s="2">
        <f>D12/'Output-Calculation-sheet'!D11*'Output-Calculation-sheet'!D29</f>
        <v>0</v>
      </c>
      <c r="E23" s="2">
        <f>E12/'Output-Calculation-sheet'!E11*'Output-Calculation-sheet'!E29</f>
        <v>1729.3403353448057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4977.572681863684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409.32173095110227</v>
      </c>
      <c r="M23" s="2">
        <f>M12/'Output-Calculation-sheet'!M11*'Output-Calculation-sheet'!M29</f>
        <v>3509.508919707212</v>
      </c>
      <c r="N23" s="2">
        <f>N12/'Output-Calculation-sheet'!N11*'Output-Calculation-sheet'!N29</f>
        <v>2067.9277685315283</v>
      </c>
      <c r="O23" s="2">
        <f>O12/'Output-Calculation-sheet'!O11*'Output-Calculation-sheet'!O29</f>
        <v>1368.1156072535193</v>
      </c>
      <c r="P23" s="2">
        <f>P12/'Output-Calculation-sheet'!P11*'Output-Calculation-sheet'!P29</f>
        <v>291.69660378645722</v>
      </c>
      <c r="Q23" s="2">
        <f>Q12/'Output-Calculation-sheet'!Q11*'Output-Calculation-sheet'!Q29</f>
        <v>441.82077107601378</v>
      </c>
      <c r="R23" s="2">
        <f>R12/'Output-Calculation-sheet'!R11*'Output-Calculation-sheet'!R29</f>
        <v>0</v>
      </c>
      <c r="S23" s="2">
        <f>S12/'Output-Calculation-sheet'!S11*'Output-Calculation-sheet'!S29</f>
        <v>1011.2824516261452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364.57959362453903</v>
      </c>
      <c r="Y23" s="2">
        <f>Y12/'Output-Calculation-sheet'!Y11*'Output-Calculation-sheet'!Y29</f>
        <v>92.576744002193223</v>
      </c>
      <c r="AA23" s="2">
        <f t="shared" si="0"/>
        <v>39.774207046981843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17932.221869349964</v>
      </c>
      <c r="C30" s="2">
        <f>C8/'Output-Calculation-sheet'!C7*'Output-Calculation-sheet'!C16</f>
        <v>0</v>
      </c>
      <c r="D30" s="2">
        <f>D8/'Output-Calculation-sheet'!D7*'Output-Calculation-sheet'!D16</f>
        <v>3019.5491050109345</v>
      </c>
      <c r="E30" s="2">
        <f>E8/'Output-Calculation-sheet'!E7*'Output-Calculation-sheet'!E16</f>
        <v>3248.8642389352494</v>
      </c>
      <c r="F30" s="2">
        <f>F8/'Output-Calculation-sheet'!F7*'Output-Calculation-sheet'!F16</f>
        <v>1639.0692966337356</v>
      </c>
      <c r="G30" s="2">
        <f>G8/'Output-Calculation-sheet'!G7*'Output-Calculation-sheet'!G16</f>
        <v>1073.3957143868743</v>
      </c>
      <c r="H30" s="2">
        <f>H8/'Output-Calculation-sheet'!H7*'Output-Calculation-sheet'!H16</f>
        <v>0</v>
      </c>
      <c r="I30" s="2">
        <f>I8/'Output-Calculation-sheet'!I7*'Output-Calculation-sheet'!I16</f>
        <v>1046.4001005822333</v>
      </c>
      <c r="J30" s="2">
        <f>J8/'Output-Calculation-sheet'!J7*'Output-Calculation-sheet'!J16</f>
        <v>931.4972953161722</v>
      </c>
      <c r="K30" s="2">
        <f>K8/'Output-Calculation-sheet'!K7*'Output-Calculation-sheet'!K16</f>
        <v>1243.7269354615728</v>
      </c>
      <c r="L30" s="2">
        <f>L8/'Output-Calculation-sheet'!L7*'Output-Calculation-sheet'!L16</f>
        <v>1050.5449086143713</v>
      </c>
      <c r="M30" s="2">
        <f>M8/'Output-Calculation-sheet'!M7*'Output-Calculation-sheet'!M16</f>
        <v>0</v>
      </c>
      <c r="N30" s="2">
        <f>N8/'Output-Calculation-sheet'!N7*'Output-Calculation-sheet'!N16</f>
        <v>1492.2105355681149</v>
      </c>
      <c r="O30" s="2">
        <f>O8/'Output-Calculation-sheet'!O7*'Output-Calculation-sheet'!O16</f>
        <v>0</v>
      </c>
      <c r="P30" s="2">
        <f>P8/'Output-Calculation-sheet'!P7*'Output-Calculation-sheet'!P16</f>
        <v>1341.1498660308457</v>
      </c>
      <c r="Q30" s="2">
        <f>Q8/'Output-Calculation-sheet'!Q7*'Output-Calculation-sheet'!Q16</f>
        <v>1474.8219247006186</v>
      </c>
      <c r="R30" s="2">
        <f>R8/'Output-Calculation-sheet'!R7*'Output-Calculation-sheet'!R16</f>
        <v>935.78092136516455</v>
      </c>
      <c r="S30" s="2">
        <f>S8/'Output-Calculation-sheet'!S7*'Output-Calculation-sheet'!S16</f>
        <v>941.1212054015366</v>
      </c>
      <c r="T30" s="2">
        <f>T8/'Output-Calculation-sheet'!T7*'Output-Calculation-sheet'!T16</f>
        <v>280.90798145362169</v>
      </c>
      <c r="U30" s="2">
        <f>U8/'Output-Calculation-sheet'!U7*'Output-Calculation-sheet'!U16</f>
        <v>280.40586555995532</v>
      </c>
      <c r="V30" s="2">
        <f>V8/'Output-Calculation-sheet'!V7*'Output-Calculation-sheet'!V16</f>
        <v>218.23455507826759</v>
      </c>
      <c r="W30" s="2">
        <f>W8/'Output-Calculation-sheet'!W7*'Output-Calculation-sheet'!W16</f>
        <v>132.37025941231224</v>
      </c>
      <c r="X30" s="2">
        <f>X8/'Output-Calculation-sheet'!X7*'Output-Calculation-sheet'!X16</f>
        <v>0</v>
      </c>
      <c r="Y30" s="2">
        <f>Y8/'Output-Calculation-sheet'!Y7*'Output-Calculation-sheet'!Y16</f>
        <v>112.03637576889959</v>
      </c>
      <c r="AA30" s="2">
        <f t="shared" si="1"/>
        <v>38.394308954630446</v>
      </c>
    </row>
    <row r="31" spans="1:27" x14ac:dyDescent="0.25">
      <c r="A31" s="2">
        <v>2032</v>
      </c>
      <c r="B31" s="2">
        <f>B9/'Output-Calculation-sheet'!B8*'Output-Calculation-sheet'!B17</f>
        <v>22463.138864358662</v>
      </c>
      <c r="C31" s="2">
        <f>C9/'Output-Calculation-sheet'!C8*'Output-Calculation-sheet'!C17</f>
        <v>0</v>
      </c>
      <c r="D31" s="2">
        <f>D9/'Output-Calculation-sheet'!D8*'Output-Calculation-sheet'!D17</f>
        <v>3767.3633204686225</v>
      </c>
      <c r="E31" s="2">
        <f>E9/'Output-Calculation-sheet'!E8*'Output-Calculation-sheet'!E17</f>
        <v>4428.020855092499</v>
      </c>
      <c r="F31" s="2">
        <f>F9/'Output-Calculation-sheet'!F8*'Output-Calculation-sheet'!F17</f>
        <v>2045.047038747422</v>
      </c>
      <c r="G31" s="2">
        <f>G9/'Output-Calculation-sheet'!G8*'Output-Calculation-sheet'!G17</f>
        <v>1339.2505089036499</v>
      </c>
      <c r="H31" s="2">
        <f>H9/'Output-Calculation-sheet'!H8*'Output-Calculation-sheet'!H17</f>
        <v>0</v>
      </c>
      <c r="I31" s="2">
        <f>I9/'Output-Calculation-sheet'!I8*'Output-Calculation-sheet'!I17</f>
        <v>1305.5748336689855</v>
      </c>
      <c r="J31" s="2">
        <f>J9/'Output-Calculation-sheet'!J8*'Output-Calculation-sheet'!J17</f>
        <v>1162.2132512068101</v>
      </c>
      <c r="K31" s="2">
        <f>K9/'Output-Calculation-sheet'!K8*'Output-Calculation-sheet'!K17</f>
        <v>1654.6830853086519</v>
      </c>
      <c r="L31" s="2">
        <f>L9/'Output-Calculation-sheet'!L8*'Output-Calculation-sheet'!L17</f>
        <v>1411.1537858364495</v>
      </c>
      <c r="M31" s="2">
        <f>M9/'Output-Calculation-sheet'!M8*'Output-Calculation-sheet'!M17</f>
        <v>0</v>
      </c>
      <c r="N31" s="2">
        <f>N9/'Output-Calculation-sheet'!N8*'Output-Calculation-sheet'!N17</f>
        <v>1534.0684923073227</v>
      </c>
      <c r="O31" s="2">
        <f>O9/'Output-Calculation-sheet'!O8*'Output-Calculation-sheet'!O17</f>
        <v>0</v>
      </c>
      <c r="P31" s="2">
        <f>P9/'Output-Calculation-sheet'!P8*'Output-Calculation-sheet'!P17</f>
        <v>1904.0171033598226</v>
      </c>
      <c r="Q31" s="2">
        <f>Q9/'Output-Calculation-sheet'!Q8*'Output-Calculation-sheet'!Q17</f>
        <v>2029.8571674649334</v>
      </c>
      <c r="R31" s="2">
        <f>R9/'Output-Calculation-sheet'!R8*'Output-Calculation-sheet'!R17</f>
        <v>1328.0398356631104</v>
      </c>
      <c r="S31" s="2">
        <f>S9/'Output-Calculation-sheet'!S8*'Output-Calculation-sheet'!S17</f>
        <v>1146.7842516740354</v>
      </c>
      <c r="T31" s="2">
        <f>T9/'Output-Calculation-sheet'!T8*'Output-Calculation-sheet'!T17</f>
        <v>360.37331216322974</v>
      </c>
      <c r="U31" s="2">
        <f>U9/'Output-Calculation-sheet'!U8*'Output-Calculation-sheet'!U17</f>
        <v>414.18382325026244</v>
      </c>
      <c r="V31" s="2">
        <f>V9/'Output-Calculation-sheet'!V8*'Output-Calculation-sheet'!V17</f>
        <v>296.66022002101334</v>
      </c>
      <c r="W31" s="2">
        <f>W9/'Output-Calculation-sheet'!W8*'Output-Calculation-sheet'!W17</f>
        <v>165.15774396921938</v>
      </c>
      <c r="X31" s="2">
        <f>X9/'Output-Calculation-sheet'!X8*'Output-Calculation-sheet'!X17</f>
        <v>0</v>
      </c>
      <c r="Y31" s="2">
        <f>Y9/'Output-Calculation-sheet'!Y8*'Output-Calculation-sheet'!Y17</f>
        <v>159.57816252151929</v>
      </c>
      <c r="AA31" s="2">
        <f t="shared" si="1"/>
        <v>48.915165655986222</v>
      </c>
    </row>
    <row r="32" spans="1:27" x14ac:dyDescent="0.25">
      <c r="A32" s="2">
        <v>2033</v>
      </c>
      <c r="B32" s="2">
        <f>B10/'Output-Calculation-sheet'!B9*'Output-Calculation-sheet'!B18</f>
        <v>22306.877597442402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1368.3107153066001</v>
      </c>
      <c r="O32" s="2">
        <f>O10/'Output-Calculation-sheet'!O9*'Output-Calculation-sheet'!O18</f>
        <v>0</v>
      </c>
      <c r="P32" s="2">
        <f>P10/'Output-Calculation-sheet'!P9*'Output-Calculation-sheet'!P18</f>
        <v>2189.6312724361396</v>
      </c>
      <c r="Q32" s="2">
        <f>Q10/'Output-Calculation-sheet'!Q9*'Output-Calculation-sheet'!Q18</f>
        <v>2385.9339043964669</v>
      </c>
      <c r="R32" s="2">
        <f>R10/'Output-Calculation-sheet'!R9*'Output-Calculation-sheet'!R18</f>
        <v>1572.0557295460901</v>
      </c>
      <c r="S32" s="2">
        <f>S10/'Output-Calculation-sheet'!S9*'Output-Calculation-sheet'!S18</f>
        <v>1028.8874673591445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508.25580942859881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53.63282935512688</v>
      </c>
    </row>
    <row r="33" spans="1:27" x14ac:dyDescent="0.25">
      <c r="A33" s="2">
        <v>2034</v>
      </c>
      <c r="B33" s="2">
        <f>B11/'Output-Calculation-sheet'!B10*'Output-Calculation-sheet'!B19</f>
        <v>17523.276808294751</v>
      </c>
      <c r="C33" s="2">
        <f>C11/'Output-Calculation-sheet'!C10*'Output-Calculation-sheet'!C19</f>
        <v>0</v>
      </c>
      <c r="D33" s="2">
        <f>D11/'Output-Calculation-sheet'!D10*'Output-Calculation-sheet'!D19</f>
        <v>5304.789019434068</v>
      </c>
      <c r="E33" s="2">
        <f>E11/'Output-Calculation-sheet'!E10*'Output-Calculation-sheet'!E19</f>
        <v>6578.2273530359744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1802.5123665918993</v>
      </c>
      <c r="H33" s="2">
        <f>H11/'Output-Calculation-sheet'!H10*'Output-Calculation-sheet'!H19</f>
        <v>0</v>
      </c>
      <c r="I33" s="2">
        <f>I11/'Output-Calculation-sheet'!I10*'Output-Calculation-sheet'!I19</f>
        <v>1969.7578847802167</v>
      </c>
      <c r="J33" s="2">
        <f>J11/'Output-Calculation-sheet'!J10*'Output-Calculation-sheet'!J19</f>
        <v>1666.4682012564324</v>
      </c>
      <c r="K33" s="2">
        <f>K11/'Output-Calculation-sheet'!K10*'Output-Calculation-sheet'!K19</f>
        <v>2307.3839043245348</v>
      </c>
      <c r="L33" s="2">
        <f>L11/'Output-Calculation-sheet'!L10*'Output-Calculation-sheet'!L19</f>
        <v>1822.6878870383996</v>
      </c>
      <c r="M33" s="2">
        <f>M11/'Output-Calculation-sheet'!M10*'Output-Calculation-sheet'!M19</f>
        <v>0</v>
      </c>
      <c r="N33" s="2">
        <f>N11/'Output-Calculation-sheet'!N10*'Output-Calculation-sheet'!N19</f>
        <v>1090.1668915906178</v>
      </c>
      <c r="O33" s="2">
        <f>O11/'Output-Calculation-sheet'!O10*'Output-Calculation-sheet'!O19</f>
        <v>0</v>
      </c>
      <c r="P33" s="2">
        <f>P11/'Output-Calculation-sheet'!P10*'Output-Calculation-sheet'!P19</f>
        <v>2334.9812922719802</v>
      </c>
      <c r="Q33" s="2">
        <f>Q11/'Output-Calculation-sheet'!Q10*'Output-Calculation-sheet'!Q19</f>
        <v>1928.28125340016</v>
      </c>
      <c r="R33" s="2">
        <f>R11/'Output-Calculation-sheet'!R10*'Output-Calculation-sheet'!R19</f>
        <v>1667.2151884990774</v>
      </c>
      <c r="S33" s="2">
        <f>S11/'Output-Calculation-sheet'!S10*'Output-Calculation-sheet'!S19</f>
        <v>818.97006102095827</v>
      </c>
      <c r="T33" s="2">
        <f>T11/'Output-Calculation-sheet'!T10*'Output-Calculation-sheet'!T19</f>
        <v>489.17381353872025</v>
      </c>
      <c r="U33" s="2">
        <f>U11/'Output-Calculation-sheet'!U10*'Output-Calculation-sheet'!U19</f>
        <v>526.57904225173343</v>
      </c>
      <c r="V33" s="2">
        <f>V11/'Output-Calculation-sheet'!V10*'Output-Calculation-sheet'!V19</f>
        <v>383.69957024876567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0</v>
      </c>
      <c r="Y33" s="2">
        <f>Y11/'Output-Calculation-sheet'!Y10*'Output-Calculation-sheet'!Y19</f>
        <v>215.30497315011476</v>
      </c>
      <c r="AA33" s="2">
        <f t="shared" si="1"/>
        <v>51.678552030143649</v>
      </c>
    </row>
    <row r="34" spans="1:27" x14ac:dyDescent="0.25">
      <c r="A34" s="2">
        <v>2035</v>
      </c>
      <c r="B34" s="2">
        <f>B12/'Output-Calculation-sheet'!B11*'Output-Calculation-sheet'!B20</f>
        <v>12907.457789620124</v>
      </c>
      <c r="C34" s="2">
        <f>C12/'Output-Calculation-sheet'!C11*'Output-Calculation-sheet'!C20</f>
        <v>0</v>
      </c>
      <c r="D34" s="2">
        <f>D12/'Output-Calculation-sheet'!D11*'Output-Calculation-sheet'!D20</f>
        <v>3959.9144120152737</v>
      </c>
      <c r="E34" s="2">
        <f>E12/'Output-Calculation-sheet'!E11*'Output-Calculation-sheet'!E20</f>
        <v>4667.7488707350267</v>
      </c>
      <c r="F34" s="2">
        <f>F12/'Output-Calculation-sheet'!F11*'Output-Calculation-sheet'!F20</f>
        <v>2671.0634509931228</v>
      </c>
      <c r="G34" s="2">
        <f>G12/'Output-Calculation-sheet'!G11*'Output-Calculation-sheet'!G20</f>
        <v>1430.4434491076938</v>
      </c>
      <c r="H34" s="2">
        <f>H12/'Output-Calculation-sheet'!H11*'Output-Calculation-sheet'!H20</f>
        <v>0</v>
      </c>
      <c r="I34" s="2">
        <f>I12/'Output-Calculation-sheet'!I11*'Output-Calculation-sheet'!I20</f>
        <v>1591.0288455745019</v>
      </c>
      <c r="J34" s="2">
        <f>J12/'Output-Calculation-sheet'!J11*'Output-Calculation-sheet'!J20</f>
        <v>1240.1998453938356</v>
      </c>
      <c r="K34" s="2">
        <f>K12/'Output-Calculation-sheet'!K11*'Output-Calculation-sheet'!K20</f>
        <v>1833.1724347851136</v>
      </c>
      <c r="L34" s="2">
        <f>L12/'Output-Calculation-sheet'!L11*'Output-Calculation-sheet'!L20</f>
        <v>1400.9974672525714</v>
      </c>
      <c r="M34" s="2">
        <f>M12/'Output-Calculation-sheet'!M11*'Output-Calculation-sheet'!M20</f>
        <v>0</v>
      </c>
      <c r="N34" s="2">
        <f>N12/'Output-Calculation-sheet'!N11*'Output-Calculation-sheet'!N20</f>
        <v>813.00329634104173</v>
      </c>
      <c r="O34" s="2">
        <f>O12/'Output-Calculation-sheet'!O11*'Output-Calculation-sheet'!O20</f>
        <v>0</v>
      </c>
      <c r="P34" s="2">
        <f>P12/'Output-Calculation-sheet'!P11*'Output-Calculation-sheet'!P20</f>
        <v>1742.9393376763869</v>
      </c>
      <c r="Q34" s="2">
        <f>Q12/'Output-Calculation-sheet'!Q11*'Output-Calculation-sheet'!Q20</f>
        <v>1435.8511280500049</v>
      </c>
      <c r="R34" s="2">
        <f>R12/'Output-Calculation-sheet'!R11*'Output-Calculation-sheet'!R20</f>
        <v>1347.8282196921205</v>
      </c>
      <c r="S34" s="2">
        <f>S12/'Output-Calculation-sheet'!S11*'Output-Calculation-sheet'!S20</f>
        <v>575.09111886236371</v>
      </c>
      <c r="T34" s="2">
        <f>T12/'Output-Calculation-sheet'!T11*'Output-Calculation-sheet'!T20</f>
        <v>430.88295375947291</v>
      </c>
      <c r="U34" s="2">
        <f>U12/'Output-Calculation-sheet'!U11*'Output-Calculation-sheet'!U20</f>
        <v>401.96730313292085</v>
      </c>
      <c r="V34" s="2">
        <f>V12/'Output-Calculation-sheet'!V11*'Output-Calculation-sheet'!V20</f>
        <v>298.50828587627984</v>
      </c>
      <c r="W34" s="2">
        <f>W12/'Output-Calculation-sheet'!W11*'Output-Calculation-sheet'!W20</f>
        <v>237.71878451724299</v>
      </c>
      <c r="X34" s="2">
        <f>X12/'Output-Calculation-sheet'!X11*'Output-Calculation-sheet'!X20</f>
        <v>9.3182276571119136</v>
      </c>
      <c r="Y34" s="2">
        <f>Y12/'Output-Calculation-sheet'!Y11*'Output-Calculation-sheet'!Y20</f>
        <v>139.09698558388087</v>
      </c>
      <c r="AA34" s="2">
        <f t="shared" si="1"/>
        <v>39.134232206626088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1.954942877175408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0.37979280861855902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2.3347356857939672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2.9269633273655042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0.56863023252618816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3.4955935598916925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3.5760892594816363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0.52105345362758548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4.0971427131092213</v>
      </c>
    </row>
    <row r="44" spans="1:27" x14ac:dyDescent="0.25">
      <c r="A44" s="2">
        <v>2034</v>
      </c>
      <c r="B44" s="2">
        <f>B11/'Output-Calculation-sheet'!B10*'Output-Calculation-sheet'!B37*0.0114</f>
        <v>1.5838052454971869</v>
      </c>
      <c r="C44" s="2">
        <f>C11/'Output-Calculation-sheet'!C10*'Output-Calculation-sheet'!C37*0.0114</f>
        <v>3.0068371756947934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0.2313995319700648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0.1679055038483237</v>
      </c>
      <c r="M44" s="2">
        <f>M11/'Output-Calculation-sheet'!M10*'Output-Calculation-sheet'!M37*0.0114</f>
        <v>0.15922552173611237</v>
      </c>
      <c r="N44" s="2">
        <f>N11/'Output-Calculation-sheet'!N10*'Output-Calculation-sheet'!N37*0.0114</f>
        <v>0.15649313812419621</v>
      </c>
      <c r="O44" s="2">
        <f>O11/'Output-Calculation-sheet'!O10*'Output-Calculation-sheet'!O37*0.0114</f>
        <v>0.58414757246810178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0.13711153150638908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8.9707025660715103E-2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4.3746956236069993E-2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1.7467432257378769E-2</v>
      </c>
      <c r="Y44" s="2">
        <f>Y11/'Output-Calculation-sheet'!Y10*'Output-Calculation-sheet'!Y37*0.0114</f>
        <v>0</v>
      </c>
      <c r="AA44" s="2">
        <f t="shared" si="2"/>
        <v>6.177846634999332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2.2888987938472596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0.44467145905301242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2.6593514905764382E-2</v>
      </c>
      <c r="Y45" s="2">
        <f>Y12/'Output-Calculation-sheet'!Y11*'Output-Calculation-sheet'!Y38*0.0114</f>
        <v>1.2831617566688583E-2</v>
      </c>
      <c r="AA45" s="2">
        <f t="shared" si="2"/>
        <v>6.8597534799017419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6545.8110097302942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4467.8346599531505</v>
      </c>
      <c r="N52" s="2">
        <f>N8/'Output-Calculation-sheet'!N7*'Output-Calculation-sheet'!N43</f>
        <v>142.80209919786734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575.80603923949138</v>
      </c>
      <c r="Y52" s="2">
        <f>Y8/'Output-Calculation-sheet'!Y7*'Output-Calculation-sheet'!Y43</f>
        <v>0</v>
      </c>
      <c r="AA52" s="2">
        <f t="shared" si="3"/>
        <v>11.732253808120802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599.08606115668204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11539.256893498843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7885.753417340853</v>
      </c>
      <c r="N53" s="2">
        <f>N9/'Output-Calculation-sheet'!N8*'Output-Calculation-sheet'!N44</f>
        <v>2815.0988000668631</v>
      </c>
      <c r="O53" s="2">
        <f>O9/'Output-Calculation-sheet'!O8*'Output-Calculation-sheet'!O44</f>
        <v>0</v>
      </c>
      <c r="P53" s="2">
        <f>P9/'Output-Calculation-sheet'!P8*'Output-Calculation-sheet'!P44</f>
        <v>131.67817999151586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868.13374591249794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988.38628771377842</v>
      </c>
      <c r="Y53" s="2">
        <f>Y9/'Output-Calculation-sheet'!Y8*'Output-Calculation-sheet'!Y44</f>
        <v>0</v>
      </c>
      <c r="AA53" s="2">
        <f t="shared" si="3"/>
        <v>24.827393385681031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4234.8425441229901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0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615.08625936191129</v>
      </c>
      <c r="R54" s="2">
        <f>R10/'Output-Calculation-sheet'!R9*'Output-Calculation-sheet'!R45</f>
        <v>1049.7204885890046</v>
      </c>
      <c r="S54" s="2">
        <f>S10/'Output-Calculation-sheet'!S9*'Output-Calculation-sheet'!S45</f>
        <v>2517.5164976587703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374.24437535936624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64.777714792605579</v>
      </c>
    </row>
    <row r="55" spans="1:27" x14ac:dyDescent="0.25">
      <c r="A55" s="2">
        <v>2034</v>
      </c>
      <c r="B55" s="2">
        <f>B11/'Output-Calculation-sheet'!B10*'Output-Calculation-sheet'!B46</f>
        <v>41679.085407820705</v>
      </c>
      <c r="C55" s="2">
        <f>C11/'Output-Calculation-sheet'!C10*'Output-Calculation-sheet'!C46</f>
        <v>8572.1235272000686</v>
      </c>
      <c r="D55" s="2">
        <f>D11/'Output-Calculation-sheet'!D10*'Output-Calculation-sheet'!D46</f>
        <v>4614.4853722311809</v>
      </c>
      <c r="E55" s="2">
        <f>E11/'Output-Calculation-sheet'!E10*'Output-Calculation-sheet'!E46</f>
        <v>5709.823540286824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14980.074964377878</v>
      </c>
      <c r="I55" s="2">
        <f>I11/'Output-Calculation-sheet'!I10*'Output-Calculation-sheet'!I46</f>
        <v>1111.9312188642307</v>
      </c>
      <c r="J55" s="2">
        <f>J11/'Output-Calculation-sheet'!J10*'Output-Calculation-sheet'!J46</f>
        <v>802.02057879980975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427.12803610538487</v>
      </c>
      <c r="M55" s="2">
        <f>M11/'Output-Calculation-sheet'!M10*'Output-Calculation-sheet'!M46</f>
        <v>10391.560365935755</v>
      </c>
      <c r="N55" s="2">
        <f>N11/'Output-Calculation-sheet'!N10*'Output-Calculation-sheet'!N46</f>
        <v>7385.3779220015404</v>
      </c>
      <c r="O55" s="2">
        <f>O11/'Output-Calculation-sheet'!O10*'Output-Calculation-sheet'!O46</f>
        <v>0</v>
      </c>
      <c r="P55" s="2">
        <f>P11/'Output-Calculation-sheet'!P10*'Output-Calculation-sheet'!P46</f>
        <v>3005.5646053619844</v>
      </c>
      <c r="Q55" s="2">
        <f>Q11/'Output-Calculation-sheet'!Q10*'Output-Calculation-sheet'!Q46</f>
        <v>1106.51411391121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3336.4718315915088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721.44103266501395</v>
      </c>
      <c r="V55" s="2">
        <f>V11/'Output-Calculation-sheet'!V10*'Output-Calculation-sheet'!V46</f>
        <v>372.83699401828073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1060.3037826408868</v>
      </c>
      <c r="Y55" s="2">
        <f>Y11/'Output-Calculation-sheet'!Y10*'Output-Calculation-sheet'!Y46</f>
        <v>282.41856639726342</v>
      </c>
      <c r="AA55" s="2">
        <f t="shared" si="3"/>
        <v>113.04639608738546</v>
      </c>
    </row>
    <row r="56" spans="1:27" x14ac:dyDescent="0.25">
      <c r="A56" s="2">
        <v>2035</v>
      </c>
      <c r="B56" s="2">
        <f>B12/'Output-Calculation-sheet'!B11*'Output-Calculation-sheet'!B47</f>
        <v>38390.187203553593</v>
      </c>
      <c r="C56" s="2">
        <f>C12/'Output-Calculation-sheet'!C11*'Output-Calculation-sheet'!C47</f>
        <v>14004.446567618101</v>
      </c>
      <c r="D56" s="2">
        <f>D12/'Output-Calculation-sheet'!D11*'Output-Calculation-sheet'!D47</f>
        <v>3068.0466036633861</v>
      </c>
      <c r="E56" s="2">
        <f>E12/'Output-Calculation-sheet'!E11*'Output-Calculation-sheet'!E47</f>
        <v>7703.5472047318572</v>
      </c>
      <c r="F56" s="2">
        <f>F12/'Output-Calculation-sheet'!F11*'Output-Calculation-sheet'!F47</f>
        <v>933.44093175223963</v>
      </c>
      <c r="G56" s="2">
        <f>G12/'Output-Calculation-sheet'!G11*'Output-Calculation-sheet'!G47</f>
        <v>2456.3540901928486</v>
      </c>
      <c r="H56" s="2">
        <f>H12/'Output-Calculation-sheet'!H11*'Output-Calculation-sheet'!H47</f>
        <v>11542.367715030381</v>
      </c>
      <c r="I56" s="2">
        <f>I12/'Output-Calculation-sheet'!I11*'Output-Calculation-sheet'!I47</f>
        <v>1391.5996972139719</v>
      </c>
      <c r="J56" s="2">
        <f>J12/'Output-Calculation-sheet'!J11*'Output-Calculation-sheet'!J47</f>
        <v>482.73929573767771</v>
      </c>
      <c r="K56" s="2">
        <f>K12/'Output-Calculation-sheet'!K11*'Output-Calculation-sheet'!K47</f>
        <v>2044.535059178844</v>
      </c>
      <c r="L56" s="2">
        <f>L12/'Output-Calculation-sheet'!L11*'Output-Calculation-sheet'!L47</f>
        <v>526.95632066127439</v>
      </c>
      <c r="M56" s="2">
        <f>M12/'Output-Calculation-sheet'!M11*'Output-Calculation-sheet'!M47</f>
        <v>8037.968575380216</v>
      </c>
      <c r="N56" s="2">
        <f>N12/'Output-Calculation-sheet'!N11*'Output-Calculation-sheet'!N47</f>
        <v>5893.6756485951018</v>
      </c>
      <c r="O56" s="2">
        <f>O12/'Output-Calculation-sheet'!O11*'Output-Calculation-sheet'!O47</f>
        <v>0</v>
      </c>
      <c r="P56" s="2">
        <f>P12/'Output-Calculation-sheet'!P11*'Output-Calculation-sheet'!P47</f>
        <v>3098.8419981285665</v>
      </c>
      <c r="Q56" s="2">
        <f>Q12/'Output-Calculation-sheet'!Q11*'Output-Calculation-sheet'!Q47</f>
        <v>1098.6694682454702</v>
      </c>
      <c r="R56" s="2">
        <f>R12/'Output-Calculation-sheet'!R11*'Output-Calculation-sheet'!R47</f>
        <v>2124.5944937483578</v>
      </c>
      <c r="S56" s="2">
        <f>S12/'Output-Calculation-sheet'!S11*'Output-Calculation-sheet'!S47</f>
        <v>2797.4038342262343</v>
      </c>
      <c r="T56" s="2">
        <f>T12/'Output-Calculation-sheet'!T11*'Output-Calculation-sheet'!T47</f>
        <v>765.87081916179295</v>
      </c>
      <c r="U56" s="2">
        <f>U12/'Output-Calculation-sheet'!U11*'Output-Calculation-sheet'!U47</f>
        <v>578.39543923373094</v>
      </c>
      <c r="V56" s="2">
        <f>V12/'Output-Calculation-sheet'!V11*'Output-Calculation-sheet'!V47</f>
        <v>322.10774643124603</v>
      </c>
      <c r="W56" s="2">
        <f>W12/'Output-Calculation-sheet'!W11*'Output-Calculation-sheet'!W47</f>
        <v>312.07953594439334</v>
      </c>
      <c r="X56" s="2">
        <f>X12/'Output-Calculation-sheet'!X11*'Output-Calculation-sheet'!X47</f>
        <v>818.80032736169278</v>
      </c>
      <c r="Y56" s="2">
        <f>Y12/'Output-Calculation-sheet'!Y11*'Output-Calculation-sheet'!Y47</f>
        <v>362.43691723453719</v>
      </c>
      <c r="AA56" s="2">
        <f t="shared" si="3"/>
        <v>108.7550654930255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5.0035184094695762</v>
      </c>
      <c r="C63" s="2">
        <f>C8*'Output-Calculation-sheet'!C52/10^9</f>
        <v>3.1297636514905056</v>
      </c>
      <c r="D63" s="2">
        <f>D8*'Output-Calculation-sheet'!D52/10^9</f>
        <v>1.4290525091943473</v>
      </c>
      <c r="E63" s="2">
        <f>E8*'Output-Calculation-sheet'!E52/10^9</f>
        <v>1.312682242310768</v>
      </c>
      <c r="F63" s="2">
        <f>F8*'Output-Calculation-sheet'!F52/10^9</f>
        <v>0.69180700330002776</v>
      </c>
      <c r="G63" s="2">
        <f>G8*'Output-Calculation-sheet'!G52/10^9</f>
        <v>0.51161253683470342</v>
      </c>
      <c r="H63" s="2">
        <f>H8*'Output-Calculation-sheet'!H52/10^9</f>
        <v>0.88273711344138239</v>
      </c>
      <c r="I63" s="2">
        <f>I8*'Output-Calculation-sheet'!I52/10^9</f>
        <v>0.47428743541390644</v>
      </c>
      <c r="J63" s="2">
        <f>J8*'Output-Calculation-sheet'!J52/10^9</f>
        <v>0.482179268681736</v>
      </c>
      <c r="K63" s="2">
        <f>K8*'Output-Calculation-sheet'!K52/10^9</f>
        <v>0.48524766074562975</v>
      </c>
      <c r="L63" s="2">
        <f>L8*'Output-Calculation-sheet'!L52/10^9</f>
        <v>0.39557233426551247</v>
      </c>
      <c r="M63" s="2">
        <f>M8*'Output-Calculation-sheet'!M52/10^9</f>
        <v>0.61116666502291639</v>
      </c>
      <c r="N63" s="2">
        <f>N8*'Output-Calculation-sheet'!N52/10^9</f>
        <v>0.54835862384510126</v>
      </c>
      <c r="O63" s="2">
        <f>O8*'Output-Calculation-sheet'!O52/10^9</f>
        <v>0.59301812415080801</v>
      </c>
      <c r="P63" s="2">
        <f>P8*'Output-Calculation-sheet'!P52/10^9</f>
        <v>0.39063831262469095</v>
      </c>
      <c r="Q63" s="2">
        <f>Q8*'Output-Calculation-sheet'!Q52/10^9</f>
        <v>0.40285940782553492</v>
      </c>
      <c r="R63" s="2">
        <f>R8*'Output-Calculation-sheet'!R52/10^9</f>
        <v>0.32993745650220718</v>
      </c>
      <c r="S63" s="2">
        <f>S8*'Output-Calculation-sheet'!S52/10^9</f>
        <v>0.30338304851357045</v>
      </c>
      <c r="T63" s="2">
        <f>T8*'Output-Calculation-sheet'!T52/10^9</f>
        <v>0.11375689092813766</v>
      </c>
      <c r="U63" s="2">
        <f>U8*'Output-Calculation-sheet'!U52/10^9</f>
        <v>0.10334291411395198</v>
      </c>
      <c r="V63" s="2">
        <f>V8*'Output-Calculation-sheet'!V52/10^9</f>
        <v>7.9852465453919774E-2</v>
      </c>
      <c r="W63" s="2">
        <f>W8*'Output-Calculation-sheet'!W52/10^9</f>
        <v>6.2385313903189715E-2</v>
      </c>
      <c r="X63" s="2">
        <f>X8*'Output-Calculation-sheet'!X52/10^9</f>
        <v>7.4831231869603415E-2</v>
      </c>
      <c r="Y63" s="2">
        <f>Y8*'Output-Calculation-sheet'!Y52/10^9</f>
        <v>4.0552946089522465E-2</v>
      </c>
      <c r="AA63" s="2">
        <f t="shared" si="4"/>
        <v>18.452543565991252</v>
      </c>
    </row>
    <row r="64" spans="1:27" x14ac:dyDescent="0.25">
      <c r="A64" s="2">
        <v>2032</v>
      </c>
      <c r="B64" s="2">
        <f>B9*'Output-Calculation-sheet'!B53/10^9</f>
        <v>5.1690468289612532</v>
      </c>
      <c r="C64" s="2">
        <f>C9*'Output-Calculation-sheet'!C53/10^9</f>
        <v>3.4228190460397694</v>
      </c>
      <c r="D64" s="2">
        <f>D9*'Output-Calculation-sheet'!D53/10^9</f>
        <v>1.2454199066376912</v>
      </c>
      <c r="E64" s="2">
        <f>E9*'Output-Calculation-sheet'!E53/10^9</f>
        <v>1.215910731233536</v>
      </c>
      <c r="F64" s="2">
        <f>F9*'Output-Calculation-sheet'!F53/10^9</f>
        <v>0.61322397476346013</v>
      </c>
      <c r="G64" s="2">
        <f>G9*'Output-Calculation-sheet'!G53/10^9</f>
        <v>0.44542691193606965</v>
      </c>
      <c r="H64" s="2">
        <f>H9*'Output-Calculation-sheet'!H53/10^9</f>
        <v>0.95631064849762393</v>
      </c>
      <c r="I64" s="2">
        <f>I9*'Output-Calculation-sheet'!I53/10^9</f>
        <v>0.41591611234938053</v>
      </c>
      <c r="J64" s="2">
        <f>J9*'Output-Calculation-sheet'!J53/10^9</f>
        <v>0.4151403128698159</v>
      </c>
      <c r="K64" s="2">
        <f>K9*'Output-Calculation-sheet'!K53/10^9</f>
        <v>0.44776255294098971</v>
      </c>
      <c r="L64" s="2">
        <f>L9*'Output-Calculation-sheet'!L53/10^9</f>
        <v>0.36909928121046259</v>
      </c>
      <c r="M64" s="2">
        <f>M9*'Output-Calculation-sheet'!M53/10^9</f>
        <v>0.66252199101323528</v>
      </c>
      <c r="N64" s="2">
        <f>N9*'Output-Calculation-sheet'!N53/10^9</f>
        <v>0.58869964481598858</v>
      </c>
      <c r="O64" s="2">
        <f>O9*'Output-Calculation-sheet'!O53/10^9</f>
        <v>0.63339494581584688</v>
      </c>
      <c r="P64" s="2">
        <f>P9*'Output-Calculation-sheet'!P53/10^9</f>
        <v>0.40047088819599658</v>
      </c>
      <c r="Q64" s="2">
        <f>Q9*'Output-Calculation-sheet'!Q53/10^9</f>
        <v>0.40979089857675099</v>
      </c>
      <c r="R64" s="2">
        <f>R9*'Output-Calculation-sheet'!R53/10^9</f>
        <v>0.32038924611978825</v>
      </c>
      <c r="S64" s="2">
        <f>S9*'Output-Calculation-sheet'!S53/10^9</f>
        <v>0.32426016312511247</v>
      </c>
      <c r="T64" s="2">
        <f>T9*'Output-Calculation-sheet'!T53/10^9</f>
        <v>0.10266674763599415</v>
      </c>
      <c r="U64" s="2">
        <f>U9*'Output-Calculation-sheet'!U53/10^9</f>
        <v>0.10127574716628239</v>
      </c>
      <c r="V64" s="2">
        <f>V9*'Output-Calculation-sheet'!V53/10^9</f>
        <v>7.5352018555193467E-2</v>
      </c>
      <c r="W64" s="2">
        <f>W9*'Output-Calculation-sheet'!W53/10^9</f>
        <v>5.4401039337011049E-2</v>
      </c>
      <c r="X64" s="2">
        <f>X9*'Output-Calculation-sheet'!X53/10^9</f>
        <v>8.1302064781487743E-2</v>
      </c>
      <c r="Y64" s="2">
        <f>Y9*'Output-Calculation-sheet'!Y53/10^9</f>
        <v>3.9214117370412443E-2</v>
      </c>
      <c r="AA64" s="2">
        <f t="shared" si="4"/>
        <v>18.509815819949164</v>
      </c>
    </row>
    <row r="65" spans="1:27" x14ac:dyDescent="0.25">
      <c r="A65" s="2">
        <v>2033</v>
      </c>
      <c r="B65" s="2">
        <f>B10*'Output-Calculation-sheet'!B54/10^9</f>
        <v>5.1575407887104578</v>
      </c>
      <c r="C65" s="2">
        <f>C10*'Output-Calculation-sheet'!C54/10^9</f>
        <v>3.4063338477997966</v>
      </c>
      <c r="D65" s="2">
        <f>D10*'Output-Calculation-sheet'!D54/10^9</f>
        <v>0.99073345870286111</v>
      </c>
      <c r="E65" s="2">
        <f>E10*'Output-Calculation-sheet'!E54/10^9</f>
        <v>1.124256130375791</v>
      </c>
      <c r="F65" s="2">
        <f>F10*'Output-Calculation-sheet'!F54/10^9</f>
        <v>0.51001137759786863</v>
      </c>
      <c r="G65" s="2">
        <f>G10*'Output-Calculation-sheet'!G54/10^9</f>
        <v>0.35199281253142711</v>
      </c>
      <c r="H65" s="2">
        <f>H10*'Output-Calculation-sheet'!H54/10^9</f>
        <v>0.93560428962657682</v>
      </c>
      <c r="I65" s="2">
        <f>I10*'Output-Calculation-sheet'!I54/10^9</f>
        <v>0.34624382123779246</v>
      </c>
      <c r="J65" s="2">
        <f>J10*'Output-Calculation-sheet'!J54/10^9</f>
        <v>0.31932672164655312</v>
      </c>
      <c r="K65" s="2">
        <f>K10*'Output-Calculation-sheet'!K54/10^9</f>
        <v>0.40724656957971628</v>
      </c>
      <c r="L65" s="2">
        <f>L10*'Output-Calculation-sheet'!L54/10^9</f>
        <v>0.33872999848567265</v>
      </c>
      <c r="M65" s="2">
        <f>M10*'Output-Calculation-sheet'!M54/10^9</f>
        <v>0.64833750352753761</v>
      </c>
      <c r="N65" s="2">
        <f>N10*'Output-Calculation-sheet'!N54/10^9</f>
        <v>0.58288003808519562</v>
      </c>
      <c r="O65" s="2">
        <f>O10*'Output-Calculation-sheet'!O54/10^9</f>
        <v>0.61703450999785969</v>
      </c>
      <c r="P65" s="2">
        <f>P10*'Output-Calculation-sheet'!P54/10^9</f>
        <v>0.39331732116963752</v>
      </c>
      <c r="Q65" s="2">
        <f>Q10*'Output-Calculation-sheet'!Q54/10^9</f>
        <v>0.40804689082429807</v>
      </c>
      <c r="R65" s="2">
        <f>R10*'Output-Calculation-sheet'!R54/10^9</f>
        <v>0.30491863021612575</v>
      </c>
      <c r="S65" s="2">
        <f>S10*'Output-Calculation-sheet'!S54/10^9</f>
        <v>0.32245628032617019</v>
      </c>
      <c r="T65" s="2">
        <f>T10*'Output-Calculation-sheet'!T54/10^9</f>
        <v>9.1522987604025899E-2</v>
      </c>
      <c r="U65" s="2">
        <f>U10*'Output-Calculation-sheet'!U54/10^9</f>
        <v>9.8952388715176656E-2</v>
      </c>
      <c r="V65" s="2">
        <f>V10*'Output-Calculation-sheet'!V54/10^9</f>
        <v>6.9059960372636259E-2</v>
      </c>
      <c r="W65" s="2">
        <f>W10*'Output-Calculation-sheet'!W54/10^9</f>
        <v>4.3198482581455575E-2</v>
      </c>
      <c r="X65" s="2">
        <f>X10*'Output-Calculation-sheet'!X54/10^9</f>
        <v>8.0165718662261173E-2</v>
      </c>
      <c r="Y65" s="2">
        <f>Y10*'Output-Calculation-sheet'!Y54/10^9</f>
        <v>3.8108866250630875E-2</v>
      </c>
      <c r="AA65" s="2">
        <f t="shared" si="4"/>
        <v>17.586019394627524</v>
      </c>
    </row>
    <row r="66" spans="1:27" x14ac:dyDescent="0.25">
      <c r="A66" s="2">
        <v>2034</v>
      </c>
      <c r="B66" s="2">
        <f>B11*'Output-Calculation-sheet'!B55/10^9</f>
        <v>4.8394612461174553</v>
      </c>
      <c r="C66" s="2">
        <f>C11*'Output-Calculation-sheet'!C55/10^9</f>
        <v>3.0818039046546004</v>
      </c>
      <c r="D66" s="2">
        <f>D11*'Output-Calculation-sheet'!D55/10^9</f>
        <v>0.90817349437909867</v>
      </c>
      <c r="E66" s="2">
        <f>E11*'Output-Calculation-sheet'!E55/10^9</f>
        <v>1.1191526909183867</v>
      </c>
      <c r="F66" s="2">
        <f>F11*'Output-Calculation-sheet'!F55/10^9</f>
        <v>0.44818608176195907</v>
      </c>
      <c r="G66" s="2">
        <f>G11*'Output-Calculation-sheet'!G55/10^9</f>
        <v>0.32284673842167766</v>
      </c>
      <c r="H66" s="2">
        <f>H11*'Output-Calculation-sheet'!H55/10^9</f>
        <v>0.85074005688350662</v>
      </c>
      <c r="I66" s="2">
        <f>I11*'Output-Calculation-sheet'!I55/10^9</f>
        <v>0.31734082134788649</v>
      </c>
      <c r="J66" s="2">
        <f>J11*'Output-Calculation-sheet'!J55/10^9</f>
        <v>0.28017383195348061</v>
      </c>
      <c r="K66" s="2">
        <f>K11*'Output-Calculation-sheet'!K55/10^9</f>
        <v>0.37418474883810438</v>
      </c>
      <c r="L66" s="2">
        <f>L11*'Output-Calculation-sheet'!L55/10^9</f>
        <v>0.32819187650374454</v>
      </c>
      <c r="M66" s="2">
        <f>M11*'Output-Calculation-sheet'!M55/10^9</f>
        <v>0.59052997151807585</v>
      </c>
      <c r="N66" s="2">
        <f>N11*'Output-Calculation-sheet'!N55/10^9</f>
        <v>0.52889352098478382</v>
      </c>
      <c r="O66" s="2">
        <f>O11*'Output-Calculation-sheet'!O55/10^9</f>
        <v>0.5484684597202486</v>
      </c>
      <c r="P66" s="2">
        <f>P11*'Output-Calculation-sheet'!P55/10^9</f>
        <v>0.37157454366011655</v>
      </c>
      <c r="Q66" s="2">
        <f>Q11*'Output-Calculation-sheet'!Q55/10^9</f>
        <v>0.38582526936264705</v>
      </c>
      <c r="R66" s="2">
        <f>R11*'Output-Calculation-sheet'!R55/10^9</f>
        <v>0.28121734526289877</v>
      </c>
      <c r="S66" s="2">
        <f>S11*'Output-Calculation-sheet'!S55/10^9</f>
        <v>0.29782723481072249</v>
      </c>
      <c r="T66" s="2">
        <f>T11*'Output-Calculation-sheet'!T55/10^9</f>
        <v>8.2791201585304786E-2</v>
      </c>
      <c r="U66" s="2">
        <f>U11*'Output-Calculation-sheet'!U55/10^9</f>
        <v>9.5700368578813325E-2</v>
      </c>
      <c r="V66" s="2">
        <f>V11*'Output-Calculation-sheet'!V55/10^9</f>
        <v>6.1835868351517914E-2</v>
      </c>
      <c r="W66" s="2">
        <f>W11*'Output-Calculation-sheet'!W55/10^9</f>
        <v>3.7674269531127874E-2</v>
      </c>
      <c r="X66" s="2">
        <f>X11*'Output-Calculation-sheet'!X55/10^9</f>
        <v>7.4540107892386048E-2</v>
      </c>
      <c r="Y66" s="2">
        <f>Y11*'Output-Calculation-sheet'!Y55/10^9</f>
        <v>3.9067130642806841E-2</v>
      </c>
      <c r="AA66" s="2">
        <f t="shared" si="4"/>
        <v>16.266200783681352</v>
      </c>
    </row>
    <row r="67" spans="1:27" x14ac:dyDescent="0.25">
      <c r="A67" s="2">
        <v>2035</v>
      </c>
      <c r="B67" s="2">
        <f>B12*'Output-Calculation-sheet'!B56/10^9</f>
        <v>4.1007419363383226</v>
      </c>
      <c r="C67" s="2">
        <f>C12*'Output-Calculation-sheet'!C56/10^9</f>
        <v>2.5007332275715037</v>
      </c>
      <c r="D67" s="2">
        <f>D12*'Output-Calculation-sheet'!D56/10^9</f>
        <v>0.83521201109042253</v>
      </c>
      <c r="E67" s="2">
        <f>E12*'Output-Calculation-sheet'!E56/10^9</f>
        <v>1.1286105333069925</v>
      </c>
      <c r="F67" s="2">
        <f>F12*'Output-Calculation-sheet'!F56/10^9</f>
        <v>0.44790104105572853</v>
      </c>
      <c r="G67" s="2">
        <f>G12*'Output-Calculation-sheet'!G56/10^9</f>
        <v>0.32485196390202659</v>
      </c>
      <c r="H67" s="2">
        <f>H12*'Output-Calculation-sheet'!H56/10^9</f>
        <v>0.7075804835577878</v>
      </c>
      <c r="I67" s="2">
        <f>I12*'Output-Calculation-sheet'!I56/10^9</f>
        <v>0.30693593390863544</v>
      </c>
      <c r="J67" s="2">
        <f>J12*'Output-Calculation-sheet'!J56/10^9</f>
        <v>0.253692267172966</v>
      </c>
      <c r="K67" s="2">
        <f>K12*'Output-Calculation-sheet'!K56/10^9</f>
        <v>0.3425786465138152</v>
      </c>
      <c r="L67" s="2">
        <f>L12*'Output-Calculation-sheet'!L56/10^9</f>
        <v>0.29544151117221223</v>
      </c>
      <c r="M67" s="2">
        <f>M12*'Output-Calculation-sheet'!M56/10^9</f>
        <v>0.49584433680329509</v>
      </c>
      <c r="N67" s="2">
        <f>N12*'Output-Calculation-sheet'!N56/10^9</f>
        <v>0.43407479401214172</v>
      </c>
      <c r="O67" s="2">
        <f>O12*'Output-Calculation-sheet'!O56/10^9</f>
        <v>0.4392556713913508</v>
      </c>
      <c r="P67" s="2">
        <f>P12*'Output-Calculation-sheet'!P56/10^9</f>
        <v>0.3461478785302981</v>
      </c>
      <c r="Q67" s="2">
        <f>Q12*'Output-Calculation-sheet'!Q56/10^9</f>
        <v>0.32421247456244501</v>
      </c>
      <c r="R67" s="2">
        <f>R12*'Output-Calculation-sheet'!R56/10^9</f>
        <v>0.25481333698411246</v>
      </c>
      <c r="S67" s="2">
        <f>S12*'Output-Calculation-sheet'!S56/10^9</f>
        <v>0.2470336114312621</v>
      </c>
      <c r="T67" s="2">
        <f>T12*'Output-Calculation-sheet'!T56/10^9</f>
        <v>7.8331263218612057E-2</v>
      </c>
      <c r="U67" s="2">
        <f>U12*'Output-Calculation-sheet'!U56/10^9</f>
        <v>8.4490549204989218E-2</v>
      </c>
      <c r="V67" s="2">
        <f>V12*'Output-Calculation-sheet'!V56/10^9</f>
        <v>5.3315330871007878E-2</v>
      </c>
      <c r="W67" s="2">
        <f>W12*'Output-Calculation-sheet'!W56/10^9</f>
        <v>4.1451724409714466E-2</v>
      </c>
      <c r="X67" s="2">
        <f>X12*'Output-Calculation-sheet'!X56/10^9</f>
        <v>6.2192127599835133E-2</v>
      </c>
      <c r="Y67" s="2">
        <f>Y12*'Output-Calculation-sheet'!Y56/10^9</f>
        <v>3.8920303595097898E-2</v>
      </c>
      <c r="AA67" s="2">
        <f t="shared" si="4"/>
        <v>14.144362958204574</v>
      </c>
    </row>
    <row r="68" spans="1:27" x14ac:dyDescent="0.25">
      <c r="B68" s="2">
        <f>SUM(B60:B67)</f>
        <v>35.583864877147022</v>
      </c>
      <c r="C68" s="2">
        <f t="shared" ref="C68:Y68" si="5">SUM(C60:C67)</f>
        <v>21.314432437440747</v>
      </c>
      <c r="D68" s="2">
        <f t="shared" si="5"/>
        <v>9.2529958851891561</v>
      </c>
      <c r="E68" s="2">
        <f t="shared" si="5"/>
        <v>9.3191567298792108</v>
      </c>
      <c r="F68" s="2">
        <f t="shared" si="5"/>
        <v>4.530118565386136</v>
      </c>
      <c r="G68" s="2">
        <f t="shared" si="5"/>
        <v>3.3348693348954561</v>
      </c>
      <c r="H68" s="2">
        <f t="shared" si="5"/>
        <v>6.0131031143293026</v>
      </c>
      <c r="I68" s="2">
        <f t="shared" si="5"/>
        <v>3.1261348843038177</v>
      </c>
      <c r="J68" s="2">
        <f t="shared" si="5"/>
        <v>3.0683902350067584</v>
      </c>
      <c r="K68" s="2">
        <f t="shared" si="5"/>
        <v>3.3105740562125918</v>
      </c>
      <c r="L68" s="2">
        <f t="shared" si="5"/>
        <v>2.7402254488118434</v>
      </c>
      <c r="M68" s="2">
        <f t="shared" si="5"/>
        <v>4.1699224160634607</v>
      </c>
      <c r="N68" s="2">
        <f t="shared" si="5"/>
        <v>3.8578763367856093</v>
      </c>
      <c r="O68" s="2">
        <f t="shared" si="5"/>
        <v>3.9639952678216681</v>
      </c>
      <c r="P68" s="2">
        <f t="shared" si="5"/>
        <v>2.8149312761480192</v>
      </c>
      <c r="Q68" s="2">
        <f t="shared" si="5"/>
        <v>2.8529527056719224</v>
      </c>
      <c r="R68" s="2">
        <f t="shared" si="5"/>
        <v>2.3209271036919765</v>
      </c>
      <c r="S68" s="2">
        <f t="shared" si="5"/>
        <v>2.1571063303926707</v>
      </c>
      <c r="T68" s="2">
        <f t="shared" si="5"/>
        <v>0.76547077635673377</v>
      </c>
      <c r="U68" s="2">
        <f t="shared" si="5"/>
        <v>0.74704373680455904</v>
      </c>
      <c r="V68" s="2">
        <f t="shared" si="5"/>
        <v>0.5424800916542114</v>
      </c>
      <c r="W68" s="2">
        <f t="shared" si="5"/>
        <v>0.4068069254743728</v>
      </c>
      <c r="X68" s="2">
        <f t="shared" si="5"/>
        <v>0.51271546601244267</v>
      </c>
      <c r="Y68" s="2">
        <f t="shared" si="5"/>
        <v>0.29868608616294529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1401.7273600554304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936.59254300456917</v>
      </c>
      <c r="N74" s="2">
        <f>N8/'Output-Calculation-sheet'!N7*'Output-Calculation-sheet'!N61</f>
        <v>39.252727017013783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115.32060052312029</v>
      </c>
      <c r="Y74" s="2">
        <f>Y8/'Output-Calculation-sheet'!Y7*'Output-Calculation-sheet'!Y61</f>
        <v>0</v>
      </c>
      <c r="AA74" s="2">
        <f t="shared" si="6"/>
        <v>2.4928932306001337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164.57749937204281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2197.1746247965984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1492.5827761304806</v>
      </c>
      <c r="N75" s="2">
        <f>N9/'Output-Calculation-sheet'!N8*'Output-Calculation-sheet'!N62</f>
        <v>577.27342482383779</v>
      </c>
      <c r="O75" s="2">
        <f>O9/'Output-Calculation-sheet'!O8*'Output-Calculation-sheet'!O62</f>
        <v>0</v>
      </c>
      <c r="P75" s="2">
        <f>P9/'Output-Calculation-sheet'!P8*'Output-Calculation-sheet'!P62</f>
        <v>38.647545827509902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190.94857074800075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180.43916429949002</v>
      </c>
      <c r="Y75" s="2">
        <f>Y9/'Output-Calculation-sheet'!Y8*'Output-Calculation-sheet'!Y62</f>
        <v>0</v>
      </c>
      <c r="AA75" s="2">
        <f t="shared" si="6"/>
        <v>4.8416436059979597</v>
      </c>
    </row>
    <row r="76" spans="1:27" x14ac:dyDescent="0.25">
      <c r="A76" s="2">
        <v>2033</v>
      </c>
      <c r="B76" s="2">
        <f>B10/'Output-Calculation-sheet'!B9*'Output-Calculation-sheet'!B63</f>
        <v>4244.4913944364234</v>
      </c>
      <c r="C76" s="2">
        <f>C10/'Output-Calculation-sheet'!C9*'Output-Calculation-sheet'!C63</f>
        <v>1064.9844768368557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2770.8849942554998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1886.6232841779101</v>
      </c>
      <c r="N76" s="2">
        <f>N10/'Output-Calculation-sheet'!N9*'Output-Calculation-sheet'!N63</f>
        <v>1080.0528225795588</v>
      </c>
      <c r="O76" s="2">
        <f>O10/'Output-Calculation-sheet'!O9*'Output-Calculation-sheet'!O63</f>
        <v>0</v>
      </c>
      <c r="P76" s="2">
        <f>P10/'Output-Calculation-sheet'!P9*'Output-Calculation-sheet'!P63</f>
        <v>370.18728957040156</v>
      </c>
      <c r="Q76" s="2">
        <f>Q10/'Output-Calculation-sheet'!Q9*'Output-Calculation-sheet'!Q63</f>
        <v>164.82881317737915</v>
      </c>
      <c r="R76" s="2">
        <f>R10/'Output-Calculation-sheet'!R9*'Output-Calculation-sheet'!R63</f>
        <v>284.13380251942925</v>
      </c>
      <c r="S76" s="2">
        <f>S10/'Output-Calculation-sheet'!S9*'Output-Calculation-sheet'!S63</f>
        <v>478.78671562723059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99.790893502835885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222.19263915139013</v>
      </c>
      <c r="Y76" s="2">
        <f>Y10/'Output-Calculation-sheet'!Y9*'Output-Calculation-sheet'!Y63</f>
        <v>4.2152792446929306</v>
      </c>
      <c r="AA76" s="2">
        <f t="shared" si="6"/>
        <v>12.770941776610005</v>
      </c>
    </row>
    <row r="77" spans="1:27" x14ac:dyDescent="0.25">
      <c r="A77" s="2">
        <v>2034</v>
      </c>
      <c r="B77" s="2">
        <f>B11/'Output-Calculation-sheet'!B10*'Output-Calculation-sheet'!B64</f>
        <v>7112.2580642752173</v>
      </c>
      <c r="C77" s="2">
        <f>C11/'Output-Calculation-sheet'!C10*'Output-Calculation-sheet'!C64</f>
        <v>1937.2339777354678</v>
      </c>
      <c r="D77" s="2">
        <f>D11/'Output-Calculation-sheet'!D10*'Output-Calculation-sheet'!D64</f>
        <v>1059.5792993958687</v>
      </c>
      <c r="E77" s="2">
        <f>E11/'Output-Calculation-sheet'!E10*'Output-Calculation-sheet'!E64</f>
        <v>1314.2806835170777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565.53105230241624</v>
      </c>
      <c r="H77" s="2">
        <f>H11/'Output-Calculation-sheet'!H10*'Output-Calculation-sheet'!H64</f>
        <v>2786.5781182381083</v>
      </c>
      <c r="I77" s="2">
        <f>I11/'Output-Calculation-sheet'!I10*'Output-Calculation-sheet'!I64</f>
        <v>330.01741650053458</v>
      </c>
      <c r="J77" s="2">
        <f>J11/'Output-Calculation-sheet'!J10*'Output-Calculation-sheet'!J64</f>
        <v>226.52418440752763</v>
      </c>
      <c r="K77" s="2">
        <f>K11/'Output-Calculation-sheet'!K10*'Output-Calculation-sheet'!K64</f>
        <v>511.56651068592504</v>
      </c>
      <c r="L77" s="2">
        <f>L11/'Output-Calculation-sheet'!L10*'Output-Calculation-sheet'!L64</f>
        <v>125.42835708529164</v>
      </c>
      <c r="M77" s="2">
        <f>M11/'Output-Calculation-sheet'!M10*'Output-Calculation-sheet'!M64</f>
        <v>1909.5190529958425</v>
      </c>
      <c r="N77" s="2">
        <f>N11/'Output-Calculation-sheet'!N10*'Output-Calculation-sheet'!N64</f>
        <v>1292.8255054614517</v>
      </c>
      <c r="O77" s="2">
        <f>O11/'Output-Calculation-sheet'!O10*'Output-Calculation-sheet'!O64</f>
        <v>0</v>
      </c>
      <c r="P77" s="2">
        <f>P11/'Output-Calculation-sheet'!P10*'Output-Calculation-sheet'!P64</f>
        <v>628.56881715091458</v>
      </c>
      <c r="Q77" s="2">
        <f>Q11/'Output-Calculation-sheet'!Q10*'Output-Calculation-sheet'!Q64</f>
        <v>256.4947825355485</v>
      </c>
      <c r="R77" s="2">
        <f>R11/'Output-Calculation-sheet'!R10*'Output-Calculation-sheet'!R64</f>
        <v>533.87956197485505</v>
      </c>
      <c r="S77" s="2">
        <f>S11/'Output-Calculation-sheet'!S10*'Output-Calculation-sheet'!S64</f>
        <v>595.95367380601726</v>
      </c>
      <c r="T77" s="2">
        <f>T11/'Output-Calculation-sheet'!T10*'Output-Calculation-sheet'!T64</f>
        <v>147.91797831088476</v>
      </c>
      <c r="U77" s="2">
        <f>U11/'Output-Calculation-sheet'!U10*'Output-Calculation-sheet'!U64</f>
        <v>157.95721163062396</v>
      </c>
      <c r="V77" s="2">
        <f>V11/'Output-Calculation-sheet'!V10*'Output-Calculation-sheet'!V64</f>
        <v>76.520354486609037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195.49887273256269</v>
      </c>
      <c r="Y77" s="2">
        <f>Y11/'Output-Calculation-sheet'!Y10*'Output-Calculation-sheet'!Y64</f>
        <v>48.858411986726573</v>
      </c>
      <c r="AA77" s="2">
        <f t="shared" si="6"/>
        <v>21.911556869067944</v>
      </c>
    </row>
    <row r="78" spans="1:27" x14ac:dyDescent="0.25">
      <c r="A78" s="2">
        <v>2035</v>
      </c>
      <c r="B78" s="2">
        <f>B12/'Output-Calculation-sheet'!B11*'Output-Calculation-sheet'!B65</f>
        <v>6633.4647712630631</v>
      </c>
      <c r="C78" s="2">
        <f>C12/'Output-Calculation-sheet'!C11*'Output-Calculation-sheet'!C65</f>
        <v>2853.6444151098804</v>
      </c>
      <c r="D78" s="2">
        <f>D12/'Output-Calculation-sheet'!D11*'Output-Calculation-sheet'!D65</f>
        <v>725.17060955284308</v>
      </c>
      <c r="E78" s="2">
        <f>E12/'Output-Calculation-sheet'!E11*'Output-Calculation-sheet'!E65</f>
        <v>1340.5939004858369</v>
      </c>
      <c r="F78" s="2">
        <f>F12/'Output-Calculation-sheet'!F11*'Output-Calculation-sheet'!F65</f>
        <v>291.58916725212816</v>
      </c>
      <c r="G78" s="2">
        <f>G12/'Output-Calculation-sheet'!G11*'Output-Calculation-sheet'!G65</f>
        <v>554.29065576812775</v>
      </c>
      <c r="H78" s="2">
        <f>H12/'Output-Calculation-sheet'!H11*'Output-Calculation-sheet'!H65</f>
        <v>2142.2603575836106</v>
      </c>
      <c r="I78" s="2">
        <f>I12/'Output-Calculation-sheet'!I11*'Output-Calculation-sheet'!I65</f>
        <v>364.6134670586917</v>
      </c>
      <c r="J78" s="2">
        <f>J12/'Output-Calculation-sheet'!J11*'Output-Calculation-sheet'!J65</f>
        <v>148.6695048726242</v>
      </c>
      <c r="K78" s="2">
        <f>K12/'Output-Calculation-sheet'!K11*'Output-Calculation-sheet'!K65</f>
        <v>451.68714541886266</v>
      </c>
      <c r="L78" s="2">
        <f>L12/'Output-Calculation-sheet'!L11*'Output-Calculation-sheet'!L65</f>
        <v>144.58784492016585</v>
      </c>
      <c r="M78" s="2">
        <f>M12/'Output-Calculation-sheet'!M11*'Output-Calculation-sheet'!M65</f>
        <v>1492.0319684546046</v>
      </c>
      <c r="N78" s="2">
        <f>N12/'Output-Calculation-sheet'!N11*'Output-Calculation-sheet'!N65</f>
        <v>1034.0056833838391</v>
      </c>
      <c r="O78" s="2">
        <f>O12/'Output-Calculation-sheet'!O11*'Output-Calculation-sheet'!O65</f>
        <v>0</v>
      </c>
      <c r="P78" s="2">
        <f>P12/'Output-Calculation-sheet'!P11*'Output-Calculation-sheet'!P65</f>
        <v>595.70169214492046</v>
      </c>
      <c r="Q78" s="2">
        <f>Q12/'Output-Calculation-sheet'!Q11*'Output-Calculation-sheet'!Q65</f>
        <v>240.84665859721116</v>
      </c>
      <c r="R78" s="2">
        <f>R12/'Output-Calculation-sheet'!R11*'Output-Calculation-sheet'!R65</f>
        <v>468.9724563721802</v>
      </c>
      <c r="S78" s="2">
        <f>S12/'Output-Calculation-sheet'!S11*'Output-Calculation-sheet'!S65</f>
        <v>488.40155079186678</v>
      </c>
      <c r="T78" s="2">
        <f>T12/'Output-Calculation-sheet'!T11*'Output-Calculation-sheet'!T65</f>
        <v>173.25475925757439</v>
      </c>
      <c r="U78" s="2">
        <f>U12/'Output-Calculation-sheet'!U11*'Output-Calculation-sheet'!U65</f>
        <v>125.11160740879528</v>
      </c>
      <c r="V78" s="2">
        <f>V12/'Output-Calculation-sheet'!V11*'Output-Calculation-sheet'!V65</f>
        <v>63.020493214359455</v>
      </c>
      <c r="W78" s="2">
        <f>W12/'Output-Calculation-sheet'!W11*'Output-Calculation-sheet'!W65</f>
        <v>68.589230509278693</v>
      </c>
      <c r="X78" s="2">
        <f>X12/'Output-Calculation-sheet'!X11*'Output-Calculation-sheet'!X65</f>
        <v>150.74673890200464</v>
      </c>
      <c r="Y78" s="2">
        <f>Y12/'Output-Calculation-sheet'!Y11*'Output-Calculation-sheet'!Y65</f>
        <v>57.882976611136876</v>
      </c>
      <c r="AA78" s="2">
        <f t="shared" si="6"/>
        <v>20.609137654933612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1114.6604124245748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216.54853122988013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1.331208943654455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1540.5070144028969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282.6524547644795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1.8231594691673763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1803.7292317560884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319.94510310465773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2.1236743348607461</v>
      </c>
    </row>
    <row r="88" spans="1:27" x14ac:dyDescent="0.25">
      <c r="A88" s="2">
        <v>2034</v>
      </c>
      <c r="B88" s="2">
        <f>B11/'Output-Calculation-sheet'!B10*'Output-Calculation-sheet'!B73</f>
        <v>138.93028469273568</v>
      </c>
      <c r="C88" s="2">
        <f>C11/'Output-Calculation-sheet'!C10*'Output-Calculation-sheet'!C73</f>
        <v>1714.4247054400137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20.298204558777613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14.728552969151202</v>
      </c>
      <c r="M88" s="2">
        <f>M11/'Output-Calculation-sheet'!M10*'Output-Calculation-sheet'!M73</f>
        <v>13.967151029483542</v>
      </c>
      <c r="N88" s="2">
        <f>N11/'Output-Calculation-sheet'!N10*'Output-Calculation-sheet'!N73</f>
        <v>13.727468256508439</v>
      </c>
      <c r="O88" s="2">
        <f>O11/'Output-Calculation-sheet'!O10*'Output-Calculation-sheet'!O73</f>
        <v>320.25634455488034</v>
      </c>
      <c r="P88" s="2">
        <f>P11/'Output-Calculation-sheet'!P10*'Output-Calculation-sheet'!P73</f>
        <v>0</v>
      </c>
      <c r="Q88" s="2">
        <f>Q11/'Output-Calculation-sheet'!Q10*'Output-Calculation-sheet'!Q73</f>
        <v>24.054654650243695</v>
      </c>
      <c r="R88" s="2">
        <f>R11/'Output-Calculation-sheet'!R10*'Output-Calculation-sheet'!R73</f>
        <v>0</v>
      </c>
      <c r="S88" s="2">
        <f>S11/'Output-Calculation-sheet'!S10*'Output-Calculation-sheet'!S73</f>
        <v>7.8690373386592194</v>
      </c>
      <c r="T88" s="2">
        <f>T11/'Output-Calculation-sheet'!T10*'Output-Calculation-sheet'!T73</f>
        <v>0</v>
      </c>
      <c r="U88" s="2">
        <f>U11/'Output-Calculation-sheet'!U10*'Output-Calculation-sheet'!U73</f>
        <v>3.8374523014096487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7.6611544988503377</v>
      </c>
      <c r="Y88" s="2">
        <f>Y11/'Output-Calculation-sheet'!Y10*'Output-Calculation-sheet'!Y73</f>
        <v>0</v>
      </c>
      <c r="AA88" s="2">
        <f t="shared" si="7"/>
        <v>2.2797550102907138</v>
      </c>
    </row>
    <row r="89" spans="1:27" x14ac:dyDescent="0.25">
      <c r="A89" s="2">
        <v>2035</v>
      </c>
      <c r="B89" s="2">
        <f>B12/'Output-Calculation-sheet'!B11*'Output-Calculation-sheet'!B74</f>
        <v>317.2742744095338</v>
      </c>
      <c r="C89" s="2">
        <f>C12/'Output-Calculation-sheet'!C11*'Output-Calculation-sheet'!C74</f>
        <v>1355.2690226727195</v>
      </c>
      <c r="D89" s="2">
        <f>D12/'Output-Calculation-sheet'!D11*'Output-Calculation-sheet'!D74</f>
        <v>88.928887062706849</v>
      </c>
      <c r="E89" s="2">
        <f>E12/'Output-Calculation-sheet'!E11*'Output-Calculation-sheet'!E74</f>
        <v>106.01211749630997</v>
      </c>
      <c r="F89" s="2">
        <f>F12/'Output-Calculation-sheet'!F11*'Output-Calculation-sheet'!F74</f>
        <v>44.449568178678078</v>
      </c>
      <c r="G89" s="2">
        <f>G12/'Output-Calculation-sheet'!G11*'Output-Calculation-sheet'!G74</f>
        <v>31.900702470036997</v>
      </c>
      <c r="H89" s="2">
        <f>H12/'Output-Calculation-sheet'!H11*'Output-Calculation-sheet'!H74</f>
        <v>92.709780843617523</v>
      </c>
      <c r="I89" s="2">
        <f>I12/'Output-Calculation-sheet'!I11*'Output-Calculation-sheet'!I74</f>
        <v>28.69277726214375</v>
      </c>
      <c r="J89" s="2">
        <f>J12/'Output-Calculation-sheet'!J11*'Output-Calculation-sheet'!J74</f>
        <v>28.396429161039865</v>
      </c>
      <c r="K89" s="2">
        <f>K12/'Output-Calculation-sheet'!K11*'Output-Calculation-sheet'!K74</f>
        <v>28.200483574880607</v>
      </c>
      <c r="L89" s="2">
        <f>L12/'Output-Calculation-sheet'!L11*'Output-Calculation-sheet'!L74</f>
        <v>22.423673219628697</v>
      </c>
      <c r="M89" s="2">
        <f>M12/'Output-Calculation-sheet'!M11*'Output-Calculation-sheet'!M74</f>
        <v>63.793401391906471</v>
      </c>
      <c r="N89" s="2">
        <f>N12/'Output-Calculation-sheet'!N11*'Output-Calculation-sheet'!N74</f>
        <v>41.799118075142566</v>
      </c>
      <c r="O89" s="2">
        <f>O12/'Output-Calculation-sheet'!O11*'Output-Calculation-sheet'!O74</f>
        <v>273.04387836588478</v>
      </c>
      <c r="P89" s="2">
        <f>P12/'Output-Calculation-sheet'!P11*'Output-Calculation-sheet'!P74</f>
        <v>28.961140169425857</v>
      </c>
      <c r="Q89" s="2">
        <f>Q12/'Output-Calculation-sheet'!Q11*'Output-Calculation-sheet'!Q74</f>
        <v>36.62231560818234</v>
      </c>
      <c r="R89" s="2">
        <f>R12/'Output-Calculation-sheet'!R11*'Output-Calculation-sheet'!R74</f>
        <v>18.158927296994509</v>
      </c>
      <c r="S89" s="2">
        <f>S12/'Output-Calculation-sheet'!S11*'Output-Calculation-sheet'!S74</f>
        <v>23.96063241307267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8.7635672611171351</v>
      </c>
      <c r="V89" s="2">
        <f>V12/'Output-Calculation-sheet'!V11*'Output-Calculation-sheet'!V74</f>
        <v>4.5050034465908535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12.830204559798606</v>
      </c>
      <c r="Y89" s="2">
        <f>Y12/'Output-Calculation-sheet'!Y11*'Output-Calculation-sheet'!Y74</f>
        <v>3.3767414649180481</v>
      </c>
      <c r="AA89" s="2">
        <f t="shared" si="7"/>
        <v>2.6653822260441657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11312565163.718967</v>
      </c>
      <c r="C96" s="2">
        <f>C8/'Output-Calculation-sheet'!C7*'Output-Calculation-sheet'!C79</f>
        <v>3827092208.6402645</v>
      </c>
      <c r="D96" s="2">
        <f>D8/'Output-Calculation-sheet'!D7*'Output-Calculation-sheet'!D79</f>
        <v>3995232222.3350706</v>
      </c>
      <c r="E96" s="2">
        <f>E8/'Output-Calculation-sheet'!E7*'Output-Calculation-sheet'!E79</f>
        <v>7103182717.5748634</v>
      </c>
      <c r="F96" s="2">
        <f>F8/'Output-Calculation-sheet'!F7*'Output-Calculation-sheet'!F79</f>
        <v>2939937330.6366072</v>
      </c>
      <c r="G96" s="2">
        <f>G8/'Output-Calculation-sheet'!G7*'Output-Calculation-sheet'!G79</f>
        <v>2289969436.9298382</v>
      </c>
      <c r="H96" s="2">
        <f>H8/'Output-Calculation-sheet'!H7*'Output-Calculation-sheet'!H79</f>
        <v>1960084511.2974398</v>
      </c>
      <c r="I96" s="2">
        <f>I8/'Output-Calculation-sheet'!I7*'Output-Calculation-sheet'!I79</f>
        <v>1595207165.7706401</v>
      </c>
      <c r="J96" s="2">
        <f>J8/'Output-Calculation-sheet'!J7*'Output-Calculation-sheet'!J79</f>
        <v>1078720288.8323057</v>
      </c>
      <c r="K96" s="2">
        <f>K8/'Output-Calculation-sheet'!K7*'Output-Calculation-sheet'!K79</f>
        <v>1543326945.730967</v>
      </c>
      <c r="L96" s="2">
        <f>L8/'Output-Calculation-sheet'!L7*'Output-Calculation-sheet'!L79</f>
        <v>1088970150.0141172</v>
      </c>
      <c r="M96" s="2">
        <f>M8/'Output-Calculation-sheet'!M7*'Output-Calculation-sheet'!M79</f>
        <v>1463165179.3513181</v>
      </c>
      <c r="N96" s="2">
        <f>N8/'Output-Calculation-sheet'!N7*'Output-Calculation-sheet'!N79</f>
        <v>1088711423.1113567</v>
      </c>
      <c r="O96" s="2">
        <f>O8/'Output-Calculation-sheet'!O7*'Output-Calculation-sheet'!O79</f>
        <v>550380913.00441611</v>
      </c>
      <c r="P96" s="2">
        <f>P8/'Output-Calculation-sheet'!P7*'Output-Calculation-sheet'!P79</f>
        <v>1840908720.0673006</v>
      </c>
      <c r="Q96" s="2">
        <f>Q8/'Output-Calculation-sheet'!Q7*'Output-Calculation-sheet'!Q79</f>
        <v>857942203.82346141</v>
      </c>
      <c r="R96" s="2">
        <f>R8/'Output-Calculation-sheet'!R7*'Output-Calculation-sheet'!R79</f>
        <v>1070384886.1316922</v>
      </c>
      <c r="S96" s="2">
        <f>S8/'Output-Calculation-sheet'!S7*'Output-Calculation-sheet'!S79</f>
        <v>623695936.48262489</v>
      </c>
      <c r="T96" s="2">
        <f>T8/'Output-Calculation-sheet'!T7*'Output-Calculation-sheet'!T79</f>
        <v>476360112.4867053</v>
      </c>
      <c r="U96" s="2">
        <f>U8/'Output-Calculation-sheet'!U7*'Output-Calculation-sheet'!U79</f>
        <v>299237179.78718209</v>
      </c>
      <c r="V96" s="2">
        <f>V8/'Output-Calculation-sheet'!V7*'Output-Calculation-sheet'!V79</f>
        <v>155259853.33086041</v>
      </c>
      <c r="W96" s="2">
        <f>W8/'Output-Calculation-sheet'!W7*'Output-Calculation-sheet'!W79</f>
        <v>458780279.24411958</v>
      </c>
      <c r="X96" s="2">
        <f>X8/'Output-Calculation-sheet'!X7*'Output-Calculation-sheet'!X79</f>
        <v>161248284.8987703</v>
      </c>
      <c r="Y96" s="2">
        <f>Y8/'Output-Calculation-sheet'!Y7*'Output-Calculation-sheet'!Y79</f>
        <v>252190094.1149269</v>
      </c>
      <c r="AA96" s="2">
        <f t="shared" si="8"/>
        <v>48.032553207315821</v>
      </c>
    </row>
    <row r="97" spans="1:27" x14ac:dyDescent="0.25">
      <c r="A97" s="2">
        <v>2032</v>
      </c>
      <c r="B97" s="2">
        <f>B9/'Output-Calculation-sheet'!B8*'Output-Calculation-sheet'!B80</f>
        <v>14106504632.468683</v>
      </c>
      <c r="C97" s="2">
        <f>C9/'Output-Calculation-sheet'!C8*'Output-Calculation-sheet'!C80</f>
        <v>4804751515.0134611</v>
      </c>
      <c r="D97" s="2">
        <f>D9/'Output-Calculation-sheet'!D8*'Output-Calculation-sheet'!D80</f>
        <v>4787467175.6192074</v>
      </c>
      <c r="E97" s="2">
        <f>E9/'Output-Calculation-sheet'!E8*'Output-Calculation-sheet'!E80</f>
        <v>8755561251.0931435</v>
      </c>
      <c r="F97" s="2">
        <f>F9/'Output-Calculation-sheet'!F8*'Output-Calculation-sheet'!F80</f>
        <v>3616923062.01472</v>
      </c>
      <c r="G97" s="2">
        <f>G9/'Output-Calculation-sheet'!G8*'Output-Calculation-sheet'!G80</f>
        <v>2737812042.9848404</v>
      </c>
      <c r="H97" s="2">
        <f>H9/'Output-Calculation-sheet'!H8*'Output-Calculation-sheet'!H80</f>
        <v>2408721608.4169412</v>
      </c>
      <c r="I97" s="2">
        <f>I9/'Output-Calculation-sheet'!I8*'Output-Calculation-sheet'!I80</f>
        <v>1981397058.1039221</v>
      </c>
      <c r="J97" s="2">
        <f>J9/'Output-Calculation-sheet'!J8*'Output-Calculation-sheet'!J80</f>
        <v>1302585681.910485</v>
      </c>
      <c r="K97" s="2">
        <f>K9/'Output-Calculation-sheet'!K8*'Output-Calculation-sheet'!K80</f>
        <v>1877951707.1956241</v>
      </c>
      <c r="L97" s="2">
        <f>L9/'Output-Calculation-sheet'!L8*'Output-Calculation-sheet'!L80</f>
        <v>1366837757.0443799</v>
      </c>
      <c r="M97" s="2">
        <f>M9/'Output-Calculation-sheet'!M8*'Output-Calculation-sheet'!M80</f>
        <v>1803389504.6596124</v>
      </c>
      <c r="N97" s="2">
        <f>N9/'Output-Calculation-sheet'!N8*'Output-Calculation-sheet'!N80</f>
        <v>1317617149.1074729</v>
      </c>
      <c r="O97" s="2">
        <f>O9/'Output-Calculation-sheet'!O8*'Output-Calculation-sheet'!O80</f>
        <v>681648816.56376529</v>
      </c>
      <c r="P97" s="2">
        <f>P9/'Output-Calculation-sheet'!P8*'Output-Calculation-sheet'!P80</f>
        <v>2230226750.6073046</v>
      </c>
      <c r="Q97" s="2">
        <f>Q9/'Output-Calculation-sheet'!Q8*'Output-Calculation-sheet'!Q80</f>
        <v>1043214550.947266</v>
      </c>
      <c r="R97" s="2">
        <f>R9/'Output-Calculation-sheet'!R8*'Output-Calculation-sheet'!R80</f>
        <v>1318098926.4289482</v>
      </c>
      <c r="S97" s="2">
        <f>S9/'Output-Calculation-sheet'!S8*'Output-Calculation-sheet'!S80</f>
        <v>765020802.77490449</v>
      </c>
      <c r="T97" s="2">
        <f>T9/'Output-Calculation-sheet'!T8*'Output-Calculation-sheet'!T80</f>
        <v>576087569.56093359</v>
      </c>
      <c r="U97" s="2">
        <f>U9/'Output-Calculation-sheet'!U8*'Output-Calculation-sheet'!U80</f>
        <v>368288651.61029315</v>
      </c>
      <c r="V97" s="2">
        <f>V9/'Output-Calculation-sheet'!V8*'Output-Calculation-sheet'!V80</f>
        <v>193108620.56804386</v>
      </c>
      <c r="W97" s="2">
        <f>W9/'Output-Calculation-sheet'!W8*'Output-Calculation-sheet'!W80</f>
        <v>559246296.42182481</v>
      </c>
      <c r="X97" s="2">
        <f>X9/'Output-Calculation-sheet'!X8*'Output-Calculation-sheet'!X80</f>
        <v>200823388.54308406</v>
      </c>
      <c r="Y97" s="2">
        <f>Y9/'Output-Calculation-sheet'!Y8*'Output-Calculation-sheet'!Y80</f>
        <v>307397964.42256385</v>
      </c>
      <c r="AA97" s="2">
        <f t="shared" si="8"/>
        <v>59.110682484081423</v>
      </c>
    </row>
    <row r="98" spans="1:27" x14ac:dyDescent="0.25">
      <c r="A98" s="2">
        <v>2033</v>
      </c>
      <c r="B98" s="2">
        <f>B10/'Output-Calculation-sheet'!B9*'Output-Calculation-sheet'!B81</f>
        <v>15504612530.000425</v>
      </c>
      <c r="C98" s="2">
        <f>C10/'Output-Calculation-sheet'!C9*'Output-Calculation-sheet'!C81</f>
        <v>5315750028.9257488</v>
      </c>
      <c r="D98" s="2">
        <f>D10/'Output-Calculation-sheet'!D9*'Output-Calculation-sheet'!D81</f>
        <v>5058974980.4223833</v>
      </c>
      <c r="E98" s="2">
        <f>E10/'Output-Calculation-sheet'!E9*'Output-Calculation-sheet'!E81</f>
        <v>9516250247.4947796</v>
      </c>
      <c r="F98" s="2">
        <f>F10/'Output-Calculation-sheet'!F9*'Output-Calculation-sheet'!F81</f>
        <v>3924731620.1387124</v>
      </c>
      <c r="G98" s="2">
        <f>G10/'Output-Calculation-sheet'!G9*'Output-Calculation-sheet'!G81</f>
        <v>2881658037.0548797</v>
      </c>
      <c r="H98" s="2">
        <f>H10/'Output-Calculation-sheet'!H9*'Output-Calculation-sheet'!H81</f>
        <v>2610805725.4266353</v>
      </c>
      <c r="I98" s="2">
        <f>I10/'Output-Calculation-sheet'!I9*'Output-Calculation-sheet'!I81</f>
        <v>2170350335.6554885</v>
      </c>
      <c r="J98" s="2">
        <f>J10/'Output-Calculation-sheet'!J9*'Output-Calculation-sheet'!J81</f>
        <v>1387776707.5599735</v>
      </c>
      <c r="K98" s="2">
        <f>K10/'Output-Calculation-sheet'!K9*'Output-Calculation-sheet'!K81</f>
        <v>2015800702.5802925</v>
      </c>
      <c r="L98" s="2">
        <f>L10/'Output-Calculation-sheet'!L9*'Output-Calculation-sheet'!L81</f>
        <v>1511880701.173419</v>
      </c>
      <c r="M98" s="2">
        <f>M10/'Output-Calculation-sheet'!M9*'Output-Calculation-sheet'!M81</f>
        <v>1960605481.8705437</v>
      </c>
      <c r="N98" s="2">
        <f>N10/'Output-Calculation-sheet'!N9*'Output-Calculation-sheet'!N81</f>
        <v>1406581456.6364815</v>
      </c>
      <c r="O98" s="2">
        <f>O10/'Output-Calculation-sheet'!O9*'Output-Calculation-sheet'!O81</f>
        <v>744864346.89276469</v>
      </c>
      <c r="P98" s="2">
        <f>P10/'Output-Calculation-sheet'!P9*'Output-Calculation-sheet'!P81</f>
        <v>2380370333.7176819</v>
      </c>
      <c r="Q98" s="2">
        <f>Q10/'Output-Calculation-sheet'!Q9*'Output-Calculation-sheet'!Q81</f>
        <v>1119189787.1241465</v>
      </c>
      <c r="R98" s="2">
        <f>R10/'Output-Calculation-sheet'!R9*'Output-Calculation-sheet'!R81</f>
        <v>1431613057.961287</v>
      </c>
      <c r="S98" s="2">
        <f>S10/'Output-Calculation-sheet'!S9*'Output-Calculation-sheet'!S81</f>
        <v>827727230.16718531</v>
      </c>
      <c r="T98" s="2">
        <f>T10/'Output-Calculation-sheet'!T9*'Output-Calculation-sheet'!T81</f>
        <v>614207657.14896369</v>
      </c>
      <c r="U98" s="2">
        <f>U10/'Output-Calculation-sheet'!U9*'Output-Calculation-sheet'!U81</f>
        <v>399643337.04473108</v>
      </c>
      <c r="V98" s="2">
        <f>V10/'Output-Calculation-sheet'!V9*'Output-Calculation-sheet'!V81</f>
        <v>211657841.19931644</v>
      </c>
      <c r="W98" s="2">
        <f>W10/'Output-Calculation-sheet'!W9*'Output-Calculation-sheet'!W81</f>
        <v>600123001.82066774</v>
      </c>
      <c r="X98" s="2">
        <f>X10/'Output-Calculation-sheet'!X9*'Output-Calculation-sheet'!X81</f>
        <v>220527046.28845868</v>
      </c>
      <c r="Y98" s="2">
        <f>Y10/'Output-Calculation-sheet'!Y9*'Output-Calculation-sheet'!Y81</f>
        <v>329984791.28196001</v>
      </c>
      <c r="AA98" s="2">
        <f t="shared" si="8"/>
        <v>64.14568698558692</v>
      </c>
    </row>
    <row r="99" spans="1:27" x14ac:dyDescent="0.25">
      <c r="A99" s="2">
        <v>2034</v>
      </c>
      <c r="B99" s="2">
        <f>B11/'Output-Calculation-sheet'!B10*'Output-Calculation-sheet'!B82</f>
        <v>15204141351.975853</v>
      </c>
      <c r="C99" s="2">
        <f>C11/'Output-Calculation-sheet'!C10*'Output-Calculation-sheet'!C82</f>
        <v>5246052558.6229343</v>
      </c>
      <c r="D99" s="2">
        <f>D11/'Output-Calculation-sheet'!D10*'Output-Calculation-sheet'!D82</f>
        <v>4772432197.1777849</v>
      </c>
      <c r="E99" s="2">
        <f>E11/'Output-Calculation-sheet'!E10*'Output-Calculation-sheet'!E82</f>
        <v>9231851595.9189186</v>
      </c>
      <c r="F99" s="2">
        <f>F11/'Output-Calculation-sheet'!F10*'Output-Calculation-sheet'!F82</f>
        <v>3802126622.9538646</v>
      </c>
      <c r="G99" s="2">
        <f>G11/'Output-Calculation-sheet'!G10*'Output-Calculation-sheet'!G82</f>
        <v>2703041468.4682531</v>
      </c>
      <c r="H99" s="2">
        <f>H11/'Output-Calculation-sheet'!H10*'Output-Calculation-sheet'!H82</f>
        <v>2526483014.4832997</v>
      </c>
      <c r="I99" s="2">
        <f>I11/'Output-Calculation-sheet'!I10*'Output-Calculation-sheet'!I82</f>
        <v>2122069846.2144022</v>
      </c>
      <c r="J99" s="2">
        <f>J11/'Output-Calculation-sheet'!J10*'Output-Calculation-sheet'!J82</f>
        <v>1320563253.6945531</v>
      </c>
      <c r="K99" s="2">
        <f>K11/'Output-Calculation-sheet'!K10*'Output-Calculation-sheet'!K82</f>
        <v>1932157333.4805539</v>
      </c>
      <c r="L99" s="2">
        <f>L11/'Output-Calculation-sheet'!L10*'Output-Calculation-sheet'!L82</f>
        <v>1491766758.9275105</v>
      </c>
      <c r="M99" s="2">
        <f>M11/'Output-Calculation-sheet'!M10*'Output-Calculation-sheet'!M82</f>
        <v>1903152825.5566039</v>
      </c>
      <c r="N99" s="2">
        <f>N11/'Output-Calculation-sheet'!N10*'Output-Calculation-sheet'!N82</f>
        <v>1340772943.8624671</v>
      </c>
      <c r="O99" s="2">
        <f>O11/'Output-Calculation-sheet'!O10*'Output-Calculation-sheet'!O82</f>
        <v>726900300.82298589</v>
      </c>
      <c r="P99" s="2">
        <f>P11/'Output-Calculation-sheet'!P10*'Output-Calculation-sheet'!P82</f>
        <v>2265912910.3724742</v>
      </c>
      <c r="Q99" s="2">
        <f>Q11/'Output-Calculation-sheet'!Q10*'Output-Calculation-sheet'!Q82</f>
        <v>1072372380.3799331</v>
      </c>
      <c r="R99" s="2">
        <f>R11/'Output-Calculation-sheet'!R10*'Output-Calculation-sheet'!R82</f>
        <v>1388181087.102309</v>
      </c>
      <c r="S99" s="2">
        <f>S11/'Output-Calculation-sheet'!S10*'Output-Calculation-sheet'!S82</f>
        <v>799631114.85746932</v>
      </c>
      <c r="T99" s="2">
        <f>T11/'Output-Calculation-sheet'!T10*'Output-Calculation-sheet'!T82</f>
        <v>584436857.09251356</v>
      </c>
      <c r="U99" s="2">
        <f>U11/'Output-Calculation-sheet'!U10*'Output-Calculation-sheet'!U82</f>
        <v>387025868.11343998</v>
      </c>
      <c r="V99" s="2">
        <f>V11/'Output-Calculation-sheet'!V10*'Output-Calculation-sheet'!V82</f>
        <v>206937906.46755028</v>
      </c>
      <c r="W99" s="2">
        <f>W11/'Output-Calculation-sheet'!W10*'Output-Calculation-sheet'!W82</f>
        <v>573846059.90579641</v>
      </c>
      <c r="X99" s="2">
        <f>X11/'Output-Calculation-sheet'!X10*'Output-Calculation-sheet'!X82</f>
        <v>216126224.77453727</v>
      </c>
      <c r="Y99" s="2">
        <f>Y11/'Output-Calculation-sheet'!Y10*'Output-Calculation-sheet'!Y82</f>
        <v>315797335.81982082</v>
      </c>
      <c r="AA99" s="2">
        <f t="shared" si="8"/>
        <v>62.133779817045827</v>
      </c>
    </row>
    <row r="100" spans="1:27" x14ac:dyDescent="0.25">
      <c r="A100" s="2">
        <v>2035</v>
      </c>
      <c r="B100" s="2">
        <f>B12/'Output-Calculation-sheet'!B11*'Output-Calculation-sheet'!B83</f>
        <v>13223949454.152781</v>
      </c>
      <c r="C100" s="2">
        <f>C12/'Output-Calculation-sheet'!C11*'Output-Calculation-sheet'!C83</f>
        <v>4591140462.1984768</v>
      </c>
      <c r="D100" s="2">
        <f>D12/'Output-Calculation-sheet'!D11*'Output-Calculation-sheet'!D83</f>
        <v>3995999086.5187078</v>
      </c>
      <c r="E100" s="2">
        <f>E12/'Output-Calculation-sheet'!E11*'Output-Calculation-sheet'!E83</f>
        <v>7947011100.0366325</v>
      </c>
      <c r="F100" s="2">
        <f>F12/'Output-Calculation-sheet'!F11*'Output-Calculation-sheet'!F83</f>
        <v>3269083496.3122401</v>
      </c>
      <c r="G100" s="2">
        <f>G12/'Output-Calculation-sheet'!G11*'Output-Calculation-sheet'!G83</f>
        <v>2246496914.0288339</v>
      </c>
      <c r="H100" s="2">
        <f>H12/'Output-Calculation-sheet'!H11*'Output-Calculation-sheet'!H83</f>
        <v>2169948133.6325569</v>
      </c>
      <c r="I100" s="2">
        <f>I12/'Output-Calculation-sheet'!I11*'Output-Calculation-sheet'!I83</f>
        <v>1841158131.3572402</v>
      </c>
      <c r="J100" s="2">
        <f>J12/'Output-Calculation-sheet'!J11*'Output-Calculation-sheet'!J83</f>
        <v>1115821071.9720023</v>
      </c>
      <c r="K100" s="2">
        <f>K12/'Output-Calculation-sheet'!K11*'Output-Calculation-sheet'!K83</f>
        <v>1644079732.270467</v>
      </c>
      <c r="L100" s="2">
        <f>L12/'Output-Calculation-sheet'!L11*'Output-Calculation-sheet'!L83</f>
        <v>1305305562.971467</v>
      </c>
      <c r="M100" s="2">
        <f>M12/'Output-Calculation-sheet'!M11*'Output-Calculation-sheet'!M83</f>
        <v>1639753031.9410598</v>
      </c>
      <c r="N100" s="2">
        <f>N12/'Output-Calculation-sheet'!N11*'Output-Calculation-sheet'!N83</f>
        <v>1134579586.3623917</v>
      </c>
      <c r="O100" s="2">
        <f>O12/'Output-Calculation-sheet'!O11*'Output-Calculation-sheet'!O83</f>
        <v>629763711.02339935</v>
      </c>
      <c r="P100" s="2">
        <f>P12/'Output-Calculation-sheet'!P11*'Output-Calculation-sheet'!P83</f>
        <v>1912637138.4991376</v>
      </c>
      <c r="Q100" s="2">
        <f>Q12/'Output-Calculation-sheet'!Q11*'Output-Calculation-sheet'!Q83</f>
        <v>912336682.87945187</v>
      </c>
      <c r="R100" s="2">
        <f>R12/'Output-Calculation-sheet'!R11*'Output-Calculation-sheet'!R83</f>
        <v>1194654036.1565123</v>
      </c>
      <c r="S100" s="2">
        <f>S12/'Output-Calculation-sheet'!S11*'Output-Calculation-sheet'!S83</f>
        <v>685670036.46450436</v>
      </c>
      <c r="T100" s="2">
        <f>T12/'Output-Calculation-sheet'!T11*'Output-Calculation-sheet'!T83</f>
        <v>493444858.34562486</v>
      </c>
      <c r="U100" s="2">
        <f>U12/'Output-Calculation-sheet'!U11*'Output-Calculation-sheet'!U83</f>
        <v>332525964.63146341</v>
      </c>
      <c r="V100" s="2">
        <f>V12/'Output-Calculation-sheet'!V11*'Output-Calculation-sheet'!V83</f>
        <v>179417078.16454771</v>
      </c>
      <c r="W100" s="2">
        <f>W12/'Output-Calculation-sheet'!W11*'Output-Calculation-sheet'!W83</f>
        <v>486084942.60206884</v>
      </c>
      <c r="X100" s="2">
        <f>X12/'Output-Calculation-sheet'!X11*'Output-Calculation-sheet'!X83</f>
        <v>187925055.93137962</v>
      </c>
      <c r="Y100" s="2">
        <f>Y12/'Output-Calculation-sheet'!Y11*'Output-Calculation-sheet'!Y83</f>
        <v>267861817.63340548</v>
      </c>
      <c r="AA100" s="2">
        <f t="shared" si="8"/>
        <v>53.406647086086366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1047.2129563981619</v>
      </c>
      <c r="C19" s="2">
        <f>C8/'Output-Calculation-sheet'!C7*'Output-Calculation-sheet'!C25</f>
        <v>9759.7788942384814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4698.7984933751859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3264.6415489501746</v>
      </c>
      <c r="N19" s="2">
        <f>N8/'Output-Calculation-sheet'!N7*'Output-Calculation-sheet'!N25</f>
        <v>1117.7120907340188</v>
      </c>
      <c r="O19" s="2">
        <f>O8/'Output-Calculation-sheet'!O7*'Output-Calculation-sheet'!O25</f>
        <v>1731.3091156016694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398.8173183738827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365.30213211621475</v>
      </c>
      <c r="Y19" s="2">
        <f>Y8/'Output-Calculation-sheet'!Y7*'Output-Calculation-sheet'!Y25</f>
        <v>0</v>
      </c>
      <c r="AA19" s="2">
        <f t="shared" si="0"/>
        <v>22.38357254978779</v>
      </c>
    </row>
    <row r="20" spans="1:27" x14ac:dyDescent="0.25">
      <c r="A20" s="2">
        <v>2032</v>
      </c>
      <c r="B20" s="2">
        <f>B9/'Output-Calculation-sheet'!B8*'Output-Calculation-sheet'!B26</f>
        <v>5625.6617218925157</v>
      </c>
      <c r="C20" s="2">
        <f>C9/'Output-Calculation-sheet'!C8*'Output-Calculation-sheet'!C26</f>
        <v>11434.446958841852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6120.3259646843353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4256.5978211814218</v>
      </c>
      <c r="N20" s="2">
        <f>N9/'Output-Calculation-sheet'!N8*'Output-Calculation-sheet'!N26</f>
        <v>1919.21719340959</v>
      </c>
      <c r="O20" s="2">
        <f>O9/'Output-Calculation-sheet'!O8*'Output-Calculation-sheet'!O26</f>
        <v>1991.0309305431181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693.93234080584079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475.74710616852332</v>
      </c>
      <c r="Y20" s="2">
        <f>Y9/'Output-Calculation-sheet'!Y8*'Output-Calculation-sheet'!Y26</f>
        <v>0</v>
      </c>
      <c r="AA20" s="2">
        <f t="shared" si="0"/>
        <v>32.516960037527198</v>
      </c>
    </row>
    <row r="21" spans="1:27" x14ac:dyDescent="0.25">
      <c r="A21" s="2">
        <v>2033</v>
      </c>
      <c r="B21" s="2">
        <f>B10/'Output-Calculation-sheet'!B9*'Output-Calculation-sheet'!B27</f>
        <v>12393.347303582686</v>
      </c>
      <c r="C21" s="2">
        <f>C10/'Output-Calculation-sheet'!C9*'Output-Calculation-sheet'!C27</f>
        <v>12634.336120089405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7164.9099202706375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4976.5297967454899</v>
      </c>
      <c r="N21" s="2">
        <f>N10/'Output-Calculation-sheet'!N9*'Output-Calculation-sheet'!N27</f>
        <v>2707.9287541345211</v>
      </c>
      <c r="O21" s="2">
        <f>O10/'Output-Calculation-sheet'!O9*'Output-Calculation-sheet'!O27</f>
        <v>2100.7201951537845</v>
      </c>
      <c r="P21" s="2">
        <f>P10/'Output-Calculation-sheet'!P9*'Output-Calculation-sheet'!P27</f>
        <v>0</v>
      </c>
      <c r="Q21" s="2">
        <f>Q10/'Output-Calculation-sheet'!Q9*'Output-Calculation-sheet'!Q27</f>
        <v>184.93011017859314</v>
      </c>
      <c r="R21" s="2">
        <f>R10/'Output-Calculation-sheet'!R9*'Output-Calculation-sheet'!R27</f>
        <v>0</v>
      </c>
      <c r="S21" s="2">
        <f>S10/'Output-Calculation-sheet'!S9*'Output-Calculation-sheet'!S27</f>
        <v>1184.9743475203188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585.16207631249711</v>
      </c>
      <c r="Y21" s="2">
        <f>Y10/'Output-Calculation-sheet'!Y9*'Output-Calculation-sheet'!Y27</f>
        <v>0</v>
      </c>
      <c r="AA21" s="2">
        <f t="shared" si="0"/>
        <v>43.932838623987926</v>
      </c>
    </row>
    <row r="22" spans="1:27" x14ac:dyDescent="0.25">
      <c r="A22" s="2">
        <v>2034</v>
      </c>
      <c r="B22" s="2">
        <f>B11/'Output-Calculation-sheet'!B10*'Output-Calculation-sheet'!B28</f>
        <v>18701.950658781934</v>
      </c>
      <c r="C22" s="2">
        <f>C11/'Output-Calculation-sheet'!C10*'Output-Calculation-sheet'!C28</f>
        <v>13353.577639098432</v>
      </c>
      <c r="D22" s="2">
        <f>D11/'Output-Calculation-sheet'!D10*'Output-Calculation-sheet'!D28</f>
        <v>0</v>
      </c>
      <c r="E22" s="2">
        <f>E11/'Output-Calculation-sheet'!E10*'Output-Calculation-sheet'!E28</f>
        <v>1081.6900560400829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7862.1152662830391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537.13478766351636</v>
      </c>
      <c r="M22" s="2">
        <f>M11/'Output-Calculation-sheet'!M10*'Output-Calculation-sheet'!M28</f>
        <v>5462.1430712188758</v>
      </c>
      <c r="N22" s="2">
        <f>N11/'Output-Calculation-sheet'!N10*'Output-Calculation-sheet'!N28</f>
        <v>3171.2655350305399</v>
      </c>
      <c r="O22" s="2">
        <f>O11/'Output-Calculation-sheet'!O10*'Output-Calculation-sheet'!O28</f>
        <v>2055.2598513356129</v>
      </c>
      <c r="P22" s="2">
        <f>P11/'Output-Calculation-sheet'!P10*'Output-Calculation-sheet'!P28</f>
        <v>0</v>
      </c>
      <c r="Q22" s="2">
        <f>Q11/'Output-Calculation-sheet'!Q10*'Output-Calculation-sheet'!Q28</f>
        <v>474.11926204557085</v>
      </c>
      <c r="R22" s="2">
        <f>R11/'Output-Calculation-sheet'!R10*'Output-Calculation-sheet'!R28</f>
        <v>0</v>
      </c>
      <c r="S22" s="2">
        <f>S11/'Output-Calculation-sheet'!S10*'Output-Calculation-sheet'!S28</f>
        <v>1481.2566448141094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568.84993381151105</v>
      </c>
      <c r="Y22" s="2">
        <f>Y11/'Output-Calculation-sheet'!Y10*'Output-Calculation-sheet'!Y28</f>
        <v>59.891979575140837</v>
      </c>
      <c r="AA22" s="2">
        <f t="shared" si="0"/>
        <v>54.80925468569837</v>
      </c>
    </row>
    <row r="23" spans="1:27" x14ac:dyDescent="0.25">
      <c r="A23" s="2">
        <v>2035</v>
      </c>
      <c r="B23" s="2">
        <f>B12/'Output-Calculation-sheet'!B11*'Output-Calculation-sheet'!B29</f>
        <v>18692.542655445304</v>
      </c>
      <c r="C23" s="2">
        <f>C12/'Output-Calculation-sheet'!C11*'Output-Calculation-sheet'!C29</f>
        <v>13634.616506194439</v>
      </c>
      <c r="D23" s="2">
        <f>D12/'Output-Calculation-sheet'!D11*'Output-Calculation-sheet'!D29</f>
        <v>0</v>
      </c>
      <c r="E23" s="2">
        <f>E12/'Output-Calculation-sheet'!E11*'Output-Calculation-sheet'!E29</f>
        <v>2377.86292298019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6844.2198939879545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562.82210488349847</v>
      </c>
      <c r="M23" s="2">
        <f>M12/'Output-Calculation-sheet'!M11*'Output-Calculation-sheet'!M29</f>
        <v>4825.6152750731617</v>
      </c>
      <c r="N23" s="2">
        <f>N12/'Output-Calculation-sheet'!N11*'Output-Calculation-sheet'!N29</f>
        <v>2843.424551947347</v>
      </c>
      <c r="O23" s="2">
        <f>O12/'Output-Calculation-sheet'!O11*'Output-Calculation-sheet'!O29</f>
        <v>1881.1747522155783</v>
      </c>
      <c r="P23" s="2">
        <f>P12/'Output-Calculation-sheet'!P11*'Output-Calculation-sheet'!P29</f>
        <v>401.08619727808673</v>
      </c>
      <c r="Q23" s="2">
        <f>Q12/'Output-Calculation-sheet'!Q11*'Output-Calculation-sheet'!Q29</f>
        <v>607.50866019365628</v>
      </c>
      <c r="R23" s="2">
        <f>R12/'Output-Calculation-sheet'!R11*'Output-Calculation-sheet'!R29</f>
        <v>0</v>
      </c>
      <c r="S23" s="2">
        <f>S12/'Output-Calculation-sheet'!S11*'Output-Calculation-sheet'!S29</f>
        <v>1390.5250442810361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501.30114959825102</v>
      </c>
      <c r="Y23" s="2">
        <f>Y12/'Output-Calculation-sheet'!Y11*'Output-Calculation-sheet'!Y29</f>
        <v>127.29409162202425</v>
      </c>
      <c r="AA23" s="2">
        <f t="shared" si="0"/>
        <v>54.689993805700517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18252.581646706643</v>
      </c>
      <c r="C30" s="2">
        <f>C8/'Output-Calculation-sheet'!C7*'Output-Calculation-sheet'!C16</f>
        <v>0</v>
      </c>
      <c r="D30" s="2">
        <f>D8/'Output-Calculation-sheet'!D7*'Output-Calculation-sheet'!D16</f>
        <v>3073.493456472047</v>
      </c>
      <c r="E30" s="2">
        <f>E8/'Output-Calculation-sheet'!E7*'Output-Calculation-sheet'!E16</f>
        <v>3306.9053133670977</v>
      </c>
      <c r="F30" s="2">
        <f>F8/'Output-Calculation-sheet'!F7*'Output-Calculation-sheet'!F16</f>
        <v>1668.3513275369583</v>
      </c>
      <c r="G30" s="2">
        <f>G8/'Output-Calculation-sheet'!G7*'Output-Calculation-sheet'!G16</f>
        <v>1092.5719667543706</v>
      </c>
      <c r="H30" s="2">
        <f>H8/'Output-Calculation-sheet'!H7*'Output-Calculation-sheet'!H16</f>
        <v>0</v>
      </c>
      <c r="I30" s="2">
        <f>I8/'Output-Calculation-sheet'!I7*'Output-Calculation-sheet'!I16</f>
        <v>1065.0940753551811</v>
      </c>
      <c r="J30" s="2">
        <f>J8/'Output-Calculation-sheet'!J7*'Output-Calculation-sheet'!J16</f>
        <v>948.13852741278652</v>
      </c>
      <c r="K30" s="2">
        <f>K8/'Output-Calculation-sheet'!K7*'Output-Calculation-sheet'!K16</f>
        <v>1265.9461611124664</v>
      </c>
      <c r="L30" s="2">
        <f>L8/'Output-Calculation-sheet'!L7*'Output-Calculation-sheet'!L16</f>
        <v>1069.3129305292755</v>
      </c>
      <c r="M30" s="2">
        <f>M8/'Output-Calculation-sheet'!M7*'Output-Calculation-sheet'!M16</f>
        <v>0</v>
      </c>
      <c r="N30" s="2">
        <f>N8/'Output-Calculation-sheet'!N7*'Output-Calculation-sheet'!N16</f>
        <v>1518.8689295154354</v>
      </c>
      <c r="O30" s="2">
        <f>O8/'Output-Calculation-sheet'!O7*'Output-Calculation-sheet'!O16</f>
        <v>0</v>
      </c>
      <c r="P30" s="2">
        <f>P8/'Output-Calculation-sheet'!P7*'Output-Calculation-sheet'!P16</f>
        <v>1365.1095557789381</v>
      </c>
      <c r="Q30" s="2">
        <f>Q8/'Output-Calculation-sheet'!Q7*'Output-Calculation-sheet'!Q16</f>
        <v>1501.1696705003399</v>
      </c>
      <c r="R30" s="2">
        <f>R8/'Output-Calculation-sheet'!R7*'Output-Calculation-sheet'!R16</f>
        <v>952.49868059251207</v>
      </c>
      <c r="S30" s="2">
        <f>S8/'Output-Calculation-sheet'!S7*'Output-Calculation-sheet'!S16</f>
        <v>957.93436899190056</v>
      </c>
      <c r="T30" s="2">
        <f>T8/'Output-Calculation-sheet'!T7*'Output-Calculation-sheet'!T16</f>
        <v>285.92641246857642</v>
      </c>
      <c r="U30" s="2">
        <f>U8/'Output-Calculation-sheet'!U7*'Output-Calculation-sheet'!U16</f>
        <v>285.4153262567267</v>
      </c>
      <c r="V30" s="2">
        <f>V8/'Output-Calculation-sheet'!V7*'Output-Calculation-sheet'!V16</f>
        <v>222.13332311637134</v>
      </c>
      <c r="W30" s="2">
        <f>W8/'Output-Calculation-sheet'!W7*'Output-Calculation-sheet'!W16</f>
        <v>134.73505877420587</v>
      </c>
      <c r="X30" s="2">
        <f>X8/'Output-Calculation-sheet'!X7*'Output-Calculation-sheet'!X16</f>
        <v>0</v>
      </c>
      <c r="Y30" s="2">
        <f>Y8/'Output-Calculation-sheet'!Y7*'Output-Calculation-sheet'!Y16</f>
        <v>114.03790958097676</v>
      </c>
      <c r="AA30" s="2">
        <f t="shared" si="1"/>
        <v>39.080224640822806</v>
      </c>
    </row>
    <row r="31" spans="1:27" x14ac:dyDescent="0.25">
      <c r="A31" s="2">
        <v>2032</v>
      </c>
      <c r="B31" s="2">
        <f>B9/'Output-Calculation-sheet'!B8*'Output-Calculation-sheet'!B17</f>
        <v>23820.910378757246</v>
      </c>
      <c r="C31" s="2">
        <f>C9/'Output-Calculation-sheet'!C8*'Output-Calculation-sheet'!C17</f>
        <v>0</v>
      </c>
      <c r="D31" s="2">
        <f>D9/'Output-Calculation-sheet'!D8*'Output-Calculation-sheet'!D17</f>
        <v>3995.0794304837932</v>
      </c>
      <c r="E31" s="2">
        <f>E9/'Output-Calculation-sheet'!E8*'Output-Calculation-sheet'!E17</f>
        <v>4695.6700299701397</v>
      </c>
      <c r="F31" s="2">
        <f>F9/'Output-Calculation-sheet'!F8*'Output-Calculation-sheet'!F17</f>
        <v>2168.658731288846</v>
      </c>
      <c r="G31" s="2">
        <f>G9/'Output-Calculation-sheet'!G8*'Output-Calculation-sheet'!G17</f>
        <v>1420.2007359673466</v>
      </c>
      <c r="H31" s="2">
        <f>H9/'Output-Calculation-sheet'!H8*'Output-Calculation-sheet'!H17</f>
        <v>0</v>
      </c>
      <c r="I31" s="2">
        <f>I9/'Output-Calculation-sheet'!I8*'Output-Calculation-sheet'!I17</f>
        <v>1384.4895539035672</v>
      </c>
      <c r="J31" s="2">
        <f>J9/'Output-Calculation-sheet'!J8*'Output-Calculation-sheet'!J17</f>
        <v>1232.4625630093094</v>
      </c>
      <c r="K31" s="2">
        <f>K9/'Output-Calculation-sheet'!K8*'Output-Calculation-sheet'!K17</f>
        <v>1754.6994531081657</v>
      </c>
      <c r="L31" s="2">
        <f>L9/'Output-Calculation-sheet'!L8*'Output-Calculation-sheet'!L17</f>
        <v>1496.4501651365181</v>
      </c>
      <c r="M31" s="2">
        <f>M9/'Output-Calculation-sheet'!M8*'Output-Calculation-sheet'!M17</f>
        <v>0</v>
      </c>
      <c r="N31" s="2">
        <f>N9/'Output-Calculation-sheet'!N8*'Output-Calculation-sheet'!N17</f>
        <v>1626.7943803752692</v>
      </c>
      <c r="O31" s="2">
        <f>O9/'Output-Calculation-sheet'!O8*'Output-Calculation-sheet'!O17</f>
        <v>0</v>
      </c>
      <c r="P31" s="2">
        <f>P9/'Output-Calculation-sheet'!P8*'Output-Calculation-sheet'!P17</f>
        <v>2019.1043225361034</v>
      </c>
      <c r="Q31" s="2">
        <f>Q9/'Output-Calculation-sheet'!Q8*'Output-Calculation-sheet'!Q17</f>
        <v>2152.5507169694793</v>
      </c>
      <c r="R31" s="2">
        <f>R9/'Output-Calculation-sheet'!R8*'Output-Calculation-sheet'!R17</f>
        <v>1408.312440027898</v>
      </c>
      <c r="S31" s="2">
        <f>S9/'Output-Calculation-sheet'!S8*'Output-Calculation-sheet'!S17</f>
        <v>1216.1009664700446</v>
      </c>
      <c r="T31" s="2">
        <f>T9/'Output-Calculation-sheet'!T8*'Output-Calculation-sheet'!T17</f>
        <v>382.15586983512566</v>
      </c>
      <c r="U31" s="2">
        <f>U9/'Output-Calculation-sheet'!U8*'Output-Calculation-sheet'!U17</f>
        <v>439.21892632867451</v>
      </c>
      <c r="V31" s="2">
        <f>V9/'Output-Calculation-sheet'!V8*'Output-Calculation-sheet'!V17</f>
        <v>314.59167646759425</v>
      </c>
      <c r="W31" s="2">
        <f>W9/'Output-Calculation-sheet'!W8*'Output-Calculation-sheet'!W17</f>
        <v>175.1406088527884</v>
      </c>
      <c r="X31" s="2">
        <f>X9/'Output-Calculation-sheet'!X8*'Output-Calculation-sheet'!X17</f>
        <v>0</v>
      </c>
      <c r="Y31" s="2">
        <f>Y9/'Output-Calculation-sheet'!Y8*'Output-Calculation-sheet'!Y17</f>
        <v>169.22377281223285</v>
      </c>
      <c r="AA31" s="2">
        <f t="shared" si="1"/>
        <v>51.871814722300151</v>
      </c>
    </row>
    <row r="32" spans="1:27" x14ac:dyDescent="0.25">
      <c r="A32" s="2">
        <v>2033</v>
      </c>
      <c r="B32" s="2">
        <f>B10/'Output-Calculation-sheet'!B9*'Output-Calculation-sheet'!B18</f>
        <v>25118.813764289709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1540.7957424489236</v>
      </c>
      <c r="O32" s="2">
        <f>O10/'Output-Calculation-sheet'!O9*'Output-Calculation-sheet'!O18</f>
        <v>0</v>
      </c>
      <c r="P32" s="2">
        <f>P10/'Output-Calculation-sheet'!P9*'Output-Calculation-sheet'!P18</f>
        <v>2465.649435001797</v>
      </c>
      <c r="Q32" s="2">
        <f>Q10/'Output-Calculation-sheet'!Q9*'Output-Calculation-sheet'!Q18</f>
        <v>2686.6973710973766</v>
      </c>
      <c r="R32" s="2">
        <f>R10/'Output-Calculation-sheet'!R9*'Output-Calculation-sheet'!R18</f>
        <v>1770.2242245719033</v>
      </c>
      <c r="S32" s="2">
        <f>S10/'Output-Calculation-sheet'!S9*'Output-Calculation-sheet'!S18</f>
        <v>1158.5858470828412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572.32496865088251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60.393618351042761</v>
      </c>
    </row>
    <row r="33" spans="1:27" x14ac:dyDescent="0.25">
      <c r="A33" s="2">
        <v>2034</v>
      </c>
      <c r="B33" s="2">
        <f>B11/'Output-Calculation-sheet'!B10*'Output-Calculation-sheet'!B19</f>
        <v>21431.867246258225</v>
      </c>
      <c r="C33" s="2">
        <f>C11/'Output-Calculation-sheet'!C10*'Output-Calculation-sheet'!C19</f>
        <v>0</v>
      </c>
      <c r="D33" s="2">
        <f>D11/'Output-Calculation-sheet'!D10*'Output-Calculation-sheet'!D19</f>
        <v>6488.0293382173058</v>
      </c>
      <c r="E33" s="2">
        <f>E11/'Output-Calculation-sheet'!E10*'Output-Calculation-sheet'!E19</f>
        <v>8045.5098032370361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2204.5651719802772</v>
      </c>
      <c r="H33" s="2">
        <f>H11/'Output-Calculation-sheet'!H10*'Output-Calculation-sheet'!H19</f>
        <v>0</v>
      </c>
      <c r="I33" s="2">
        <f>I11/'Output-Calculation-sheet'!I10*'Output-Calculation-sheet'!I19</f>
        <v>2409.1150277268348</v>
      </c>
      <c r="J33" s="2">
        <f>J11/'Output-Calculation-sheet'!J10*'Output-Calculation-sheet'!J19</f>
        <v>2038.1761727653827</v>
      </c>
      <c r="K33" s="2">
        <f>K11/'Output-Calculation-sheet'!K10*'Output-Calculation-sheet'!K19</f>
        <v>2822.048984595634</v>
      </c>
      <c r="L33" s="2">
        <f>L11/'Output-Calculation-sheet'!L10*'Output-Calculation-sheet'!L19</f>
        <v>2229.2408693720395</v>
      </c>
      <c r="M33" s="2">
        <f>M11/'Output-Calculation-sheet'!M10*'Output-Calculation-sheet'!M19</f>
        <v>0</v>
      </c>
      <c r="N33" s="2">
        <f>N11/'Output-Calculation-sheet'!N10*'Output-Calculation-sheet'!N19</f>
        <v>1333.3300816075939</v>
      </c>
      <c r="O33" s="2">
        <f>O11/'Output-Calculation-sheet'!O10*'Output-Calculation-sheet'!O19</f>
        <v>0</v>
      </c>
      <c r="P33" s="2">
        <f>P11/'Output-Calculation-sheet'!P10*'Output-Calculation-sheet'!P19</f>
        <v>2855.8020070071248</v>
      </c>
      <c r="Q33" s="2">
        <f>Q11/'Output-Calculation-sheet'!Q10*'Output-Calculation-sheet'!Q19</f>
        <v>2358.3869779856705</v>
      </c>
      <c r="R33" s="2">
        <f>R11/'Output-Calculation-sheet'!R10*'Output-Calculation-sheet'!R19</f>
        <v>2039.0897765162199</v>
      </c>
      <c r="S33" s="2">
        <f>S11/'Output-Calculation-sheet'!S10*'Output-Calculation-sheet'!S19</f>
        <v>1001.6424335745697</v>
      </c>
      <c r="T33" s="2">
        <f>T11/'Output-Calculation-sheet'!T10*'Output-Calculation-sheet'!T19</f>
        <v>598.28468994709374</v>
      </c>
      <c r="U33" s="2">
        <f>U11/'Output-Calculation-sheet'!U10*'Output-Calculation-sheet'!U19</f>
        <v>644.03320518562225</v>
      </c>
      <c r="V33" s="2">
        <f>V11/'Output-Calculation-sheet'!V10*'Output-Calculation-sheet'!V19</f>
        <v>469.28427496649948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0</v>
      </c>
      <c r="Y33" s="2">
        <f>Y11/'Output-Calculation-sheet'!Y10*'Output-Calculation-sheet'!Y19</f>
        <v>263.32903671465158</v>
      </c>
      <c r="AA33" s="2">
        <f t="shared" si="1"/>
        <v>63.205522500484221</v>
      </c>
    </row>
    <row r="34" spans="1:27" x14ac:dyDescent="0.25">
      <c r="A34" s="2">
        <v>2035</v>
      </c>
      <c r="B34" s="2">
        <f>B12/'Output-Calculation-sheet'!B11*'Output-Calculation-sheet'!B20</f>
        <v>17747.903452301041</v>
      </c>
      <c r="C34" s="2">
        <f>C12/'Output-Calculation-sheet'!C11*'Output-Calculation-sheet'!C20</f>
        <v>0</v>
      </c>
      <c r="D34" s="2">
        <f>D12/'Output-Calculation-sheet'!D11*'Output-Calculation-sheet'!D20</f>
        <v>5444.9280260548448</v>
      </c>
      <c r="E34" s="2">
        <f>E12/'Output-Calculation-sheet'!E11*'Output-Calculation-sheet'!E20</f>
        <v>6418.2085773708823</v>
      </c>
      <c r="F34" s="2">
        <f>F12/'Output-Calculation-sheet'!F11*'Output-Calculation-sheet'!F20</f>
        <v>3672.743077364049</v>
      </c>
      <c r="G34" s="2">
        <f>G12/'Output-Calculation-sheet'!G11*'Output-Calculation-sheet'!G20</f>
        <v>1966.8762542191525</v>
      </c>
      <c r="H34" s="2">
        <f>H12/'Output-Calculation-sheet'!H11*'Output-Calculation-sheet'!H20</f>
        <v>0</v>
      </c>
      <c r="I34" s="2">
        <f>I12/'Output-Calculation-sheet'!I11*'Output-Calculation-sheet'!I20</f>
        <v>2187.6830280080503</v>
      </c>
      <c r="J34" s="2">
        <f>J12/'Output-Calculation-sheet'!J11*'Output-Calculation-sheet'!J20</f>
        <v>1705.2891031190638</v>
      </c>
      <c r="K34" s="2">
        <f>K12/'Output-Calculation-sheet'!K11*'Output-Calculation-sheet'!K20</f>
        <v>2520.6332582508767</v>
      </c>
      <c r="L34" s="2">
        <f>L12/'Output-Calculation-sheet'!L11*'Output-Calculation-sheet'!L20</f>
        <v>1926.387689271593</v>
      </c>
      <c r="M34" s="2">
        <f>M12/'Output-Calculation-sheet'!M11*'Output-Calculation-sheet'!M20</f>
        <v>0</v>
      </c>
      <c r="N34" s="2">
        <f>N12/'Output-Calculation-sheet'!N11*'Output-Calculation-sheet'!N20</f>
        <v>1117.8889170156226</v>
      </c>
      <c r="O34" s="2">
        <f>O12/'Output-Calculation-sheet'!O11*'Output-Calculation-sheet'!O20</f>
        <v>0</v>
      </c>
      <c r="P34" s="2">
        <f>P12/'Output-Calculation-sheet'!P11*'Output-Calculation-sheet'!P20</f>
        <v>2396.5617081602277</v>
      </c>
      <c r="Q34" s="2">
        <f>Q12/'Output-Calculation-sheet'!Q11*'Output-Calculation-sheet'!Q20</f>
        <v>1974.3118751859986</v>
      </c>
      <c r="R34" s="2">
        <f>R12/'Output-Calculation-sheet'!R11*'Output-Calculation-sheet'!R20</f>
        <v>1853.2793601401017</v>
      </c>
      <c r="S34" s="2">
        <f>S12/'Output-Calculation-sheet'!S11*'Output-Calculation-sheet'!S20</f>
        <v>790.75692674764923</v>
      </c>
      <c r="T34" s="2">
        <f>T12/'Output-Calculation-sheet'!T11*'Output-Calculation-sheet'!T20</f>
        <v>592.46903512751953</v>
      </c>
      <c r="U34" s="2">
        <f>U12/'Output-Calculation-sheet'!U11*'Output-Calculation-sheet'!U20</f>
        <v>552.70968174088966</v>
      </c>
      <c r="V34" s="2">
        <f>V12/'Output-Calculation-sheet'!V11*'Output-Calculation-sheet'!V20</f>
        <v>410.45233877925511</v>
      </c>
      <c r="W34" s="2">
        <f>W12/'Output-Calculation-sheet'!W11*'Output-Calculation-sheet'!W20</f>
        <v>326.86607271365352</v>
      </c>
      <c r="X34" s="2">
        <f>X12/'Output-Calculation-sheet'!X11*'Output-Calculation-sheet'!X20</f>
        <v>12.812670589399685</v>
      </c>
      <c r="Y34" s="2">
        <f>Y12/'Output-Calculation-sheet'!Y11*'Output-Calculation-sheet'!Y20</f>
        <v>191.25996078283379</v>
      </c>
      <c r="AA34" s="2">
        <f t="shared" si="1"/>
        <v>53.810021012942713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1.989868000756853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0.38657782056505235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2.3764458213219055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3.1038819429509599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0.60300076002067449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3.7068827029716345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4.0268800382755083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0.58673584439320725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4.6136158826687153</v>
      </c>
    </row>
    <row r="44" spans="1:27" x14ac:dyDescent="0.25">
      <c r="A44" s="2">
        <v>2034</v>
      </c>
      <c r="B44" s="2">
        <f>B11/'Output-Calculation-sheet'!B10*'Output-Calculation-sheet'!B37*0.0114</f>
        <v>1.9370751336505492</v>
      </c>
      <c r="C44" s="2">
        <f>C11/'Output-Calculation-sheet'!C10*'Output-Calculation-sheet'!C37*0.0114</f>
        <v>3.6775162479942534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0.28301350850550894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0.20535705209484495</v>
      </c>
      <c r="M44" s="2">
        <f>M11/'Output-Calculation-sheet'!M10*'Output-Calculation-sheet'!M37*0.0114</f>
        <v>0.19474098830928907</v>
      </c>
      <c r="N44" s="2">
        <f>N11/'Output-Calculation-sheet'!N10*'Output-Calculation-sheet'!N37*0.0114</f>
        <v>0.19139914286125503</v>
      </c>
      <c r="O44" s="2">
        <f>O11/'Output-Calculation-sheet'!O10*'Output-Calculation-sheet'!O37*0.0114</f>
        <v>0.71444247342108069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0.16769444284445123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0.10971629827288105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5.3504773606926737E-2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2.1363566493222599E-2</v>
      </c>
      <c r="Y44" s="2">
        <f>Y11/'Output-Calculation-sheet'!Y10*'Output-Calculation-sheet'!Y37*0.0114</f>
        <v>0</v>
      </c>
      <c r="AA44" s="2">
        <f t="shared" si="2"/>
        <v>7.555823628054263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3.1472622624385163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0.61142838906769481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3.6566389965992339E-2</v>
      </c>
      <c r="Y45" s="2">
        <f>Y12/'Output-Calculation-sheet'!Y11*'Output-Calculation-sheet'!Y38*0.0114</f>
        <v>1.7643622270341851E-2</v>
      </c>
      <c r="AA45" s="2">
        <f t="shared" si="2"/>
        <v>9.4322402174181619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6662.7521547247316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4547.6526840305487</v>
      </c>
      <c r="N52" s="2">
        <f>N8/'Output-Calculation-sheet'!N7*'Output-Calculation-sheet'!N43</f>
        <v>145.35326374615391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586.09283447743599</v>
      </c>
      <c r="Y52" s="2">
        <f>Y8/'Output-Calculation-sheet'!Y7*'Output-Calculation-sheet'!Y43</f>
        <v>0</v>
      </c>
      <c r="AA52" s="2">
        <f t="shared" si="3"/>
        <v>11.94185093697887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635.29747370341272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12236.740642405346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8362.4032490625068</v>
      </c>
      <c r="N53" s="2">
        <f>N9/'Output-Calculation-sheet'!N8*'Output-Calculation-sheet'!N44</f>
        <v>2985.25582861166</v>
      </c>
      <c r="O53" s="2">
        <f>O9/'Output-Calculation-sheet'!O8*'Output-Calculation-sheet'!O44</f>
        <v>0</v>
      </c>
      <c r="P53" s="2">
        <f>P9/'Output-Calculation-sheet'!P8*'Output-Calculation-sheet'!P44</f>
        <v>139.63739187815059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920.60759108639593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1048.1287286426027</v>
      </c>
      <c r="Y53" s="2">
        <f>Y9/'Output-Calculation-sheet'!Y8*'Output-Calculation-sheet'!Y44</f>
        <v>0</v>
      </c>
      <c r="AA53" s="2">
        <f t="shared" si="3"/>
        <v>26.328070905390074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4768.6737295367857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0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692.62213550034892</v>
      </c>
      <c r="R54" s="2">
        <f>R10/'Output-Calculation-sheet'!R9*'Output-Calculation-sheet'!R45</f>
        <v>1182.0450146931189</v>
      </c>
      <c r="S54" s="2">
        <f>S10/'Output-Calculation-sheet'!S9*'Output-Calculation-sheet'!S45</f>
        <v>2834.866860096457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421.42046666641852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72.943393661616454</v>
      </c>
    </row>
    <row r="55" spans="1:27" x14ac:dyDescent="0.25">
      <c r="A55" s="2">
        <v>2034</v>
      </c>
      <c r="B55" s="2">
        <f>B11/'Output-Calculation-sheet'!B10*'Output-Calculation-sheet'!B46</f>
        <v>50975.661411856556</v>
      </c>
      <c r="C55" s="2">
        <f>C11/'Output-Calculation-sheet'!C10*'Output-Calculation-sheet'!C46</f>
        <v>10484.14719822923</v>
      </c>
      <c r="D55" s="2">
        <f>D11/'Output-Calculation-sheet'!D10*'Output-Calculation-sheet'!D46</f>
        <v>5643.7525349508596</v>
      </c>
      <c r="E55" s="2">
        <f>E11/'Output-Calculation-sheet'!E10*'Output-Calculation-sheet'!E46</f>
        <v>6983.407353187602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18321.400813777684</v>
      </c>
      <c r="I55" s="2">
        <f>I11/'Output-Calculation-sheet'!I10*'Output-Calculation-sheet'!I46</f>
        <v>1359.9489713241219</v>
      </c>
      <c r="J55" s="2">
        <f>J11/'Output-Calculation-sheet'!J10*'Output-Calculation-sheet'!J46</f>
        <v>980.91234656912332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522.39951848688622</v>
      </c>
      <c r="M55" s="2">
        <f>M11/'Output-Calculation-sheet'!M10*'Output-Calculation-sheet'!M46</f>
        <v>12709.411868606234</v>
      </c>
      <c r="N55" s="2">
        <f>N11/'Output-Calculation-sheet'!N10*'Output-Calculation-sheet'!N46</f>
        <v>9032.6963911715102</v>
      </c>
      <c r="O55" s="2">
        <f>O11/'Output-Calculation-sheet'!O10*'Output-Calculation-sheet'!O46</f>
        <v>0</v>
      </c>
      <c r="P55" s="2">
        <f>P11/'Output-Calculation-sheet'!P10*'Output-Calculation-sheet'!P46</f>
        <v>3675.9598291387697</v>
      </c>
      <c r="Q55" s="2">
        <f>Q11/'Output-Calculation-sheet'!Q10*'Output-Calculation-sheet'!Q46</f>
        <v>1353.3235738324133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4080.6763568159267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882.35942439493215</v>
      </c>
      <c r="V55" s="2">
        <f>V11/'Output-Calculation-sheet'!V10*'Output-Calculation-sheet'!V46</f>
        <v>455.99878651185645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1296.8059660798278</v>
      </c>
      <c r="Y55" s="2">
        <f>Y11/'Output-Calculation-sheet'!Y10*'Output-Calculation-sheet'!Y46</f>
        <v>345.41240711552325</v>
      </c>
      <c r="AA55" s="2">
        <f t="shared" si="3"/>
        <v>138.26154663412751</v>
      </c>
    </row>
    <row r="56" spans="1:27" x14ac:dyDescent="0.25">
      <c r="A56" s="2">
        <v>2035</v>
      </c>
      <c r="B56" s="2">
        <f>B12/'Output-Calculation-sheet'!B11*'Output-Calculation-sheet'!B47</f>
        <v>52786.950545161111</v>
      </c>
      <c r="C56" s="2">
        <f>C12/'Output-Calculation-sheet'!C11*'Output-Calculation-sheet'!C47</f>
        <v>19256.27568465671</v>
      </c>
      <c r="D56" s="2">
        <f>D12/'Output-Calculation-sheet'!D11*'Output-Calculation-sheet'!D47</f>
        <v>4218.5994946864321</v>
      </c>
      <c r="E56" s="2">
        <f>E12/'Output-Calculation-sheet'!E11*'Output-Calculation-sheet'!E47</f>
        <v>10592.466329022056</v>
      </c>
      <c r="F56" s="2">
        <f>F12/'Output-Calculation-sheet'!F11*'Output-Calculation-sheet'!F47</f>
        <v>1283.4920559249988</v>
      </c>
      <c r="G56" s="2">
        <f>G12/'Output-Calculation-sheet'!G11*'Output-Calculation-sheet'!G47</f>
        <v>3377.515227860411</v>
      </c>
      <c r="H56" s="2">
        <f>H12/'Output-Calculation-sheet'!H11*'Output-Calculation-sheet'!H47</f>
        <v>15870.888842422064</v>
      </c>
      <c r="I56" s="2">
        <f>I12/'Output-Calculation-sheet'!I11*'Output-Calculation-sheet'!I47</f>
        <v>1913.4656469894851</v>
      </c>
      <c r="J56" s="2">
        <f>J12/'Output-Calculation-sheet'!J11*'Output-Calculation-sheet'!J47</f>
        <v>663.7721039284728</v>
      </c>
      <c r="K56" s="2">
        <f>K12/'Output-Calculation-sheet'!K11*'Output-Calculation-sheet'!K47</f>
        <v>2811.2593065639348</v>
      </c>
      <c r="L56" s="2">
        <f>L12/'Output-Calculation-sheet'!L11*'Output-Calculation-sheet'!L47</f>
        <v>724.57102359823671</v>
      </c>
      <c r="M56" s="2">
        <f>M12/'Output-Calculation-sheet'!M11*'Output-Calculation-sheet'!M47</f>
        <v>11052.299573909848</v>
      </c>
      <c r="N56" s="2">
        <f>N12/'Output-Calculation-sheet'!N11*'Output-Calculation-sheet'!N47</f>
        <v>8103.8720478761334</v>
      </c>
      <c r="O56" s="2">
        <f>O12/'Output-Calculation-sheet'!O11*'Output-Calculation-sheet'!O47</f>
        <v>0</v>
      </c>
      <c r="P56" s="2">
        <f>P12/'Output-Calculation-sheet'!P11*'Output-Calculation-sheet'!P47</f>
        <v>4260.9435175491744</v>
      </c>
      <c r="Q56" s="2">
        <f>Q12/'Output-Calculation-sheet'!Q11*'Output-Calculation-sheet'!Q47</f>
        <v>1510.6832008462763</v>
      </c>
      <c r="R56" s="2">
        <f>R12/'Output-Calculation-sheet'!R11*'Output-Calculation-sheet'!R47</f>
        <v>2921.3419532279572</v>
      </c>
      <c r="S56" s="2">
        <f>S12/'Output-Calculation-sheet'!S11*'Output-Calculation-sheet'!S47</f>
        <v>3846.4625626643356</v>
      </c>
      <c r="T56" s="2">
        <f>T12/'Output-Calculation-sheet'!T11*'Output-Calculation-sheet'!T47</f>
        <v>1053.0812168410937</v>
      </c>
      <c r="U56" s="2">
        <f>U12/'Output-Calculation-sheet'!U11*'Output-Calculation-sheet'!U47</f>
        <v>795.30040540025107</v>
      </c>
      <c r="V56" s="2">
        <f>V12/'Output-Calculation-sheet'!V11*'Output-Calculation-sheet'!V47</f>
        <v>442.90186945234774</v>
      </c>
      <c r="W56" s="2">
        <f>W12/'Output-Calculation-sheet'!W11*'Output-Calculation-sheet'!W47</f>
        <v>429.11296427667929</v>
      </c>
      <c r="X56" s="2">
        <f>X12/'Output-Calculation-sheet'!X11*'Output-Calculation-sheet'!X47</f>
        <v>1125.8599015845011</v>
      </c>
      <c r="Y56" s="2">
        <f>Y12/'Output-Calculation-sheet'!Y11*'Output-Calculation-sheet'!Y47</f>
        <v>498.35494482895399</v>
      </c>
      <c r="AA56" s="2">
        <f t="shared" si="3"/>
        <v>149.53947041927151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5.0929064426612385</v>
      </c>
      <c r="C63" s="2">
        <f>C8*'Output-Calculation-sheet'!C52/10^9</f>
        <v>3.1856769897190644</v>
      </c>
      <c r="D63" s="2">
        <f>D8*'Output-Calculation-sheet'!D52/10^9</f>
        <v>1.4545825827687215</v>
      </c>
      <c r="E63" s="2">
        <f>E8*'Output-Calculation-sheet'!E52/10^9</f>
        <v>1.336133356955157</v>
      </c>
      <c r="F63" s="2">
        <f>F8*'Output-Calculation-sheet'!F52/10^9</f>
        <v>0.70416615985997388</v>
      </c>
      <c r="G63" s="2">
        <f>G8*'Output-Calculation-sheet'!G52/10^9</f>
        <v>0.52075251288381719</v>
      </c>
      <c r="H63" s="2">
        <f>H8*'Output-Calculation-sheet'!H52/10^9</f>
        <v>0.89850724316579267</v>
      </c>
      <c r="I63" s="2">
        <f>I8*'Output-Calculation-sheet'!I52/10^9</f>
        <v>0.4827605972072016</v>
      </c>
      <c r="J63" s="2">
        <f>J8*'Output-Calculation-sheet'!J52/10^9</f>
        <v>0.49079341835523022</v>
      </c>
      <c r="K63" s="2">
        <f>K8*'Output-Calculation-sheet'!K52/10^9</f>
        <v>0.49391662735177139</v>
      </c>
      <c r="L63" s="2">
        <f>L8*'Output-Calculation-sheet'!L52/10^9</f>
        <v>0.40263924799528067</v>
      </c>
      <c r="M63" s="2">
        <f>M8*'Output-Calculation-sheet'!M52/10^9</f>
        <v>0.62208517909000005</v>
      </c>
      <c r="N63" s="2">
        <f>N8*'Output-Calculation-sheet'!N52/10^9</f>
        <v>0.55815507003713116</v>
      </c>
      <c r="O63" s="2">
        <f>O8*'Output-Calculation-sheet'!O52/10^9</f>
        <v>0.60361241389390685</v>
      </c>
      <c r="P63" s="2">
        <f>P8*'Output-Calculation-sheet'!P52/10^9</f>
        <v>0.39761707988349537</v>
      </c>
      <c r="Q63" s="2">
        <f>Q8*'Output-Calculation-sheet'!Q52/10^9</f>
        <v>0.41005650538195215</v>
      </c>
      <c r="R63" s="2">
        <f>R8*'Output-Calculation-sheet'!R52/10^9</f>
        <v>0.3358318008214316</v>
      </c>
      <c r="S63" s="2">
        <f>S8*'Output-Calculation-sheet'!S52/10^9</f>
        <v>0.30880299739573985</v>
      </c>
      <c r="T63" s="2">
        <f>T8*'Output-Calculation-sheet'!T52/10^9</f>
        <v>0.11578916180433148</v>
      </c>
      <c r="U63" s="2">
        <f>U8*'Output-Calculation-sheet'!U52/10^9</f>
        <v>0.1051891389263676</v>
      </c>
      <c r="V63" s="2">
        <f>V8*'Output-Calculation-sheet'!V52/10^9</f>
        <v>8.1279032570955256E-2</v>
      </c>
      <c r="W63" s="2">
        <f>W8*'Output-Calculation-sheet'!W52/10^9</f>
        <v>6.3499829740544605E-2</v>
      </c>
      <c r="X63" s="2">
        <f>X8*'Output-Calculation-sheet'!X52/10^9</f>
        <v>7.6168094471222622E-2</v>
      </c>
      <c r="Y63" s="2">
        <f>Y8*'Output-Calculation-sheet'!Y52/10^9</f>
        <v>4.1277425904408208E-2</v>
      </c>
      <c r="AA63" s="2">
        <f t="shared" si="4"/>
        <v>18.78219890884473</v>
      </c>
    </row>
    <row r="64" spans="1:27" x14ac:dyDescent="0.25">
      <c r="A64" s="2">
        <v>2032</v>
      </c>
      <c r="B64" s="2">
        <f>B9*'Output-Calculation-sheet'!B53/10^9</f>
        <v>5.4814868928069913</v>
      </c>
      <c r="C64" s="2">
        <f>C9*'Output-Calculation-sheet'!C53/10^9</f>
        <v>3.6297093754686447</v>
      </c>
      <c r="D64" s="2">
        <f>D9*'Output-Calculation-sheet'!D53/10^9</f>
        <v>1.3206985968914666</v>
      </c>
      <c r="E64" s="2">
        <f>E9*'Output-Calculation-sheet'!E53/10^9</f>
        <v>1.2894057563450936</v>
      </c>
      <c r="F64" s="2">
        <f>F9*'Output-Calculation-sheet'!F53/10^9</f>
        <v>0.65028994537014062</v>
      </c>
      <c r="G64" s="2">
        <f>G9*'Output-Calculation-sheet'!G53/10^9</f>
        <v>0.47235048554816689</v>
      </c>
      <c r="H64" s="2">
        <f>H9*'Output-Calculation-sheet'!H53/10^9</f>
        <v>1.0141142958545972</v>
      </c>
      <c r="I64" s="2">
        <f>I9*'Output-Calculation-sheet'!I53/10^9</f>
        <v>0.44105592264648052</v>
      </c>
      <c r="J64" s="2">
        <f>J9*'Output-Calculation-sheet'!J53/10^9</f>
        <v>0.44023323041338752</v>
      </c>
      <c r="K64" s="2">
        <f>K9*'Output-Calculation-sheet'!K53/10^9</f>
        <v>0.47482730303084852</v>
      </c>
      <c r="L64" s="2">
        <f>L9*'Output-Calculation-sheet'!L53/10^9</f>
        <v>0.39140927506478168</v>
      </c>
      <c r="M64" s="2">
        <f>M9*'Output-Calculation-sheet'!M53/10^9</f>
        <v>0.70256775187026732</v>
      </c>
      <c r="N64" s="2">
        <f>N9*'Output-Calculation-sheet'!N53/10^9</f>
        <v>0.62428325639824878</v>
      </c>
      <c r="O64" s="2">
        <f>O9*'Output-Calculation-sheet'!O53/10^9</f>
        <v>0.67168013917131897</v>
      </c>
      <c r="P64" s="2">
        <f>P9*'Output-Calculation-sheet'!P53/10^9</f>
        <v>0.42467712079874148</v>
      </c>
      <c r="Q64" s="2">
        <f>Q9*'Output-Calculation-sheet'!Q53/10^9</f>
        <v>0.43456047384880397</v>
      </c>
      <c r="R64" s="2">
        <f>R9*'Output-Calculation-sheet'!R53/10^9</f>
        <v>0.33975498990688235</v>
      </c>
      <c r="S64" s="2">
        <f>S9*'Output-Calculation-sheet'!S53/10^9</f>
        <v>0.34385988226516884</v>
      </c>
      <c r="T64" s="2">
        <f>T9*'Output-Calculation-sheet'!T53/10^9</f>
        <v>0.10887238017282887</v>
      </c>
      <c r="U64" s="2">
        <f>U9*'Output-Calculation-sheet'!U53/10^9</f>
        <v>0.10739730147942388</v>
      </c>
      <c r="V64" s="2">
        <f>V9*'Output-Calculation-sheet'!V53/10^9</f>
        <v>7.9906627996218976E-2</v>
      </c>
      <c r="W64" s="2">
        <f>W9*'Output-Calculation-sheet'!W53/10^9</f>
        <v>5.7689278884097119E-2</v>
      </c>
      <c r="X64" s="2">
        <f>X9*'Output-Calculation-sheet'!X53/10^9</f>
        <v>8.6216321345927299E-2</v>
      </c>
      <c r="Y64" s="2">
        <f>Y9*'Output-Calculation-sheet'!Y53/10^9</f>
        <v>4.1584392150323481E-2</v>
      </c>
      <c r="AA64" s="2">
        <f t="shared" si="4"/>
        <v>19.628630995728848</v>
      </c>
    </row>
    <row r="65" spans="1:27" x14ac:dyDescent="0.25">
      <c r="A65" s="2">
        <v>2033</v>
      </c>
      <c r="B65" s="2">
        <f>B10*'Output-Calculation-sheet'!B54/10^9</f>
        <v>5.8076844680494224</v>
      </c>
      <c r="C65" s="2">
        <f>C10*'Output-Calculation-sheet'!C54/10^9</f>
        <v>3.8357257831409672</v>
      </c>
      <c r="D65" s="2">
        <f>D10*'Output-Calculation-sheet'!D54/10^9</f>
        <v>1.1156222618113569</v>
      </c>
      <c r="E65" s="2">
        <f>E10*'Output-Calculation-sheet'!E54/10^9</f>
        <v>1.265976389519812</v>
      </c>
      <c r="F65" s="2">
        <f>F10*'Output-Calculation-sheet'!F54/10^9</f>
        <v>0.57430183832714166</v>
      </c>
      <c r="G65" s="2">
        <f>G10*'Output-Calculation-sheet'!G54/10^9</f>
        <v>0.39636394048081375</v>
      </c>
      <c r="H65" s="2">
        <f>H10*'Output-Calculation-sheet'!H54/10^9</f>
        <v>1.0535436797705429</v>
      </c>
      <c r="I65" s="2">
        <f>I10*'Output-Calculation-sheet'!I54/10^9</f>
        <v>0.38989024908198305</v>
      </c>
      <c r="J65" s="2">
        <f>J10*'Output-Calculation-sheet'!J54/10^9</f>
        <v>0.35958006296320949</v>
      </c>
      <c r="K65" s="2">
        <f>K10*'Output-Calculation-sheet'!K54/10^9</f>
        <v>0.45858281566899417</v>
      </c>
      <c r="L65" s="2">
        <f>L10*'Output-Calculation-sheet'!L54/10^9</f>
        <v>0.38142925701601954</v>
      </c>
      <c r="M65" s="2">
        <f>M10*'Output-Calculation-sheet'!M54/10^9</f>
        <v>0.7300649289159119</v>
      </c>
      <c r="N65" s="2">
        <f>N10*'Output-Calculation-sheet'!N54/10^9</f>
        <v>0.65635609733487843</v>
      </c>
      <c r="O65" s="2">
        <f>O10*'Output-Calculation-sheet'!O54/10^9</f>
        <v>0.6948159766005555</v>
      </c>
      <c r="P65" s="2">
        <f>P10*'Output-Calculation-sheet'!P54/10^9</f>
        <v>0.44289768918004924</v>
      </c>
      <c r="Q65" s="2">
        <f>Q10*'Output-Calculation-sheet'!Q54/10^9</f>
        <v>0.45948402294044838</v>
      </c>
      <c r="R65" s="2">
        <f>R10*'Output-Calculation-sheet'!R54/10^9</f>
        <v>0.34335573198013825</v>
      </c>
      <c r="S65" s="2">
        <f>S10*'Output-Calculation-sheet'!S54/10^9</f>
        <v>0.36310412415439708</v>
      </c>
      <c r="T65" s="2">
        <f>T10*'Output-Calculation-sheet'!T54/10^9</f>
        <v>0.10306009304684167</v>
      </c>
      <c r="U65" s="2">
        <f>U10*'Output-Calculation-sheet'!U54/10^9</f>
        <v>0.11142602154024048</v>
      </c>
      <c r="V65" s="2">
        <f>V10*'Output-Calculation-sheet'!V54/10^9</f>
        <v>7.7765445907515551E-2</v>
      </c>
      <c r="W65" s="2">
        <f>W10*'Output-Calculation-sheet'!W54/10^9</f>
        <v>4.8643950016021384E-2</v>
      </c>
      <c r="X65" s="2">
        <f>X10*'Output-Calculation-sheet'!X54/10^9</f>
        <v>9.0271161822695428E-2</v>
      </c>
      <c r="Y65" s="2">
        <f>Y10*'Output-Calculation-sheet'!Y54/10^9</f>
        <v>4.291275235345246E-2</v>
      </c>
      <c r="AA65" s="2">
        <f t="shared" si="4"/>
        <v>19.80285874162341</v>
      </c>
    </row>
    <row r="66" spans="1:27" x14ac:dyDescent="0.25">
      <c r="A66" s="2">
        <v>2034</v>
      </c>
      <c r="B66" s="2">
        <f>B11*'Output-Calculation-sheet'!B55/10^9</f>
        <v>5.9189095798055771</v>
      </c>
      <c r="C66" s="2">
        <f>C11*'Output-Calculation-sheet'!C55/10^9</f>
        <v>3.7692044065806818</v>
      </c>
      <c r="D66" s="2">
        <f>D11*'Output-Calculation-sheet'!D55/10^9</f>
        <v>1.1107428126051142</v>
      </c>
      <c r="E66" s="2">
        <f>E11*'Output-Calculation-sheet'!E55/10^9</f>
        <v>1.3687812024233861</v>
      </c>
      <c r="F66" s="2">
        <f>F11*'Output-Calculation-sheet'!F55/10^9</f>
        <v>0.54815458952267049</v>
      </c>
      <c r="G66" s="2">
        <f>G11*'Output-Calculation-sheet'!G55/10^9</f>
        <v>0.39485813723296309</v>
      </c>
      <c r="H66" s="2">
        <f>H11*'Output-Calculation-sheet'!H55/10^9</f>
        <v>1.0404987697033243</v>
      </c>
      <c r="I66" s="2">
        <f>I11*'Output-Calculation-sheet'!I55/10^9</f>
        <v>0.38812411795761043</v>
      </c>
      <c r="J66" s="2">
        <f>J11*'Output-Calculation-sheet'!J55/10^9</f>
        <v>0.34266698163782466</v>
      </c>
      <c r="K66" s="2">
        <f>K11*'Output-Calculation-sheet'!K55/10^9</f>
        <v>0.45764715985520821</v>
      </c>
      <c r="L66" s="2">
        <f>L11*'Output-Calculation-sheet'!L55/10^9</f>
        <v>0.40139551554645025</v>
      </c>
      <c r="M66" s="2">
        <f>M11*'Output-Calculation-sheet'!M55/10^9</f>
        <v>0.72224847515512525</v>
      </c>
      <c r="N66" s="2">
        <f>N11*'Output-Calculation-sheet'!N55/10^9</f>
        <v>0.6468639315100243</v>
      </c>
      <c r="O66" s="2">
        <f>O11*'Output-Calculation-sheet'!O55/10^9</f>
        <v>0.67080508663310789</v>
      </c>
      <c r="P66" s="2">
        <f>P11*'Output-Calculation-sheet'!P55/10^9</f>
        <v>0.45445474490496029</v>
      </c>
      <c r="Q66" s="2">
        <f>Q11*'Output-Calculation-sheet'!Q55/10^9</f>
        <v>0.47188411412401526</v>
      </c>
      <c r="R66" s="2">
        <f>R11*'Output-Calculation-sheet'!R55/10^9</f>
        <v>0.34394325199306813</v>
      </c>
      <c r="S66" s="2">
        <f>S11*'Output-Calculation-sheet'!S55/10^9</f>
        <v>0.36425799972309697</v>
      </c>
      <c r="T66" s="2">
        <f>T11*'Output-Calculation-sheet'!T55/10^9</f>
        <v>0.1012578903447183</v>
      </c>
      <c r="U66" s="2">
        <f>U11*'Output-Calculation-sheet'!U55/10^9</f>
        <v>0.11704646438206337</v>
      </c>
      <c r="V66" s="2">
        <f>V11*'Output-Calculation-sheet'!V55/10^9</f>
        <v>7.5628441875637845E-2</v>
      </c>
      <c r="W66" s="2">
        <f>W11*'Output-Calculation-sheet'!W55/10^9</f>
        <v>4.6077565972631428E-2</v>
      </c>
      <c r="X66" s="2">
        <f>X11*'Output-Calculation-sheet'!X55/10^9</f>
        <v>9.1166379116671831E-2</v>
      </c>
      <c r="Y66" s="2">
        <f>Y11*'Output-Calculation-sheet'!Y55/10^9</f>
        <v>4.7781106626845642E-2</v>
      </c>
      <c r="AA66" s="2">
        <f t="shared" si="4"/>
        <v>19.894398725232783</v>
      </c>
    </row>
    <row r="67" spans="1:27" x14ac:dyDescent="0.25">
      <c r="A67" s="2">
        <v>2035</v>
      </c>
      <c r="B67" s="2">
        <f>B12*'Output-Calculation-sheet'!B56/10^9</f>
        <v>5.6385674975797482</v>
      </c>
      <c r="C67" s="2">
        <f>C12*'Output-Calculation-sheet'!C56/10^9</f>
        <v>3.438537054027154</v>
      </c>
      <c r="D67" s="2">
        <f>D12*'Output-Calculation-sheet'!D56/10^9</f>
        <v>1.1484261561525717</v>
      </c>
      <c r="E67" s="2">
        <f>E12*'Output-Calculation-sheet'!E56/10^9</f>
        <v>1.5518525109174119</v>
      </c>
      <c r="F67" s="2">
        <f>F12*'Output-Calculation-sheet'!F56/10^9</f>
        <v>0.61586910160069164</v>
      </c>
      <c r="G67" s="2">
        <f>G12*'Output-Calculation-sheet'!G56/10^9</f>
        <v>0.44667520015134082</v>
      </c>
      <c r="H67" s="2">
        <f>H12*'Output-Calculation-sheet'!H56/10^9</f>
        <v>0.97293133253668351</v>
      </c>
      <c r="I67" s="2">
        <f>I12*'Output-Calculation-sheet'!I56/10^9</f>
        <v>0.42204045210459978</v>
      </c>
      <c r="J67" s="2">
        <f>J12*'Output-Calculation-sheet'!J56/10^9</f>
        <v>0.34882979574815826</v>
      </c>
      <c r="K67" s="2">
        <f>K12*'Output-Calculation-sheet'!K56/10^9</f>
        <v>0.47104959336272995</v>
      </c>
      <c r="L67" s="2">
        <f>L12*'Output-Calculation-sheet'!L56/10^9</f>
        <v>0.40623548816119448</v>
      </c>
      <c r="M67" s="2">
        <f>M12*'Output-Calculation-sheet'!M56/10^9</f>
        <v>0.681791686665986</v>
      </c>
      <c r="N67" s="2">
        <f>N12*'Output-Calculation-sheet'!N56/10^9</f>
        <v>0.59685785231854593</v>
      </c>
      <c r="O67" s="2">
        <f>O12*'Output-Calculation-sheet'!O56/10^9</f>
        <v>0.60398161851814236</v>
      </c>
      <c r="P67" s="2">
        <f>P12*'Output-Calculation-sheet'!P56/10^9</f>
        <v>0.47595732858525708</v>
      </c>
      <c r="Q67" s="2">
        <f>Q12*'Output-Calculation-sheet'!Q56/10^9</f>
        <v>0.44579589492775162</v>
      </c>
      <c r="R67" s="2">
        <f>R12*'Output-Calculation-sheet'!R56/10^9</f>
        <v>0.3503712796790619</v>
      </c>
      <c r="S67" s="2">
        <f>S12*'Output-Calculation-sheet'!S56/10^9</f>
        <v>0.33967406724204563</v>
      </c>
      <c r="T67" s="2">
        <f>T12*'Output-Calculation-sheet'!T56/10^9</f>
        <v>0.10770639110814569</v>
      </c>
      <c r="U67" s="2">
        <f>U12*'Output-Calculation-sheet'!U56/10^9</f>
        <v>0.1161754804364285</v>
      </c>
      <c r="V67" s="2">
        <f>V12*'Output-Calculation-sheet'!V56/10^9</f>
        <v>7.3309195369755414E-2</v>
      </c>
      <c r="W67" s="2">
        <f>W12*'Output-Calculation-sheet'!W56/10^9</f>
        <v>5.6996599543143227E-2</v>
      </c>
      <c r="X67" s="2">
        <f>X12*'Output-Calculation-sheet'!X56/10^9</f>
        <v>8.5514893337299558E-2</v>
      </c>
      <c r="Y67" s="2">
        <f>Y12*'Output-Calculation-sheet'!Y56/10^9</f>
        <v>5.3515866702700414E-2</v>
      </c>
      <c r="AA67" s="2">
        <f t="shared" si="4"/>
        <v>19.44866233677655</v>
      </c>
    </row>
    <row r="68" spans="1:27" x14ac:dyDescent="0.25">
      <c r="B68" s="2">
        <f>SUM(B60:B67)</f>
        <v>39.253110548452938</v>
      </c>
      <c r="C68" s="2">
        <f t="shared" ref="C68:Y68" si="5">SUM(C60:C67)</f>
        <v>23.63183236882108</v>
      </c>
      <c r="D68" s="2">
        <f t="shared" si="5"/>
        <v>9.9944769154139657</v>
      </c>
      <c r="E68" s="2">
        <f t="shared" si="5"/>
        <v>10.230693617894598</v>
      </c>
      <c r="F68" s="2">
        <f t="shared" si="5"/>
        <v>4.9117707215877102</v>
      </c>
      <c r="G68" s="2">
        <f t="shared" si="5"/>
        <v>3.6091386475666534</v>
      </c>
      <c r="H68" s="2">
        <f t="shared" si="5"/>
        <v>6.6597258433533657</v>
      </c>
      <c r="I68" s="2">
        <f t="shared" si="5"/>
        <v>3.3892820990440917</v>
      </c>
      <c r="J68" s="2">
        <f t="shared" si="5"/>
        <v>3.2999813218000171</v>
      </c>
      <c r="K68" s="2">
        <f t="shared" si="5"/>
        <v>3.6095773768638892</v>
      </c>
      <c r="L68" s="2">
        <f t="shared" si="5"/>
        <v>2.9962992309579652</v>
      </c>
      <c r="M68" s="2">
        <f t="shared" si="5"/>
        <v>4.6202799698756909</v>
      </c>
      <c r="N68" s="2">
        <f t="shared" si="5"/>
        <v>4.2574859226412265</v>
      </c>
      <c r="O68" s="2">
        <f t="shared" si="5"/>
        <v>4.377718791562585</v>
      </c>
      <c r="P68" s="2">
        <f t="shared" si="5"/>
        <v>3.1083862953197832</v>
      </c>
      <c r="Q68" s="2">
        <f t="shared" si="5"/>
        <v>3.143998775743218</v>
      </c>
      <c r="R68" s="2">
        <f t="shared" si="5"/>
        <v>2.5429081429874261</v>
      </c>
      <c r="S68" s="2">
        <f t="shared" si="5"/>
        <v>2.3818450629662817</v>
      </c>
      <c r="T68" s="2">
        <f t="shared" si="5"/>
        <v>0.83308760186152531</v>
      </c>
      <c r="U68" s="2">
        <f t="shared" si="5"/>
        <v>0.82051617578986913</v>
      </c>
      <c r="V68" s="2">
        <f t="shared" si="5"/>
        <v>0.59095319177001926</v>
      </c>
      <c r="W68" s="2">
        <f t="shared" si="5"/>
        <v>0.44060331986831186</v>
      </c>
      <c r="X68" s="2">
        <f t="shared" si="5"/>
        <v>0.56902106530068586</v>
      </c>
      <c r="Y68" s="2">
        <f t="shared" si="5"/>
        <v>0.329894265952205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1426.7692688748643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953.32480188118461</v>
      </c>
      <c r="N74" s="2">
        <f>N8/'Output-Calculation-sheet'!N7*'Output-Calculation-sheet'!N61</f>
        <v>39.953978372224057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117.38080712648441</v>
      </c>
      <c r="Y74" s="2">
        <f>Y8/'Output-Calculation-sheet'!Y7*'Output-Calculation-sheet'!Y61</f>
        <v>0</v>
      </c>
      <c r="AA74" s="2">
        <f t="shared" si="6"/>
        <v>2.5374288562547571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174.52529170452326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2329.9815818172683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1582.8010839346241</v>
      </c>
      <c r="N75" s="2">
        <f>N9/'Output-Calculation-sheet'!N8*'Output-Calculation-sheet'!N62</f>
        <v>612.16638510770747</v>
      </c>
      <c r="O75" s="2">
        <f>O9/'Output-Calculation-sheet'!O8*'Output-Calculation-sheet'!O62</f>
        <v>0</v>
      </c>
      <c r="P75" s="2">
        <f>P9/'Output-Calculation-sheet'!P8*'Output-Calculation-sheet'!P62</f>
        <v>40.983574516237198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202.49034732883834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191.34570584949824</v>
      </c>
      <c r="Y75" s="2">
        <f>Y9/'Output-Calculation-sheet'!Y8*'Output-Calculation-sheet'!Y62</f>
        <v>0</v>
      </c>
      <c r="AA75" s="2">
        <f t="shared" si="6"/>
        <v>5.1342939702586969</v>
      </c>
    </row>
    <row r="76" spans="1:27" x14ac:dyDescent="0.25">
      <c r="A76" s="2">
        <v>2033</v>
      </c>
      <c r="B76" s="2">
        <f>B10/'Output-Calculation-sheet'!B9*'Output-Calculation-sheet'!B63</f>
        <v>4779.5388841512713</v>
      </c>
      <c r="C76" s="2">
        <f>C10/'Output-Calculation-sheet'!C9*'Output-Calculation-sheet'!C63</f>
        <v>1199.2331342057323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3120.1742076600185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2124.4451946098907</v>
      </c>
      <c r="N76" s="2">
        <f>N10/'Output-Calculation-sheet'!N9*'Output-Calculation-sheet'!N63</f>
        <v>1216.2009491226117</v>
      </c>
      <c r="O76" s="2">
        <f>O10/'Output-Calculation-sheet'!O9*'Output-Calculation-sheet'!O63</f>
        <v>0</v>
      </c>
      <c r="P76" s="2">
        <f>P10/'Output-Calculation-sheet'!P9*'Output-Calculation-sheet'!P63</f>
        <v>416.851957160165</v>
      </c>
      <c r="Q76" s="2">
        <f>Q10/'Output-Calculation-sheet'!Q9*'Output-Calculation-sheet'!Q63</f>
        <v>185.60662482257024</v>
      </c>
      <c r="R76" s="2">
        <f>R10/'Output-Calculation-sheet'!R9*'Output-Calculation-sheet'!R63</f>
        <v>319.95083303112398</v>
      </c>
      <c r="S76" s="2">
        <f>S10/'Output-Calculation-sheet'!S9*'Output-Calculation-sheet'!S63</f>
        <v>539.14109180548189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112.37022565440537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250.20155771508385</v>
      </c>
      <c r="Y76" s="2">
        <f>Y10/'Output-Calculation-sheet'!Y9*'Output-Calculation-sheet'!Y63</f>
        <v>4.7466443409389356</v>
      </c>
      <c r="AA76" s="2">
        <f t="shared" si="6"/>
        <v>14.38080729496782</v>
      </c>
    </row>
    <row r="77" spans="1:27" x14ac:dyDescent="0.25">
      <c r="A77" s="2">
        <v>2034</v>
      </c>
      <c r="B77" s="2">
        <f>B11/'Output-Calculation-sheet'!B10*'Output-Calculation-sheet'!B64</f>
        <v>8698.6567821905755</v>
      </c>
      <c r="C77" s="2">
        <f>C11/'Output-Calculation-sheet'!C10*'Output-Calculation-sheet'!C64</f>
        <v>2369.3366195136659</v>
      </c>
      <c r="D77" s="2">
        <f>D11/'Output-Calculation-sheet'!D10*'Output-Calculation-sheet'!D64</f>
        <v>1295.9198858735267</v>
      </c>
      <c r="E77" s="2">
        <f>E11/'Output-Calculation-sheet'!E10*'Output-Calculation-sheet'!E64</f>
        <v>1607.4327559629869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691.6735134175841</v>
      </c>
      <c r="H77" s="2">
        <f>H11/'Output-Calculation-sheet'!H10*'Output-Calculation-sheet'!H64</f>
        <v>3408.1281118116913</v>
      </c>
      <c r="I77" s="2">
        <f>I11/'Output-Calculation-sheet'!I10*'Output-Calculation-sheet'!I64</f>
        <v>403.62824469248642</v>
      </c>
      <c r="J77" s="2">
        <f>J11/'Output-Calculation-sheet'!J10*'Output-Calculation-sheet'!J64</f>
        <v>277.05070811818609</v>
      </c>
      <c r="K77" s="2">
        <f>K11/'Output-Calculation-sheet'!K10*'Output-Calculation-sheet'!K64</f>
        <v>625.67210828185353</v>
      </c>
      <c r="L77" s="2">
        <f>L11/'Output-Calculation-sheet'!L10*'Output-Calculation-sheet'!L64</f>
        <v>153.40532067014908</v>
      </c>
      <c r="M77" s="2">
        <f>M11/'Output-Calculation-sheet'!M10*'Output-Calculation-sheet'!M64</f>
        <v>2335.4398435705662</v>
      </c>
      <c r="N77" s="2">
        <f>N11/'Output-Calculation-sheet'!N10*'Output-Calculation-sheet'!N64</f>
        <v>1581.1919716129189</v>
      </c>
      <c r="O77" s="2">
        <f>O11/'Output-Calculation-sheet'!O10*'Output-Calculation-sheet'!O64</f>
        <v>0</v>
      </c>
      <c r="P77" s="2">
        <f>P11/'Output-Calculation-sheet'!P10*'Output-Calculation-sheet'!P64</f>
        <v>768.77193641883161</v>
      </c>
      <c r="Q77" s="2">
        <f>Q11/'Output-Calculation-sheet'!Q10*'Output-Calculation-sheet'!Q64</f>
        <v>313.70628842989186</v>
      </c>
      <c r="R77" s="2">
        <f>R11/'Output-Calculation-sheet'!R10*'Output-Calculation-sheet'!R64</f>
        <v>652.96211564263047</v>
      </c>
      <c r="S77" s="2">
        <f>S11/'Output-Calculation-sheet'!S10*'Output-Calculation-sheet'!S64</f>
        <v>728.88194152617302</v>
      </c>
      <c r="T77" s="2">
        <f>T11/'Output-Calculation-sheet'!T10*'Output-Calculation-sheet'!T64</f>
        <v>180.91128212921748</v>
      </c>
      <c r="U77" s="2">
        <f>U11/'Output-Calculation-sheet'!U10*'Output-Calculation-sheet'!U64</f>
        <v>193.18977993055424</v>
      </c>
      <c r="V77" s="2">
        <f>V11/'Output-Calculation-sheet'!V10*'Output-Calculation-sheet'!V64</f>
        <v>93.588322374576251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239.10515898568107</v>
      </c>
      <c r="Y77" s="2">
        <f>Y11/'Output-Calculation-sheet'!Y10*'Output-Calculation-sheet'!Y64</f>
        <v>59.756346430985523</v>
      </c>
      <c r="AA77" s="2">
        <f t="shared" si="6"/>
        <v>26.798959071080301</v>
      </c>
    </row>
    <row r="78" spans="1:27" x14ac:dyDescent="0.25">
      <c r="A78" s="2">
        <v>2035</v>
      </c>
      <c r="B78" s="2">
        <f>B12/'Output-Calculation-sheet'!B11*'Output-Calculation-sheet'!B65</f>
        <v>9121.0906309755937</v>
      </c>
      <c r="C78" s="2">
        <f>C12/'Output-Calculation-sheet'!C11*'Output-Calculation-sheet'!C65</f>
        <v>3923.7940105678085</v>
      </c>
      <c r="D78" s="2">
        <f>D12/'Output-Calculation-sheet'!D11*'Output-Calculation-sheet'!D65</f>
        <v>997.11795882378294</v>
      </c>
      <c r="E78" s="2">
        <f>E12/'Output-Calculation-sheet'!E11*'Output-Calculation-sheet'!E65</f>
        <v>1843.3320877252738</v>
      </c>
      <c r="F78" s="2">
        <f>F12/'Output-Calculation-sheet'!F11*'Output-Calculation-sheet'!F65</f>
        <v>400.93847080323769</v>
      </c>
      <c r="G78" s="2">
        <f>G12/'Output-Calculation-sheet'!G11*'Output-Calculation-sheet'!G65</f>
        <v>762.15604989205929</v>
      </c>
      <c r="H78" s="2">
        <f>H12/'Output-Calculation-sheet'!H11*'Output-Calculation-sheet'!H65</f>
        <v>2945.6327199195748</v>
      </c>
      <c r="I78" s="2">
        <f>I12/'Output-Calculation-sheet'!I11*'Output-Calculation-sheet'!I65</f>
        <v>501.347725961214</v>
      </c>
      <c r="J78" s="2">
        <f>J12/'Output-Calculation-sheet'!J11*'Output-Calculation-sheet'!J65</f>
        <v>204.42228530103054</v>
      </c>
      <c r="K78" s="2">
        <f>K12/'Output-Calculation-sheet'!K11*'Output-Calculation-sheet'!K65</f>
        <v>621.07503880323509</v>
      </c>
      <c r="L78" s="2">
        <f>L12/'Output-Calculation-sheet'!L11*'Output-Calculation-sheet'!L65</f>
        <v>198.80995575155026</v>
      </c>
      <c r="M78" s="2">
        <f>M12/'Output-Calculation-sheet'!M11*'Output-Calculation-sheet'!M65</f>
        <v>2051.5611792411942</v>
      </c>
      <c r="N78" s="2">
        <f>N12/'Output-Calculation-sheet'!N11*'Output-Calculation-sheet'!N65</f>
        <v>1421.7697502435167</v>
      </c>
      <c r="O78" s="2">
        <f>O12/'Output-Calculation-sheet'!O11*'Output-Calculation-sheet'!O65</f>
        <v>0</v>
      </c>
      <c r="P78" s="2">
        <f>P12/'Output-Calculation-sheet'!P11*'Output-Calculation-sheet'!P65</f>
        <v>819.09670292027067</v>
      </c>
      <c r="Q78" s="2">
        <f>Q12/'Output-Calculation-sheet'!Q11*'Output-Calculation-sheet'!Q65</f>
        <v>331.16693567885119</v>
      </c>
      <c r="R78" s="2">
        <f>R12/'Output-Calculation-sheet'!R11*'Output-Calculation-sheet'!R65</f>
        <v>644.84254088944635</v>
      </c>
      <c r="S78" s="2">
        <f>S12/'Output-Calculation-sheet'!S11*'Output-Calculation-sheet'!S65</f>
        <v>671.55776998773865</v>
      </c>
      <c r="T78" s="2">
        <f>T12/'Output-Calculation-sheet'!T11*'Output-Calculation-sheet'!T65</f>
        <v>238.22729386942956</v>
      </c>
      <c r="U78" s="2">
        <f>U12/'Output-Calculation-sheet'!U11*'Output-Calculation-sheet'!U65</f>
        <v>172.02990435801692</v>
      </c>
      <c r="V78" s="2">
        <f>V12/'Output-Calculation-sheet'!V11*'Output-Calculation-sheet'!V65</f>
        <v>86.653905619145362</v>
      </c>
      <c r="W78" s="2">
        <f>W12/'Output-Calculation-sheet'!W11*'Output-Calculation-sheet'!W65</f>
        <v>94.310983679933912</v>
      </c>
      <c r="X78" s="2">
        <f>X12/'Output-Calculation-sheet'!X11*'Output-Calculation-sheet'!X65</f>
        <v>207.2785060690679</v>
      </c>
      <c r="Y78" s="2">
        <f>Y12/'Output-Calculation-sheet'!Y11*'Output-Calculation-sheet'!Y65</f>
        <v>79.589760987046446</v>
      </c>
      <c r="AA78" s="2">
        <f t="shared" si="6"/>
        <v>28.337802168068016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1134.5738600806617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220.4171783923544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1.3549910384730159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1633.6220752373472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299.73721989331767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1.9333592951306648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2031.101773691594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360.27639568003951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2.3913781693716336</v>
      </c>
    </row>
    <row r="88" spans="1:27" x14ac:dyDescent="0.25">
      <c r="A88" s="2">
        <v>2034</v>
      </c>
      <c r="B88" s="2">
        <f>B11/'Output-Calculation-sheet'!B10*'Output-Calculation-sheet'!B73</f>
        <v>169.91887137285519</v>
      </c>
      <c r="C88" s="2">
        <f>C11/'Output-Calculation-sheet'!C10*'Output-Calculation-sheet'!C73</f>
        <v>2096.8294396458459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24.825746360132364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18.013776499547802</v>
      </c>
      <c r="M88" s="2">
        <f>M11/'Output-Calculation-sheet'!M10*'Output-Calculation-sheet'!M73</f>
        <v>17.082542834148164</v>
      </c>
      <c r="N88" s="2">
        <f>N11/'Output-Calculation-sheet'!N10*'Output-Calculation-sheet'!N73</f>
        <v>16.789398496601319</v>
      </c>
      <c r="O88" s="2">
        <f>O11/'Output-Calculation-sheet'!O10*'Output-Calculation-sheet'!O73</f>
        <v>391.6899525334872</v>
      </c>
      <c r="P88" s="2">
        <f>P11/'Output-Calculation-sheet'!P10*'Output-Calculation-sheet'!P73</f>
        <v>0</v>
      </c>
      <c r="Q88" s="2">
        <f>Q11/'Output-Calculation-sheet'!Q10*'Output-Calculation-sheet'!Q73</f>
        <v>29.420077692008988</v>
      </c>
      <c r="R88" s="2">
        <f>R11/'Output-Calculation-sheet'!R10*'Output-Calculation-sheet'!R73</f>
        <v>0</v>
      </c>
      <c r="S88" s="2">
        <f>S11/'Output-Calculation-sheet'!S10*'Output-Calculation-sheet'!S73</f>
        <v>9.6242366906036008</v>
      </c>
      <c r="T88" s="2">
        <f>T11/'Output-Calculation-sheet'!T10*'Output-Calculation-sheet'!T73</f>
        <v>0</v>
      </c>
      <c r="U88" s="2">
        <f>U11/'Output-Calculation-sheet'!U10*'Output-Calculation-sheet'!U73</f>
        <v>4.6934011935900646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9.3699853040449987</v>
      </c>
      <c r="Y88" s="2">
        <f>Y11/'Output-Calculation-sheet'!Y10*'Output-Calculation-sheet'!Y73</f>
        <v>0</v>
      </c>
      <c r="AA88" s="2">
        <f t="shared" si="7"/>
        <v>2.788257428622865</v>
      </c>
    </row>
    <row r="89" spans="1:27" x14ac:dyDescent="0.25">
      <c r="A89" s="2">
        <v>2035</v>
      </c>
      <c r="B89" s="2">
        <f>B12/'Output-Calculation-sheet'!B11*'Output-Calculation-sheet'!B74</f>
        <v>436.25578962943069</v>
      </c>
      <c r="C89" s="2">
        <f>C12/'Output-Calculation-sheet'!C11*'Output-Calculation-sheet'!C74</f>
        <v>1863.5105501280686</v>
      </c>
      <c r="D89" s="2">
        <f>D12/'Output-Calculation-sheet'!D11*'Output-Calculation-sheet'!D74</f>
        <v>122.27824622279513</v>
      </c>
      <c r="E89" s="2">
        <f>E12/'Output-Calculation-sheet'!E11*'Output-Calculation-sheet'!E74</f>
        <v>145.7678852617714</v>
      </c>
      <c r="F89" s="2">
        <f>F12/'Output-Calculation-sheet'!F11*'Output-Calculation-sheet'!F74</f>
        <v>61.11866932976185</v>
      </c>
      <c r="G89" s="2">
        <f>G12/'Output-Calculation-sheet'!G11*'Output-Calculation-sheet'!G74</f>
        <v>43.863834128057285</v>
      </c>
      <c r="H89" s="2">
        <f>H12/'Output-Calculation-sheet'!H11*'Output-Calculation-sheet'!H74</f>
        <v>127.47701881463506</v>
      </c>
      <c r="I89" s="2">
        <f>I12/'Output-Calculation-sheet'!I11*'Output-Calculation-sheet'!I74</f>
        <v>39.452899937927526</v>
      </c>
      <c r="J89" s="2">
        <f>J12/'Output-Calculation-sheet'!J11*'Output-Calculation-sheet'!J74</f>
        <v>39.045417878145457</v>
      </c>
      <c r="K89" s="2">
        <f>K12/'Output-Calculation-sheet'!K11*'Output-Calculation-sheet'!K74</f>
        <v>38.775990435364619</v>
      </c>
      <c r="L89" s="2">
        <f>L12/'Output-Calculation-sheet'!L11*'Output-Calculation-sheet'!L74</f>
        <v>30.832809514818585</v>
      </c>
      <c r="M89" s="2">
        <f>M12/'Output-Calculation-sheet'!M11*'Output-Calculation-sheet'!M74</f>
        <v>87.716663284998802</v>
      </c>
      <c r="N89" s="2">
        <f>N12/'Output-Calculation-sheet'!N11*'Output-Calculation-sheet'!N74</f>
        <v>57.474269843093147</v>
      </c>
      <c r="O89" s="2">
        <f>O12/'Output-Calculation-sheet'!O11*'Output-Calculation-sheet'!O74</f>
        <v>375.43848451525116</v>
      </c>
      <c r="P89" s="2">
        <f>P12/'Output-Calculation-sheet'!P11*'Output-Calculation-sheet'!P74</f>
        <v>39.821902033169849</v>
      </c>
      <c r="Q89" s="2">
        <f>Q12/'Output-Calculation-sheet'!Q11*'Output-Calculation-sheet'!Q74</f>
        <v>50.356106694875876</v>
      </c>
      <c r="R89" s="2">
        <f>R12/'Output-Calculation-sheet'!R11*'Output-Calculation-sheet'!R74</f>
        <v>24.968734642973992</v>
      </c>
      <c r="S89" s="2">
        <f>S12/'Output-Calculation-sheet'!S11*'Output-Calculation-sheet'!S74</f>
        <v>32.946146147017863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12.050006142428046</v>
      </c>
      <c r="V89" s="2">
        <f>V12/'Output-Calculation-sheet'!V11*'Output-Calculation-sheet'!V74</f>
        <v>6.1944317405922762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17.641679369557707</v>
      </c>
      <c r="Y89" s="2">
        <f>Y12/'Output-Calculation-sheet'!Y11*'Output-Calculation-sheet'!Y74</f>
        <v>4.6430584921952232</v>
      </c>
      <c r="AA89" s="2">
        <f t="shared" si="7"/>
        <v>3.6649313274805064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11514664540.114498</v>
      </c>
      <c r="C96" s="2">
        <f>C8/'Output-Calculation-sheet'!C7*'Output-Calculation-sheet'!C79</f>
        <v>3895463346.1834068</v>
      </c>
      <c r="D96" s="2">
        <f>D8/'Output-Calculation-sheet'!D7*'Output-Calculation-sheet'!D79</f>
        <v>4066607187.1643395</v>
      </c>
      <c r="E96" s="2">
        <f>E8/'Output-Calculation-sheet'!E7*'Output-Calculation-sheet'!E79</f>
        <v>7230081327.8254719</v>
      </c>
      <c r="F96" s="2">
        <f>F8/'Output-Calculation-sheet'!F7*'Output-Calculation-sheet'!F79</f>
        <v>2992459414.9353256</v>
      </c>
      <c r="G96" s="2">
        <f>G8/'Output-Calculation-sheet'!G7*'Output-Calculation-sheet'!G79</f>
        <v>2330879821.8399391</v>
      </c>
      <c r="H96" s="2">
        <f>H8/'Output-Calculation-sheet'!H7*'Output-Calculation-sheet'!H79</f>
        <v>1995101490.3541617</v>
      </c>
      <c r="I96" s="2">
        <f>I8/'Output-Calculation-sheet'!I7*'Output-Calculation-sheet'!I79</f>
        <v>1623705598.1560624</v>
      </c>
      <c r="J96" s="2">
        <f>J8/'Output-Calculation-sheet'!J7*'Output-Calculation-sheet'!J79</f>
        <v>1097991664.9104211</v>
      </c>
      <c r="K96" s="2">
        <f>K8/'Output-Calculation-sheet'!K7*'Output-Calculation-sheet'!K79</f>
        <v>1570898536.1521184</v>
      </c>
      <c r="L96" s="2">
        <f>L8/'Output-Calculation-sheet'!L7*'Output-Calculation-sheet'!L79</f>
        <v>1108424640.2244389</v>
      </c>
      <c r="M96" s="2">
        <f>M8/'Output-Calculation-sheet'!M7*'Output-Calculation-sheet'!M79</f>
        <v>1489304676.9834664</v>
      </c>
      <c r="N96" s="2">
        <f>N8/'Output-Calculation-sheet'!N7*'Output-Calculation-sheet'!N79</f>
        <v>1108161291.1564183</v>
      </c>
      <c r="O96" s="2">
        <f>O8/'Output-Calculation-sheet'!O7*'Output-Calculation-sheet'!O79</f>
        <v>560213487.46373773</v>
      </c>
      <c r="P96" s="2">
        <f>P8/'Output-Calculation-sheet'!P7*'Output-Calculation-sheet'!P79</f>
        <v>1873796619.4024489</v>
      </c>
      <c r="Q96" s="2">
        <f>Q8/'Output-Calculation-sheet'!Q7*'Output-Calculation-sheet'!Q79</f>
        <v>873269371.61138391</v>
      </c>
      <c r="R96" s="2">
        <f>R8/'Output-Calculation-sheet'!R7*'Output-Calculation-sheet'!R79</f>
        <v>1089507349.9460175</v>
      </c>
      <c r="S96" s="2">
        <f>S8/'Output-Calculation-sheet'!S7*'Output-Calculation-sheet'!S79</f>
        <v>634838286.4270761</v>
      </c>
      <c r="T96" s="2">
        <f>T8/'Output-Calculation-sheet'!T7*'Output-Calculation-sheet'!T79</f>
        <v>484870302.72914702</v>
      </c>
      <c r="U96" s="2">
        <f>U8/'Output-Calculation-sheet'!U7*'Output-Calculation-sheet'!U79</f>
        <v>304583062.57805431</v>
      </c>
      <c r="V96" s="2">
        <f>V8/'Output-Calculation-sheet'!V7*'Output-Calculation-sheet'!V79</f>
        <v>158033576.09694549</v>
      </c>
      <c r="W96" s="2">
        <f>W8/'Output-Calculation-sheet'!W7*'Output-Calculation-sheet'!W79</f>
        <v>466976405.14447391</v>
      </c>
      <c r="X96" s="2">
        <f>X8/'Output-Calculation-sheet'!X7*'Output-Calculation-sheet'!X79</f>
        <v>164128991.20642594</v>
      </c>
      <c r="Y96" s="2">
        <f>Y8/'Output-Calculation-sheet'!Y7*'Output-Calculation-sheet'!Y79</f>
        <v>256695479.05778819</v>
      </c>
      <c r="AA96" s="2">
        <f t="shared" si="8"/>
        <v>48.890656467663568</v>
      </c>
    </row>
    <row r="97" spans="1:27" x14ac:dyDescent="0.25">
      <c r="A97" s="2">
        <v>2032</v>
      </c>
      <c r="B97" s="2">
        <f>B9/'Output-Calculation-sheet'!B8*'Output-Calculation-sheet'!B80</f>
        <v>14959164195.023743</v>
      </c>
      <c r="C97" s="2">
        <f>C9/'Output-Calculation-sheet'!C8*'Output-Calculation-sheet'!C80</f>
        <v>5095171958.0442305</v>
      </c>
      <c r="D97" s="2">
        <f>D9/'Output-Calculation-sheet'!D8*'Output-Calculation-sheet'!D80</f>
        <v>5076842876.6922092</v>
      </c>
      <c r="E97" s="2">
        <f>E9/'Output-Calculation-sheet'!E8*'Output-Calculation-sheet'!E80</f>
        <v>9284786117.2657223</v>
      </c>
      <c r="F97" s="2">
        <f>F9/'Output-Calculation-sheet'!F8*'Output-Calculation-sheet'!F80</f>
        <v>3835545897.0970817</v>
      </c>
      <c r="G97" s="2">
        <f>G9/'Output-Calculation-sheet'!G8*'Output-Calculation-sheet'!G80</f>
        <v>2903297517.9306564</v>
      </c>
      <c r="H97" s="2">
        <f>H9/'Output-Calculation-sheet'!H8*'Output-Calculation-sheet'!H80</f>
        <v>2554315401.2423072</v>
      </c>
      <c r="I97" s="2">
        <f>I9/'Output-Calculation-sheet'!I8*'Output-Calculation-sheet'!I80</f>
        <v>2101161464.1582882</v>
      </c>
      <c r="J97" s="2">
        <f>J9/'Output-Calculation-sheet'!J8*'Output-Calculation-sheet'!J80</f>
        <v>1381319724.5855138</v>
      </c>
      <c r="K97" s="2">
        <f>K9/'Output-Calculation-sheet'!K8*'Output-Calculation-sheet'!K80</f>
        <v>1991463418.4859867</v>
      </c>
      <c r="L97" s="2">
        <f>L9/'Output-Calculation-sheet'!L8*'Output-Calculation-sheet'!L80</f>
        <v>1449455479.4617896</v>
      </c>
      <c r="M97" s="2">
        <f>M9/'Output-Calculation-sheet'!M8*'Output-Calculation-sheet'!M80</f>
        <v>1912394346.4841568</v>
      </c>
      <c r="N97" s="2">
        <f>N9/'Output-Calculation-sheet'!N8*'Output-Calculation-sheet'!N80</f>
        <v>1397259760.1754994</v>
      </c>
      <c r="O97" s="2">
        <f>O9/'Output-Calculation-sheet'!O8*'Output-Calculation-sheet'!O80</f>
        <v>722850687.3950175</v>
      </c>
      <c r="P97" s="2">
        <f>P9/'Output-Calculation-sheet'!P8*'Output-Calculation-sheet'!P80</f>
        <v>2365031524.3706427</v>
      </c>
      <c r="Q97" s="2">
        <f>Q9/'Output-Calculation-sheet'!Q8*'Output-Calculation-sheet'!Q80</f>
        <v>1106271054.7259841</v>
      </c>
      <c r="R97" s="2">
        <f>R9/'Output-Calculation-sheet'!R8*'Output-Calculation-sheet'!R80</f>
        <v>1397770658.2501936</v>
      </c>
      <c r="S97" s="2">
        <f>S9/'Output-Calculation-sheet'!S8*'Output-Calculation-sheet'!S80</f>
        <v>811262045.38139522</v>
      </c>
      <c r="T97" s="2">
        <f>T9/'Output-Calculation-sheet'!T8*'Output-Calculation-sheet'!T80</f>
        <v>610908851.50519562</v>
      </c>
      <c r="U97" s="2">
        <f>U9/'Output-Calculation-sheet'!U8*'Output-Calculation-sheet'!U80</f>
        <v>390549647.42446816</v>
      </c>
      <c r="V97" s="2">
        <f>V9/'Output-Calculation-sheet'!V8*'Output-Calculation-sheet'!V80</f>
        <v>204780960.11842215</v>
      </c>
      <c r="W97" s="2">
        <f>W9/'Output-Calculation-sheet'!W8*'Output-Calculation-sheet'!W80</f>
        <v>593049617.29339075</v>
      </c>
      <c r="X97" s="2">
        <f>X9/'Output-Calculation-sheet'!X8*'Output-Calculation-sheet'!X80</f>
        <v>212962042.80842516</v>
      </c>
      <c r="Y97" s="2">
        <f>Y9/'Output-Calculation-sheet'!Y8*'Output-Calculation-sheet'!Y80</f>
        <v>325978457.65627211</v>
      </c>
      <c r="AA97" s="2">
        <f t="shared" si="8"/>
        <v>62.683593703576591</v>
      </c>
    </row>
    <row r="98" spans="1:27" x14ac:dyDescent="0.25">
      <c r="A98" s="2">
        <v>2033</v>
      </c>
      <c r="B98" s="2">
        <f>B10/'Output-Calculation-sheet'!B9*'Output-Calculation-sheet'!B81</f>
        <v>17459076149.375866</v>
      </c>
      <c r="C98" s="2">
        <f>C10/'Output-Calculation-sheet'!C9*'Output-Calculation-sheet'!C81</f>
        <v>5985837076.9655762</v>
      </c>
      <c r="D98" s="2">
        <f>D10/'Output-Calculation-sheet'!D9*'Output-Calculation-sheet'!D81</f>
        <v>5696693758.0722141</v>
      </c>
      <c r="E98" s="2">
        <f>E10/'Output-Calculation-sheet'!E9*'Output-Calculation-sheet'!E81</f>
        <v>10715839393.34495</v>
      </c>
      <c r="F98" s="2">
        <f>F10/'Output-Calculation-sheet'!F9*'Output-Calculation-sheet'!F81</f>
        <v>4419471179.2557917</v>
      </c>
      <c r="G98" s="2">
        <f>G10/'Output-Calculation-sheet'!G9*'Output-Calculation-sheet'!G81</f>
        <v>3244910958.468224</v>
      </c>
      <c r="H98" s="2">
        <f>H10/'Output-Calculation-sheet'!H9*'Output-Calculation-sheet'!H81</f>
        <v>2939915840.0928369</v>
      </c>
      <c r="I98" s="2">
        <f>I10/'Output-Calculation-sheet'!I9*'Output-Calculation-sheet'!I81</f>
        <v>2443938002.8177714</v>
      </c>
      <c r="J98" s="2">
        <f>J10/'Output-Calculation-sheet'!J9*'Output-Calculation-sheet'!J81</f>
        <v>1562715557.6276133</v>
      </c>
      <c r="K98" s="2">
        <f>K10/'Output-Calculation-sheet'!K9*'Output-Calculation-sheet'!K81</f>
        <v>2269906319.8268604</v>
      </c>
      <c r="L98" s="2">
        <f>L10/'Output-Calculation-sheet'!L9*'Output-Calculation-sheet'!L81</f>
        <v>1702463717.779716</v>
      </c>
      <c r="M98" s="2">
        <f>M10/'Output-Calculation-sheet'!M9*'Output-Calculation-sheet'!M81</f>
        <v>2207753359.887455</v>
      </c>
      <c r="N98" s="2">
        <f>N10/'Output-Calculation-sheet'!N9*'Output-Calculation-sheet'!N81</f>
        <v>1583890775.354686</v>
      </c>
      <c r="O98" s="2">
        <f>O10/'Output-Calculation-sheet'!O9*'Output-Calculation-sheet'!O81</f>
        <v>838759648.34288836</v>
      </c>
      <c r="P98" s="2">
        <f>P10/'Output-Calculation-sheet'!P9*'Output-Calculation-sheet'!P81</f>
        <v>2680432473.864028</v>
      </c>
      <c r="Q98" s="2">
        <f>Q10/'Output-Calculation-sheet'!Q9*'Output-Calculation-sheet'!Q81</f>
        <v>1260271398.6689804</v>
      </c>
      <c r="R98" s="2">
        <f>R10/'Output-Calculation-sheet'!R9*'Output-Calculation-sheet'!R81</f>
        <v>1612077783.1128595</v>
      </c>
      <c r="S98" s="2">
        <f>S10/'Output-Calculation-sheet'!S9*'Output-Calculation-sheet'!S81</f>
        <v>932067971.02722907</v>
      </c>
      <c r="T98" s="2">
        <f>T10/'Output-Calculation-sheet'!T9*'Output-Calculation-sheet'!T81</f>
        <v>691632779.40317583</v>
      </c>
      <c r="U98" s="2">
        <f>U10/'Output-Calculation-sheet'!U9*'Output-Calculation-sheet'!U81</f>
        <v>450021143.09879196</v>
      </c>
      <c r="V98" s="2">
        <f>V10/'Output-Calculation-sheet'!V9*'Output-Calculation-sheet'!V81</f>
        <v>238338775.63603121</v>
      </c>
      <c r="W98" s="2">
        <f>W10/'Output-Calculation-sheet'!W9*'Output-Calculation-sheet'!W81</f>
        <v>675772655.87937784</v>
      </c>
      <c r="X98" s="2">
        <f>X10/'Output-Calculation-sheet'!X9*'Output-Calculation-sheet'!X81</f>
        <v>248326005.35468075</v>
      </c>
      <c r="Y98" s="2">
        <f>Y10/'Output-Calculation-sheet'!Y9*'Output-Calculation-sheet'!Y81</f>
        <v>371581655.97366798</v>
      </c>
      <c r="AA98" s="2">
        <f t="shared" si="8"/>
        <v>72.231694379231257</v>
      </c>
    </row>
    <row r="99" spans="1:27" x14ac:dyDescent="0.25">
      <c r="A99" s="2">
        <v>2034</v>
      </c>
      <c r="B99" s="2">
        <f>B11/'Output-Calculation-sheet'!B10*'Output-Calculation-sheet'!B82</f>
        <v>18595445510.205429</v>
      </c>
      <c r="C99" s="2">
        <f>C11/'Output-Calculation-sheet'!C10*'Output-Calculation-sheet'!C82</f>
        <v>6416191630.8985844</v>
      </c>
      <c r="D99" s="2">
        <f>D11/'Output-Calculation-sheet'!D10*'Output-Calculation-sheet'!D82</f>
        <v>5836929611.433567</v>
      </c>
      <c r="E99" s="2">
        <f>E11/'Output-Calculation-sheet'!E10*'Output-Calculation-sheet'!E82</f>
        <v>11291028499.146637</v>
      </c>
      <c r="F99" s="2">
        <f>F11/'Output-Calculation-sheet'!F10*'Output-Calculation-sheet'!F82</f>
        <v>4650196075.0879145</v>
      </c>
      <c r="G99" s="2">
        <f>G11/'Output-Calculation-sheet'!G10*'Output-Calculation-sheet'!G82</f>
        <v>3305958500.0632057</v>
      </c>
      <c r="H99" s="2">
        <f>H11/'Output-Calculation-sheet'!H10*'Output-Calculation-sheet'!H82</f>
        <v>3090018445.6768632</v>
      </c>
      <c r="I99" s="2">
        <f>I11/'Output-Calculation-sheet'!I10*'Output-Calculation-sheet'!I82</f>
        <v>2595400376.8191614</v>
      </c>
      <c r="J99" s="2">
        <f>J11/'Output-Calculation-sheet'!J10*'Output-Calculation-sheet'!J82</f>
        <v>1615116661.8603826</v>
      </c>
      <c r="K99" s="2">
        <f>K11/'Output-Calculation-sheet'!K10*'Output-Calculation-sheet'!K82</f>
        <v>2363127622.9362516</v>
      </c>
      <c r="L99" s="2">
        <f>L11/'Output-Calculation-sheet'!L10*'Output-Calculation-sheet'!L82</f>
        <v>1824507338.9801996</v>
      </c>
      <c r="M99" s="2">
        <f>M11/'Output-Calculation-sheet'!M10*'Output-Calculation-sheet'!M82</f>
        <v>2327653620.5467615</v>
      </c>
      <c r="N99" s="2">
        <f>N11/'Output-Calculation-sheet'!N10*'Output-Calculation-sheet'!N82</f>
        <v>1639834150.5758331</v>
      </c>
      <c r="O99" s="2">
        <f>O11/'Output-Calculation-sheet'!O10*'Output-Calculation-sheet'!O82</f>
        <v>889036389.65111041</v>
      </c>
      <c r="P99" s="2">
        <f>P11/'Output-Calculation-sheet'!P10*'Output-Calculation-sheet'!P82</f>
        <v>2771327829.7183547</v>
      </c>
      <c r="Q99" s="2">
        <f>Q11/'Output-Calculation-sheet'!Q10*'Output-Calculation-sheet'!Q82</f>
        <v>1311566480.7610373</v>
      </c>
      <c r="R99" s="2">
        <f>R11/'Output-Calculation-sheet'!R10*'Output-Calculation-sheet'!R82</f>
        <v>1697816743.8672283</v>
      </c>
      <c r="S99" s="2">
        <f>S11/'Output-Calculation-sheet'!S10*'Output-Calculation-sheet'!S82</f>
        <v>977989909.48374236</v>
      </c>
      <c r="T99" s="2">
        <f>T11/'Output-Calculation-sheet'!T10*'Output-Calculation-sheet'!T82</f>
        <v>714796283.36967659</v>
      </c>
      <c r="U99" s="2">
        <f>U11/'Output-Calculation-sheet'!U10*'Output-Calculation-sheet'!U82</f>
        <v>473352508.0394066</v>
      </c>
      <c r="V99" s="2">
        <f>V11/'Output-Calculation-sheet'!V10*'Output-Calculation-sheet'!V82</f>
        <v>253095684.56578696</v>
      </c>
      <c r="W99" s="2">
        <f>W11/'Output-Calculation-sheet'!W10*'Output-Calculation-sheet'!W82</f>
        <v>701843194.63970089</v>
      </c>
      <c r="X99" s="2">
        <f>X11/'Output-Calculation-sheet'!X10*'Output-Calculation-sheet'!X82</f>
        <v>264333469.61741009</v>
      </c>
      <c r="Y99" s="2">
        <f>Y11/'Output-Calculation-sheet'!Y10*'Output-Calculation-sheet'!Y82</f>
        <v>386236355.90854174</v>
      </c>
      <c r="AA99" s="2">
        <f t="shared" si="8"/>
        <v>75.992802893852797</v>
      </c>
    </row>
    <row r="100" spans="1:27" x14ac:dyDescent="0.25">
      <c r="A100" s="2">
        <v>2035</v>
      </c>
      <c r="B100" s="2">
        <f>B12/'Output-Calculation-sheet'!B11*'Output-Calculation-sheet'!B83</f>
        <v>18183083144.316055</v>
      </c>
      <c r="C100" s="2">
        <f>C12/'Output-Calculation-sheet'!C11*'Output-Calculation-sheet'!C83</f>
        <v>6312871131.3375893</v>
      </c>
      <c r="D100" s="2">
        <f>D12/'Output-Calculation-sheet'!D11*'Output-Calculation-sheet'!D83</f>
        <v>5494544870.0246677</v>
      </c>
      <c r="E100" s="2">
        <f>E12/'Output-Calculation-sheet'!E11*'Output-Calculation-sheet'!E83</f>
        <v>10927231995.384731</v>
      </c>
      <c r="F100" s="2">
        <f>F12/'Output-Calculation-sheet'!F11*'Output-Calculation-sheet'!F83</f>
        <v>4495027542.6597319</v>
      </c>
      <c r="G100" s="2">
        <f>G12/'Output-Calculation-sheet'!G11*'Output-Calculation-sheet'!G83</f>
        <v>3088959188.2406926</v>
      </c>
      <c r="H100" s="2">
        <f>H12/'Output-Calculation-sheet'!H11*'Output-Calculation-sheet'!H83</f>
        <v>2983703731.5885653</v>
      </c>
      <c r="I100" s="2">
        <f>I12/'Output-Calculation-sheet'!I11*'Output-Calculation-sheet'!I83</f>
        <v>2531613683.2169337</v>
      </c>
      <c r="J100" s="2">
        <f>J12/'Output-Calculation-sheet'!J11*'Output-Calculation-sheet'!J83</f>
        <v>1534266853.9522669</v>
      </c>
      <c r="K100" s="2">
        <f>K12/'Output-Calculation-sheet'!K11*'Output-Calculation-sheet'!K83</f>
        <v>2260628609.5846267</v>
      </c>
      <c r="L100" s="2">
        <f>L12/'Output-Calculation-sheet'!L11*'Output-Calculation-sheet'!L83</f>
        <v>1794810216.3075805</v>
      </c>
      <c r="M100" s="2">
        <f>M12/'Output-Calculation-sheet'!M11*'Output-Calculation-sheet'!M83</f>
        <v>2254679346.6883259</v>
      </c>
      <c r="N100" s="2">
        <f>N12/'Output-Calculation-sheet'!N11*'Output-Calculation-sheet'!N83</f>
        <v>1560060027.7697291</v>
      </c>
      <c r="O100" s="2">
        <f>O12/'Output-Calculation-sheet'!O11*'Output-Calculation-sheet'!O83</f>
        <v>865932372.05814278</v>
      </c>
      <c r="P100" s="2">
        <f>P12/'Output-Calculation-sheet'!P11*'Output-Calculation-sheet'!P83</f>
        <v>2629898143.1235867</v>
      </c>
      <c r="Q100" s="2">
        <f>Q12/'Output-Calculation-sheet'!Q11*'Output-Calculation-sheet'!Q83</f>
        <v>1254473470.1172824</v>
      </c>
      <c r="R100" s="2">
        <f>R12/'Output-Calculation-sheet'!R11*'Output-Calculation-sheet'!R83</f>
        <v>1642663089.6796873</v>
      </c>
      <c r="S100" s="2">
        <f>S12/'Output-Calculation-sheet'!S11*'Output-Calculation-sheet'!S83</f>
        <v>942804214.86979032</v>
      </c>
      <c r="T100" s="2">
        <f>T12/'Output-Calculation-sheet'!T11*'Output-Calculation-sheet'!T83</f>
        <v>678492376.0893631</v>
      </c>
      <c r="U100" s="2">
        <f>U12/'Output-Calculation-sheet'!U11*'Output-Calculation-sheet'!U83</f>
        <v>457227039.73577541</v>
      </c>
      <c r="V100" s="2">
        <f>V12/'Output-Calculation-sheet'!V11*'Output-Calculation-sheet'!V83</f>
        <v>246700553.4985413</v>
      </c>
      <c r="W100" s="2">
        <f>W12/'Output-Calculation-sheet'!W11*'Output-Calculation-sheet'!W83</f>
        <v>668372406.98601663</v>
      </c>
      <c r="X100" s="2">
        <f>X12/'Output-Calculation-sheet'!X11*'Output-Calculation-sheet'!X83</f>
        <v>258399121.136042</v>
      </c>
      <c r="Y100" s="2">
        <f>Y12/'Output-Calculation-sheet'!Y11*'Output-Calculation-sheet'!Y83</f>
        <v>368313091.1912486</v>
      </c>
      <c r="AA100" s="2">
        <f t="shared" si="8"/>
        <v>73.434756219556974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958.26231539922424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8.9617642333930831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7777.3492131582316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3109.804434255404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2148.6013377218328</v>
      </c>
      <c r="N18" s="2">
        <f>N7/'Output-Calculation-sheet'!N6*'Output-Calculation-sheet'!N24</f>
        <v>664.59784636372979</v>
      </c>
      <c r="O18" s="2">
        <f>O7/'Output-Calculation-sheet'!O6*'Output-Calculation-sheet'!O24</f>
        <v>1378.9453398245323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240.48933194633639</v>
      </c>
      <c r="Y18" s="2">
        <f>Y7/'Output-Calculation-sheet'!Y6*'Output-Calculation-sheet'!Y24</f>
        <v>0</v>
      </c>
      <c r="AA18" s="2">
        <f t="shared" si="0"/>
        <v>15.465079600466444</v>
      </c>
    </row>
    <row r="19" spans="1:27" x14ac:dyDescent="0.25">
      <c r="A19" s="2">
        <v>2031</v>
      </c>
      <c r="B19" s="2">
        <f>B8/'Output-Calculation-sheet'!B7*'Output-Calculation-sheet'!B25</f>
        <v>1050.6577135188106</v>
      </c>
      <c r="C19" s="2">
        <f>C8/'Output-Calculation-sheet'!C7*'Output-Calculation-sheet'!C25</f>
        <v>9791.8832218601729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4714.254967122627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3275.380431766132</v>
      </c>
      <c r="N19" s="2">
        <f>N8/'Output-Calculation-sheet'!N7*'Output-Calculation-sheet'!N25</f>
        <v>1121.3887513978002</v>
      </c>
      <c r="O19" s="2">
        <f>O8/'Output-Calculation-sheet'!O7*'Output-Calculation-sheet'!O25</f>
        <v>1737.0041744410153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400.12920893913287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366.50377607326027</v>
      </c>
      <c r="Y19" s="2">
        <f>Y8/'Output-Calculation-sheet'!Y7*'Output-Calculation-sheet'!Y25</f>
        <v>0</v>
      </c>
      <c r="AA19" s="2">
        <f t="shared" si="0"/>
        <v>22.457202245118946</v>
      </c>
    </row>
    <row r="20" spans="1:27" x14ac:dyDescent="0.25">
      <c r="A20" s="2">
        <v>2032</v>
      </c>
      <c r="B20" s="2">
        <f>B9/'Output-Calculation-sheet'!B8*'Output-Calculation-sheet'!B26</f>
        <v>5749.1035202101784</v>
      </c>
      <c r="C20" s="2">
        <f>C9/'Output-Calculation-sheet'!C8*'Output-Calculation-sheet'!C26</f>
        <v>11685.34876651267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6254.621996105996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4349.9987606152472</v>
      </c>
      <c r="N20" s="2">
        <f>N9/'Output-Calculation-sheet'!N8*'Output-Calculation-sheet'!N26</f>
        <v>1961.3298609371632</v>
      </c>
      <c r="O20" s="2">
        <f>O9/'Output-Calculation-sheet'!O8*'Output-Calculation-sheet'!O26</f>
        <v>2034.7193801375684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709.15903951161374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486.18624759455827</v>
      </c>
      <c r="Y20" s="2">
        <f>Y9/'Output-Calculation-sheet'!Y8*'Output-Calculation-sheet'!Y26</f>
        <v>0</v>
      </c>
      <c r="AA20" s="2">
        <f t="shared" si="0"/>
        <v>33.230467571624992</v>
      </c>
    </row>
    <row r="21" spans="1:27" x14ac:dyDescent="0.25">
      <c r="A21" s="2">
        <v>2033</v>
      </c>
      <c r="B21" s="2">
        <f>B10/'Output-Calculation-sheet'!B9*'Output-Calculation-sheet'!B27</f>
        <v>13207.212459126033</v>
      </c>
      <c r="C21" s="2">
        <f>C10/'Output-Calculation-sheet'!C9*'Output-Calculation-sheet'!C27</f>
        <v>13464.026895283847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7635.4261080183496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5303.3361145127265</v>
      </c>
      <c r="N21" s="2">
        <f>N10/'Output-Calculation-sheet'!N9*'Output-Calculation-sheet'!N27</f>
        <v>2885.7571327555966</v>
      </c>
      <c r="O21" s="2">
        <f>O10/'Output-Calculation-sheet'!O9*'Output-Calculation-sheet'!O27</f>
        <v>2238.6734798073699</v>
      </c>
      <c r="P21" s="2">
        <f>P10/'Output-Calculation-sheet'!P9*'Output-Calculation-sheet'!P27</f>
        <v>0</v>
      </c>
      <c r="Q21" s="2">
        <f>Q10/'Output-Calculation-sheet'!Q9*'Output-Calculation-sheet'!Q27</f>
        <v>197.07438155244867</v>
      </c>
      <c r="R21" s="2">
        <f>R10/'Output-Calculation-sheet'!R9*'Output-Calculation-sheet'!R27</f>
        <v>0</v>
      </c>
      <c r="S21" s="2">
        <f>S10/'Output-Calculation-sheet'!S9*'Output-Calculation-sheet'!S27</f>
        <v>1262.7910428840246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623.58938836873733</v>
      </c>
      <c r="Y21" s="2">
        <f>Y10/'Output-Calculation-sheet'!Y9*'Output-Calculation-sheet'!Y27</f>
        <v>0</v>
      </c>
      <c r="AA21" s="2">
        <f t="shared" si="0"/>
        <v>46.817887002309135</v>
      </c>
    </row>
    <row r="22" spans="1:27" x14ac:dyDescent="0.25">
      <c r="A22" s="2">
        <v>2034</v>
      </c>
      <c r="B22" s="2">
        <f>B11/'Output-Calculation-sheet'!B10*'Output-Calculation-sheet'!B28</f>
        <v>21378.62217406715</v>
      </c>
      <c r="C22" s="2">
        <f>C11/'Output-Calculation-sheet'!C10*'Output-Calculation-sheet'!C28</f>
        <v>15264.776184419177</v>
      </c>
      <c r="D22" s="2">
        <f>D11/'Output-Calculation-sheet'!D10*'Output-Calculation-sheet'!D28</f>
        <v>0</v>
      </c>
      <c r="E22" s="2">
        <f>E11/'Output-Calculation-sheet'!E10*'Output-Calculation-sheet'!E28</f>
        <v>1236.5043325931117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8987.3615235908037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614.01090675072976</v>
      </c>
      <c r="M22" s="2">
        <f>M11/'Output-Calculation-sheet'!M10*'Output-Calculation-sheet'!M28</f>
        <v>6243.8991050087916</v>
      </c>
      <c r="N22" s="2">
        <f>N11/'Output-Calculation-sheet'!N10*'Output-Calculation-sheet'!N28</f>
        <v>3625.1452548466145</v>
      </c>
      <c r="O22" s="2">
        <f>O11/'Output-Calculation-sheet'!O10*'Output-Calculation-sheet'!O28</f>
        <v>2349.413953276638</v>
      </c>
      <c r="P22" s="2">
        <f>P11/'Output-Calculation-sheet'!P10*'Output-Calculation-sheet'!P28</f>
        <v>0</v>
      </c>
      <c r="Q22" s="2">
        <f>Q11/'Output-Calculation-sheet'!Q10*'Output-Calculation-sheet'!Q28</f>
        <v>541.97643623662304</v>
      </c>
      <c r="R22" s="2">
        <f>R11/'Output-Calculation-sheet'!R10*'Output-Calculation-sheet'!R28</f>
        <v>0</v>
      </c>
      <c r="S22" s="2">
        <f>S11/'Output-Calculation-sheet'!S10*'Output-Calculation-sheet'!S28</f>
        <v>1693.2579242709721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650.26520658628817</v>
      </c>
      <c r="Y22" s="2">
        <f>Y11/'Output-Calculation-sheet'!Y10*'Output-Calculation-sheet'!Y28</f>
        <v>68.46387448854901</v>
      </c>
      <c r="AA22" s="2">
        <f t="shared" si="0"/>
        <v>62.653696876135442</v>
      </c>
    </row>
    <row r="23" spans="1:27" x14ac:dyDescent="0.25">
      <c r="A23" s="2">
        <v>2035</v>
      </c>
      <c r="B23" s="2">
        <f>B12/'Output-Calculation-sheet'!B11*'Output-Calculation-sheet'!B29</f>
        <v>23695.496284747118</v>
      </c>
      <c r="C23" s="2">
        <f>C12/'Output-Calculation-sheet'!C11*'Output-Calculation-sheet'!C29</f>
        <v>17283.844724696468</v>
      </c>
      <c r="D23" s="2">
        <f>D12/'Output-Calculation-sheet'!D11*'Output-Calculation-sheet'!D29</f>
        <v>0</v>
      </c>
      <c r="E23" s="2">
        <f>E12/'Output-Calculation-sheet'!E11*'Output-Calculation-sheet'!E29</f>
        <v>3014.2845248878602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8676.0367521611734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713.4582673457478</v>
      </c>
      <c r="M23" s="2">
        <f>M12/'Output-Calculation-sheet'!M11*'Output-Calculation-sheet'!M29</f>
        <v>6117.16399046468</v>
      </c>
      <c r="N23" s="2">
        <f>N12/'Output-Calculation-sheet'!N11*'Output-Calculation-sheet'!N29</f>
        <v>3604.4510984170342</v>
      </c>
      <c r="O23" s="2">
        <f>O12/'Output-Calculation-sheet'!O11*'Output-Calculation-sheet'!O29</f>
        <v>2384.6605661803378</v>
      </c>
      <c r="P23" s="2">
        <f>P12/'Output-Calculation-sheet'!P11*'Output-Calculation-sheet'!P29</f>
        <v>508.43465614335088</v>
      </c>
      <c r="Q23" s="2">
        <f>Q12/'Output-Calculation-sheet'!Q11*'Output-Calculation-sheet'!Q29</f>
        <v>770.10492718480043</v>
      </c>
      <c r="R23" s="2">
        <f>R12/'Output-Calculation-sheet'!R11*'Output-Calculation-sheet'!R29</f>
        <v>0</v>
      </c>
      <c r="S23" s="2">
        <f>S12/'Output-Calculation-sheet'!S11*'Output-Calculation-sheet'!S29</f>
        <v>1762.6912308267874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635.4715753121194</v>
      </c>
      <c r="Y23" s="2">
        <f>Y12/'Output-Calculation-sheet'!Y11*'Output-Calculation-sheet'!Y29</f>
        <v>161.36363739800061</v>
      </c>
      <c r="AA23" s="2">
        <f t="shared" si="0"/>
        <v>69.327462235765466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18312.622644302752</v>
      </c>
      <c r="C30" s="2">
        <f>C8/'Output-Calculation-sheet'!C7*'Output-Calculation-sheet'!C16</f>
        <v>0</v>
      </c>
      <c r="D30" s="2">
        <f>D8/'Output-Calculation-sheet'!D7*'Output-Calculation-sheet'!D16</f>
        <v>3083.6035667459537</v>
      </c>
      <c r="E30" s="2">
        <f>E8/'Output-Calculation-sheet'!E7*'Output-Calculation-sheet'!E16</f>
        <v>3317.7832208222476</v>
      </c>
      <c r="F30" s="2">
        <f>F8/'Output-Calculation-sheet'!F7*'Output-Calculation-sheet'!F16</f>
        <v>1673.8392897323874</v>
      </c>
      <c r="G30" s="2">
        <f>G8/'Output-Calculation-sheet'!G7*'Output-Calculation-sheet'!G16</f>
        <v>1096.1659301782413</v>
      </c>
      <c r="H30" s="2">
        <f>H8/'Output-Calculation-sheet'!H7*'Output-Calculation-sheet'!H16</f>
        <v>0</v>
      </c>
      <c r="I30" s="2">
        <f>I8/'Output-Calculation-sheet'!I7*'Output-Calculation-sheet'!I16</f>
        <v>1068.5976515646084</v>
      </c>
      <c r="J30" s="2">
        <f>J8/'Output-Calculation-sheet'!J7*'Output-Calculation-sheet'!J16</f>
        <v>951.25738392015865</v>
      </c>
      <c r="K30" s="2">
        <f>K8/'Output-Calculation-sheet'!K7*'Output-Calculation-sheet'!K16</f>
        <v>1270.1104306874427</v>
      </c>
      <c r="L30" s="2">
        <f>L8/'Output-Calculation-sheet'!L7*'Output-Calculation-sheet'!L16</f>
        <v>1072.8303844617708</v>
      </c>
      <c r="M30" s="2">
        <f>M8/'Output-Calculation-sheet'!M7*'Output-Calculation-sheet'!M16</f>
        <v>0</v>
      </c>
      <c r="N30" s="2">
        <f>N8/'Output-Calculation-sheet'!N7*'Output-Calculation-sheet'!N16</f>
        <v>1523.8651764853698</v>
      </c>
      <c r="O30" s="2">
        <f>O8/'Output-Calculation-sheet'!O7*'Output-Calculation-sheet'!O16</f>
        <v>0</v>
      </c>
      <c r="P30" s="2">
        <f>P8/'Output-Calculation-sheet'!P7*'Output-Calculation-sheet'!P16</f>
        <v>1369.6000186155604</v>
      </c>
      <c r="Q30" s="2">
        <f>Q8/'Output-Calculation-sheet'!Q7*'Output-Calculation-sheet'!Q16</f>
        <v>1506.1076966011094</v>
      </c>
      <c r="R30" s="2">
        <f>R8/'Output-Calculation-sheet'!R7*'Output-Calculation-sheet'!R16</f>
        <v>955.63187961600863</v>
      </c>
      <c r="S30" s="2">
        <f>S8/'Output-Calculation-sheet'!S7*'Output-Calculation-sheet'!S16</f>
        <v>961.08544845337781</v>
      </c>
      <c r="T30" s="2">
        <f>T8/'Output-Calculation-sheet'!T7*'Output-Calculation-sheet'!T16</f>
        <v>286.8669537780732</v>
      </c>
      <c r="U30" s="2">
        <f>U8/'Output-Calculation-sheet'!U7*'Output-Calculation-sheet'!U16</f>
        <v>286.35418637248279</v>
      </c>
      <c r="V30" s="2">
        <f>V8/'Output-Calculation-sheet'!V7*'Output-Calculation-sheet'!V16</f>
        <v>222.86402009816803</v>
      </c>
      <c r="W30" s="2">
        <f>W8/'Output-Calculation-sheet'!W7*'Output-Calculation-sheet'!W16</f>
        <v>135.17826332995335</v>
      </c>
      <c r="X30" s="2">
        <f>X8/'Output-Calculation-sheet'!X7*'Output-Calculation-sheet'!X16</f>
        <v>0</v>
      </c>
      <c r="Y30" s="2">
        <f>Y8/'Output-Calculation-sheet'!Y7*'Output-Calculation-sheet'!Y16</f>
        <v>114.41303185066688</v>
      </c>
      <c r="AA30" s="2">
        <f t="shared" si="1"/>
        <v>39.208777177616327</v>
      </c>
    </row>
    <row r="31" spans="1:27" x14ac:dyDescent="0.25">
      <c r="A31" s="2">
        <v>2032</v>
      </c>
      <c r="B31" s="2">
        <f>B9/'Output-Calculation-sheet'!B8*'Output-Calculation-sheet'!B17</f>
        <v>24343.603736460325</v>
      </c>
      <c r="C31" s="2">
        <f>C9/'Output-Calculation-sheet'!C8*'Output-Calculation-sheet'!C17</f>
        <v>0</v>
      </c>
      <c r="D31" s="2">
        <f>D9/'Output-Calculation-sheet'!D8*'Output-Calculation-sheet'!D17</f>
        <v>4082.7419693459619</v>
      </c>
      <c r="E31" s="2">
        <f>E9/'Output-Calculation-sheet'!E8*'Output-Calculation-sheet'!E17</f>
        <v>4798.7053672265829</v>
      </c>
      <c r="F31" s="2">
        <f>F9/'Output-Calculation-sheet'!F8*'Output-Calculation-sheet'!F17</f>
        <v>2216.2448015080727</v>
      </c>
      <c r="G31" s="2">
        <f>G9/'Output-Calculation-sheet'!G8*'Output-Calculation-sheet'!G17</f>
        <v>1451.3636713670423</v>
      </c>
      <c r="H31" s="2">
        <f>H9/'Output-Calculation-sheet'!H8*'Output-Calculation-sheet'!H17</f>
        <v>0</v>
      </c>
      <c r="I31" s="2">
        <f>I9/'Output-Calculation-sheet'!I8*'Output-Calculation-sheet'!I17</f>
        <v>1414.8688921458213</v>
      </c>
      <c r="J31" s="2">
        <f>J9/'Output-Calculation-sheet'!J8*'Output-Calculation-sheet'!J17</f>
        <v>1259.5060296551999</v>
      </c>
      <c r="K31" s="2">
        <f>K9/'Output-Calculation-sheet'!K8*'Output-Calculation-sheet'!K17</f>
        <v>1793.2021691807956</v>
      </c>
      <c r="L31" s="2">
        <f>L9/'Output-Calculation-sheet'!L8*'Output-Calculation-sheet'!L17</f>
        <v>1529.2862133401188</v>
      </c>
      <c r="M31" s="2">
        <f>M9/'Output-Calculation-sheet'!M8*'Output-Calculation-sheet'!M17</f>
        <v>0</v>
      </c>
      <c r="N31" s="2">
        <f>N9/'Output-Calculation-sheet'!N8*'Output-Calculation-sheet'!N17</f>
        <v>1662.4905231108182</v>
      </c>
      <c r="O31" s="2">
        <f>O9/'Output-Calculation-sheet'!O8*'Output-Calculation-sheet'!O17</f>
        <v>0</v>
      </c>
      <c r="P31" s="2">
        <f>P9/'Output-Calculation-sheet'!P8*'Output-Calculation-sheet'!P17</f>
        <v>2063.4087761072956</v>
      </c>
      <c r="Q31" s="2">
        <f>Q9/'Output-Calculation-sheet'!Q8*'Output-Calculation-sheet'!Q17</f>
        <v>2199.7833350344163</v>
      </c>
      <c r="R31" s="2">
        <f>R9/'Output-Calculation-sheet'!R8*'Output-Calculation-sheet'!R17</f>
        <v>1439.2145149809037</v>
      </c>
      <c r="S31" s="2">
        <f>S9/'Output-Calculation-sheet'!S8*'Output-Calculation-sheet'!S17</f>
        <v>1242.7854167015114</v>
      </c>
      <c r="T31" s="2">
        <f>T9/'Output-Calculation-sheet'!T8*'Output-Calculation-sheet'!T17</f>
        <v>390.54137364644072</v>
      </c>
      <c r="U31" s="2">
        <f>U9/'Output-Calculation-sheet'!U8*'Output-Calculation-sheet'!U17</f>
        <v>448.85654351958607</v>
      </c>
      <c r="V31" s="2">
        <f>V9/'Output-Calculation-sheet'!V8*'Output-Calculation-sheet'!V17</f>
        <v>321.4946443669624</v>
      </c>
      <c r="W31" s="2">
        <f>W9/'Output-Calculation-sheet'!W8*'Output-Calculation-sheet'!W17</f>
        <v>178.98365395290605</v>
      </c>
      <c r="X31" s="2">
        <f>X9/'Output-Calculation-sheet'!X8*'Output-Calculation-sheet'!X17</f>
        <v>0</v>
      </c>
      <c r="Y31" s="2">
        <f>Y9/'Output-Calculation-sheet'!Y8*'Output-Calculation-sheet'!Y17</f>
        <v>172.93698698448748</v>
      </c>
      <c r="AA31" s="2">
        <f t="shared" si="1"/>
        <v>53.010018618635243</v>
      </c>
    </row>
    <row r="32" spans="1:27" x14ac:dyDescent="0.25">
      <c r="A32" s="2">
        <v>2033</v>
      </c>
      <c r="B32" s="2">
        <f>B10/'Output-Calculation-sheet'!B9*'Output-Calculation-sheet'!B18</f>
        <v>26768.354180657145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1641.9790576478943</v>
      </c>
      <c r="O32" s="2">
        <f>O10/'Output-Calculation-sheet'!O9*'Output-Calculation-sheet'!O18</f>
        <v>0</v>
      </c>
      <c r="P32" s="2">
        <f>P10/'Output-Calculation-sheet'!P9*'Output-Calculation-sheet'!P18</f>
        <v>2627.5674472851288</v>
      </c>
      <c r="Q32" s="2">
        <f>Q10/'Output-Calculation-sheet'!Q9*'Output-Calculation-sheet'!Q18</f>
        <v>2863.1314950078681</v>
      </c>
      <c r="R32" s="2">
        <f>R10/'Output-Calculation-sheet'!R9*'Output-Calculation-sheet'!R18</f>
        <v>1886.4739978241485</v>
      </c>
      <c r="S32" s="2">
        <f>S10/'Output-Calculation-sheet'!S9*'Output-Calculation-sheet'!S18</f>
        <v>1234.6696223171405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609.9092740223407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64.35963821549764</v>
      </c>
    </row>
    <row r="33" spans="1:27" x14ac:dyDescent="0.25">
      <c r="A33" s="2">
        <v>2034</v>
      </c>
      <c r="B33" s="2">
        <f>B11/'Output-Calculation-sheet'!B10*'Output-Calculation-sheet'!B19</f>
        <v>24499.251479276511</v>
      </c>
      <c r="C33" s="2">
        <f>C11/'Output-Calculation-sheet'!C10*'Output-Calculation-sheet'!C19</f>
        <v>0</v>
      </c>
      <c r="D33" s="2">
        <f>D11/'Output-Calculation-sheet'!D10*'Output-Calculation-sheet'!D19</f>
        <v>7416.6128660423201</v>
      </c>
      <c r="E33" s="2">
        <f>E11/'Output-Calculation-sheet'!E10*'Output-Calculation-sheet'!E19</f>
        <v>9197.0039606745777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2520.0882373060094</v>
      </c>
      <c r="H33" s="2">
        <f>H11/'Output-Calculation-sheet'!H10*'Output-Calculation-sheet'!H19</f>
        <v>0</v>
      </c>
      <c r="I33" s="2">
        <f>I11/'Output-Calculation-sheet'!I10*'Output-Calculation-sheet'!I19</f>
        <v>2753.9137970859006</v>
      </c>
      <c r="J33" s="2">
        <f>J11/'Output-Calculation-sheet'!J10*'Output-Calculation-sheet'!J19</f>
        <v>2329.8852144750167</v>
      </c>
      <c r="K33" s="2">
        <f>K11/'Output-Calculation-sheet'!K10*'Output-Calculation-sheet'!K19</f>
        <v>3225.9479291295129</v>
      </c>
      <c r="L33" s="2">
        <f>L11/'Output-Calculation-sheet'!L10*'Output-Calculation-sheet'!L19</f>
        <v>2548.295584285207</v>
      </c>
      <c r="M33" s="2">
        <f>M11/'Output-Calculation-sheet'!M10*'Output-Calculation-sheet'!M19</f>
        <v>0</v>
      </c>
      <c r="N33" s="2">
        <f>N11/'Output-Calculation-sheet'!N10*'Output-Calculation-sheet'!N19</f>
        <v>1524.1597290078298</v>
      </c>
      <c r="O33" s="2">
        <f>O11/'Output-Calculation-sheet'!O10*'Output-Calculation-sheet'!O19</f>
        <v>0</v>
      </c>
      <c r="P33" s="2">
        <f>P11/'Output-Calculation-sheet'!P10*'Output-Calculation-sheet'!P19</f>
        <v>3264.5317713464879</v>
      </c>
      <c r="Q33" s="2">
        <f>Q11/'Output-Calculation-sheet'!Q10*'Output-Calculation-sheet'!Q19</f>
        <v>2695.9254177542298</v>
      </c>
      <c r="R33" s="2">
        <f>R11/'Output-Calculation-sheet'!R10*'Output-Calculation-sheet'!R19</f>
        <v>2330.9295755559715</v>
      </c>
      <c r="S33" s="2">
        <f>S11/'Output-Calculation-sheet'!S10*'Output-Calculation-sheet'!S19</f>
        <v>1145.0000875095118</v>
      </c>
      <c r="T33" s="2">
        <f>T11/'Output-Calculation-sheet'!T10*'Output-Calculation-sheet'!T19</f>
        <v>683.91274109696985</v>
      </c>
      <c r="U33" s="2">
        <f>U11/'Output-Calculation-sheet'!U10*'Output-Calculation-sheet'!U19</f>
        <v>736.20890207789898</v>
      </c>
      <c r="V33" s="2">
        <f>V11/'Output-Calculation-sheet'!V10*'Output-Calculation-sheet'!V19</f>
        <v>536.44945331030317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0</v>
      </c>
      <c r="Y33" s="2">
        <f>Y11/'Output-Calculation-sheet'!Y10*'Output-Calculation-sheet'!Y19</f>
        <v>301.01736904861735</v>
      </c>
      <c r="AA33" s="2">
        <f t="shared" si="1"/>
        <v>72.251660241539724</v>
      </c>
    </row>
    <row r="34" spans="1:27" x14ac:dyDescent="0.25">
      <c r="A34" s="2">
        <v>2035</v>
      </c>
      <c r="B34" s="2">
        <f>B12/'Output-Calculation-sheet'!B11*'Output-Calculation-sheet'!B20</f>
        <v>22498.029725963541</v>
      </c>
      <c r="C34" s="2">
        <f>C12/'Output-Calculation-sheet'!C11*'Output-Calculation-sheet'!C20</f>
        <v>0</v>
      </c>
      <c r="D34" s="2">
        <f>D12/'Output-Calculation-sheet'!D11*'Output-Calculation-sheet'!D20</f>
        <v>6902.2323067703819</v>
      </c>
      <c r="E34" s="2">
        <f>E12/'Output-Calculation-sheet'!E11*'Output-Calculation-sheet'!E20</f>
        <v>8136.0059090474133</v>
      </c>
      <c r="F34" s="2">
        <f>F12/'Output-Calculation-sheet'!F11*'Output-Calculation-sheet'!F20</f>
        <v>4655.7320504045301</v>
      </c>
      <c r="G34" s="2">
        <f>G12/'Output-Calculation-sheet'!G11*'Output-Calculation-sheet'!G20</f>
        <v>2493.2995919006494</v>
      </c>
      <c r="H34" s="2">
        <f>H12/'Output-Calculation-sheet'!H11*'Output-Calculation-sheet'!H20</f>
        <v>0</v>
      </c>
      <c r="I34" s="2">
        <f>I12/'Output-Calculation-sheet'!I11*'Output-Calculation-sheet'!I20</f>
        <v>2773.204053503558</v>
      </c>
      <c r="J34" s="2">
        <f>J12/'Output-Calculation-sheet'!J11*'Output-Calculation-sheet'!J20</f>
        <v>2161.7001149710582</v>
      </c>
      <c r="K34" s="2">
        <f>K12/'Output-Calculation-sheet'!K11*'Output-Calculation-sheet'!K20</f>
        <v>3195.2665352722611</v>
      </c>
      <c r="L34" s="2">
        <f>L12/'Output-Calculation-sheet'!L11*'Output-Calculation-sheet'!L20</f>
        <v>2441.9744908711132</v>
      </c>
      <c r="M34" s="2">
        <f>M12/'Output-Calculation-sheet'!M11*'Output-Calculation-sheet'!M20</f>
        <v>0</v>
      </c>
      <c r="N34" s="2">
        <f>N12/'Output-Calculation-sheet'!N11*'Output-Calculation-sheet'!N20</f>
        <v>1417.0855815694606</v>
      </c>
      <c r="O34" s="2">
        <f>O12/'Output-Calculation-sheet'!O11*'Output-Calculation-sheet'!O20</f>
        <v>0</v>
      </c>
      <c r="P34" s="2">
        <f>P12/'Output-Calculation-sheet'!P11*'Output-Calculation-sheet'!P20</f>
        <v>3037.9879344737033</v>
      </c>
      <c r="Q34" s="2">
        <f>Q12/'Output-Calculation-sheet'!Q11*'Output-Calculation-sheet'!Q20</f>
        <v>2502.7253148877448</v>
      </c>
      <c r="R34" s="2">
        <f>R12/'Output-Calculation-sheet'!R11*'Output-Calculation-sheet'!R20</f>
        <v>2349.2991297257063</v>
      </c>
      <c r="S34" s="2">
        <f>S12/'Output-Calculation-sheet'!S11*'Output-Calculation-sheet'!S20</f>
        <v>1002.3985588942126</v>
      </c>
      <c r="T34" s="2">
        <f>T12/'Output-Calculation-sheet'!T11*'Output-Calculation-sheet'!T20</f>
        <v>751.0400312823258</v>
      </c>
      <c r="U34" s="2">
        <f>U12/'Output-Calculation-sheet'!U11*'Output-Calculation-sheet'!U20</f>
        <v>700.63931117577613</v>
      </c>
      <c r="V34" s="2">
        <f>V12/'Output-Calculation-sheet'!V11*'Output-Calculation-sheet'!V20</f>
        <v>520.30759259903948</v>
      </c>
      <c r="W34" s="2">
        <f>W12/'Output-Calculation-sheet'!W11*'Output-Calculation-sheet'!W20</f>
        <v>414.3499337870976</v>
      </c>
      <c r="X34" s="2">
        <f>X12/'Output-Calculation-sheet'!X11*'Output-Calculation-sheet'!X20</f>
        <v>16.2419096184524</v>
      </c>
      <c r="Y34" s="2">
        <f>Y12/'Output-Calculation-sheet'!Y11*'Output-Calculation-sheet'!Y20</f>
        <v>242.44961071843835</v>
      </c>
      <c r="AA34" s="2">
        <f t="shared" si="1"/>
        <v>68.211969687436451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0.13958842825902321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0.13958842825902321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1.9964135767286542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0.38784944988546927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2.3842630266141236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3.1719892675191157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0.61623218094209231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3.7882214484612078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4.2913233132378803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0.6252665050422388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4.9165898182801193</v>
      </c>
    </row>
    <row r="44" spans="1:27" x14ac:dyDescent="0.25">
      <c r="A44" s="2">
        <v>2034</v>
      </c>
      <c r="B44" s="2">
        <f>B11/'Output-Calculation-sheet'!B10*'Output-Calculation-sheet'!B37*0.0114</f>
        <v>2.2143143333366546</v>
      </c>
      <c r="C44" s="2">
        <f>C11/'Output-Calculation-sheet'!C10*'Output-Calculation-sheet'!C37*0.0114</f>
        <v>4.2038518783036265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0.32351913331860349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0.23474828415582261</v>
      </c>
      <c r="M44" s="2">
        <f>M11/'Output-Calculation-sheet'!M10*'Output-Calculation-sheet'!M37*0.0114</f>
        <v>0.22261282188303433</v>
      </c>
      <c r="N44" s="2">
        <f>N11/'Output-Calculation-sheet'!N10*'Output-Calculation-sheet'!N37*0.0114</f>
        <v>0.21879268287715495</v>
      </c>
      <c r="O44" s="2">
        <f>O11/'Output-Calculation-sheet'!O10*'Output-Calculation-sheet'!O37*0.0114</f>
        <v>0.81669532676277978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0.19169530492685621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0.12541917845408054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6.1162515093812521E-2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2.4421175345936526E-2</v>
      </c>
      <c r="Y44" s="2">
        <f>Y11/'Output-Calculation-sheet'!Y10*'Output-Calculation-sheet'!Y37*0.0114</f>
        <v>0</v>
      </c>
      <c r="AA44" s="2">
        <f t="shared" si="2"/>
        <v>8.6372326344583641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3.9896092586961154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0.77507374938753792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4.6353178032383875E-2</v>
      </c>
      <c r="Y45" s="2">
        <f>Y12/'Output-Calculation-sheet'!Y11*'Output-Calculation-sheet'!Y38*0.0114</f>
        <v>2.2365838273723456E-2</v>
      </c>
      <c r="AA45" s="2">
        <f t="shared" si="2"/>
        <v>11.956726120593673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1222.2870344066434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3.1501382016234594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6684.6689604593057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4562.6119708402093</v>
      </c>
      <c r="N52" s="2">
        <f>N8/'Output-Calculation-sheet'!N7*'Output-Calculation-sheet'!N43</f>
        <v>145.83139638120196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588.02075892927974</v>
      </c>
      <c r="Y52" s="2">
        <f>Y8/'Output-Calculation-sheet'!Y7*'Output-Calculation-sheet'!Y43</f>
        <v>0</v>
      </c>
      <c r="AA52" s="2">
        <f t="shared" si="3"/>
        <v>11.981133086609997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649.23756937525752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12505.24688133668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8545.8963466486275</v>
      </c>
      <c r="N53" s="2">
        <f>N9/'Output-Calculation-sheet'!N8*'Output-Calculation-sheet'!N44</f>
        <v>3050.7601845682311</v>
      </c>
      <c r="O53" s="2">
        <f>O9/'Output-Calculation-sheet'!O8*'Output-Calculation-sheet'!O44</f>
        <v>0</v>
      </c>
      <c r="P53" s="2">
        <f>P9/'Output-Calculation-sheet'!P8*'Output-Calculation-sheet'!P44</f>
        <v>142.70140312126321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940.80814032069384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1071.1274266675034</v>
      </c>
      <c r="Y53" s="2">
        <f>Y9/'Output-Calculation-sheet'!Y8*'Output-Calculation-sheet'!Y44</f>
        <v>0</v>
      </c>
      <c r="AA53" s="2">
        <f t="shared" si="3"/>
        <v>26.905777952038253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5081.8302393606473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0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738.10629794924591</v>
      </c>
      <c r="R54" s="2">
        <f>R10/'Output-Calculation-sheet'!R9*'Output-Calculation-sheet'!R45</f>
        <v>1259.6693421792331</v>
      </c>
      <c r="S54" s="2">
        <f>S10/'Output-Calculation-sheet'!S9*'Output-Calculation-sheet'!S45</f>
        <v>3021.0312030718296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449.09494598593733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77.73355123358327</v>
      </c>
    </row>
    <row r="55" spans="1:27" x14ac:dyDescent="0.25">
      <c r="A55" s="2">
        <v>2034</v>
      </c>
      <c r="B55" s="2">
        <f>B11/'Output-Calculation-sheet'!B10*'Output-Calculation-sheet'!B46</f>
        <v>58271.429824648803</v>
      </c>
      <c r="C55" s="2">
        <f>C11/'Output-Calculation-sheet'!C10*'Output-Calculation-sheet'!C46</f>
        <v>11984.665442532267</v>
      </c>
      <c r="D55" s="2">
        <f>D11/'Output-Calculation-sheet'!D10*'Output-Calculation-sheet'!D46</f>
        <v>6451.5009845773229</v>
      </c>
      <c r="E55" s="2">
        <f>E11/'Output-Calculation-sheet'!E10*'Output-Calculation-sheet'!E46</f>
        <v>7982.8906628675595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20943.607051678013</v>
      </c>
      <c r="I55" s="2">
        <f>I11/'Output-Calculation-sheet'!I10*'Output-Calculation-sheet'!I46</f>
        <v>1554.5883830196824</v>
      </c>
      <c r="J55" s="2">
        <f>J11/'Output-Calculation-sheet'!J10*'Output-Calculation-sheet'!J46</f>
        <v>1121.3030568729307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597.16668776481185</v>
      </c>
      <c r="M55" s="2">
        <f>M11/'Output-Calculation-sheet'!M10*'Output-Calculation-sheet'!M46</f>
        <v>14528.415743945397</v>
      </c>
      <c r="N55" s="2">
        <f>N11/'Output-Calculation-sheet'!N10*'Output-Calculation-sheet'!N46</f>
        <v>10325.479244553451</v>
      </c>
      <c r="O55" s="2">
        <f>O11/'Output-Calculation-sheet'!O10*'Output-Calculation-sheet'!O46</f>
        <v>0</v>
      </c>
      <c r="P55" s="2">
        <f>P11/'Output-Calculation-sheet'!P10*'Output-Calculation-sheet'!P46</f>
        <v>4202.0727007588312</v>
      </c>
      <c r="Q55" s="2">
        <f>Q11/'Output-Calculation-sheet'!Q10*'Output-Calculation-sheet'!Q46</f>
        <v>1547.01474151498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4664.7133039061537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1008.6449857576099</v>
      </c>
      <c r="V55" s="2">
        <f>V11/'Output-Calculation-sheet'!V10*'Output-Calculation-sheet'!V46</f>
        <v>521.26251141040177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1482.4081876656205</v>
      </c>
      <c r="Y55" s="2">
        <f>Y11/'Output-Calculation-sheet'!Y10*'Output-Calculation-sheet'!Y46</f>
        <v>394.84872357367175</v>
      </c>
      <c r="AA55" s="2">
        <f t="shared" si="3"/>
        <v>158.04989653874395</v>
      </c>
    </row>
    <row r="56" spans="1:27" x14ac:dyDescent="0.25">
      <c r="A56" s="2">
        <v>2035</v>
      </c>
      <c r="B56" s="2">
        <f>B12/'Output-Calculation-sheet'!B11*'Output-Calculation-sheet'!B47</f>
        <v>66915.080178331016</v>
      </c>
      <c r="C56" s="2">
        <f>C12/'Output-Calculation-sheet'!C11*'Output-Calculation-sheet'!C47</f>
        <v>24410.109280180179</v>
      </c>
      <c r="D56" s="2">
        <f>D12/'Output-Calculation-sheet'!D11*'Output-Calculation-sheet'!D47</f>
        <v>5347.6838595876434</v>
      </c>
      <c r="E56" s="2">
        <f>E12/'Output-Calculation-sheet'!E11*'Output-Calculation-sheet'!E47</f>
        <v>13427.480208131788</v>
      </c>
      <c r="F56" s="2">
        <f>F12/'Output-Calculation-sheet'!F11*'Output-Calculation-sheet'!F47</f>
        <v>1627.0114667259393</v>
      </c>
      <c r="G56" s="2">
        <f>G12/'Output-Calculation-sheet'!G11*'Output-Calculation-sheet'!G47</f>
        <v>4281.4881318529015</v>
      </c>
      <c r="H56" s="2">
        <f>H12/'Output-Calculation-sheet'!H11*'Output-Calculation-sheet'!H47</f>
        <v>20118.642740756</v>
      </c>
      <c r="I56" s="2">
        <f>I12/'Output-Calculation-sheet'!I11*'Output-Calculation-sheet'!I47</f>
        <v>2425.5939368431768</v>
      </c>
      <c r="J56" s="2">
        <f>J12/'Output-Calculation-sheet'!J11*'Output-Calculation-sheet'!J47</f>
        <v>841.42696435008952</v>
      </c>
      <c r="K56" s="2">
        <f>K12/'Output-Calculation-sheet'!K11*'Output-Calculation-sheet'!K47</f>
        <v>3563.677006495484</v>
      </c>
      <c r="L56" s="2">
        <f>L12/'Output-Calculation-sheet'!L11*'Output-Calculation-sheet'!L47</f>
        <v>918.49837200750915</v>
      </c>
      <c r="M56" s="2">
        <f>M12/'Output-Calculation-sheet'!M11*'Output-Calculation-sheet'!M47</f>
        <v>14010.385227886702</v>
      </c>
      <c r="N56" s="2">
        <f>N12/'Output-Calculation-sheet'!N11*'Output-Calculation-sheet'!N47</f>
        <v>10272.827701509952</v>
      </c>
      <c r="O56" s="2">
        <f>O12/'Output-Calculation-sheet'!O11*'Output-Calculation-sheet'!O47</f>
        <v>0</v>
      </c>
      <c r="P56" s="2">
        <f>P12/'Output-Calculation-sheet'!P11*'Output-Calculation-sheet'!P47</f>
        <v>5401.3610213799193</v>
      </c>
      <c r="Q56" s="2">
        <f>Q12/'Output-Calculation-sheet'!Q11*'Output-Calculation-sheet'!Q47</f>
        <v>1915.0090403915715</v>
      </c>
      <c r="R56" s="2">
        <f>R12/'Output-Calculation-sheet'!R11*'Output-Calculation-sheet'!R47</f>
        <v>3703.2226527525818</v>
      </c>
      <c r="S56" s="2">
        <f>S12/'Output-Calculation-sheet'!S11*'Output-Calculation-sheet'!S47</f>
        <v>4875.9465762931204</v>
      </c>
      <c r="T56" s="2">
        <f>T12/'Output-Calculation-sheet'!T11*'Output-Calculation-sheet'!T47</f>
        <v>1334.9324659118004</v>
      </c>
      <c r="U56" s="2">
        <f>U12/'Output-Calculation-sheet'!U11*'Output-Calculation-sheet'!U47</f>
        <v>1008.1580739862479</v>
      </c>
      <c r="V56" s="2">
        <f>V12/'Output-Calculation-sheet'!V11*'Output-Calculation-sheet'!V47</f>
        <v>561.44205716488943</v>
      </c>
      <c r="W56" s="2">
        <f>W12/'Output-Calculation-sheet'!W11*'Output-Calculation-sheet'!W47</f>
        <v>543.96262927841099</v>
      </c>
      <c r="X56" s="2">
        <f>X12/'Output-Calculation-sheet'!X11*'Output-Calculation-sheet'!X47</f>
        <v>1427.1899552076088</v>
      </c>
      <c r="Y56" s="2">
        <f>Y12/'Output-Calculation-sheet'!Y11*'Output-Calculation-sheet'!Y47</f>
        <v>631.73683545078529</v>
      </c>
      <c r="AA56" s="2">
        <f t="shared" si="3"/>
        <v>189.56286638247533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2.9778051901350695</v>
      </c>
      <c r="C60" s="2">
        <f>C5*'Output-Calculation-sheet'!C49/10^9</f>
        <v>1.3603651967595747</v>
      </c>
      <c r="D60" s="2">
        <f>D5*'Output-Calculation-sheet'!D49/10^9</f>
        <v>1.0862219217759352</v>
      </c>
      <c r="E60" s="2">
        <f>E5*'Output-Calculation-sheet'!E49/10^9</f>
        <v>0.95112864036847944</v>
      </c>
      <c r="F60" s="2">
        <f>F5*'Output-Calculation-sheet'!F49/10^9</f>
        <v>0.50843751592278374</v>
      </c>
      <c r="G60" s="2">
        <f>G5*'Output-Calculation-sheet'!G49/10^9</f>
        <v>0.38962474191646124</v>
      </c>
      <c r="H60" s="2">
        <f>H5*'Output-Calculation-sheet'!H49/10^9</f>
        <v>0.41402606185077612</v>
      </c>
      <c r="I60" s="2">
        <f>I5*'Output-Calculation-sheet'!I49/10^9</f>
        <v>0.35616147266562082</v>
      </c>
      <c r="J60" s="2">
        <f>J5*'Output-Calculation-sheet'!J49/10^9</f>
        <v>0.37507540525432886</v>
      </c>
      <c r="K60" s="2">
        <f>K5*'Output-Calculation-sheet'!K49/10^9</f>
        <v>0.34739901944535373</v>
      </c>
      <c r="L60" s="2">
        <f>L5*'Output-Calculation-sheet'!L49/10^9</f>
        <v>0.27960023858040867</v>
      </c>
      <c r="M60" s="2">
        <f>M5*'Output-Calculation-sheet'!M49/10^9</f>
        <v>0.28585940161155915</v>
      </c>
      <c r="N60" s="2">
        <f>N5*'Output-Calculation-sheet'!N49/10^9</f>
        <v>0.30222670753932218</v>
      </c>
      <c r="O60" s="2">
        <f>O5*'Output-Calculation-sheet'!O49/10^9</f>
        <v>0.26722494484001164</v>
      </c>
      <c r="P60" s="2">
        <f>P5*'Output-Calculation-sheet'!P49/10^9</f>
        <v>0.24441571710871618</v>
      </c>
      <c r="Q60" s="2">
        <f>Q5*'Output-Calculation-sheet'!Q49/10^9</f>
        <v>0.24321225765154758</v>
      </c>
      <c r="R60" s="2">
        <f>R5*'Output-Calculation-sheet'!R49/10^9</f>
        <v>0.22720771253666017</v>
      </c>
      <c r="S60" s="2">
        <f>S5*'Output-Calculation-sheet'!S49/10^9</f>
        <v>0.17161213144413787</v>
      </c>
      <c r="T60" s="2">
        <f>T5*'Output-Calculation-sheet'!T49/10^9</f>
        <v>8.2487128247787547E-2</v>
      </c>
      <c r="U60" s="2">
        <f>U5*'Output-Calculation-sheet'!U49/10^9</f>
        <v>7.246095536319927E-2</v>
      </c>
      <c r="V60" s="2">
        <f>V5*'Output-Calculation-sheet'!V49/10^9</f>
        <v>5.5836408215218909E-2</v>
      </c>
      <c r="W60" s="2">
        <f>W5*'Output-Calculation-sheet'!W49/10^9</f>
        <v>4.7364690556404618E-2</v>
      </c>
      <c r="X60" s="2">
        <f>X5*'Output-Calculation-sheet'!X49/10^9</f>
        <v>3.3863725652926439E-2</v>
      </c>
      <c r="Y60" s="2">
        <f>Y5*'Output-Calculation-sheet'!Y49/10^9</f>
        <v>2.8236068568063301E-2</v>
      </c>
      <c r="AA60" s="2">
        <f t="shared" ref="AA60:AA67" si="4">SUM(B60:Y60)</f>
        <v>11.107853254010346</v>
      </c>
    </row>
    <row r="61" spans="1:27" x14ac:dyDescent="0.25">
      <c r="A61" s="2">
        <v>2029</v>
      </c>
      <c r="B61" s="2">
        <f>B6*'Output-Calculation-sheet'!B50/10^9</f>
        <v>3.8232176879807223</v>
      </c>
      <c r="C61" s="2">
        <f>C6*'Output-Calculation-sheet'!C50/10^9</f>
        <v>1.8706033993426308</v>
      </c>
      <c r="D61" s="2">
        <f>D6*'Output-Calculation-sheet'!D50/10^9</f>
        <v>1.3146574400250721</v>
      </c>
      <c r="E61" s="2">
        <f>E6*'Output-Calculation-sheet'!E50/10^9</f>
        <v>1.1665218111345415</v>
      </c>
      <c r="F61" s="2">
        <f>F6*'Output-Calculation-sheet'!F50/10^9</f>
        <v>0.62109820415723382</v>
      </c>
      <c r="G61" s="2">
        <f>G6*'Output-Calculation-sheet'!G50/10^9</f>
        <v>0.47131723720011565</v>
      </c>
      <c r="H61" s="2">
        <f>H6*'Output-Calculation-sheet'!H50/10^9</f>
        <v>0.54734347533680405</v>
      </c>
      <c r="I61" s="2">
        <f>I6*'Output-Calculation-sheet'!I50/10^9</f>
        <v>0.43249462424256152</v>
      </c>
      <c r="J61" s="2">
        <f>J6*'Output-Calculation-sheet'!J50/10^9</f>
        <v>0.45113044316719186</v>
      </c>
      <c r="K61" s="2">
        <f>K6*'Output-Calculation-sheet'!K50/10^9</f>
        <v>0.42752167796429619</v>
      </c>
      <c r="L61" s="2">
        <f>L6*'Output-Calculation-sheet'!L50/10^9</f>
        <v>0.34534504204118299</v>
      </c>
      <c r="M61" s="2">
        <f>M6*'Output-Calculation-sheet'!M50/10^9</f>
        <v>0.37823507983838256</v>
      </c>
      <c r="N61" s="2">
        <f>N6*'Output-Calculation-sheet'!N50/10^9</f>
        <v>0.39567247604707645</v>
      </c>
      <c r="O61" s="2">
        <f>O6*'Output-Calculation-sheet'!O50/10^9</f>
        <v>0.37212107242938175</v>
      </c>
      <c r="P61" s="2">
        <f>P6*'Output-Calculation-sheet'!P50/10^9</f>
        <v>0.30985258932076898</v>
      </c>
      <c r="Q61" s="2">
        <f>Q6*'Output-Calculation-sheet'!Q50/10^9</f>
        <v>0.31201518244820986</v>
      </c>
      <c r="R61" s="2">
        <f>R6*'Output-Calculation-sheet'!R50/10^9</f>
        <v>0.28249007443203494</v>
      </c>
      <c r="S61" s="2">
        <f>S6*'Output-Calculation-sheet'!S50/10^9</f>
        <v>0.22275988603153854</v>
      </c>
      <c r="T61" s="2">
        <f>T6*'Output-Calculation-sheet'!T50/10^9</f>
        <v>0.10114563652854747</v>
      </c>
      <c r="U61" s="2">
        <f>U6*'Output-Calculation-sheet'!U50/10^9</f>
        <v>8.9706358921035942E-2</v>
      </c>
      <c r="V61" s="2">
        <f>V6*'Output-Calculation-sheet'!V50/10^9</f>
        <v>6.9180172763441461E-2</v>
      </c>
      <c r="W61" s="2">
        <f>W6*'Output-Calculation-sheet'!W50/10^9</f>
        <v>5.7343512853626877E-2</v>
      </c>
      <c r="X61" s="2">
        <f>X6*'Output-Calculation-sheet'!X50/10^9</f>
        <v>4.5220399995458641E-2</v>
      </c>
      <c r="Y61" s="2">
        <f>Y6*'Output-Calculation-sheet'!Y50/10^9</f>
        <v>3.5023460404310189E-2</v>
      </c>
      <c r="AA61" s="2">
        <f t="shared" si="4"/>
        <v>14.142016944606173</v>
      </c>
    </row>
    <row r="62" spans="1:27" x14ac:dyDescent="0.25">
      <c r="A62" s="2">
        <v>2030</v>
      </c>
      <c r="B62" s="2">
        <f>B7*'Output-Calculation-sheet'!B51/10^9</f>
        <v>4.5125327894341654</v>
      </c>
      <c r="C62" s="2">
        <f>C7*'Output-Calculation-sheet'!C51/10^9</f>
        <v>2.5420101637823636</v>
      </c>
      <c r="D62" s="2">
        <f>D7*'Output-Calculation-sheet'!D51/10^9</f>
        <v>1.4435251433837264</v>
      </c>
      <c r="E62" s="2">
        <f>E7*'Output-Calculation-sheet'!E51/10^9</f>
        <v>1.300893950230716</v>
      </c>
      <c r="F62" s="2">
        <f>F7*'Output-Calculation-sheet'!F51/10^9</f>
        <v>0.68945336682707492</v>
      </c>
      <c r="G62" s="2">
        <f>G7*'Output-Calculation-sheet'!G51/10^9</f>
        <v>0.51719639215297497</v>
      </c>
      <c r="H62" s="2">
        <f>H7*'Output-Calculation-sheet'!H51/10^9</f>
        <v>0.71876098513484532</v>
      </c>
      <c r="I62" s="2">
        <f>I7*'Output-Calculation-sheet'!I51/10^9</f>
        <v>0.47675466313803444</v>
      </c>
      <c r="J62" s="2">
        <f>J7*'Output-Calculation-sheet'!J51/10^9</f>
        <v>0.49167198426068631</v>
      </c>
      <c r="K62" s="2">
        <f>K7*'Output-Calculation-sheet'!K51/10^9</f>
        <v>0.47863318018468709</v>
      </c>
      <c r="L62" s="2">
        <f>L7*'Output-Calculation-sheet'!L51/10^9</f>
        <v>0.38824516655264707</v>
      </c>
      <c r="M62" s="2">
        <f>M7*'Output-Calculation-sheet'!M51/10^9</f>
        <v>0.49742746672845894</v>
      </c>
      <c r="N62" s="2">
        <f>N7*'Output-Calculation-sheet'!N51/10^9</f>
        <v>0.47707053145599942</v>
      </c>
      <c r="O62" s="2">
        <f>O7*'Output-Calculation-sheet'!O51/10^9</f>
        <v>0.49347753947616052</v>
      </c>
      <c r="P62" s="2">
        <f>P7*'Output-Calculation-sheet'!P51/10^9</f>
        <v>0.35851402553779455</v>
      </c>
      <c r="Q62" s="2">
        <f>Q7*'Output-Calculation-sheet'!Q51/10^9</f>
        <v>0.3669903244204889</v>
      </c>
      <c r="R62" s="2">
        <f>R7*'Output-Calculation-sheet'!R51/10^9</f>
        <v>0.31995330163814895</v>
      </c>
      <c r="S62" s="2">
        <f>S7*'Output-Calculation-sheet'!S51/10^9</f>
        <v>0.2677739747101569</v>
      </c>
      <c r="T62" s="2">
        <f>T7*'Output-Calculation-sheet'!T51/10^9</f>
        <v>0.11276892060832414</v>
      </c>
      <c r="U62" s="2">
        <f>U7*'Output-Calculation-sheet'!U51/10^9</f>
        <v>0.10111445474111018</v>
      </c>
      <c r="V62" s="2">
        <f>V7*'Output-Calculation-sheet'!V51/10^9</f>
        <v>7.8047867071275756E-2</v>
      </c>
      <c r="W62" s="2">
        <f>W7*'Output-Calculation-sheet'!W51/10^9</f>
        <v>6.298789230184261E-2</v>
      </c>
      <c r="X62" s="2">
        <f>X7*'Output-Calculation-sheet'!X51/10^9</f>
        <v>6.0600089558484053E-2</v>
      </c>
      <c r="Y62" s="2">
        <f>Y7*'Output-Calculation-sheet'!Y51/10^9</f>
        <v>3.9563193242101287E-2</v>
      </c>
      <c r="AA62" s="2">
        <f t="shared" si="4"/>
        <v>16.795967366572267</v>
      </c>
    </row>
    <row r="63" spans="1:27" x14ac:dyDescent="0.25">
      <c r="A63" s="2">
        <v>2031</v>
      </c>
      <c r="B63" s="2">
        <f>B8*'Output-Calculation-sheet'!B52/10^9</f>
        <v>5.1096593157287149</v>
      </c>
      <c r="C63" s="2">
        <f>C8*'Output-Calculation-sheet'!C52/10^9</f>
        <v>3.1961561223800716</v>
      </c>
      <c r="D63" s="2">
        <f>D8*'Output-Calculation-sheet'!D52/10^9</f>
        <v>1.4593673628642605</v>
      </c>
      <c r="E63" s="2">
        <f>E8*'Output-Calculation-sheet'!E52/10^9</f>
        <v>1.3405285039664567</v>
      </c>
      <c r="F63" s="2">
        <f>F8*'Output-Calculation-sheet'!F52/10^9</f>
        <v>0.70648248088950039</v>
      </c>
      <c r="G63" s="2">
        <f>G8*'Output-Calculation-sheet'!G52/10^9</f>
        <v>0.52246550346122766</v>
      </c>
      <c r="H63" s="2">
        <f>H8*'Output-Calculation-sheet'!H52/10^9</f>
        <v>0.90146283992855192</v>
      </c>
      <c r="I63" s="2">
        <f>I8*'Output-Calculation-sheet'!I52/10^9</f>
        <v>0.48434861518829875</v>
      </c>
      <c r="J63" s="2">
        <f>J8*'Output-Calculation-sheet'!J52/10^9</f>
        <v>0.49240785991873204</v>
      </c>
      <c r="K63" s="2">
        <f>K8*'Output-Calculation-sheet'!K52/10^9</f>
        <v>0.4955413425624472</v>
      </c>
      <c r="L63" s="2">
        <f>L8*'Output-Calculation-sheet'!L52/10^9</f>
        <v>0.40396371061590652</v>
      </c>
      <c r="M63" s="2">
        <f>M8*'Output-Calculation-sheet'!M52/10^9</f>
        <v>0.62413149864442097</v>
      </c>
      <c r="N63" s="2">
        <f>N8*'Output-Calculation-sheet'!N52/10^9</f>
        <v>0.55999109454407547</v>
      </c>
      <c r="O63" s="2">
        <f>O8*'Output-Calculation-sheet'!O52/10^9</f>
        <v>0.60559796816743761</v>
      </c>
      <c r="P63" s="2">
        <f>P8*'Output-Calculation-sheet'!P52/10^9</f>
        <v>0.39892502232142246</v>
      </c>
      <c r="Q63" s="2">
        <f>Q8*'Output-Calculation-sheet'!Q52/10^9</f>
        <v>0.41140536671732109</v>
      </c>
      <c r="R63" s="2">
        <f>R8*'Output-Calculation-sheet'!R52/10^9</f>
        <v>0.33693650352793636</v>
      </c>
      <c r="S63" s="2">
        <f>S8*'Output-Calculation-sheet'!S52/10^9</f>
        <v>0.30981879014129127</v>
      </c>
      <c r="T63" s="2">
        <f>T8*'Output-Calculation-sheet'!T52/10^9</f>
        <v>0.11617004473476361</v>
      </c>
      <c r="U63" s="2">
        <f>U8*'Output-Calculation-sheet'!U52/10^9</f>
        <v>0.105535153586631</v>
      </c>
      <c r="V63" s="2">
        <f>V8*'Output-Calculation-sheet'!V52/10^9</f>
        <v>8.1546396075672822E-2</v>
      </c>
      <c r="W63" s="2">
        <f>W8*'Output-Calculation-sheet'!W52/10^9</f>
        <v>6.370870940472588E-2</v>
      </c>
      <c r="X63" s="2">
        <f>X8*'Output-Calculation-sheet'!X52/10^9</f>
        <v>7.6418645788595974E-2</v>
      </c>
      <c r="Y63" s="2">
        <f>Y8*'Output-Calculation-sheet'!Y52/10^9</f>
        <v>4.1413206030062238E-2</v>
      </c>
      <c r="AA63" s="2">
        <f t="shared" si="4"/>
        <v>18.843982057188519</v>
      </c>
    </row>
    <row r="64" spans="1:27" x14ac:dyDescent="0.25">
      <c r="A64" s="2">
        <v>2032</v>
      </c>
      <c r="B64" s="2">
        <f>B9*'Output-Calculation-sheet'!B53/10^9</f>
        <v>5.6017651165881341</v>
      </c>
      <c r="C64" s="2">
        <f>C9*'Output-Calculation-sheet'!C53/10^9</f>
        <v>3.7093547353975378</v>
      </c>
      <c r="D64" s="2">
        <f>D9*'Output-Calculation-sheet'!D53/10^9</f>
        <v>1.3496781939407274</v>
      </c>
      <c r="E64" s="2">
        <f>E9*'Output-Calculation-sheet'!E53/10^9</f>
        <v>1.3176987062579864</v>
      </c>
      <c r="F64" s="2">
        <f>F9*'Output-Calculation-sheet'!F53/10^9</f>
        <v>0.66455901525964334</v>
      </c>
      <c r="G64" s="2">
        <f>G9*'Output-Calculation-sheet'!G53/10^9</f>
        <v>0.48271509619394726</v>
      </c>
      <c r="H64" s="2">
        <f>H9*'Output-Calculation-sheet'!H53/10^9</f>
        <v>1.0363666278589874</v>
      </c>
      <c r="I64" s="2">
        <f>I9*'Output-Calculation-sheet'!I53/10^9</f>
        <v>0.45073384836289232</v>
      </c>
      <c r="J64" s="2">
        <f>J9*'Output-Calculation-sheet'!J53/10^9</f>
        <v>0.44989310410076966</v>
      </c>
      <c r="K64" s="2">
        <f>K9*'Output-Calculation-sheet'!K53/10^9</f>
        <v>0.48524626155947037</v>
      </c>
      <c r="L64" s="2">
        <f>L9*'Output-Calculation-sheet'!L53/10^9</f>
        <v>0.39999782289804081</v>
      </c>
      <c r="M64" s="2">
        <f>M9*'Output-Calculation-sheet'!M53/10^9</f>
        <v>0.71798393418236106</v>
      </c>
      <c r="N64" s="2">
        <f>N9*'Output-Calculation-sheet'!N53/10^9</f>
        <v>0.63798167120508165</v>
      </c>
      <c r="O64" s="2">
        <f>O9*'Output-Calculation-sheet'!O53/10^9</f>
        <v>0.68641856611066088</v>
      </c>
      <c r="P64" s="2">
        <f>P9*'Output-Calculation-sheet'!P53/10^9</f>
        <v>0.4339956525710586</v>
      </c>
      <c r="Q64" s="2">
        <f>Q9*'Output-Calculation-sheet'!Q53/10^9</f>
        <v>0.4440958723532889</v>
      </c>
      <c r="R64" s="2">
        <f>R9*'Output-Calculation-sheet'!R53/10^9</f>
        <v>0.34721010701395849</v>
      </c>
      <c r="S64" s="2">
        <f>S9*'Output-Calculation-sheet'!S53/10^9</f>
        <v>0.35140507149525152</v>
      </c>
      <c r="T64" s="2">
        <f>T9*'Output-Calculation-sheet'!T53/10^9</f>
        <v>0.11126132623109579</v>
      </c>
      <c r="U64" s="2">
        <f>U9*'Output-Calculation-sheet'!U53/10^9</f>
        <v>0.10975388043572563</v>
      </c>
      <c r="V64" s="2">
        <f>V9*'Output-Calculation-sheet'!V53/10^9</f>
        <v>8.1659989350842954E-2</v>
      </c>
      <c r="W64" s="2">
        <f>W9*'Output-Calculation-sheet'!W53/10^9</f>
        <v>5.8955133228198432E-2</v>
      </c>
      <c r="X64" s="2">
        <f>X9*'Output-Calculation-sheet'!X53/10^9</f>
        <v>8.810813394991987E-2</v>
      </c>
      <c r="Y64" s="2">
        <f>Y9*'Output-Calculation-sheet'!Y53/10^9</f>
        <v>4.249686296757979E-2</v>
      </c>
      <c r="AA64" s="2">
        <f t="shared" si="4"/>
        <v>20.059334729513157</v>
      </c>
    </row>
    <row r="65" spans="1:27" x14ac:dyDescent="0.25">
      <c r="A65" s="2">
        <v>2033</v>
      </c>
      <c r="B65" s="2">
        <f>B10*'Output-Calculation-sheet'!B54/10^9</f>
        <v>6.1890723132499943</v>
      </c>
      <c r="C65" s="2">
        <f>C10*'Output-Calculation-sheet'!C54/10^9</f>
        <v>4.0876160501243843</v>
      </c>
      <c r="D65" s="2">
        <f>D10*'Output-Calculation-sheet'!D54/10^9</f>
        <v>1.18888463906873</v>
      </c>
      <c r="E65" s="2">
        <f>E10*'Output-Calculation-sheet'!E54/10^9</f>
        <v>1.349112450015179</v>
      </c>
      <c r="F65" s="2">
        <f>F10*'Output-Calculation-sheet'!F54/10^9</f>
        <v>0.6120159637792566</v>
      </c>
      <c r="G65" s="2">
        <f>G10*'Output-Calculation-sheet'!G54/10^9</f>
        <v>0.42239296977929369</v>
      </c>
      <c r="H65" s="2">
        <f>H10*'Output-Calculation-sheet'!H54/10^9</f>
        <v>1.1227293864085137</v>
      </c>
      <c r="I65" s="2">
        <f>I10*'Output-Calculation-sheet'!I54/10^9</f>
        <v>0.41549415418050406</v>
      </c>
      <c r="J65" s="2">
        <f>J10*'Output-Calculation-sheet'!J54/10^9</f>
        <v>0.38319351272018021</v>
      </c>
      <c r="K65" s="2">
        <f>K10*'Output-Calculation-sheet'!K54/10^9</f>
        <v>0.48869772857037469</v>
      </c>
      <c r="L65" s="2">
        <f>L10*'Output-Calculation-sheet'!L54/10^9</f>
        <v>0.40647753283577215</v>
      </c>
      <c r="M65" s="2">
        <f>M10*'Output-Calculation-sheet'!M54/10^9</f>
        <v>0.77800794159636244</v>
      </c>
      <c r="N65" s="2">
        <f>N10*'Output-Calculation-sheet'!N54/10^9</f>
        <v>0.69945868650341181</v>
      </c>
      <c r="O65" s="2">
        <f>O10*'Output-Calculation-sheet'!O54/10^9</f>
        <v>0.74044420753914475</v>
      </c>
      <c r="P65" s="2">
        <f>P10*'Output-Calculation-sheet'!P54/10^9</f>
        <v>0.4719825673703108</v>
      </c>
      <c r="Q65" s="2">
        <f>Q10*'Output-Calculation-sheet'!Q54/10^9</f>
        <v>0.48965811768981493</v>
      </c>
      <c r="R65" s="2">
        <f>R10*'Output-Calculation-sheet'!R54/10^9</f>
        <v>0.36590373772624785</v>
      </c>
      <c r="S65" s="2">
        <f>S10*'Output-Calculation-sheet'!S54/10^9</f>
        <v>0.38694899731452548</v>
      </c>
      <c r="T65" s="2">
        <f>T10*'Output-Calculation-sheet'!T54/10^9</f>
        <v>0.10982799977964437</v>
      </c>
      <c r="U65" s="2">
        <f>U10*'Output-Calculation-sheet'!U54/10^9</f>
        <v>0.11874331477273209</v>
      </c>
      <c r="V65" s="2">
        <f>V10*'Output-Calculation-sheet'!V54/10^9</f>
        <v>8.2872265330797737E-2</v>
      </c>
      <c r="W65" s="2">
        <f>W10*'Output-Calculation-sheet'!W54/10^9</f>
        <v>5.1838374813153267E-2</v>
      </c>
      <c r="X65" s="2">
        <f>X10*'Output-Calculation-sheet'!X54/10^9</f>
        <v>9.6199225594189031E-2</v>
      </c>
      <c r="Y65" s="2">
        <f>Y10*'Output-Calculation-sheet'!Y54/10^9</f>
        <v>4.5730812157105311E-2</v>
      </c>
      <c r="AA65" s="2">
        <f t="shared" si="4"/>
        <v>21.10330294891963</v>
      </c>
    </row>
    <row r="66" spans="1:27" x14ac:dyDescent="0.25">
      <c r="A66" s="2">
        <v>2034</v>
      </c>
      <c r="B66" s="2">
        <f>B11*'Output-Calculation-sheet'!B55/10^9</f>
        <v>6.7660392168616426</v>
      </c>
      <c r="C66" s="2">
        <f>C11*'Output-Calculation-sheet'!C55/10^9</f>
        <v>4.3086626831238588</v>
      </c>
      <c r="D66" s="2">
        <f>D11*'Output-Calculation-sheet'!D55/10^9</f>
        <v>1.2697151947673893</v>
      </c>
      <c r="E66" s="2">
        <f>E11*'Output-Calculation-sheet'!E55/10^9</f>
        <v>1.5646847058616287</v>
      </c>
      <c r="F66" s="2">
        <f>F11*'Output-Calculation-sheet'!F55/10^9</f>
        <v>0.62660789113370974</v>
      </c>
      <c r="G66" s="2">
        <f>G11*'Output-Calculation-sheet'!G55/10^9</f>
        <v>0.45137125438279158</v>
      </c>
      <c r="H66" s="2">
        <f>H11*'Output-Calculation-sheet'!H55/10^9</f>
        <v>1.1894176428929728</v>
      </c>
      <c r="I66" s="2">
        <f>I11*'Output-Calculation-sheet'!I55/10^9</f>
        <v>0.44367344486402632</v>
      </c>
      <c r="J66" s="2">
        <f>J11*'Output-Calculation-sheet'!J55/10^9</f>
        <v>0.39171036570578727</v>
      </c>
      <c r="K66" s="2">
        <f>K11*'Output-Calculation-sheet'!K55/10^9</f>
        <v>0.5231468042070343</v>
      </c>
      <c r="L66" s="2">
        <f>L11*'Output-Calculation-sheet'!L55/10^9</f>
        <v>0.45884427917699144</v>
      </c>
      <c r="M66" s="2">
        <f>M11*'Output-Calculation-sheet'!M55/10^9</f>
        <v>0.82561854364036724</v>
      </c>
      <c r="N66" s="2">
        <f>N11*'Output-Calculation-sheet'!N55/10^9</f>
        <v>0.73944476927013536</v>
      </c>
      <c r="O66" s="2">
        <f>O11*'Output-Calculation-sheet'!O55/10^9</f>
        <v>0.7668124443926656</v>
      </c>
      <c r="P66" s="2">
        <f>P11*'Output-Calculation-sheet'!P55/10^9</f>
        <v>0.51949748257800177</v>
      </c>
      <c r="Q66" s="2">
        <f>Q11*'Output-Calculation-sheet'!Q55/10^9</f>
        <v>0.53942138816757845</v>
      </c>
      <c r="R66" s="2">
        <f>R11*'Output-Calculation-sheet'!R55/10^9</f>
        <v>0.39316929917291743</v>
      </c>
      <c r="S66" s="2">
        <f>S11*'Output-Calculation-sheet'!S55/10^9</f>
        <v>0.41639154610349827</v>
      </c>
      <c r="T66" s="2">
        <f>T11*'Output-Calculation-sheet'!T55/10^9</f>
        <v>0.11575018132166576</v>
      </c>
      <c r="U66" s="2">
        <f>U11*'Output-Calculation-sheet'!U55/10^9</f>
        <v>0.13379845688233233</v>
      </c>
      <c r="V66" s="2">
        <f>V11*'Output-Calculation-sheet'!V55/10^9</f>
        <v>8.6452579945902025E-2</v>
      </c>
      <c r="W66" s="2">
        <f>W11*'Output-Calculation-sheet'!W55/10^9</f>
        <v>5.2672306306560369E-2</v>
      </c>
      <c r="X66" s="2">
        <f>X11*'Output-Calculation-sheet'!X55/10^9</f>
        <v>0.10421434692417444</v>
      </c>
      <c r="Y66" s="2">
        <f>Y11*'Output-Calculation-sheet'!Y55/10^9</f>
        <v>5.4619662102171299E-2</v>
      </c>
      <c r="AA66" s="2">
        <f t="shared" si="4"/>
        <v>22.741736489785801</v>
      </c>
    </row>
    <row r="67" spans="1:27" x14ac:dyDescent="0.25">
      <c r="A67" s="2">
        <v>2035</v>
      </c>
      <c r="B67" s="2">
        <f>B12*'Output-Calculation-sheet'!B56/10^9</f>
        <v>7.1476982908622864</v>
      </c>
      <c r="C67" s="2">
        <f>C12*'Output-Calculation-sheet'!C56/10^9</f>
        <v>4.3588421056741842</v>
      </c>
      <c r="D67" s="2">
        <f>D12*'Output-Calculation-sheet'!D56/10^9</f>
        <v>1.4557959405534602</v>
      </c>
      <c r="E67" s="2">
        <f>E12*'Output-Calculation-sheet'!E56/10^9</f>
        <v>1.9671970841380979</v>
      </c>
      <c r="F67" s="2">
        <f>F12*'Output-Calculation-sheet'!F56/10^9</f>
        <v>0.78070299358758277</v>
      </c>
      <c r="G67" s="2">
        <f>G12*'Output-Calculation-sheet'!G56/10^9</f>
        <v>0.56622529854661074</v>
      </c>
      <c r="H67" s="2">
        <f>H12*'Output-Calculation-sheet'!H56/10^9</f>
        <v>1.2333309170607236</v>
      </c>
      <c r="I67" s="2">
        <f>I12*'Output-Calculation-sheet'!I56/10^9</f>
        <v>0.53499719910733046</v>
      </c>
      <c r="J67" s="2">
        <f>J12*'Output-Calculation-sheet'!J56/10^9</f>
        <v>0.44219212343226666</v>
      </c>
      <c r="K67" s="2">
        <f>K12*'Output-Calculation-sheet'!K56/10^9</f>
        <v>0.59712336064707006</v>
      </c>
      <c r="L67" s="2">
        <f>L12*'Output-Calculation-sheet'!L56/10^9</f>
        <v>0.51496212569304423</v>
      </c>
      <c r="M67" s="2">
        <f>M12*'Output-Calculation-sheet'!M56/10^9</f>
        <v>0.8642693867898773</v>
      </c>
      <c r="N67" s="2">
        <f>N12*'Output-Calculation-sheet'!N56/10^9</f>
        <v>0.75660349064477395</v>
      </c>
      <c r="O67" s="2">
        <f>O12*'Output-Calculation-sheet'!O56/10^9</f>
        <v>0.76563389269480064</v>
      </c>
      <c r="P67" s="2">
        <f>P12*'Output-Calculation-sheet'!P56/10^9</f>
        <v>0.60334462352582752</v>
      </c>
      <c r="Q67" s="2">
        <f>Q12*'Output-Calculation-sheet'!Q56/10^9</f>
        <v>0.56511065223857371</v>
      </c>
      <c r="R67" s="2">
        <f>R12*'Output-Calculation-sheet'!R56/10^9</f>
        <v>0.44414617684442165</v>
      </c>
      <c r="S67" s="2">
        <f>S12*'Output-Calculation-sheet'!S56/10^9</f>
        <v>0.43058591582318329</v>
      </c>
      <c r="T67" s="2">
        <f>T12*'Output-Calculation-sheet'!T56/10^9</f>
        <v>0.13653339930205374</v>
      </c>
      <c r="U67" s="2">
        <f>U12*'Output-Calculation-sheet'!U56/10^9</f>
        <v>0.14726919262950977</v>
      </c>
      <c r="V67" s="2">
        <f>V12*'Output-Calculation-sheet'!V56/10^9</f>
        <v>9.2929988099602262E-2</v>
      </c>
      <c r="W67" s="2">
        <f>W12*'Output-Calculation-sheet'!W56/10^9</f>
        <v>7.2251417991245764E-2</v>
      </c>
      <c r="X67" s="2">
        <f>X12*'Output-Calculation-sheet'!X56/10^9</f>
        <v>0.1084024722968463</v>
      </c>
      <c r="Y67" s="2">
        <f>Y12*'Output-Calculation-sheet'!Y56/10^9</f>
        <v>6.7839086634875506E-2</v>
      </c>
      <c r="AA67" s="2">
        <f t="shared" si="4"/>
        <v>24.653987134818252</v>
      </c>
    </row>
    <row r="68" spans="1:27" x14ac:dyDescent="0.25">
      <c r="B68" s="2">
        <f>SUM(B60:B67)</f>
        <v>42.127789920840726</v>
      </c>
      <c r="C68" s="2">
        <f t="shared" ref="C68:Y68" si="5">SUM(C60:C67)</f>
        <v>25.433610456584606</v>
      </c>
      <c r="D68" s="2">
        <f t="shared" si="5"/>
        <v>10.567845836379302</v>
      </c>
      <c r="E68" s="2">
        <f t="shared" si="5"/>
        <v>10.957765851973086</v>
      </c>
      <c r="F68" s="2">
        <f t="shared" si="5"/>
        <v>5.2093574315567857</v>
      </c>
      <c r="G68" s="2">
        <f t="shared" si="5"/>
        <v>3.823308493633423</v>
      </c>
      <c r="H68" s="2">
        <f t="shared" si="5"/>
        <v>7.1634379364721754</v>
      </c>
      <c r="I68" s="2">
        <f t="shared" si="5"/>
        <v>3.594658021749269</v>
      </c>
      <c r="J68" s="2">
        <f t="shared" si="5"/>
        <v>3.477274798559943</v>
      </c>
      <c r="K68" s="2">
        <f t="shared" si="5"/>
        <v>3.8433093751407332</v>
      </c>
      <c r="L68" s="2">
        <f t="shared" si="5"/>
        <v>3.1974359183939938</v>
      </c>
      <c r="M68" s="2">
        <f t="shared" si="5"/>
        <v>4.9715332530317902</v>
      </c>
      <c r="N68" s="2">
        <f t="shared" si="5"/>
        <v>4.5684494272098766</v>
      </c>
      <c r="O68" s="2">
        <f t="shared" si="5"/>
        <v>4.6977306356502631</v>
      </c>
      <c r="P68" s="2">
        <f t="shared" si="5"/>
        <v>3.340527680333901</v>
      </c>
      <c r="Q68" s="2">
        <f t="shared" si="5"/>
        <v>3.3719091616868231</v>
      </c>
      <c r="R68" s="2">
        <f t="shared" si="5"/>
        <v>2.7170169128923263</v>
      </c>
      <c r="S68" s="2">
        <f t="shared" si="5"/>
        <v>2.5572963130635831</v>
      </c>
      <c r="T68" s="2">
        <f t="shared" si="5"/>
        <v>0.88594463675388246</v>
      </c>
      <c r="U68" s="2">
        <f t="shared" si="5"/>
        <v>0.87838176733227624</v>
      </c>
      <c r="V68" s="2">
        <f t="shared" si="5"/>
        <v>0.62852566685275391</v>
      </c>
      <c r="W68" s="2">
        <f t="shared" si="5"/>
        <v>0.46712203745575787</v>
      </c>
      <c r="X68" s="2">
        <f t="shared" si="5"/>
        <v>0.61302703976059469</v>
      </c>
      <c r="Y68" s="2">
        <f t="shared" si="5"/>
        <v>0.35492235210626888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457.88981986153846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309.95569476506603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41.695973650716333</v>
      </c>
      <c r="Y73" s="2">
        <f>Y7/'Output-Calculation-sheet'!Y6*'Output-Calculation-sheet'!Y60</f>
        <v>0</v>
      </c>
      <c r="AA73" s="2">
        <f t="shared" si="6"/>
        <v>0.80954148827732086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1431.4625583996465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956.46071839129581</v>
      </c>
      <c r="N74" s="2">
        <f>N8/'Output-Calculation-sheet'!N7*'Output-Calculation-sheet'!N61</f>
        <v>40.085405080282882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117.76692569836231</v>
      </c>
      <c r="Y74" s="2">
        <f>Y8/'Output-Calculation-sheet'!Y7*'Output-Calculation-sheet'!Y61</f>
        <v>0</v>
      </c>
      <c r="AA74" s="2">
        <f t="shared" si="6"/>
        <v>2.5457756075695874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178.35483512980289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2381.1074992159765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1617.5318981639421</v>
      </c>
      <c r="N75" s="2">
        <f>N9/'Output-Calculation-sheet'!N8*'Output-Calculation-sheet'!N62</f>
        <v>625.59892392411825</v>
      </c>
      <c r="O75" s="2">
        <f>O9/'Output-Calculation-sheet'!O8*'Output-Calculation-sheet'!O62</f>
        <v>0</v>
      </c>
      <c r="P75" s="2">
        <f>P9/'Output-Calculation-sheet'!P8*'Output-Calculation-sheet'!P62</f>
        <v>41.882861816090752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206.93351754630228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195.54433335290932</v>
      </c>
      <c r="Y75" s="2">
        <f>Y9/'Output-Calculation-sheet'!Y8*'Output-Calculation-sheet'!Y62</f>
        <v>0</v>
      </c>
      <c r="AA75" s="2">
        <f t="shared" si="6"/>
        <v>5.2469538691491415</v>
      </c>
    </row>
    <row r="76" spans="1:27" x14ac:dyDescent="0.25">
      <c r="A76" s="2">
        <v>2033</v>
      </c>
      <c r="B76" s="2">
        <f>B10/'Output-Calculation-sheet'!B9*'Output-Calculation-sheet'!B63</f>
        <v>5093.4089034519293</v>
      </c>
      <c r="C76" s="2">
        <f>C10/'Output-Calculation-sheet'!C9*'Output-Calculation-sheet'!C63</f>
        <v>1277.9861972318072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3325.0745469013355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2263.9564885647264</v>
      </c>
      <c r="N76" s="2">
        <f>N10/'Output-Calculation-sheet'!N9*'Output-Calculation-sheet'!N63</f>
        <v>1296.0682803918241</v>
      </c>
      <c r="O76" s="2">
        <f>O10/'Output-Calculation-sheet'!O9*'Output-Calculation-sheet'!O63</f>
        <v>0</v>
      </c>
      <c r="P76" s="2">
        <f>P10/'Output-Calculation-sheet'!P9*'Output-Calculation-sheet'!P63</f>
        <v>444.22642465811293</v>
      </c>
      <c r="Q76" s="2">
        <f>Q10/'Output-Calculation-sheet'!Q9*'Output-Calculation-sheet'!Q63</f>
        <v>197.79532258765491</v>
      </c>
      <c r="R76" s="2">
        <f>R10/'Output-Calculation-sheet'!R9*'Output-Calculation-sheet'!R63</f>
        <v>340.96185032229783</v>
      </c>
      <c r="S76" s="2">
        <f>S10/'Output-Calculation-sheet'!S9*'Output-Calculation-sheet'!S63</f>
        <v>574.54622794777595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119.74952431685999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266.63217364949793</v>
      </c>
      <c r="Y76" s="2">
        <f>Y10/'Output-Calculation-sheet'!Y9*'Output-Calculation-sheet'!Y63</f>
        <v>5.0583541914109285</v>
      </c>
      <c r="AA76" s="2">
        <f t="shared" si="6"/>
        <v>15.32518799206766</v>
      </c>
    </row>
    <row r="77" spans="1:27" x14ac:dyDescent="0.25">
      <c r="A77" s="2">
        <v>2034</v>
      </c>
      <c r="B77" s="2">
        <f>B11/'Output-Calculation-sheet'!B10*'Output-Calculation-sheet'!B64</f>
        <v>9943.6310233774875</v>
      </c>
      <c r="C77" s="2">
        <f>C11/'Output-Calculation-sheet'!C10*'Output-Calculation-sheet'!C64</f>
        <v>2708.4422002781193</v>
      </c>
      <c r="D77" s="2">
        <f>D11/'Output-Calculation-sheet'!D10*'Output-Calculation-sheet'!D64</f>
        <v>1481.3952893700334</v>
      </c>
      <c r="E77" s="2">
        <f>E11/'Output-Calculation-sheet'!E10*'Output-Calculation-sheet'!E64</f>
        <v>1837.4926865618402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790.66761435500359</v>
      </c>
      <c r="H77" s="2">
        <f>H11/'Output-Calculation-sheet'!H10*'Output-Calculation-sheet'!H64</f>
        <v>3895.9082158109231</v>
      </c>
      <c r="I77" s="2">
        <f>I11/'Output-Calculation-sheet'!I10*'Output-Calculation-sheet'!I64</f>
        <v>461.39656228911281</v>
      </c>
      <c r="J77" s="2">
        <f>J11/'Output-Calculation-sheet'!J10*'Output-Calculation-sheet'!J64</f>
        <v>316.70292152841262</v>
      </c>
      <c r="K77" s="2">
        <f>K11/'Output-Calculation-sheet'!K10*'Output-Calculation-sheet'!K64</f>
        <v>715.21991752923179</v>
      </c>
      <c r="L77" s="2">
        <f>L11/'Output-Calculation-sheet'!L10*'Output-Calculation-sheet'!L64</f>
        <v>175.3610866553496</v>
      </c>
      <c r="M77" s="2">
        <f>M11/'Output-Calculation-sheet'!M10*'Output-Calculation-sheet'!M64</f>
        <v>2669.6940301525469</v>
      </c>
      <c r="N77" s="2">
        <f>N11/'Output-Calculation-sheet'!N10*'Output-Calculation-sheet'!N64</f>
        <v>1807.4962533337452</v>
      </c>
      <c r="O77" s="2">
        <f>O11/'Output-Calculation-sheet'!O10*'Output-Calculation-sheet'!O64</f>
        <v>0</v>
      </c>
      <c r="P77" s="2">
        <f>P11/'Output-Calculation-sheet'!P10*'Output-Calculation-sheet'!P64</f>
        <v>878.80056292452093</v>
      </c>
      <c r="Q77" s="2">
        <f>Q11/'Output-Calculation-sheet'!Q10*'Output-Calculation-sheet'!Q64</f>
        <v>358.60474323422238</v>
      </c>
      <c r="R77" s="2">
        <f>R11/'Output-Calculation-sheet'!R10*'Output-Calculation-sheet'!R64</f>
        <v>746.41574127714671</v>
      </c>
      <c r="S77" s="2">
        <f>S11/'Output-Calculation-sheet'!S10*'Output-Calculation-sheet'!S64</f>
        <v>833.20140886327511</v>
      </c>
      <c r="T77" s="2">
        <f>T11/'Output-Calculation-sheet'!T10*'Output-Calculation-sheet'!T64</f>
        <v>206.80377241025769</v>
      </c>
      <c r="U77" s="2">
        <f>U11/'Output-Calculation-sheet'!U10*'Output-Calculation-sheet'!U64</f>
        <v>220.83960055188692</v>
      </c>
      <c r="V77" s="2">
        <f>V11/'Output-Calculation-sheet'!V10*'Output-Calculation-sheet'!V64</f>
        <v>106.98292496089674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273.32650733012167</v>
      </c>
      <c r="Y77" s="2">
        <f>Y11/'Output-Calculation-sheet'!Y10*'Output-Calculation-sheet'!Y64</f>
        <v>68.308829178245205</v>
      </c>
      <c r="AA77" s="2">
        <f t="shared" si="6"/>
        <v>30.634495357835057</v>
      </c>
    </row>
    <row r="78" spans="1:27" x14ac:dyDescent="0.25">
      <c r="A78" s="2">
        <v>2035</v>
      </c>
      <c r="B78" s="2">
        <f>B12/'Output-Calculation-sheet'!B11*'Output-Calculation-sheet'!B65</f>
        <v>11562.299101998502</v>
      </c>
      <c r="C78" s="2">
        <f>C12/'Output-Calculation-sheet'!C11*'Output-Calculation-sheet'!C65</f>
        <v>4973.9753501344921</v>
      </c>
      <c r="D78" s="2">
        <f>D12/'Output-Calculation-sheet'!D11*'Output-Calculation-sheet'!D65</f>
        <v>1263.9909574784765</v>
      </c>
      <c r="E78" s="2">
        <f>E12/'Output-Calculation-sheet'!E11*'Output-Calculation-sheet'!E65</f>
        <v>2336.6895259444755</v>
      </c>
      <c r="F78" s="2">
        <f>F12/'Output-Calculation-sheet'!F11*'Output-Calculation-sheet'!F65</f>
        <v>508.24739151057906</v>
      </c>
      <c r="G78" s="2">
        <f>G12/'Output-Calculation-sheet'!G11*'Output-Calculation-sheet'!G65</f>
        <v>966.14281863649455</v>
      </c>
      <c r="H78" s="2">
        <f>H12/'Output-Calculation-sheet'!H11*'Output-Calculation-sheet'!H65</f>
        <v>3734.0147061668458</v>
      </c>
      <c r="I78" s="2">
        <f>I12/'Output-Calculation-sheet'!I11*'Output-Calculation-sheet'!I65</f>
        <v>635.53061757597254</v>
      </c>
      <c r="J78" s="2">
        <f>J12/'Output-Calculation-sheet'!J11*'Output-Calculation-sheet'!J65</f>
        <v>259.13475716793494</v>
      </c>
      <c r="K78" s="2">
        <f>K12/'Output-Calculation-sheet'!K11*'Output-Calculation-sheet'!K65</f>
        <v>787.30227052466432</v>
      </c>
      <c r="L78" s="2">
        <f>L12/'Output-Calculation-sheet'!L11*'Output-Calculation-sheet'!L65</f>
        <v>252.02031926401784</v>
      </c>
      <c r="M78" s="2">
        <f>M12/'Output-Calculation-sheet'!M11*'Output-Calculation-sheet'!M65</f>
        <v>2600.6499595430801</v>
      </c>
      <c r="N78" s="2">
        <f>N12/'Output-Calculation-sheet'!N11*'Output-Calculation-sheet'!N65</f>
        <v>1802.2984061425705</v>
      </c>
      <c r="O78" s="2">
        <f>O12/'Output-Calculation-sheet'!O11*'Output-Calculation-sheet'!O65</f>
        <v>0</v>
      </c>
      <c r="P78" s="2">
        <f>P12/'Output-Calculation-sheet'!P11*'Output-Calculation-sheet'!P65</f>
        <v>1038.3233163435846</v>
      </c>
      <c r="Q78" s="2">
        <f>Q12/'Output-Calculation-sheet'!Q11*'Output-Calculation-sheet'!Q65</f>
        <v>419.80189847117231</v>
      </c>
      <c r="R78" s="2">
        <f>R12/'Output-Calculation-sheet'!R11*'Output-Calculation-sheet'!R65</f>
        <v>817.43101051271947</v>
      </c>
      <c r="S78" s="2">
        <f>S12/'Output-Calculation-sheet'!S11*'Output-Calculation-sheet'!S65</f>
        <v>851.29642002458945</v>
      </c>
      <c r="T78" s="2">
        <f>T12/'Output-Calculation-sheet'!T11*'Output-Calculation-sheet'!T65</f>
        <v>301.98748564385454</v>
      </c>
      <c r="U78" s="2">
        <f>U12/'Output-Calculation-sheet'!U11*'Output-Calculation-sheet'!U65</f>
        <v>218.07273813513643</v>
      </c>
      <c r="V78" s="2">
        <f>V12/'Output-Calculation-sheet'!V11*'Output-Calculation-sheet'!V65</f>
        <v>109.84633479272222</v>
      </c>
      <c r="W78" s="2">
        <f>W12/'Output-Calculation-sheet'!W11*'Output-Calculation-sheet'!W65</f>
        <v>119.55278661609574</v>
      </c>
      <c r="X78" s="2">
        <f>X12/'Output-Calculation-sheet'!X11*'Output-Calculation-sheet'!X65</f>
        <v>262.75542931751704</v>
      </c>
      <c r="Y78" s="2">
        <f>Y12/'Output-Calculation-sheet'!Y11*'Output-Calculation-sheet'!Y65</f>
        <v>100.89151168651128</v>
      </c>
      <c r="AA78" s="2">
        <f t="shared" si="6"/>
        <v>35.922255113632026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12.244598970089754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1.2244598970089754E-2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461.63680977157003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104.63088189966533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0.56626769167123525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1138.3059867312502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221.14223019785527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1.3594482169291056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1669.4680355363764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306.31424198875931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1.9757822775251357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2164.4832500980533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383.93557327155008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2.548418823369603</v>
      </c>
    </row>
    <row r="88" spans="1:27" x14ac:dyDescent="0.25">
      <c r="A88" s="2">
        <v>2034</v>
      </c>
      <c r="B88" s="2">
        <f>B11/'Output-Calculation-sheet'!B10*'Output-Calculation-sheet'!B73</f>
        <v>194.23809941549601</v>
      </c>
      <c r="C88" s="2">
        <f>C11/'Output-Calculation-sheet'!C10*'Output-Calculation-sheet'!C73</f>
        <v>2396.9330885064537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28.378871343737146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20.591954750510755</v>
      </c>
      <c r="M88" s="2">
        <f>M11/'Output-Calculation-sheet'!M10*'Output-Calculation-sheet'!M73</f>
        <v>19.527440516055641</v>
      </c>
      <c r="N88" s="2">
        <f>N11/'Output-Calculation-sheet'!N10*'Output-Calculation-sheet'!N73</f>
        <v>19.192340603259204</v>
      </c>
      <c r="O88" s="2">
        <f>O11/'Output-Calculation-sheet'!O10*'Output-Calculation-sheet'!O73</f>
        <v>447.74963090064676</v>
      </c>
      <c r="P88" s="2">
        <f>P11/'Output-Calculation-sheet'!P10*'Output-Calculation-sheet'!P73</f>
        <v>0</v>
      </c>
      <c r="Q88" s="2">
        <f>Q11/'Output-Calculation-sheet'!Q10*'Output-Calculation-sheet'!Q73</f>
        <v>33.630755250325649</v>
      </c>
      <c r="R88" s="2">
        <f>R11/'Output-Calculation-sheet'!R10*'Output-Calculation-sheet'!R73</f>
        <v>0</v>
      </c>
      <c r="S88" s="2">
        <f>S11/'Output-Calculation-sheet'!S10*'Output-Calculation-sheet'!S73</f>
        <v>11.001682320533382</v>
      </c>
      <c r="T88" s="2">
        <f>T11/'Output-Calculation-sheet'!T10*'Output-Calculation-sheet'!T73</f>
        <v>0</v>
      </c>
      <c r="U88" s="2">
        <f>U11/'Output-Calculation-sheet'!U10*'Output-Calculation-sheet'!U73</f>
        <v>5.3651329029660104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10.711041818393213</v>
      </c>
      <c r="Y88" s="2">
        <f>Y11/'Output-Calculation-sheet'!Y10*'Output-Calculation-sheet'!Y73</f>
        <v>0</v>
      </c>
      <c r="AA88" s="2">
        <f t="shared" si="7"/>
        <v>3.187320038328378</v>
      </c>
    </row>
    <row r="89" spans="1:27" x14ac:dyDescent="0.25">
      <c r="A89" s="2">
        <v>2035</v>
      </c>
      <c r="B89" s="2">
        <f>B12/'Output-Calculation-sheet'!B11*'Output-Calculation-sheet'!B74</f>
        <v>553.01719155645469</v>
      </c>
      <c r="C89" s="2">
        <f>C12/'Output-Calculation-sheet'!C11*'Output-Calculation-sheet'!C74</f>
        <v>2362.2686400174366</v>
      </c>
      <c r="D89" s="2">
        <f>D12/'Output-Calculation-sheet'!D11*'Output-Calculation-sheet'!D74</f>
        <v>155.00532926340995</v>
      </c>
      <c r="E89" s="2">
        <f>E12/'Output-Calculation-sheet'!E11*'Output-Calculation-sheet'!E74</f>
        <v>184.78183772658423</v>
      </c>
      <c r="F89" s="2">
        <f>F12/'Output-Calculation-sheet'!F11*'Output-Calculation-sheet'!F74</f>
        <v>77.476736510759011</v>
      </c>
      <c r="G89" s="2">
        <f>G12/'Output-Calculation-sheet'!G11*'Output-Calculation-sheet'!G74</f>
        <v>55.6037419721156</v>
      </c>
      <c r="H89" s="2">
        <f>H12/'Output-Calculation-sheet'!H11*'Output-Calculation-sheet'!H74</f>
        <v>161.59552402213654</v>
      </c>
      <c r="I89" s="2">
        <f>I12/'Output-Calculation-sheet'!I11*'Output-Calculation-sheet'!I74</f>
        <v>50.012246120477869</v>
      </c>
      <c r="J89" s="2">
        <f>J12/'Output-Calculation-sheet'!J11*'Output-Calculation-sheet'!J74</f>
        <v>49.495703785299384</v>
      </c>
      <c r="K89" s="2">
        <f>K12/'Output-Calculation-sheet'!K11*'Output-Calculation-sheet'!K74</f>
        <v>49.154165606834262</v>
      </c>
      <c r="L89" s="2">
        <f>L12/'Output-Calculation-sheet'!L11*'Output-Calculation-sheet'!L74</f>
        <v>39.085037106702515</v>
      </c>
      <c r="M89" s="2">
        <f>M12/'Output-Calculation-sheet'!M11*'Output-Calculation-sheet'!M74</f>
        <v>111.19353355465637</v>
      </c>
      <c r="N89" s="2">
        <f>N12/'Output-Calculation-sheet'!N11*'Output-Calculation-sheet'!N74</f>
        <v>72.856934053262066</v>
      </c>
      <c r="O89" s="2">
        <f>O12/'Output-Calculation-sheet'!O11*'Output-Calculation-sheet'!O74</f>
        <v>475.92247769410221</v>
      </c>
      <c r="P89" s="2">
        <f>P12/'Output-Calculation-sheet'!P11*'Output-Calculation-sheet'!P74</f>
        <v>50.48000954560672</v>
      </c>
      <c r="Q89" s="2">
        <f>Q12/'Output-Calculation-sheet'!Q11*'Output-Calculation-sheet'!Q74</f>
        <v>63.833634679719047</v>
      </c>
      <c r="R89" s="2">
        <f>R12/'Output-Calculation-sheet'!R11*'Output-Calculation-sheet'!R74</f>
        <v>31.651475664551981</v>
      </c>
      <c r="S89" s="2">
        <f>S12/'Output-Calculation-sheet'!S11*'Output-Calculation-sheet'!S74</f>
        <v>41.763996370819015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15.275122333124969</v>
      </c>
      <c r="V89" s="2">
        <f>V12/'Output-Calculation-sheet'!V11*'Output-Calculation-sheet'!V74</f>
        <v>7.8523364638446074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22.363375366500993</v>
      </c>
      <c r="Y89" s="2">
        <f>Y12/'Output-Calculation-sheet'!Y11*'Output-Calculation-sheet'!Y74</f>
        <v>5.8857469141377514</v>
      </c>
      <c r="AA89" s="2">
        <f t="shared" si="7"/>
        <v>4.6458295297172789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11552541480.448458</v>
      </c>
      <c r="C96" s="2">
        <f>C8/'Output-Calculation-sheet'!C7*'Output-Calculation-sheet'!C79</f>
        <v>3908277287.2428699</v>
      </c>
      <c r="D96" s="2">
        <f>D8/'Output-Calculation-sheet'!D7*'Output-Calculation-sheet'!D79</f>
        <v>4079984097.7337494</v>
      </c>
      <c r="E96" s="2">
        <f>E8/'Output-Calculation-sheet'!E7*'Output-Calculation-sheet'!E79</f>
        <v>7253864335.8418741</v>
      </c>
      <c r="F96" s="2">
        <f>F8/'Output-Calculation-sheet'!F7*'Output-Calculation-sheet'!F79</f>
        <v>3002302967.5908489</v>
      </c>
      <c r="G96" s="2">
        <f>G8/'Output-Calculation-sheet'!G7*'Output-Calculation-sheet'!G79</f>
        <v>2338547139.9480691</v>
      </c>
      <c r="H96" s="2">
        <f>H8/'Output-Calculation-sheet'!H7*'Output-Calculation-sheet'!H79</f>
        <v>2001664281.6406188</v>
      </c>
      <c r="I96" s="2">
        <f>I8/'Output-Calculation-sheet'!I7*'Output-Calculation-sheet'!I79</f>
        <v>1629046700.3520503</v>
      </c>
      <c r="J96" s="2">
        <f>J8/'Output-Calculation-sheet'!J7*'Output-Calculation-sheet'!J79</f>
        <v>1101603456.1731288</v>
      </c>
      <c r="K96" s="2">
        <f>K8/'Output-Calculation-sheet'!K7*'Output-Calculation-sheet'!K79</f>
        <v>1576065932.0338871</v>
      </c>
      <c r="L96" s="2">
        <f>L8/'Output-Calculation-sheet'!L7*'Output-Calculation-sheet'!L79</f>
        <v>1112070750.2623138</v>
      </c>
      <c r="M96" s="2">
        <f>M8/'Output-Calculation-sheet'!M7*'Output-Calculation-sheet'!M79</f>
        <v>1494203673.7534261</v>
      </c>
      <c r="N96" s="2">
        <f>N8/'Output-Calculation-sheet'!N7*'Output-Calculation-sheet'!N79</f>
        <v>1111806534.9200823</v>
      </c>
      <c r="O96" s="2">
        <f>O8/'Output-Calculation-sheet'!O7*'Output-Calculation-sheet'!O79</f>
        <v>562056283.03672385</v>
      </c>
      <c r="P96" s="2">
        <f>P8/'Output-Calculation-sheet'!P7*'Output-Calculation-sheet'!P79</f>
        <v>1879960384.0960555</v>
      </c>
      <c r="Q96" s="2">
        <f>Q8/'Output-Calculation-sheet'!Q7*'Output-Calculation-sheet'!Q79</f>
        <v>876141949.59824288</v>
      </c>
      <c r="R96" s="2">
        <f>R8/'Output-Calculation-sheet'!R7*'Output-Calculation-sheet'!R79</f>
        <v>1093091232.4589252</v>
      </c>
      <c r="S96" s="2">
        <f>S8/'Output-Calculation-sheet'!S7*'Output-Calculation-sheet'!S79</f>
        <v>636926556.72039998</v>
      </c>
      <c r="T96" s="2">
        <f>T8/'Output-Calculation-sheet'!T7*'Output-Calculation-sheet'!T79</f>
        <v>486465260.48603171</v>
      </c>
      <c r="U96" s="2">
        <f>U8/'Output-Calculation-sheet'!U7*'Output-Calculation-sheet'!U79</f>
        <v>305584974.04910177</v>
      </c>
      <c r="V96" s="2">
        <f>V8/'Output-Calculation-sheet'!V7*'Output-Calculation-sheet'!V79</f>
        <v>158553420.01525792</v>
      </c>
      <c r="W96" s="2">
        <f>W8/'Output-Calculation-sheet'!W7*'Output-Calculation-sheet'!W79</f>
        <v>468512501.77789336</v>
      </c>
      <c r="X96" s="2">
        <f>X8/'Output-Calculation-sheet'!X7*'Output-Calculation-sheet'!X79</f>
        <v>164668885.70229608</v>
      </c>
      <c r="Y96" s="2">
        <f>Y8/'Output-Calculation-sheet'!Y7*'Output-Calculation-sheet'!Y79</f>
        <v>257539866.60467649</v>
      </c>
      <c r="AA96" s="2">
        <f t="shared" si="8"/>
        <v>49.051479952486972</v>
      </c>
    </row>
    <row r="97" spans="1:27" x14ac:dyDescent="0.25">
      <c r="A97" s="2">
        <v>2032</v>
      </c>
      <c r="B97" s="2">
        <f>B9/'Output-Calculation-sheet'!B8*'Output-Calculation-sheet'!B80</f>
        <v>15287407559.244677</v>
      </c>
      <c r="C97" s="2">
        <f>C9/'Output-Calculation-sheet'!C8*'Output-Calculation-sheet'!C80</f>
        <v>5206973417.2025518</v>
      </c>
      <c r="D97" s="2">
        <f>D9/'Output-Calculation-sheet'!D8*'Output-Calculation-sheet'!D80</f>
        <v>5188242147.6501989</v>
      </c>
      <c r="E97" s="2">
        <f>E9/'Output-Calculation-sheet'!E8*'Output-Calculation-sheet'!E80</f>
        <v>9488518718.3302193</v>
      </c>
      <c r="F97" s="2">
        <f>F9/'Output-Calculation-sheet'!F8*'Output-Calculation-sheet'!F80</f>
        <v>3919707851.0988793</v>
      </c>
      <c r="G97" s="2">
        <f>G9/'Output-Calculation-sheet'!G8*'Output-Calculation-sheet'!G80</f>
        <v>2967003493.2241726</v>
      </c>
      <c r="H97" s="2">
        <f>H9/'Output-Calculation-sheet'!H8*'Output-Calculation-sheet'!H80</f>
        <v>2610363792.0249968</v>
      </c>
      <c r="I97" s="2">
        <f>I9/'Output-Calculation-sheet'!I8*'Output-Calculation-sheet'!I80</f>
        <v>2147266467.003041</v>
      </c>
      <c r="J97" s="2">
        <f>J9/'Output-Calculation-sheet'!J8*'Output-Calculation-sheet'!J80</f>
        <v>1411629508.4445283</v>
      </c>
      <c r="K97" s="2">
        <f>K9/'Output-Calculation-sheet'!K8*'Output-Calculation-sheet'!K80</f>
        <v>2035161358.0021667</v>
      </c>
      <c r="L97" s="2">
        <f>L9/'Output-Calculation-sheet'!L8*'Output-Calculation-sheet'!L80</f>
        <v>1481260340.7939</v>
      </c>
      <c r="M97" s="2">
        <f>M9/'Output-Calculation-sheet'!M8*'Output-Calculation-sheet'!M80</f>
        <v>1954357302.8247166</v>
      </c>
      <c r="N97" s="2">
        <f>N9/'Output-Calculation-sheet'!N8*'Output-Calculation-sheet'!N80</f>
        <v>1427919310.2941556</v>
      </c>
      <c r="O97" s="2">
        <f>O9/'Output-Calculation-sheet'!O8*'Output-Calculation-sheet'!O80</f>
        <v>738711930.60129774</v>
      </c>
      <c r="P97" s="2">
        <f>P9/'Output-Calculation-sheet'!P8*'Output-Calculation-sheet'!P80</f>
        <v>2416926529.5946789</v>
      </c>
      <c r="Q97" s="2">
        <f>Q9/'Output-Calculation-sheet'!Q8*'Output-Calculation-sheet'!Q80</f>
        <v>1130545548.1408162</v>
      </c>
      <c r="R97" s="2">
        <f>R9/'Output-Calculation-sheet'!R8*'Output-Calculation-sheet'!R80</f>
        <v>1428441418.8148761</v>
      </c>
      <c r="S97" s="2">
        <f>S9/'Output-Calculation-sheet'!S8*'Output-Calculation-sheet'!S80</f>
        <v>829063266.06251621</v>
      </c>
      <c r="T97" s="2">
        <f>T9/'Output-Calculation-sheet'!T8*'Output-Calculation-sheet'!T80</f>
        <v>624313796.73048556</v>
      </c>
      <c r="U97" s="2">
        <f>U9/'Output-Calculation-sheet'!U8*'Output-Calculation-sheet'!U80</f>
        <v>399119332.76882386</v>
      </c>
      <c r="V97" s="2">
        <f>V9/'Output-Calculation-sheet'!V8*'Output-Calculation-sheet'!V80</f>
        <v>209274392.39855075</v>
      </c>
      <c r="W97" s="2">
        <f>W9/'Output-Calculation-sheet'!W8*'Output-Calculation-sheet'!W80</f>
        <v>606062683.99902105</v>
      </c>
      <c r="X97" s="2">
        <f>X9/'Output-Calculation-sheet'!X8*'Output-Calculation-sheet'!X80</f>
        <v>217634989.53669587</v>
      </c>
      <c r="Y97" s="2">
        <f>Y9/'Output-Calculation-sheet'!Y8*'Output-Calculation-sheet'!Y80</f>
        <v>333131281.45108277</v>
      </c>
      <c r="AA97" s="2">
        <f t="shared" si="8"/>
        <v>64.059036436237037</v>
      </c>
    </row>
    <row r="98" spans="1:27" x14ac:dyDescent="0.25">
      <c r="A98" s="2">
        <v>2033</v>
      </c>
      <c r="B98" s="2">
        <f>B10/'Output-Calculation-sheet'!B9*'Output-Calculation-sheet'!B81</f>
        <v>18605605281.327751</v>
      </c>
      <c r="C98" s="2">
        <f>C10/'Output-Calculation-sheet'!C9*'Output-Calculation-sheet'!C81</f>
        <v>6378924118.2924509</v>
      </c>
      <c r="D98" s="2">
        <f>D10/'Output-Calculation-sheet'!D9*'Output-Calculation-sheet'!D81</f>
        <v>6070792896.74123</v>
      </c>
      <c r="E98" s="2">
        <f>E10/'Output-Calculation-sheet'!E9*'Output-Calculation-sheet'!E81</f>
        <v>11419543411.396717</v>
      </c>
      <c r="F98" s="2">
        <f>F10/'Output-Calculation-sheet'!F9*'Output-Calculation-sheet'!F81</f>
        <v>4709695725.5883675</v>
      </c>
      <c r="G98" s="2">
        <f>G10/'Output-Calculation-sheet'!G9*'Output-Calculation-sheet'!G81</f>
        <v>3458002700.1298661</v>
      </c>
      <c r="H98" s="2">
        <f>H10/'Output-Calculation-sheet'!H9*'Output-Calculation-sheet'!H81</f>
        <v>3132978699.0502238</v>
      </c>
      <c r="I98" s="2">
        <f>I10/'Output-Calculation-sheet'!I9*'Output-Calculation-sheet'!I81</f>
        <v>2604430235.7939734</v>
      </c>
      <c r="J98" s="2">
        <f>J10/'Output-Calculation-sheet'!J9*'Output-Calculation-sheet'!J81</f>
        <v>1665338336.5447295</v>
      </c>
      <c r="K98" s="2">
        <f>K10/'Output-Calculation-sheet'!K9*'Output-Calculation-sheet'!K81</f>
        <v>2418969975.8998785</v>
      </c>
      <c r="L98" s="2">
        <f>L10/'Output-Calculation-sheet'!L9*'Output-Calculation-sheet'!L81</f>
        <v>1814263691.1474559</v>
      </c>
      <c r="M98" s="2">
        <f>M10/'Output-Calculation-sheet'!M9*'Output-Calculation-sheet'!M81</f>
        <v>2352735460.9802504</v>
      </c>
      <c r="N98" s="2">
        <f>N10/'Output-Calculation-sheet'!N9*'Output-Calculation-sheet'!N81</f>
        <v>1687904120.6334925</v>
      </c>
      <c r="O98" s="2">
        <f>O10/'Output-Calculation-sheet'!O9*'Output-Calculation-sheet'!O81</f>
        <v>893840590.95995927</v>
      </c>
      <c r="P98" s="2">
        <f>P10/'Output-Calculation-sheet'!P9*'Output-Calculation-sheet'!P81</f>
        <v>2856455184.9869661</v>
      </c>
      <c r="Q98" s="2">
        <f>Q10/'Output-Calculation-sheet'!Q9*'Output-Calculation-sheet'!Q81</f>
        <v>1343032815.1595883</v>
      </c>
      <c r="R98" s="2">
        <f>R10/'Output-Calculation-sheet'!R9*'Output-Calculation-sheet'!R81</f>
        <v>1717942155.6316416</v>
      </c>
      <c r="S98" s="2">
        <f>S10/'Output-Calculation-sheet'!S9*'Output-Calculation-sheet'!S81</f>
        <v>993276426.30853593</v>
      </c>
      <c r="T98" s="2">
        <f>T10/'Output-Calculation-sheet'!T9*'Output-Calculation-sheet'!T81</f>
        <v>737051971.3131063</v>
      </c>
      <c r="U98" s="2">
        <f>U10/'Output-Calculation-sheet'!U9*'Output-Calculation-sheet'!U81</f>
        <v>479573815.08112341</v>
      </c>
      <c r="V98" s="2">
        <f>V10/'Output-Calculation-sheet'!V9*'Output-Calculation-sheet'!V81</f>
        <v>253990368.37796581</v>
      </c>
      <c r="W98" s="2">
        <f>W10/'Output-Calculation-sheet'!W9*'Output-Calculation-sheet'!W81</f>
        <v>720150321.10709405</v>
      </c>
      <c r="X98" s="2">
        <f>X10/'Output-Calculation-sheet'!X9*'Output-Calculation-sheet'!X81</f>
        <v>264633454.66783121</v>
      </c>
      <c r="Y98" s="2">
        <f>Y10/'Output-Calculation-sheet'!Y9*'Output-Calculation-sheet'!Y81</f>
        <v>395983244.57020813</v>
      </c>
      <c r="AA98" s="2">
        <f t="shared" si="8"/>
        <v>76.975115001690412</v>
      </c>
    </row>
    <row r="99" spans="1:27" x14ac:dyDescent="0.25">
      <c r="A99" s="2">
        <v>2034</v>
      </c>
      <c r="B99" s="2">
        <f>B11/'Output-Calculation-sheet'!B10*'Output-Calculation-sheet'!B82</f>
        <v>21256873733.353519</v>
      </c>
      <c r="C99" s="2">
        <f>C11/'Output-Calculation-sheet'!C10*'Output-Calculation-sheet'!C82</f>
        <v>7334493560.3806391</v>
      </c>
      <c r="D99" s="2">
        <f>D11/'Output-Calculation-sheet'!D10*'Output-Calculation-sheet'!D82</f>
        <v>6672326063.5310736</v>
      </c>
      <c r="E99" s="2">
        <f>E11/'Output-Calculation-sheet'!E10*'Output-Calculation-sheet'!E82</f>
        <v>12907029680.699739</v>
      </c>
      <c r="F99" s="2">
        <f>F11/'Output-Calculation-sheet'!F10*'Output-Calculation-sheet'!F82</f>
        <v>5315744156.2360239</v>
      </c>
      <c r="G99" s="2">
        <f>G11/'Output-Calculation-sheet'!G10*'Output-Calculation-sheet'!G82</f>
        <v>3779115825.1617513</v>
      </c>
      <c r="H99" s="2">
        <f>H11/'Output-Calculation-sheet'!H10*'Output-Calculation-sheet'!H82</f>
        <v>3532269872.073678</v>
      </c>
      <c r="I99" s="2">
        <f>I11/'Output-Calculation-sheet'!I10*'Output-Calculation-sheet'!I82</f>
        <v>2966860786.8128238</v>
      </c>
      <c r="J99" s="2">
        <f>J11/'Output-Calculation-sheet'!J10*'Output-Calculation-sheet'!J82</f>
        <v>1846276332.9310687</v>
      </c>
      <c r="K99" s="2">
        <f>K11/'Output-Calculation-sheet'!K10*'Output-Calculation-sheet'!K82</f>
        <v>2701344556.0627933</v>
      </c>
      <c r="L99" s="2">
        <f>L11/'Output-Calculation-sheet'!L10*'Output-Calculation-sheet'!L82</f>
        <v>2085635544.9507313</v>
      </c>
      <c r="M99" s="2">
        <f>M11/'Output-Calculation-sheet'!M10*'Output-Calculation-sheet'!M82</f>
        <v>2660793422.7653289</v>
      </c>
      <c r="N99" s="2">
        <f>N11/'Output-Calculation-sheet'!N10*'Output-Calculation-sheet'!N82</f>
        <v>1874531452.5162151</v>
      </c>
      <c r="O99" s="2">
        <f>O11/'Output-Calculation-sheet'!O10*'Output-Calculation-sheet'!O82</f>
        <v>1016277575.5385147</v>
      </c>
      <c r="P99" s="2">
        <f>P11/'Output-Calculation-sheet'!P10*'Output-Calculation-sheet'!P82</f>
        <v>3167967431.4724674</v>
      </c>
      <c r="Q99" s="2">
        <f>Q11/'Output-Calculation-sheet'!Q10*'Output-Calculation-sheet'!Q82</f>
        <v>1499281265.3579826</v>
      </c>
      <c r="R99" s="2">
        <f>R11/'Output-Calculation-sheet'!R10*'Output-Calculation-sheet'!R82</f>
        <v>1940812664.4210949</v>
      </c>
      <c r="S99" s="2">
        <f>S11/'Output-Calculation-sheet'!S10*'Output-Calculation-sheet'!S82</f>
        <v>1117962353.038569</v>
      </c>
      <c r="T99" s="2">
        <f>T11/'Output-Calculation-sheet'!T10*'Output-Calculation-sheet'!T82</f>
        <v>817099774.90567505</v>
      </c>
      <c r="U99" s="2">
        <f>U11/'Output-Calculation-sheet'!U10*'Output-Calculation-sheet'!U82</f>
        <v>541099942.41534674</v>
      </c>
      <c r="V99" s="2">
        <f>V11/'Output-Calculation-sheet'!V10*'Output-Calculation-sheet'!V82</f>
        <v>289319393.09111881</v>
      </c>
      <c r="W99" s="2">
        <f>W11/'Output-Calculation-sheet'!W10*'Output-Calculation-sheet'!W82</f>
        <v>802292806.63815451</v>
      </c>
      <c r="X99" s="2">
        <f>X11/'Output-Calculation-sheet'!X10*'Output-Calculation-sheet'!X82</f>
        <v>302165558.98447263</v>
      </c>
      <c r="Y99" s="2">
        <f>Y11/'Output-Calculation-sheet'!Y10*'Output-Calculation-sheet'!Y82</f>
        <v>441515501.43139124</v>
      </c>
      <c r="AA99" s="2">
        <f t="shared" si="8"/>
        <v>86.869089254770188</v>
      </c>
    </row>
    <row r="100" spans="1:27" x14ac:dyDescent="0.25">
      <c r="A100" s="2">
        <v>2035</v>
      </c>
      <c r="B100" s="2">
        <f>B12/'Output-Calculation-sheet'!B11*'Output-Calculation-sheet'!B83</f>
        <v>23049682808.447491</v>
      </c>
      <c r="C100" s="2">
        <f>C12/'Output-Calculation-sheet'!C11*'Output-Calculation-sheet'!C83</f>
        <v>8002475489.6103573</v>
      </c>
      <c r="D100" s="2">
        <f>D12/'Output-Calculation-sheet'!D11*'Output-Calculation-sheet'!D83</f>
        <v>6965128819.2255955</v>
      </c>
      <c r="E100" s="2">
        <f>E12/'Output-Calculation-sheet'!E11*'Output-Calculation-sheet'!E83</f>
        <v>13851844017.260071</v>
      </c>
      <c r="F100" s="2">
        <f>F12/'Output-Calculation-sheet'!F11*'Output-Calculation-sheet'!F83</f>
        <v>5698096315.7466307</v>
      </c>
      <c r="G100" s="2">
        <f>G12/'Output-Calculation-sheet'!G11*'Output-Calculation-sheet'!G83</f>
        <v>3915701695.4764371</v>
      </c>
      <c r="H100" s="2">
        <f>H12/'Output-Calculation-sheet'!H11*'Output-Calculation-sheet'!H83</f>
        <v>3782275209.4160571</v>
      </c>
      <c r="I100" s="2">
        <f>I12/'Output-Calculation-sheet'!I11*'Output-Calculation-sheet'!I83</f>
        <v>3209185809.0588241</v>
      </c>
      <c r="J100" s="2">
        <f>J12/'Output-Calculation-sheet'!J11*'Output-Calculation-sheet'!J83</f>
        <v>1944904725.2566249</v>
      </c>
      <c r="K100" s="2">
        <f>K12/'Output-Calculation-sheet'!K11*'Output-Calculation-sheet'!K83</f>
        <v>2865673108.6287556</v>
      </c>
      <c r="L100" s="2">
        <f>L12/'Output-Calculation-sheet'!L11*'Output-Calculation-sheet'!L83</f>
        <v>2275181049.2701154</v>
      </c>
      <c r="M100" s="2">
        <f>M12/'Output-Calculation-sheet'!M11*'Output-Calculation-sheet'!M83</f>
        <v>2858131559.067802</v>
      </c>
      <c r="N100" s="2">
        <f>N12/'Output-Calculation-sheet'!N11*'Output-Calculation-sheet'!N83</f>
        <v>1977601296.5914755</v>
      </c>
      <c r="O100" s="2">
        <f>O12/'Output-Calculation-sheet'!O11*'Output-Calculation-sheet'!O83</f>
        <v>1097694288.2068911</v>
      </c>
      <c r="P100" s="2">
        <f>P12/'Output-Calculation-sheet'!P11*'Output-Calculation-sheet'!P83</f>
        <v>3333775550.4061861</v>
      </c>
      <c r="Q100" s="2">
        <f>Q12/'Output-Calculation-sheet'!Q11*'Output-Calculation-sheet'!Q83</f>
        <v>1590226220.0706348</v>
      </c>
      <c r="R100" s="2">
        <f>R12/'Output-Calculation-sheet'!R11*'Output-Calculation-sheet'!R83</f>
        <v>2082312602.2000773</v>
      </c>
      <c r="S100" s="2">
        <f>S12/'Output-Calculation-sheet'!S11*'Output-Calculation-sheet'!S83</f>
        <v>1195140446.2454517</v>
      </c>
      <c r="T100" s="2">
        <f>T12/'Output-Calculation-sheet'!T11*'Output-Calculation-sheet'!T83</f>
        <v>860087034.34314823</v>
      </c>
      <c r="U100" s="2">
        <f>U12/'Output-Calculation-sheet'!U11*'Output-Calculation-sheet'!U83</f>
        <v>579601278.49107158</v>
      </c>
      <c r="V100" s="2">
        <f>V12/'Output-Calculation-sheet'!V11*'Output-Calculation-sheet'!V83</f>
        <v>312728565.4296388</v>
      </c>
      <c r="W100" s="2">
        <f>W12/'Output-Calculation-sheet'!W11*'Output-Calculation-sheet'!W83</f>
        <v>847258512.57860136</v>
      </c>
      <c r="X100" s="2">
        <f>X12/'Output-Calculation-sheet'!X11*'Output-Calculation-sheet'!X83</f>
        <v>327558188.7238518</v>
      </c>
      <c r="Y100" s="2">
        <f>Y12/'Output-Calculation-sheet'!Y11*'Output-Calculation-sheet'!Y83</f>
        <v>466890013.02899796</v>
      </c>
      <c r="AA100" s="2">
        <f t="shared" si="8"/>
        <v>93.089154602780766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1272.5976104580825</v>
      </c>
      <c r="C19" s="2">
        <f>C8/'Output-Calculation-sheet'!C7*'Output-Calculation-sheet'!C25</f>
        <v>11860.310955401123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5710.0895268333179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3967.2685568039806</v>
      </c>
      <c r="N19" s="2">
        <f>N8/'Output-Calculation-sheet'!N7*'Output-Calculation-sheet'!N25</f>
        <v>1358.2698028684515</v>
      </c>
      <c r="O19" s="2">
        <f>O8/'Output-Calculation-sheet'!O7*'Output-Calculation-sheet'!O25</f>
        <v>2103.9272194043378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484.65210754987396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443.92367148061163</v>
      </c>
      <c r="Y19" s="2">
        <f>Y8/'Output-Calculation-sheet'!Y7*'Output-Calculation-sheet'!Y25</f>
        <v>0</v>
      </c>
      <c r="AA19" s="2">
        <f t="shared" si="0"/>
        <v>27.201039450799776</v>
      </c>
    </row>
    <row r="20" spans="1:27" x14ac:dyDescent="0.25">
      <c r="A20" s="2">
        <v>2032</v>
      </c>
      <c r="B20" s="2">
        <f>B9/'Output-Calculation-sheet'!B8*'Output-Calculation-sheet'!B26</f>
        <v>7258.6890158256656</v>
      </c>
      <c r="C20" s="2">
        <f>C9/'Output-Calculation-sheet'!C8*'Output-Calculation-sheet'!C26</f>
        <v>14753.658972986563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7896.9452927186867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5492.2107614751767</v>
      </c>
      <c r="N20" s="2">
        <f>N9/'Output-Calculation-sheet'!N8*'Output-Calculation-sheet'!N26</f>
        <v>2476.3310432571584</v>
      </c>
      <c r="O20" s="2">
        <f>O9/'Output-Calculation-sheet'!O8*'Output-Calculation-sheet'!O26</f>
        <v>2568.9910023314783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895.36828002502978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613.84783952039538</v>
      </c>
      <c r="Y20" s="2">
        <f>Y9/'Output-Calculation-sheet'!Y8*'Output-Calculation-sheet'!Y26</f>
        <v>0</v>
      </c>
      <c r="AA20" s="2">
        <f t="shared" si="0"/>
        <v>41.956042208140154</v>
      </c>
    </row>
    <row r="21" spans="1:27" x14ac:dyDescent="0.25">
      <c r="A21" s="2">
        <v>2033</v>
      </c>
      <c r="B21" s="2">
        <f>B10/'Output-Calculation-sheet'!B9*'Output-Calculation-sheet'!B27</f>
        <v>17122.098854157055</v>
      </c>
      <c r="C21" s="2">
        <f>C10/'Output-Calculation-sheet'!C9*'Output-Calculation-sheet'!C27</f>
        <v>17455.038312553537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9898.7217037434566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6875.3528036692851</v>
      </c>
      <c r="N21" s="2">
        <f>N10/'Output-Calculation-sheet'!N9*'Output-Calculation-sheet'!N27</f>
        <v>3741.1542404611082</v>
      </c>
      <c r="O21" s="2">
        <f>O10/'Output-Calculation-sheet'!O9*'Output-Calculation-sheet'!O27</f>
        <v>2902.2618317126726</v>
      </c>
      <c r="P21" s="2">
        <f>P10/'Output-Calculation-sheet'!P9*'Output-Calculation-sheet'!P27</f>
        <v>0</v>
      </c>
      <c r="Q21" s="2">
        <f>Q10/'Output-Calculation-sheet'!Q9*'Output-Calculation-sheet'!Q27</f>
        <v>255.49123655016774</v>
      </c>
      <c r="R21" s="2">
        <f>R10/'Output-Calculation-sheet'!R9*'Output-Calculation-sheet'!R27</f>
        <v>0</v>
      </c>
      <c r="S21" s="2">
        <f>S10/'Output-Calculation-sheet'!S9*'Output-Calculation-sheet'!S27</f>
        <v>1637.1079919641977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808.43396629657946</v>
      </c>
      <c r="Y21" s="2">
        <f>Y10/'Output-Calculation-sheet'!Y9*'Output-Calculation-sheet'!Y27</f>
        <v>0</v>
      </c>
      <c r="AA21" s="2">
        <f t="shared" si="0"/>
        <v>60.695660941108066</v>
      </c>
    </row>
    <row r="22" spans="1:27" x14ac:dyDescent="0.25">
      <c r="A22" s="2">
        <v>2034</v>
      </c>
      <c r="B22" s="2">
        <f>B11/'Output-Calculation-sheet'!B10*'Output-Calculation-sheet'!B28</f>
        <v>27947.246005310088</v>
      </c>
      <c r="C22" s="2">
        <f>C11/'Output-Calculation-sheet'!C10*'Output-Calculation-sheet'!C28</f>
        <v>19954.908776087967</v>
      </c>
      <c r="D22" s="2">
        <f>D11/'Output-Calculation-sheet'!D10*'Output-Calculation-sheet'!D28</f>
        <v>0</v>
      </c>
      <c r="E22" s="2">
        <f>E11/'Output-Calculation-sheet'!E10*'Output-Calculation-sheet'!E28</f>
        <v>1616.4227277251714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11748.746078834263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802.66696895563246</v>
      </c>
      <c r="M22" s="2">
        <f>M11/'Output-Calculation-sheet'!M10*'Output-Calculation-sheet'!M28</f>
        <v>8162.3494208008015</v>
      </c>
      <c r="N22" s="2">
        <f>N11/'Output-Calculation-sheet'!N10*'Output-Calculation-sheet'!N28</f>
        <v>4738.9782848155701</v>
      </c>
      <c r="O22" s="2">
        <f>O11/'Output-Calculation-sheet'!O10*'Output-Calculation-sheet'!O28</f>
        <v>3071.2760245221625</v>
      </c>
      <c r="P22" s="2">
        <f>P11/'Output-Calculation-sheet'!P10*'Output-Calculation-sheet'!P28</f>
        <v>0</v>
      </c>
      <c r="Q22" s="2">
        <f>Q11/'Output-Calculation-sheet'!Q10*'Output-Calculation-sheet'!Q28</f>
        <v>708.49976529168373</v>
      </c>
      <c r="R22" s="2">
        <f>R11/'Output-Calculation-sheet'!R10*'Output-Calculation-sheet'!R28</f>
        <v>0</v>
      </c>
      <c r="S22" s="2">
        <f>S11/'Output-Calculation-sheet'!S10*'Output-Calculation-sheet'!S28</f>
        <v>2213.5147613696222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850.06047392545577</v>
      </c>
      <c r="Y22" s="2">
        <f>Y11/'Output-Calculation-sheet'!Y10*'Output-Calculation-sheet'!Y28</f>
        <v>89.499534966716922</v>
      </c>
      <c r="AA22" s="2">
        <f t="shared" si="0"/>
        <v>81.904168822605115</v>
      </c>
    </row>
    <row r="23" spans="1:27" x14ac:dyDescent="0.25">
      <c r="A23" s="2">
        <v>2035</v>
      </c>
      <c r="B23" s="2">
        <f>B12/'Output-Calculation-sheet'!B11*'Output-Calculation-sheet'!B29</f>
        <v>30564.810542565028</v>
      </c>
      <c r="C23" s="2">
        <f>C12/'Output-Calculation-sheet'!C11*'Output-Calculation-sheet'!C29</f>
        <v>22294.423932260652</v>
      </c>
      <c r="D23" s="2">
        <f>D12/'Output-Calculation-sheet'!D11*'Output-Calculation-sheet'!D29</f>
        <v>0</v>
      </c>
      <c r="E23" s="2">
        <f>E12/'Output-Calculation-sheet'!E11*'Output-Calculation-sheet'!E29</f>
        <v>3888.1243219154762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11191.21610298729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920.2895144883106</v>
      </c>
      <c r="M23" s="2">
        <f>M12/'Output-Calculation-sheet'!M11*'Output-Calculation-sheet'!M29</f>
        <v>7890.5272200062464</v>
      </c>
      <c r="N23" s="2">
        <f>N12/'Output-Calculation-sheet'!N11*'Output-Calculation-sheet'!N29</f>
        <v>4649.3799331805303</v>
      </c>
      <c r="O23" s="2">
        <f>O12/'Output-Calculation-sheet'!O11*'Output-Calculation-sheet'!O29</f>
        <v>3075.9726463524348</v>
      </c>
      <c r="P23" s="2">
        <f>P12/'Output-Calculation-sheet'!P11*'Output-Calculation-sheet'!P29</f>
        <v>655.82964591879056</v>
      </c>
      <c r="Q23" s="2">
        <f>Q12/'Output-Calculation-sheet'!Q11*'Output-Calculation-sheet'!Q29</f>
        <v>993.35801683338593</v>
      </c>
      <c r="R23" s="2">
        <f>R12/'Output-Calculation-sheet'!R11*'Output-Calculation-sheet'!R29</f>
        <v>0</v>
      </c>
      <c r="S23" s="2">
        <f>S12/'Output-Calculation-sheet'!S11*'Output-Calculation-sheet'!S29</f>
        <v>2273.6946661860766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819.69451372508195</v>
      </c>
      <c r="Y23" s="2">
        <f>Y12/'Output-Calculation-sheet'!Y11*'Output-Calculation-sheet'!Y29</f>
        <v>208.14288699679304</v>
      </c>
      <c r="AA23" s="2">
        <f t="shared" si="0"/>
        <v>89.425463943416091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22180.962951587386</v>
      </c>
      <c r="C30" s="2">
        <f>C8/'Output-Calculation-sheet'!C7*'Output-Calculation-sheet'!C16</f>
        <v>0</v>
      </c>
      <c r="D30" s="2">
        <f>D8/'Output-Calculation-sheet'!D7*'Output-Calculation-sheet'!D16</f>
        <v>3734.9809363681638</v>
      </c>
      <c r="E30" s="2">
        <f>E8/'Output-Calculation-sheet'!E7*'Output-Calculation-sheet'!E16</f>
        <v>4018.6284691096216</v>
      </c>
      <c r="F30" s="2">
        <f>F8/'Output-Calculation-sheet'!F7*'Output-Calculation-sheet'!F16</f>
        <v>2027.419446881692</v>
      </c>
      <c r="G30" s="2">
        <f>G8/'Output-Calculation-sheet'!G7*'Output-Calculation-sheet'!G16</f>
        <v>1327.7189378245739</v>
      </c>
      <c r="H30" s="2">
        <f>H8/'Output-Calculation-sheet'!H7*'Output-Calculation-sheet'!H16</f>
        <v>0</v>
      </c>
      <c r="I30" s="2">
        <f>I8/'Output-Calculation-sheet'!I7*'Output-Calculation-sheet'!I16</f>
        <v>1294.3271632849362</v>
      </c>
      <c r="J30" s="2">
        <f>J8/'Output-Calculation-sheet'!J7*'Output-Calculation-sheet'!J16</f>
        <v>1152.200053481763</v>
      </c>
      <c r="K30" s="2">
        <f>K8/'Output-Calculation-sheet'!K7*'Output-Calculation-sheet'!K16</f>
        <v>1538.4073026955293</v>
      </c>
      <c r="L30" s="2">
        <f>L8/'Output-Calculation-sheet'!L7*'Output-Calculation-sheet'!L16</f>
        <v>1299.4540144956845</v>
      </c>
      <c r="M30" s="2">
        <f>M8/'Output-Calculation-sheet'!M7*'Output-Calculation-sheet'!M16</f>
        <v>0</v>
      </c>
      <c r="N30" s="2">
        <f>N8/'Output-Calculation-sheet'!N7*'Output-Calculation-sheet'!N16</f>
        <v>1845.7649501859823</v>
      </c>
      <c r="O30" s="2">
        <f>O8/'Output-Calculation-sheet'!O7*'Output-Calculation-sheet'!O16</f>
        <v>0</v>
      </c>
      <c r="P30" s="2">
        <f>P8/'Output-Calculation-sheet'!P7*'Output-Calculation-sheet'!P16</f>
        <v>1658.9129728426078</v>
      </c>
      <c r="Q30" s="2">
        <f>Q8/'Output-Calculation-sheet'!Q7*'Output-Calculation-sheet'!Q16</f>
        <v>1824.2563978023686</v>
      </c>
      <c r="R30" s="2">
        <f>R8/'Output-Calculation-sheet'!R7*'Output-Calculation-sheet'!R16</f>
        <v>1157.4986133246766</v>
      </c>
      <c r="S30" s="2">
        <f>S8/'Output-Calculation-sheet'!S7*'Output-Calculation-sheet'!S16</f>
        <v>1164.1041886529733</v>
      </c>
      <c r="T30" s="2">
        <f>T8/'Output-Calculation-sheet'!T7*'Output-Calculation-sheet'!T16</f>
        <v>347.46444555639681</v>
      </c>
      <c r="U30" s="2">
        <f>U8/'Output-Calculation-sheet'!U7*'Output-Calculation-sheet'!U16</f>
        <v>346.84336167086599</v>
      </c>
      <c r="V30" s="2">
        <f>V8/'Output-Calculation-sheet'!V7*'Output-Calculation-sheet'!V16</f>
        <v>269.94159542610441</v>
      </c>
      <c r="W30" s="2">
        <f>W8/'Output-Calculation-sheet'!W7*'Output-Calculation-sheet'!W16</f>
        <v>163.73318606630318</v>
      </c>
      <c r="X30" s="2">
        <f>X8/'Output-Calculation-sheet'!X7*'Output-Calculation-sheet'!X16</f>
        <v>0</v>
      </c>
      <c r="Y30" s="2">
        <f>Y8/'Output-Calculation-sheet'!Y7*'Output-Calculation-sheet'!Y16</f>
        <v>138.5815276135755</v>
      </c>
      <c r="AA30" s="2">
        <f t="shared" si="1"/>
        <v>47.491200514871203</v>
      </c>
    </row>
    <row r="31" spans="1:27" x14ac:dyDescent="0.25">
      <c r="A31" s="2">
        <v>2032</v>
      </c>
      <c r="B31" s="2">
        <f>B9/'Output-Calculation-sheet'!B8*'Output-Calculation-sheet'!B17</f>
        <v>30735.687473061404</v>
      </c>
      <c r="C31" s="2">
        <f>C9/'Output-Calculation-sheet'!C8*'Output-Calculation-sheet'!C17</f>
        <v>0</v>
      </c>
      <c r="D31" s="2">
        <f>D9/'Output-Calculation-sheet'!D8*'Output-Calculation-sheet'!D17</f>
        <v>5154.7783377291771</v>
      </c>
      <c r="E31" s="2">
        <f>E9/'Output-Calculation-sheet'!E8*'Output-Calculation-sheet'!E17</f>
        <v>6058.7376478477217</v>
      </c>
      <c r="F31" s="2">
        <f>F9/'Output-Calculation-sheet'!F8*'Output-Calculation-sheet'!F17</f>
        <v>2798.1809234319139</v>
      </c>
      <c r="G31" s="2">
        <f>G9/'Output-Calculation-sheet'!G8*'Output-Calculation-sheet'!G17</f>
        <v>1832.4591829467038</v>
      </c>
      <c r="H31" s="2">
        <f>H9/'Output-Calculation-sheet'!H8*'Output-Calculation-sheet'!H17</f>
        <v>0</v>
      </c>
      <c r="I31" s="2">
        <f>I9/'Output-Calculation-sheet'!I8*'Output-Calculation-sheet'!I17</f>
        <v>1786.3816941457412</v>
      </c>
      <c r="J31" s="2">
        <f>J9/'Output-Calculation-sheet'!J8*'Output-Calculation-sheet'!J17</f>
        <v>1590.2240324401334</v>
      </c>
      <c r="K31" s="2">
        <f>K9/'Output-Calculation-sheet'!K8*'Output-Calculation-sheet'!K17</f>
        <v>2264.0567947385898</v>
      </c>
      <c r="L31" s="2">
        <f>L9/'Output-Calculation-sheet'!L8*'Output-Calculation-sheet'!L17</f>
        <v>1930.8424347905511</v>
      </c>
      <c r="M31" s="2">
        <f>M9/'Output-Calculation-sheet'!M8*'Output-Calculation-sheet'!M17</f>
        <v>0</v>
      </c>
      <c r="N31" s="2">
        <f>N9/'Output-Calculation-sheet'!N8*'Output-Calculation-sheet'!N17</f>
        <v>2099.0232053740433</v>
      </c>
      <c r="O31" s="2">
        <f>O9/'Output-Calculation-sheet'!O8*'Output-Calculation-sheet'!O17</f>
        <v>0</v>
      </c>
      <c r="P31" s="2">
        <f>P9/'Output-Calculation-sheet'!P8*'Output-Calculation-sheet'!P17</f>
        <v>2605.2135894990374</v>
      </c>
      <c r="Q31" s="2">
        <f>Q9/'Output-Calculation-sheet'!Q8*'Output-Calculation-sheet'!Q17</f>
        <v>2777.397045483523</v>
      </c>
      <c r="R31" s="2">
        <f>R9/'Output-Calculation-sheet'!R8*'Output-Calculation-sheet'!R17</f>
        <v>1817.1199308873868</v>
      </c>
      <c r="S31" s="2">
        <f>S9/'Output-Calculation-sheet'!S8*'Output-Calculation-sheet'!S17</f>
        <v>1569.1129619648582</v>
      </c>
      <c r="T31" s="2">
        <f>T9/'Output-Calculation-sheet'!T8*'Output-Calculation-sheet'!T17</f>
        <v>493.08876925723712</v>
      </c>
      <c r="U31" s="2">
        <f>U9/'Output-Calculation-sheet'!U8*'Output-Calculation-sheet'!U17</f>
        <v>566.71619334625996</v>
      </c>
      <c r="V31" s="2">
        <f>V9/'Output-Calculation-sheet'!V8*'Output-Calculation-sheet'!V17</f>
        <v>405.91191922526656</v>
      </c>
      <c r="W31" s="2">
        <f>W9/'Output-Calculation-sheet'!W8*'Output-Calculation-sheet'!W17</f>
        <v>225.98074263112335</v>
      </c>
      <c r="X31" s="2">
        <f>X9/'Output-Calculation-sheet'!X8*'Output-Calculation-sheet'!X17</f>
        <v>0</v>
      </c>
      <c r="Y31" s="2">
        <f>Y9/'Output-Calculation-sheet'!Y8*'Output-Calculation-sheet'!Y17</f>
        <v>218.34635668699772</v>
      </c>
      <c r="AA31" s="2">
        <f t="shared" si="1"/>
        <v>66.929259235487635</v>
      </c>
    </row>
    <row r="32" spans="1:27" x14ac:dyDescent="0.25">
      <c r="A32" s="2">
        <v>2033</v>
      </c>
      <c r="B32" s="2">
        <f>B10/'Output-Calculation-sheet'!B9*'Output-Calculation-sheet'!B18</f>
        <v>34703.038802680792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2128.6950466278254</v>
      </c>
      <c r="O32" s="2">
        <f>O10/'Output-Calculation-sheet'!O9*'Output-Calculation-sheet'!O18</f>
        <v>0</v>
      </c>
      <c r="P32" s="2">
        <f>P10/'Output-Calculation-sheet'!P9*'Output-Calculation-sheet'!P18</f>
        <v>3406.4318808844391</v>
      </c>
      <c r="Q32" s="2">
        <f>Q10/'Output-Calculation-sheet'!Q9*'Output-Calculation-sheet'!Q18</f>
        <v>3711.8219035009911</v>
      </c>
      <c r="R32" s="2">
        <f>R10/'Output-Calculation-sheet'!R9*'Output-Calculation-sheet'!R18</f>
        <v>2445.6632598669771</v>
      </c>
      <c r="S32" s="2">
        <f>S10/'Output-Calculation-sheet'!S9*'Output-Calculation-sheet'!S18</f>
        <v>1600.6508103783283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790.69878781738987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83.43714399642937</v>
      </c>
    </row>
    <row r="33" spans="1:27" x14ac:dyDescent="0.25">
      <c r="A33" s="2">
        <v>2034</v>
      </c>
      <c r="B33" s="2">
        <f>B11/'Output-Calculation-sheet'!B10*'Output-Calculation-sheet'!B19</f>
        <v>32026.694819829932</v>
      </c>
      <c r="C33" s="2">
        <f>C11/'Output-Calculation-sheet'!C10*'Output-Calculation-sheet'!C19</f>
        <v>0</v>
      </c>
      <c r="D33" s="2">
        <f>D11/'Output-Calculation-sheet'!D10*'Output-Calculation-sheet'!D19</f>
        <v>9695.3817980310014</v>
      </c>
      <c r="E33" s="2">
        <f>E11/'Output-Calculation-sheet'!E10*'Output-Calculation-sheet'!E19</f>
        <v>12022.801568221228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3294.3903189660286</v>
      </c>
      <c r="H33" s="2">
        <f>H11/'Output-Calculation-sheet'!H10*'Output-Calculation-sheet'!H19</f>
        <v>0</v>
      </c>
      <c r="I33" s="2">
        <f>I11/'Output-Calculation-sheet'!I10*'Output-Calculation-sheet'!I19</f>
        <v>3600.0592431974901</v>
      </c>
      <c r="J33" s="2">
        <f>J11/'Output-Calculation-sheet'!J10*'Output-Calculation-sheet'!J19</f>
        <v>3045.7470422042843</v>
      </c>
      <c r="K33" s="2">
        <f>K11/'Output-Calculation-sheet'!K10*'Output-Calculation-sheet'!K19</f>
        <v>4217.1267933751715</v>
      </c>
      <c r="L33" s="2">
        <f>L11/'Output-Calculation-sheet'!L10*'Output-Calculation-sheet'!L19</f>
        <v>3331.2644289421632</v>
      </c>
      <c r="M33" s="2">
        <f>M11/'Output-Calculation-sheet'!M10*'Output-Calculation-sheet'!M19</f>
        <v>0</v>
      </c>
      <c r="N33" s="2">
        <f>N11/'Output-Calculation-sheet'!N10*'Output-Calculation-sheet'!N19</f>
        <v>1992.4608120741643</v>
      </c>
      <c r="O33" s="2">
        <f>O11/'Output-Calculation-sheet'!O10*'Output-Calculation-sheet'!O19</f>
        <v>0</v>
      </c>
      <c r="P33" s="2">
        <f>P11/'Output-Calculation-sheet'!P10*'Output-Calculation-sheet'!P19</f>
        <v>4267.5655972180057</v>
      </c>
      <c r="Q33" s="2">
        <f>Q11/'Output-Calculation-sheet'!Q10*'Output-Calculation-sheet'!Q19</f>
        <v>3524.2538199369919</v>
      </c>
      <c r="R33" s="2">
        <f>R11/'Output-Calculation-sheet'!R10*'Output-Calculation-sheet'!R19</f>
        <v>3047.1122852873123</v>
      </c>
      <c r="S33" s="2">
        <f>S11/'Output-Calculation-sheet'!S10*'Output-Calculation-sheet'!S19</f>
        <v>1496.8036228520975</v>
      </c>
      <c r="T33" s="2">
        <f>T11/'Output-Calculation-sheet'!T10*'Output-Calculation-sheet'!T19</f>
        <v>894.04627978261988</v>
      </c>
      <c r="U33" s="2">
        <f>U11/'Output-Calculation-sheet'!U10*'Output-Calculation-sheet'!U19</f>
        <v>962.41053937649599</v>
      </c>
      <c r="V33" s="2">
        <f>V11/'Output-Calculation-sheet'!V10*'Output-Calculation-sheet'!V19</f>
        <v>701.27460595955517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0</v>
      </c>
      <c r="Y33" s="2">
        <f>Y11/'Output-Calculation-sheet'!Y10*'Output-Calculation-sheet'!Y19</f>
        <v>393.50554943047939</v>
      </c>
      <c r="AA33" s="2">
        <f t="shared" si="1"/>
        <v>94.45112536353156</v>
      </c>
    </row>
    <row r="34" spans="1:27" x14ac:dyDescent="0.25">
      <c r="A34" s="2">
        <v>2035</v>
      </c>
      <c r="B34" s="2">
        <f>B12/'Output-Calculation-sheet'!B11*'Output-Calculation-sheet'!B20</f>
        <v>29020.198939564456</v>
      </c>
      <c r="C34" s="2">
        <f>C12/'Output-Calculation-sheet'!C11*'Output-Calculation-sheet'!C20</f>
        <v>0</v>
      </c>
      <c r="D34" s="2">
        <f>D12/'Output-Calculation-sheet'!D11*'Output-Calculation-sheet'!D20</f>
        <v>8903.1865060791151</v>
      </c>
      <c r="E34" s="2">
        <f>E12/'Output-Calculation-sheet'!E11*'Output-Calculation-sheet'!E20</f>
        <v>10494.630548983145</v>
      </c>
      <c r="F34" s="2">
        <f>F12/'Output-Calculation-sheet'!F11*'Output-Calculation-sheet'!F20</f>
        <v>6005.426784378531</v>
      </c>
      <c r="G34" s="2">
        <f>G12/'Output-Calculation-sheet'!G11*'Output-Calculation-sheet'!G20</f>
        <v>3216.1060792532526</v>
      </c>
      <c r="H34" s="2">
        <f>H12/'Output-Calculation-sheet'!H11*'Output-Calculation-sheet'!H20</f>
        <v>0</v>
      </c>
      <c r="I34" s="2">
        <f>I12/'Output-Calculation-sheet'!I11*'Output-Calculation-sheet'!I20</f>
        <v>3577.1547247892645</v>
      </c>
      <c r="J34" s="2">
        <f>J12/'Output-Calculation-sheet'!J11*'Output-Calculation-sheet'!J20</f>
        <v>2788.3760555149124</v>
      </c>
      <c r="K34" s="2">
        <f>K12/'Output-Calculation-sheet'!K11*'Output-Calculation-sheet'!K20</f>
        <v>4121.5729398527392</v>
      </c>
      <c r="L34" s="2">
        <f>L12/'Output-Calculation-sheet'!L11*'Output-Calculation-sheet'!L20</f>
        <v>3149.9018533449057</v>
      </c>
      <c r="M34" s="2">
        <f>M12/'Output-Calculation-sheet'!M11*'Output-Calculation-sheet'!M20</f>
        <v>0</v>
      </c>
      <c r="N34" s="2">
        <f>N12/'Output-Calculation-sheet'!N11*'Output-Calculation-sheet'!N20</f>
        <v>1827.898086741144</v>
      </c>
      <c r="O34" s="2">
        <f>O12/'Output-Calculation-sheet'!O11*'Output-Calculation-sheet'!O20</f>
        <v>0</v>
      </c>
      <c r="P34" s="2">
        <f>P12/'Output-Calculation-sheet'!P11*'Output-Calculation-sheet'!P20</f>
        <v>3918.6993398217487</v>
      </c>
      <c r="Q34" s="2">
        <f>Q12/'Output-Calculation-sheet'!Q11*'Output-Calculation-sheet'!Q20</f>
        <v>3228.2643153106546</v>
      </c>
      <c r="R34" s="2">
        <f>R12/'Output-Calculation-sheet'!R11*'Output-Calculation-sheet'!R20</f>
        <v>3030.359944564691</v>
      </c>
      <c r="S34" s="2">
        <f>S12/'Output-Calculation-sheet'!S11*'Output-Calculation-sheet'!S20</f>
        <v>1292.9934732138822</v>
      </c>
      <c r="T34" s="2">
        <f>T12/'Output-Calculation-sheet'!T11*'Output-Calculation-sheet'!T20</f>
        <v>968.76621574720389</v>
      </c>
      <c r="U34" s="2">
        <f>U12/'Output-Calculation-sheet'!U11*'Output-Calculation-sheet'!U20</f>
        <v>903.75434839681839</v>
      </c>
      <c r="V34" s="2">
        <f>V12/'Output-Calculation-sheet'!V11*'Output-Calculation-sheet'!V20</f>
        <v>671.14454158466549</v>
      </c>
      <c r="W34" s="2">
        <f>W12/'Output-Calculation-sheet'!W11*'Output-Calculation-sheet'!W20</f>
        <v>534.4698027143329</v>
      </c>
      <c r="X34" s="2">
        <f>X12/'Output-Calculation-sheet'!X11*'Output-Calculation-sheet'!X20</f>
        <v>20.950432283497548</v>
      </c>
      <c r="Y34" s="2">
        <f>Y12/'Output-Calculation-sheet'!Y11*'Output-Calculation-sheet'!Y20</f>
        <v>312.73564936885623</v>
      </c>
      <c r="AA34" s="2">
        <f t="shared" si="1"/>
        <v>87.986590581507812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2.4181340074323567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0.46977838433096236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2.8879123917633192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4.00488242619367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0.77804091494931593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4.7829233411429861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5.563358824718259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0.81060821446306519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6.3739670391813243</v>
      </c>
    </row>
    <row r="44" spans="1:27" x14ac:dyDescent="0.25">
      <c r="A44" s="2">
        <v>2034</v>
      </c>
      <c r="B44" s="2">
        <f>B11/'Output-Calculation-sheet'!B10*'Output-Calculation-sheet'!B37*0.0114</f>
        <v>2.8946667798783894</v>
      </c>
      <c r="C44" s="2">
        <f>C11/'Output-Calculation-sheet'!C10*'Output-Calculation-sheet'!C37*0.0114</f>
        <v>5.4954936597995605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0.42292102515602098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0.30687515749192468</v>
      </c>
      <c r="M44" s="2">
        <f>M11/'Output-Calculation-sheet'!M10*'Output-Calculation-sheet'!M37*0.0114</f>
        <v>0.29101105049923109</v>
      </c>
      <c r="N44" s="2">
        <f>N11/'Output-Calculation-sheet'!N10*'Output-Calculation-sheet'!N37*0.0114</f>
        <v>0.2860171662487625</v>
      </c>
      <c r="O44" s="2">
        <f>O11/'Output-Calculation-sheet'!O10*'Output-Calculation-sheet'!O37*0.0114</f>
        <v>1.0676265768012456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0.25059406547501456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0.16395446841714062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7.9954818496382141E-2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3.1924629640519973E-2</v>
      </c>
      <c r="Y44" s="2">
        <f>Y11/'Output-Calculation-sheet'!Y10*'Output-Calculation-sheet'!Y37*0.0114</f>
        <v>0</v>
      </c>
      <c r="AA44" s="2">
        <f t="shared" si="2"/>
        <v>11.291039397904191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5.1461952797082526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0.99976729847160695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5.9790944556733526E-2</v>
      </c>
      <c r="Y45" s="2">
        <f>Y12/'Output-Calculation-sheet'!Y11*'Output-Calculation-sheet'!Y38*0.0114</f>
        <v>2.8849685241749835E-2</v>
      </c>
      <c r="AA45" s="2">
        <f t="shared" si="2"/>
        <v>15.422975918868136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8096.731824575827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5526.4136138993254</v>
      </c>
      <c r="N52" s="2">
        <f>N8/'Output-Calculation-sheet'!N7*'Output-Calculation-sheet'!N43</f>
        <v>176.636676413798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712.23368284894025</v>
      </c>
      <c r="Y52" s="2">
        <f>Y8/'Output-Calculation-sheet'!Y7*'Output-Calculation-sheet'!Y43</f>
        <v>0</v>
      </c>
      <c r="AA52" s="2">
        <f t="shared" si="3"/>
        <v>14.512015797737892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819.71277729110204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15788.843922996233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10789.856840068747</v>
      </c>
      <c r="N53" s="2">
        <f>N9/'Output-Calculation-sheet'!N8*'Output-Calculation-sheet'!N44</f>
        <v>3851.8213081044223</v>
      </c>
      <c r="O53" s="2">
        <f>O9/'Output-Calculation-sheet'!O8*'Output-Calculation-sheet'!O44</f>
        <v>0</v>
      </c>
      <c r="P53" s="2">
        <f>P9/'Output-Calculation-sheet'!P8*'Output-Calculation-sheet'!P44</f>
        <v>180.17158740278794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1187.843233321277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1352.3814381092895</v>
      </c>
      <c r="Y53" s="2">
        <f>Y9/'Output-Calculation-sheet'!Y8*'Output-Calculation-sheet'!Y44</f>
        <v>0</v>
      </c>
      <c r="AA53" s="2">
        <f t="shared" si="3"/>
        <v>33.970631107293862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6588.1880819032012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0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956.89601704182678</v>
      </c>
      <c r="R54" s="2">
        <f>R10/'Output-Calculation-sheet'!R9*'Output-Calculation-sheet'!R45</f>
        <v>1633.060955678081</v>
      </c>
      <c r="S54" s="2">
        <f>S10/'Output-Calculation-sheet'!S9*'Output-Calculation-sheet'!S45</f>
        <v>3916.5262965650668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582.21582214044133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100.77535684575253</v>
      </c>
    </row>
    <row r="55" spans="1:27" x14ac:dyDescent="0.25">
      <c r="A55" s="2">
        <v>2034</v>
      </c>
      <c r="B55" s="2">
        <f>B11/'Output-Calculation-sheet'!B10*'Output-Calculation-sheet'!B46</f>
        <v>76175.441575747085</v>
      </c>
      <c r="C55" s="2">
        <f>C11/'Output-Calculation-sheet'!C10*'Output-Calculation-sheet'!C46</f>
        <v>15666.977538902256</v>
      </c>
      <c r="D55" s="2">
        <f>D11/'Output-Calculation-sheet'!D10*'Output-Calculation-sheet'!D46</f>
        <v>8433.737387351066</v>
      </c>
      <c r="E55" s="2">
        <f>E11/'Output-Calculation-sheet'!E10*'Output-Calculation-sheet'!E46</f>
        <v>10435.649564885371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27378.57162852136</v>
      </c>
      <c r="I55" s="2">
        <f>I11/'Output-Calculation-sheet'!I10*'Output-Calculation-sheet'!I46</f>
        <v>2032.2387300501539</v>
      </c>
      <c r="J55" s="2">
        <f>J11/'Output-Calculation-sheet'!J10*'Output-Calculation-sheet'!J46</f>
        <v>1465.8256328112218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780.64733046191361</v>
      </c>
      <c r="M55" s="2">
        <f>M11/'Output-Calculation-sheet'!M10*'Output-Calculation-sheet'!M46</f>
        <v>18992.300137844555</v>
      </c>
      <c r="N55" s="2">
        <f>N11/'Output-Calculation-sheet'!N10*'Output-Calculation-sheet'!N46</f>
        <v>13498.003108932826</v>
      </c>
      <c r="O55" s="2">
        <f>O11/'Output-Calculation-sheet'!O10*'Output-Calculation-sheet'!O46</f>
        <v>0</v>
      </c>
      <c r="P55" s="2">
        <f>P11/'Output-Calculation-sheet'!P10*'Output-Calculation-sheet'!P46</f>
        <v>5493.1678264447883</v>
      </c>
      <c r="Q55" s="2">
        <f>Q11/'Output-Calculation-sheet'!Q10*'Output-Calculation-sheet'!Q46</f>
        <v>2022.3380722545035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6097.9556674445284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1318.5531471333195</v>
      </c>
      <c r="V55" s="2">
        <f>V11/'Output-Calculation-sheet'!V10*'Output-Calculation-sheet'!V46</f>
        <v>681.42144620542729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1937.8810273017386</v>
      </c>
      <c r="Y55" s="2">
        <f>Y11/'Output-Calculation-sheet'!Y10*'Output-Calculation-sheet'!Y46</f>
        <v>516.16677271100093</v>
      </c>
      <c r="AA55" s="2">
        <f t="shared" si="3"/>
        <v>206.61103899577301</v>
      </c>
    </row>
    <row r="56" spans="1:27" x14ac:dyDescent="0.25">
      <c r="A56" s="2">
        <v>2035</v>
      </c>
      <c r="B56" s="2">
        <f>B12/'Output-Calculation-sheet'!B11*'Output-Calculation-sheet'!B47</f>
        <v>86313.733357328718</v>
      </c>
      <c r="C56" s="2">
        <f>C12/'Output-Calculation-sheet'!C11*'Output-Calculation-sheet'!C47</f>
        <v>31486.58954032023</v>
      </c>
      <c r="D56" s="2">
        <f>D12/'Output-Calculation-sheet'!D11*'Output-Calculation-sheet'!D47</f>
        <v>6897.9751276635325</v>
      </c>
      <c r="E56" s="2">
        <f>E12/'Output-Calculation-sheet'!E11*'Output-Calculation-sheet'!E47</f>
        <v>17320.100988548238</v>
      </c>
      <c r="F56" s="2">
        <f>F12/'Output-Calculation-sheet'!F11*'Output-Calculation-sheet'!F47</f>
        <v>2098.6813963913523</v>
      </c>
      <c r="G56" s="2">
        <f>G12/'Output-Calculation-sheet'!G11*'Output-Calculation-sheet'!G47</f>
        <v>5522.689713595978</v>
      </c>
      <c r="H56" s="2">
        <f>H12/'Output-Calculation-sheet'!H11*'Output-Calculation-sheet'!H47</f>
        <v>25951.028683057641</v>
      </c>
      <c r="I56" s="2">
        <f>I12/'Output-Calculation-sheet'!I11*'Output-Calculation-sheet'!I47</f>
        <v>3128.7725836967984</v>
      </c>
      <c r="J56" s="2">
        <f>J12/'Output-Calculation-sheet'!J11*'Output-Calculation-sheet'!J47</f>
        <v>1085.3562821269506</v>
      </c>
      <c r="K56" s="2">
        <f>K12/'Output-Calculation-sheet'!K11*'Output-Calculation-sheet'!K47</f>
        <v>4596.7854494165622</v>
      </c>
      <c r="L56" s="2">
        <f>L12/'Output-Calculation-sheet'!L11*'Output-Calculation-sheet'!L47</f>
        <v>1184.7706579640242</v>
      </c>
      <c r="M56" s="2">
        <f>M12/'Output-Calculation-sheet'!M11*'Output-Calculation-sheet'!M47</f>
        <v>18071.98992469969</v>
      </c>
      <c r="N56" s="2">
        <f>N12/'Output-Calculation-sheet'!N11*'Output-Calculation-sheet'!N47</f>
        <v>13250.916066914375</v>
      </c>
      <c r="O56" s="2">
        <f>O12/'Output-Calculation-sheet'!O11*'Output-Calculation-sheet'!O47</f>
        <v>0</v>
      </c>
      <c r="P56" s="2">
        <f>P12/'Output-Calculation-sheet'!P11*'Output-Calculation-sheet'!P47</f>
        <v>6967.2132757456902</v>
      </c>
      <c r="Q56" s="2">
        <f>Q12/'Output-Calculation-sheet'!Q11*'Output-Calculation-sheet'!Q47</f>
        <v>2470.1693437222852</v>
      </c>
      <c r="R56" s="2">
        <f>R12/'Output-Calculation-sheet'!R11*'Output-Calculation-sheet'!R47</f>
        <v>4776.7853189543657</v>
      </c>
      <c r="S56" s="2">
        <f>S12/'Output-Calculation-sheet'!S11*'Output-Calculation-sheet'!S47</f>
        <v>6289.4814073170737</v>
      </c>
      <c r="T56" s="2">
        <f>T12/'Output-Calculation-sheet'!T11*'Output-Calculation-sheet'!T47</f>
        <v>1721.9288179238388</v>
      </c>
      <c r="U56" s="2">
        <f>U12/'Output-Calculation-sheet'!U11*'Output-Calculation-sheet'!U47</f>
        <v>1300.4226692724776</v>
      </c>
      <c r="V56" s="2">
        <f>V12/'Output-Calculation-sheet'!V11*'Output-Calculation-sheet'!V47</f>
        <v>724.20386986868073</v>
      </c>
      <c r="W56" s="2">
        <f>W12/'Output-Calculation-sheet'!W11*'Output-Calculation-sheet'!W47</f>
        <v>701.65716329952784</v>
      </c>
      <c r="X56" s="2">
        <f>X12/'Output-Calculation-sheet'!X11*'Output-Calculation-sheet'!X47</f>
        <v>1840.9317139836376</v>
      </c>
      <c r="Y56" s="2">
        <f>Y12/'Output-Calculation-sheet'!Y11*'Output-Calculation-sheet'!Y47</f>
        <v>814.87707437223219</v>
      </c>
      <c r="AA56" s="2">
        <f t="shared" si="3"/>
        <v>244.51706042618389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6.1890186992234213</v>
      </c>
      <c r="C63" s="2">
        <f>C8*'Output-Calculation-sheet'!C52/10^9</f>
        <v>3.8713089826080909</v>
      </c>
      <c r="D63" s="2">
        <f>D8*'Output-Calculation-sheet'!D52/10^9</f>
        <v>1.7676426821648425</v>
      </c>
      <c r="E63" s="2">
        <f>E8*'Output-Calculation-sheet'!E52/10^9</f>
        <v>1.6237004201731571</v>
      </c>
      <c r="F63" s="2">
        <f>F8*'Output-Calculation-sheet'!F52/10^9</f>
        <v>0.85571914186910836</v>
      </c>
      <c r="G63" s="2">
        <f>G8*'Output-Calculation-sheet'!G52/10^9</f>
        <v>0.63283060001027958</v>
      </c>
      <c r="H63" s="2">
        <f>H8*'Output-Calculation-sheet'!H52/10^9</f>
        <v>1.0918869592340292</v>
      </c>
      <c r="I63" s="2">
        <f>I8*'Output-Calculation-sheet'!I52/10^9</f>
        <v>0.58666193793310484</v>
      </c>
      <c r="J63" s="2">
        <f>J8*'Output-Calculation-sheet'!J52/10^9</f>
        <v>0.59642360955468054</v>
      </c>
      <c r="K63" s="2">
        <f>K8*'Output-Calculation-sheet'!K52/10^9</f>
        <v>0.60021900597493671</v>
      </c>
      <c r="L63" s="2">
        <f>L8*'Output-Calculation-sheet'!L52/10^9</f>
        <v>0.48929660557084848</v>
      </c>
      <c r="M63" s="2">
        <f>M8*'Output-Calculation-sheet'!M52/10^9</f>
        <v>0.75597241952984695</v>
      </c>
      <c r="N63" s="2">
        <f>N8*'Output-Calculation-sheet'!N52/10^9</f>
        <v>0.67828305986337545</v>
      </c>
      <c r="O63" s="2">
        <f>O8*'Output-Calculation-sheet'!O52/10^9</f>
        <v>0.73352388439334737</v>
      </c>
      <c r="P63" s="2">
        <f>P8*'Output-Calculation-sheet'!P52/10^9</f>
        <v>0.48319354974124989</v>
      </c>
      <c r="Q63" s="2">
        <f>Q8*'Output-Calculation-sheet'!Q52/10^9</f>
        <v>0.49831022975183298</v>
      </c>
      <c r="R63" s="2">
        <f>R8*'Output-Calculation-sheet'!R52/10^9</f>
        <v>0.40811063750694704</v>
      </c>
      <c r="S63" s="2">
        <f>S8*'Output-Calculation-sheet'!S52/10^9</f>
        <v>0.3752646051475092</v>
      </c>
      <c r="T63" s="2">
        <f>T8*'Output-Calculation-sheet'!T52/10^9</f>
        <v>0.1407096901626867</v>
      </c>
      <c r="U63" s="2">
        <f>U8*'Output-Calculation-sheet'!U52/10^9</f>
        <v>0.12782829511989185</v>
      </c>
      <c r="V63" s="2">
        <f>V8*'Output-Calculation-sheet'!V52/10^9</f>
        <v>9.8772176182678001E-2</v>
      </c>
      <c r="W63" s="2">
        <f>W8*'Output-Calculation-sheet'!W52/10^9</f>
        <v>7.7166474210033933E-2</v>
      </c>
      <c r="X63" s="2">
        <f>X8*'Output-Calculation-sheet'!X52/10^9</f>
        <v>9.256124499319987E-2</v>
      </c>
      <c r="Y63" s="2">
        <f>Y8*'Output-Calculation-sheet'!Y52/10^9</f>
        <v>5.0161290739262142E-2</v>
      </c>
      <c r="AA63" s="2">
        <f t="shared" si="4"/>
        <v>22.82456620165836</v>
      </c>
    </row>
    <row r="64" spans="1:27" x14ac:dyDescent="0.25">
      <c r="A64" s="2">
        <v>2032</v>
      </c>
      <c r="B64" s="2">
        <f>B9*'Output-Calculation-sheet'!B53/10^9</f>
        <v>7.0726628557085283</v>
      </c>
      <c r="C64" s="2">
        <f>C9*'Output-Calculation-sheet'!C53/10^9</f>
        <v>4.683348000080314</v>
      </c>
      <c r="D64" s="2">
        <f>D9*'Output-Calculation-sheet'!D53/10^9</f>
        <v>1.7040733823660255</v>
      </c>
      <c r="E64" s="2">
        <f>E9*'Output-Calculation-sheet'!E53/10^9</f>
        <v>1.6636967992764313</v>
      </c>
      <c r="F64" s="2">
        <f>F9*'Output-Calculation-sheet'!F53/10^9</f>
        <v>0.83905729084118896</v>
      </c>
      <c r="G64" s="2">
        <f>G9*'Output-Calculation-sheet'!G53/10^9</f>
        <v>0.60946524170226446</v>
      </c>
      <c r="H64" s="2">
        <f>H9*'Output-Calculation-sheet'!H53/10^9</f>
        <v>1.3084932340430879</v>
      </c>
      <c r="I64" s="2">
        <f>I9*'Output-Calculation-sheet'!I53/10^9</f>
        <v>0.56908643628893096</v>
      </c>
      <c r="J64" s="2">
        <f>J9*'Output-Calculation-sheet'!J53/10^9</f>
        <v>0.56802493146141564</v>
      </c>
      <c r="K64" s="2">
        <f>K9*'Output-Calculation-sheet'!K53/10^9</f>
        <v>0.61266103425868179</v>
      </c>
      <c r="L64" s="2">
        <f>L9*'Output-Calculation-sheet'!L53/10^9</f>
        <v>0.50502826974979287</v>
      </c>
      <c r="M64" s="2">
        <f>M9*'Output-Calculation-sheet'!M53/10^9</f>
        <v>0.90651039388455379</v>
      </c>
      <c r="N64" s="2">
        <f>N9*'Output-Calculation-sheet'!N53/10^9</f>
        <v>0.80550133299828452</v>
      </c>
      <c r="O64" s="2">
        <f>O9*'Output-Calculation-sheet'!O53/10^9</f>
        <v>0.86665666891733162</v>
      </c>
      <c r="P64" s="2">
        <f>P9*'Output-Calculation-sheet'!P53/10^9</f>
        <v>0.54795316611701361</v>
      </c>
      <c r="Q64" s="2">
        <f>Q9*'Output-Calculation-sheet'!Q53/10^9</f>
        <v>0.56070547682649607</v>
      </c>
      <c r="R64" s="2">
        <f>R9*'Output-Calculation-sheet'!R53/10^9</f>
        <v>0.43837968495542712</v>
      </c>
      <c r="S64" s="2">
        <f>S9*'Output-Calculation-sheet'!S53/10^9</f>
        <v>0.44367615291692719</v>
      </c>
      <c r="T64" s="2">
        <f>T9*'Output-Calculation-sheet'!T53/10^9</f>
        <v>0.14047605226811538</v>
      </c>
      <c r="U64" s="2">
        <f>U9*'Output-Calculation-sheet'!U53/10^9</f>
        <v>0.13857278505465495</v>
      </c>
      <c r="V64" s="2">
        <f>V9*'Output-Calculation-sheet'!V53/10^9</f>
        <v>0.10310206898339778</v>
      </c>
      <c r="W64" s="2">
        <f>W9*'Output-Calculation-sheet'!W53/10^9</f>
        <v>7.4435427451551267E-2</v>
      </c>
      <c r="X64" s="2">
        <f>X9*'Output-Calculation-sheet'!X53/10^9</f>
        <v>0.11124335156932413</v>
      </c>
      <c r="Y64" s="2">
        <f>Y9*'Output-Calculation-sheet'!Y53/10^9</f>
        <v>5.3655584969975072E-2</v>
      </c>
      <c r="AA64" s="2">
        <f t="shared" si="4"/>
        <v>25.326465622689717</v>
      </c>
    </row>
    <row r="65" spans="1:27" x14ac:dyDescent="0.25">
      <c r="A65" s="2">
        <v>2033</v>
      </c>
      <c r="B65" s="2">
        <f>B10*'Output-Calculation-sheet'!B54/10^9</f>
        <v>8.0236392267445407</v>
      </c>
      <c r="C65" s="2">
        <f>C10*'Output-Calculation-sheet'!C54/10^9</f>
        <v>5.2992685856058435</v>
      </c>
      <c r="D65" s="2">
        <f>D10*'Output-Calculation-sheet'!D54/10^9</f>
        <v>1.5412942268720542</v>
      </c>
      <c r="E65" s="2">
        <f>E10*'Output-Calculation-sheet'!E54/10^9</f>
        <v>1.7490168198643861</v>
      </c>
      <c r="F65" s="2">
        <f>F10*'Output-Calculation-sheet'!F54/10^9</f>
        <v>0.79342994326632232</v>
      </c>
      <c r="G65" s="2">
        <f>G10*'Output-Calculation-sheet'!G54/10^9</f>
        <v>0.54759883709333634</v>
      </c>
      <c r="H65" s="2">
        <f>H10*'Output-Calculation-sheet'!H54/10^9</f>
        <v>1.4555292117884013</v>
      </c>
      <c r="I65" s="2">
        <f>I10*'Output-Calculation-sheet'!I54/10^9</f>
        <v>0.53865507223571452</v>
      </c>
      <c r="J65" s="2">
        <f>J10*'Output-Calculation-sheet'!J54/10^9</f>
        <v>0.49677986368220989</v>
      </c>
      <c r="K65" s="2">
        <f>K10*'Output-Calculation-sheet'!K54/10^9</f>
        <v>0.63355767496585547</v>
      </c>
      <c r="L65" s="2">
        <f>L10*'Output-Calculation-sheet'!L54/10^9</f>
        <v>0.52696574093489756</v>
      </c>
      <c r="M65" s="2">
        <f>M10*'Output-Calculation-sheet'!M54/10^9</f>
        <v>1.0086253194274479</v>
      </c>
      <c r="N65" s="2">
        <f>N10*'Output-Calculation-sheet'!N54/10^9</f>
        <v>0.90679246750777043</v>
      </c>
      <c r="O65" s="2">
        <f>O10*'Output-Calculation-sheet'!O54/10^9</f>
        <v>0.95992693058502998</v>
      </c>
      <c r="P65" s="2">
        <f>P10*'Output-Calculation-sheet'!P54/10^9</f>
        <v>0.61188780001560406</v>
      </c>
      <c r="Q65" s="2">
        <f>Q10*'Output-Calculation-sheet'!Q54/10^9</f>
        <v>0.63480274295369954</v>
      </c>
      <c r="R65" s="2">
        <f>R10*'Output-Calculation-sheet'!R54/10^9</f>
        <v>0.474365047722489</v>
      </c>
      <c r="S65" s="2">
        <f>S10*'Output-Calculation-sheet'!S54/10^9</f>
        <v>0.50164855029330568</v>
      </c>
      <c r="T65" s="2">
        <f>T10*'Output-Calculation-sheet'!T54/10^9</f>
        <v>0.1423832527114392</v>
      </c>
      <c r="U65" s="2">
        <f>U10*'Output-Calculation-sheet'!U54/10^9</f>
        <v>0.15394124839750981</v>
      </c>
      <c r="V65" s="2">
        <f>V10*'Output-Calculation-sheet'!V54/10^9</f>
        <v>0.10743729031794101</v>
      </c>
      <c r="W65" s="2">
        <f>W10*'Output-Calculation-sheet'!W54/10^9</f>
        <v>6.7204323451035775E-2</v>
      </c>
      <c r="X65" s="2">
        <f>X10*'Output-Calculation-sheet'!X54/10^9</f>
        <v>0.12471463266110408</v>
      </c>
      <c r="Y65" s="2">
        <f>Y10*'Output-Calculation-sheet'!Y54/10^9</f>
        <v>5.9286355001716882E-2</v>
      </c>
      <c r="AA65" s="2">
        <f t="shared" si="4"/>
        <v>27.358751164099658</v>
      </c>
    </row>
    <row r="66" spans="1:27" x14ac:dyDescent="0.25">
      <c r="A66" s="2">
        <v>2034</v>
      </c>
      <c r="B66" s="2">
        <f>B11*'Output-Calculation-sheet'!B55/10^9</f>
        <v>8.8449181119156428</v>
      </c>
      <c r="C66" s="2">
        <f>C11*'Output-Calculation-sheet'!C55/10^9</f>
        <v>5.63250779113487</v>
      </c>
      <c r="D66" s="2">
        <f>D11*'Output-Calculation-sheet'!D55/10^9</f>
        <v>1.6598376928092571</v>
      </c>
      <c r="E66" s="2">
        <f>E11*'Output-Calculation-sheet'!E55/10^9</f>
        <v>2.0454371679997791</v>
      </c>
      <c r="F66" s="2">
        <f>F11*'Output-Calculation-sheet'!F55/10^9</f>
        <v>0.81913440163720352</v>
      </c>
      <c r="G66" s="2">
        <f>G11*'Output-Calculation-sheet'!G55/10^9</f>
        <v>0.590055962599082</v>
      </c>
      <c r="H66" s="2">
        <f>H11*'Output-Calculation-sheet'!H55/10^9</f>
        <v>1.5548685597385288</v>
      </c>
      <c r="I66" s="2">
        <f>I11*'Output-Calculation-sheet'!I55/10^9</f>
        <v>0.57999298592213278</v>
      </c>
      <c r="J66" s="2">
        <f>J11*'Output-Calculation-sheet'!J55/10^9</f>
        <v>0.51206414819795532</v>
      </c>
      <c r="K66" s="2">
        <f>K11*'Output-Calculation-sheet'!K55/10^9</f>
        <v>0.68388469168049837</v>
      </c>
      <c r="L66" s="2">
        <f>L11*'Output-Calculation-sheet'!L55/10^9</f>
        <v>0.5998250890014668</v>
      </c>
      <c r="M66" s="2">
        <f>M11*'Output-Calculation-sheet'!M55/10^9</f>
        <v>1.0792914696650697</v>
      </c>
      <c r="N66" s="2">
        <f>N11*'Output-Calculation-sheet'!N55/10^9</f>
        <v>0.96664063314613291</v>
      </c>
      <c r="O66" s="2">
        <f>O11*'Output-Calculation-sheet'!O55/10^9</f>
        <v>1.0024170804314283</v>
      </c>
      <c r="P66" s="2">
        <f>P11*'Output-Calculation-sheet'!P55/10^9</f>
        <v>0.67911410878284129</v>
      </c>
      <c r="Q66" s="2">
        <f>Q11*'Output-Calculation-sheet'!Q55/10^9</f>
        <v>0.7051596736637209</v>
      </c>
      <c r="R66" s="2">
        <f>R11*'Output-Calculation-sheet'!R55/10^9</f>
        <v>0.51397134185053439</v>
      </c>
      <c r="S66" s="2">
        <f>S11*'Output-Calculation-sheet'!S55/10^9</f>
        <v>0.54432866995525442</v>
      </c>
      <c r="T66" s="2">
        <f>T11*'Output-Calculation-sheet'!T55/10^9</f>
        <v>0.15131465284417916</v>
      </c>
      <c r="U66" s="2">
        <f>U11*'Output-Calculation-sheet'!U55/10^9</f>
        <v>0.17490829667017954</v>
      </c>
      <c r="V66" s="2">
        <f>V11*'Output-Calculation-sheet'!V55/10^9</f>
        <v>0.1130153056576616</v>
      </c>
      <c r="W66" s="2">
        <f>W11*'Output-Calculation-sheet'!W55/10^9</f>
        <v>6.8855976312735434E-2</v>
      </c>
      <c r="X66" s="2">
        <f>X11*'Output-Calculation-sheet'!X55/10^9</f>
        <v>0.13623441057420344</v>
      </c>
      <c r="Y66" s="2">
        <f>Y11*'Output-Calculation-sheet'!Y55/10^9</f>
        <v>7.1401661017609558E-2</v>
      </c>
      <c r="AA66" s="2">
        <f t="shared" si="4"/>
        <v>29.729179883207969</v>
      </c>
    </row>
    <row r="67" spans="1:27" x14ac:dyDescent="0.25">
      <c r="A67" s="2">
        <v>2035</v>
      </c>
      <c r="B67" s="2">
        <f>B12*'Output-Calculation-sheet'!B56/10^9</f>
        <v>9.2198129741747739</v>
      </c>
      <c r="C67" s="2">
        <f>C12*'Output-Calculation-sheet'!C56/10^9</f>
        <v>5.6224685714071958</v>
      </c>
      <c r="D67" s="2">
        <f>D12*'Output-Calculation-sheet'!D56/10^9</f>
        <v>1.8778305622699323</v>
      </c>
      <c r="E67" s="2">
        <f>E12*'Output-Calculation-sheet'!E56/10^9</f>
        <v>2.5374866790729045</v>
      </c>
      <c r="F67" s="2">
        <f>F12*'Output-Calculation-sheet'!F56/10^9</f>
        <v>1.0070284581622337</v>
      </c>
      <c r="G67" s="2">
        <f>G12*'Output-Calculation-sheet'!G56/10^9</f>
        <v>0.73037377088509359</v>
      </c>
      <c r="H67" s="2">
        <f>H12*'Output-Calculation-sheet'!H56/10^9</f>
        <v>1.5908730234324904</v>
      </c>
      <c r="I67" s="2">
        <f>I12*'Output-Calculation-sheet'!I56/10^9</f>
        <v>0.69009265874901282</v>
      </c>
      <c r="J67" s="2">
        <f>J12*'Output-Calculation-sheet'!J56/10^9</f>
        <v>0.57038343125236646</v>
      </c>
      <c r="K67" s="2">
        <f>K12*'Output-Calculation-sheet'!K56/10^9</f>
        <v>0.77022916799871555</v>
      </c>
      <c r="L67" s="2">
        <f>L12*'Output-Calculation-sheet'!L56/10^9</f>
        <v>0.66424942610449456</v>
      </c>
      <c r="M67" s="2">
        <f>M12*'Output-Calculation-sheet'!M56/10^9</f>
        <v>1.1148207130810628</v>
      </c>
      <c r="N67" s="2">
        <f>N12*'Output-Calculation-sheet'!N56/10^9</f>
        <v>0.97594251960389722</v>
      </c>
      <c r="O67" s="2">
        <f>O12*'Output-Calculation-sheet'!O56/10^9</f>
        <v>0.98759083135332992</v>
      </c>
      <c r="P67" s="2">
        <f>P12*'Output-Calculation-sheet'!P56/10^9</f>
        <v>0.77825397233029314</v>
      </c>
      <c r="Q67" s="2">
        <f>Q12*'Output-Calculation-sheet'!Q56/10^9</f>
        <v>0.72893598908817658</v>
      </c>
      <c r="R67" s="2">
        <f>R12*'Output-Calculation-sheet'!R56/10^9</f>
        <v>0.572903963914559</v>
      </c>
      <c r="S67" s="2">
        <f>S12*'Output-Calculation-sheet'!S56/10^9</f>
        <v>0.55541258901186596</v>
      </c>
      <c r="T67" s="2">
        <f>T12*'Output-Calculation-sheet'!T56/10^9</f>
        <v>0.17611437347635994</v>
      </c>
      <c r="U67" s="2">
        <f>U12*'Output-Calculation-sheet'!U56/10^9</f>
        <v>0.18996246870655145</v>
      </c>
      <c r="V67" s="2">
        <f>V12*'Output-Calculation-sheet'!V56/10^9</f>
        <v>0.11987035197973608</v>
      </c>
      <c r="W67" s="2">
        <f>W12*'Output-Calculation-sheet'!W56/10^9</f>
        <v>9.3197073224232263E-2</v>
      </c>
      <c r="X67" s="2">
        <f>X12*'Output-Calculation-sheet'!X56/10^9</f>
        <v>0.13982830274086919</v>
      </c>
      <c r="Y67" s="2">
        <f>Y12*'Output-Calculation-sheet'!Y56/10^9</f>
        <v>8.7505608891185679E-2</v>
      </c>
      <c r="AA67" s="2">
        <f t="shared" si="4"/>
        <v>31.801167480911328</v>
      </c>
    </row>
    <row r="68" spans="1:27" x14ac:dyDescent="0.25">
      <c r="B68" s="2">
        <f>SUM(B60:B67)</f>
        <v>52.098607690838989</v>
      </c>
      <c r="C68" s="2">
        <f t="shared" ref="C68:Y68" si="5">SUM(C60:C67)</f>
        <v>31.632732698183403</v>
      </c>
      <c r="D68" s="2">
        <f t="shared" si="5"/>
        <v>12.874973794671284</v>
      </c>
      <c r="E68" s="2">
        <f t="shared" si="5"/>
        <v>13.466123725247506</v>
      </c>
      <c r="F68" s="2">
        <f t="shared" si="5"/>
        <v>6.3609832871190743</v>
      </c>
      <c r="G68" s="2">
        <f t="shared" si="5"/>
        <v>4.6604693207647765</v>
      </c>
      <c r="H68" s="2">
        <f t="shared" si="5"/>
        <v>8.8984584570514187</v>
      </c>
      <c r="I68" s="2">
        <f t="shared" si="5"/>
        <v>4.3879996697623911</v>
      </c>
      <c r="J68" s="2">
        <f t="shared" si="5"/>
        <v>4.2257848382194538</v>
      </c>
      <c r="K68" s="2">
        <f t="shared" si="5"/>
        <v>4.7112786331562075</v>
      </c>
      <c r="L68" s="2">
        <f t="shared" si="5"/>
        <v>3.9257128216410386</v>
      </c>
      <c r="M68" s="2">
        <f t="shared" si="5"/>
        <v>6.1765791204969203</v>
      </c>
      <c r="N68" s="2">
        <f t="shared" si="5"/>
        <v>5.657889468437733</v>
      </c>
      <c r="O68" s="2">
        <f t="shared" si="5"/>
        <v>5.8300285893104746</v>
      </c>
      <c r="P68" s="2">
        <f t="shared" si="5"/>
        <v>4.1285052170628163</v>
      </c>
      <c r="Q68" s="2">
        <f t="shared" si="5"/>
        <v>4.167043554349064</v>
      </c>
      <c r="R68" s="2">
        <f t="shared" si="5"/>
        <v>3.3416827122909076</v>
      </c>
      <c r="S68" s="2">
        <f t="shared" si="5"/>
        <v>3.1667595245531146</v>
      </c>
      <c r="T68" s="2">
        <f t="shared" si="5"/>
        <v>1.0845278919791794</v>
      </c>
      <c r="U68" s="2">
        <f t="shared" si="5"/>
        <v>1.0815570761555635</v>
      </c>
      <c r="V68" s="2">
        <f t="shared" si="5"/>
        <v>0.7707671824858906</v>
      </c>
      <c r="W68" s="2">
        <f t="shared" si="5"/>
        <v>0.56949036022542221</v>
      </c>
      <c r="X68" s="2">
        <f t="shared" si="5"/>
        <v>0.76234586871871313</v>
      </c>
      <c r="Y68" s="2">
        <f t="shared" si="5"/>
        <v>0.437751865774689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1733.8432943860823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1158.5025351836355</v>
      </c>
      <c r="N74" s="2">
        <f>N8/'Output-Calculation-sheet'!N7*'Output-Calculation-sheet'!N61</f>
        <v>48.553006429242721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142.64389468268743</v>
      </c>
      <c r="Y74" s="2">
        <f>Y8/'Output-Calculation-sheet'!Y7*'Output-Calculation-sheet'!Y61</f>
        <v>0</v>
      </c>
      <c r="AA74" s="2">
        <f t="shared" si="6"/>
        <v>3.0835427306816481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225.18681010439846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3006.3328637761711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2042.2594550047361</v>
      </c>
      <c r="N75" s="2">
        <f>N9/'Output-Calculation-sheet'!N8*'Output-Calculation-sheet'!N62</f>
        <v>789.86715432014739</v>
      </c>
      <c r="O75" s="2">
        <f>O9/'Output-Calculation-sheet'!O8*'Output-Calculation-sheet'!O62</f>
        <v>0</v>
      </c>
      <c r="P75" s="2">
        <f>P9/'Output-Calculation-sheet'!P8*'Output-Calculation-sheet'!P62</f>
        <v>52.880360902718259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261.26961282558347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246.88988459261981</v>
      </c>
      <c r="Y75" s="2">
        <f>Y9/'Output-Calculation-sheet'!Y8*'Output-Calculation-sheet'!Y62</f>
        <v>0</v>
      </c>
      <c r="AA75" s="2">
        <f t="shared" si="6"/>
        <v>6.6246861415263751</v>
      </c>
    </row>
    <row r="76" spans="1:27" x14ac:dyDescent="0.25">
      <c r="A76" s="2">
        <v>2033</v>
      </c>
      <c r="B76" s="2">
        <f>B10/'Output-Calculation-sheet'!B9*'Output-Calculation-sheet'!B63</f>
        <v>6603.1988975301601</v>
      </c>
      <c r="C76" s="2">
        <f>C10/'Output-Calculation-sheet'!C9*'Output-Calculation-sheet'!C63</f>
        <v>1656.8072991156569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4310.6942714582146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2935.0392384980732</v>
      </c>
      <c r="N76" s="2">
        <f>N10/'Output-Calculation-sheet'!N9*'Output-Calculation-sheet'!N63</f>
        <v>1680.2492794966847</v>
      </c>
      <c r="O76" s="2">
        <f>O10/'Output-Calculation-sheet'!O9*'Output-Calculation-sheet'!O63</f>
        <v>0</v>
      </c>
      <c r="P76" s="2">
        <f>P10/'Output-Calculation-sheet'!P9*'Output-Calculation-sheet'!P63</f>
        <v>575.90417206995426</v>
      </c>
      <c r="Q76" s="2">
        <f>Q10/'Output-Calculation-sheet'!Q9*'Output-Calculation-sheet'!Q63</f>
        <v>256.42587917146443</v>
      </c>
      <c r="R76" s="2">
        <f>R10/'Output-Calculation-sheet'!R9*'Output-Calculation-sheet'!R63</f>
        <v>442.02987759772924</v>
      </c>
      <c r="S76" s="2">
        <f>S10/'Output-Calculation-sheet'!S9*'Output-Calculation-sheet'!S63</f>
        <v>744.8534156355845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155.2457189158628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345.66737296414902</v>
      </c>
      <c r="Y76" s="2">
        <f>Y10/'Output-Calculation-sheet'!Y9*'Output-Calculation-sheet'!Y63</f>
        <v>6.5577532558606864</v>
      </c>
      <c r="AA76" s="2">
        <f t="shared" si="6"/>
        <v>19.867885412671477</v>
      </c>
    </row>
    <row r="77" spans="1:27" x14ac:dyDescent="0.25">
      <c r="A77" s="2">
        <v>2034</v>
      </c>
      <c r="B77" s="2">
        <f>B11/'Output-Calculation-sheet'!B10*'Output-Calculation-sheet'!B64</f>
        <v>12998.831268624068</v>
      </c>
      <c r="C77" s="2">
        <f>C11/'Output-Calculation-sheet'!C10*'Output-Calculation-sheet'!C64</f>
        <v>3540.6164085800724</v>
      </c>
      <c r="D77" s="2">
        <f>D11/'Output-Calculation-sheet'!D10*'Output-Calculation-sheet'!D64</f>
        <v>1936.5569140069413</v>
      </c>
      <c r="E77" s="2">
        <f>E11/'Output-Calculation-sheet'!E10*'Output-Calculation-sheet'!E64</f>
        <v>2402.0659388702002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1033.6017984178216</v>
      </c>
      <c r="H77" s="2">
        <f>H11/'Output-Calculation-sheet'!H10*'Output-Calculation-sheet'!H64</f>
        <v>5092.9336996025331</v>
      </c>
      <c r="I77" s="2">
        <f>I11/'Output-Calculation-sheet'!I10*'Output-Calculation-sheet'!I64</f>
        <v>603.16156613403803</v>
      </c>
      <c r="J77" s="2">
        <f>J11/'Output-Calculation-sheet'!J10*'Output-Calculation-sheet'!J64</f>
        <v>414.01051884865785</v>
      </c>
      <c r="K77" s="2">
        <f>K11/'Output-Calculation-sheet'!K10*'Output-Calculation-sheet'!K64</f>
        <v>934.97264792553096</v>
      </c>
      <c r="L77" s="2">
        <f>L11/'Output-Calculation-sheet'!L10*'Output-Calculation-sheet'!L64</f>
        <v>229.24112642116057</v>
      </c>
      <c r="M77" s="2">
        <f>M11/'Output-Calculation-sheet'!M10*'Output-Calculation-sheet'!M64</f>
        <v>3489.9627867545946</v>
      </c>
      <c r="N77" s="2">
        <f>N11/'Output-Calculation-sheet'!N10*'Output-Calculation-sheet'!N64</f>
        <v>2362.8530423663115</v>
      </c>
      <c r="O77" s="2">
        <f>O11/'Output-Calculation-sheet'!O10*'Output-Calculation-sheet'!O64</f>
        <v>0</v>
      </c>
      <c r="P77" s="2">
        <f>P11/'Output-Calculation-sheet'!P10*'Output-Calculation-sheet'!P64</f>
        <v>1148.8137692731473</v>
      </c>
      <c r="Q77" s="2">
        <f>Q11/'Output-Calculation-sheet'!Q10*'Output-Calculation-sheet'!Q64</f>
        <v>468.7867579228211</v>
      </c>
      <c r="R77" s="2">
        <f>R11/'Output-Calculation-sheet'!R10*'Output-Calculation-sheet'!R64</f>
        <v>975.75345005219151</v>
      </c>
      <c r="S77" s="2">
        <f>S11/'Output-Calculation-sheet'!S10*'Output-Calculation-sheet'!S64</f>
        <v>1089.2041851845374</v>
      </c>
      <c r="T77" s="2">
        <f>T11/'Output-Calculation-sheet'!T10*'Output-Calculation-sheet'!T64</f>
        <v>270.34463939338605</v>
      </c>
      <c r="U77" s="2">
        <f>U11/'Output-Calculation-sheet'!U10*'Output-Calculation-sheet'!U64</f>
        <v>288.69300341649841</v>
      </c>
      <c r="V77" s="2">
        <f>V11/'Output-Calculation-sheet'!V10*'Output-Calculation-sheet'!V64</f>
        <v>139.85363967359007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357.30661583013892</v>
      </c>
      <c r="Y77" s="2">
        <f>Y11/'Output-Calculation-sheet'!Y10*'Output-Calculation-sheet'!Y64</f>
        <v>89.296851679003169</v>
      </c>
      <c r="AA77" s="2">
        <f t="shared" si="6"/>
        <v>40.047004481536653</v>
      </c>
    </row>
    <row r="78" spans="1:27" x14ac:dyDescent="0.25">
      <c r="A78" s="2">
        <v>2035</v>
      </c>
      <c r="B78" s="2">
        <f>B12/'Output-Calculation-sheet'!B11*'Output-Calculation-sheet'!B65</f>
        <v>14914.204675955176</v>
      </c>
      <c r="C78" s="2">
        <f>C12/'Output-Calculation-sheet'!C11*'Output-Calculation-sheet'!C65</f>
        <v>6415.9286808485504</v>
      </c>
      <c r="D78" s="2">
        <f>D12/'Output-Calculation-sheet'!D11*'Output-Calculation-sheet'!D65</f>
        <v>1630.4213964791966</v>
      </c>
      <c r="E78" s="2">
        <f>E12/'Output-Calculation-sheet'!E11*'Output-Calculation-sheet'!E65</f>
        <v>3014.0948220300666</v>
      </c>
      <c r="F78" s="2">
        <f>F12/'Output-Calculation-sheet'!F11*'Output-Calculation-sheet'!F65</f>
        <v>655.5880933489176</v>
      </c>
      <c r="G78" s="2">
        <f>G12/'Output-Calculation-sheet'!G11*'Output-Calculation-sheet'!G65</f>
        <v>1246.2272093322974</v>
      </c>
      <c r="H78" s="2">
        <f>H12/'Output-Calculation-sheet'!H11*'Output-Calculation-sheet'!H65</f>
        <v>4816.5039755089165</v>
      </c>
      <c r="I78" s="2">
        <f>I12/'Output-Calculation-sheet'!I11*'Output-Calculation-sheet'!I65</f>
        <v>819.770672316022</v>
      </c>
      <c r="J78" s="2">
        <f>J12/'Output-Calculation-sheet'!J11*'Output-Calculation-sheet'!J65</f>
        <v>334.25781265150886</v>
      </c>
      <c r="K78" s="2">
        <f>K12/'Output-Calculation-sheet'!K11*'Output-Calculation-sheet'!K65</f>
        <v>1015.5408626662768</v>
      </c>
      <c r="L78" s="2">
        <f>L12/'Output-Calculation-sheet'!L11*'Output-Calculation-sheet'!L65</f>
        <v>325.08090223625652</v>
      </c>
      <c r="M78" s="2">
        <f>M12/'Output-Calculation-sheet'!M11*'Output-Calculation-sheet'!M65</f>
        <v>3354.5772726495129</v>
      </c>
      <c r="N78" s="2">
        <f>N12/'Output-Calculation-sheet'!N11*'Output-Calculation-sheet'!N65</f>
        <v>2324.7839447183997</v>
      </c>
      <c r="O78" s="2">
        <f>O12/'Output-Calculation-sheet'!O11*'Output-Calculation-sheet'!O65</f>
        <v>0</v>
      </c>
      <c r="P78" s="2">
        <f>P12/'Output-Calculation-sheet'!P11*'Output-Calculation-sheet'!P65</f>
        <v>1339.3328025122721</v>
      </c>
      <c r="Q78" s="2">
        <f>Q12/'Output-Calculation-sheet'!Q11*'Output-Calculation-sheet'!Q65</f>
        <v>541.50228963298696</v>
      </c>
      <c r="R78" s="2">
        <f>R12/'Output-Calculation-sheet'!R11*'Output-Calculation-sheet'!R65</f>
        <v>1054.4039115155167</v>
      </c>
      <c r="S78" s="2">
        <f>S12/'Output-Calculation-sheet'!S11*'Output-Calculation-sheet'!S65</f>
        <v>1098.0868887884162</v>
      </c>
      <c r="T78" s="2">
        <f>T12/'Output-Calculation-sheet'!T11*'Output-Calculation-sheet'!T65</f>
        <v>389.53352881963053</v>
      </c>
      <c r="U78" s="2">
        <f>U12/'Output-Calculation-sheet'!U11*'Output-Calculation-sheet'!U65</f>
        <v>281.29193182965128</v>
      </c>
      <c r="V78" s="2">
        <f>V12/'Output-Calculation-sheet'!V11*'Output-Calculation-sheet'!V65</f>
        <v>141.6907403579437</v>
      </c>
      <c r="W78" s="2">
        <f>W12/'Output-Calculation-sheet'!W11*'Output-Calculation-sheet'!W65</f>
        <v>154.21108842142436</v>
      </c>
      <c r="X78" s="2">
        <f>X12/'Output-Calculation-sheet'!X11*'Output-Calculation-sheet'!X65</f>
        <v>338.92811611166275</v>
      </c>
      <c r="Y78" s="2">
        <f>Y12/'Output-Calculation-sheet'!Y11*'Output-Calculation-sheet'!Y65</f>
        <v>130.13991785587589</v>
      </c>
      <c r="AA78" s="2">
        <f t="shared" si="6"/>
        <v>46.336101536586483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1378.760618272835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267.85609632905749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1.6466167146018924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2107.8328558914054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386.74548403913366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2.494578339930539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2806.0801089587708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497.741886073812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3.3038219950325827</v>
      </c>
    </row>
    <row r="88" spans="1:27" x14ac:dyDescent="0.25">
      <c r="A88" s="2">
        <v>2034</v>
      </c>
      <c r="B88" s="2">
        <f>B11/'Output-Calculation-sheet'!B10*'Output-Calculation-sheet'!B73</f>
        <v>253.91813858582361</v>
      </c>
      <c r="C88" s="2">
        <f>C11/'Output-Calculation-sheet'!C10*'Output-Calculation-sheet'!C73</f>
        <v>3133.3955077804512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37.098335540001841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26.918873464203919</v>
      </c>
      <c r="M88" s="2">
        <f>M11/'Output-Calculation-sheet'!M10*'Output-Calculation-sheet'!M73</f>
        <v>25.527285131511498</v>
      </c>
      <c r="N88" s="2">
        <f>N11/'Output-Calculation-sheet'!N10*'Output-Calculation-sheet'!N73</f>
        <v>25.089225109540568</v>
      </c>
      <c r="O88" s="2">
        <f>O11/'Output-Calculation-sheet'!O10*'Output-Calculation-sheet'!O73</f>
        <v>585.3215881585777</v>
      </c>
      <c r="P88" s="2">
        <f>P11/'Output-Calculation-sheet'!P10*'Output-Calculation-sheet'!P73</f>
        <v>0</v>
      </c>
      <c r="Q88" s="2">
        <f>Q11/'Output-Calculation-sheet'!Q10*'Output-Calculation-sheet'!Q73</f>
        <v>43.963871135967466</v>
      </c>
      <c r="R88" s="2">
        <f>R11/'Output-Calculation-sheet'!R10*'Output-Calculation-sheet'!R73</f>
        <v>0</v>
      </c>
      <c r="S88" s="2">
        <f>S11/'Output-Calculation-sheet'!S10*'Output-Calculation-sheet'!S73</f>
        <v>14.381970913784265</v>
      </c>
      <c r="T88" s="2">
        <f>T11/'Output-Calculation-sheet'!T10*'Output-Calculation-sheet'!T73</f>
        <v>0</v>
      </c>
      <c r="U88" s="2">
        <f>U11/'Output-Calculation-sheet'!U10*'Output-Calculation-sheet'!U73</f>
        <v>7.0135805698580826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14.002030544087706</v>
      </c>
      <c r="Y88" s="2">
        <f>Y11/'Output-Calculation-sheet'!Y10*'Output-Calculation-sheet'!Y73</f>
        <v>0</v>
      </c>
      <c r="AA88" s="2">
        <f t="shared" si="7"/>
        <v>4.166630406933808</v>
      </c>
    </row>
    <row r="89" spans="1:27" x14ac:dyDescent="0.25">
      <c r="A89" s="2">
        <v>2035</v>
      </c>
      <c r="B89" s="2">
        <f>B12/'Output-Calculation-sheet'!B11*'Output-Calculation-sheet'!B74</f>
        <v>713.3366393167662</v>
      </c>
      <c r="C89" s="2">
        <f>C12/'Output-Calculation-sheet'!C11*'Output-Calculation-sheet'!C74</f>
        <v>3047.0893103535709</v>
      </c>
      <c r="D89" s="2">
        <f>D12/'Output-Calculation-sheet'!D11*'Output-Calculation-sheet'!D74</f>
        <v>199.94130804821833</v>
      </c>
      <c r="E89" s="2">
        <f>E12/'Output-Calculation-sheet'!E11*'Output-Calculation-sheet'!E74</f>
        <v>238.35001360387486</v>
      </c>
      <c r="F89" s="2">
        <f>F12/'Output-Calculation-sheet'!F11*'Output-Calculation-sheet'!F74</f>
        <v>99.937209351969159</v>
      </c>
      <c r="G89" s="2">
        <f>G12/'Output-Calculation-sheet'!G11*'Output-Calculation-sheet'!G74</f>
        <v>71.723243033713999</v>
      </c>
      <c r="H89" s="2">
        <f>H12/'Output-Calculation-sheet'!H11*'Output-Calculation-sheet'!H74</f>
        <v>208.44199745427824</v>
      </c>
      <c r="I89" s="2">
        <f>I12/'Output-Calculation-sheet'!I11*'Output-Calculation-sheet'!I74</f>
        <v>64.510774921583476</v>
      </c>
      <c r="J89" s="2">
        <f>J12/'Output-Calculation-sheet'!J11*'Output-Calculation-sheet'!J74</f>
        <v>63.844487183938277</v>
      </c>
      <c r="K89" s="2">
        <f>K12/'Output-Calculation-sheet'!K11*'Output-Calculation-sheet'!K74</f>
        <v>63.403937233331888</v>
      </c>
      <c r="L89" s="2">
        <f>L12/'Output-Calculation-sheet'!L11*'Output-Calculation-sheet'!L74</f>
        <v>50.415772679320177</v>
      </c>
      <c r="M89" s="2">
        <f>M12/'Output-Calculation-sheet'!M11*'Output-Calculation-sheet'!M74</f>
        <v>143.42849146587054</v>
      </c>
      <c r="N89" s="2">
        <f>N12/'Output-Calculation-sheet'!N11*'Output-Calculation-sheet'!N74</f>
        <v>93.978128134144498</v>
      </c>
      <c r="O89" s="2">
        <f>O12/'Output-Calculation-sheet'!O11*'Output-Calculation-sheet'!O74</f>
        <v>613.89220081589895</v>
      </c>
      <c r="P89" s="2">
        <f>P12/'Output-Calculation-sheet'!P11*'Output-Calculation-sheet'!P74</f>
        <v>65.114142763978407</v>
      </c>
      <c r="Q89" s="2">
        <f>Q12/'Output-Calculation-sheet'!Q11*'Output-Calculation-sheet'!Q74</f>
        <v>82.338978124076178</v>
      </c>
      <c r="R89" s="2">
        <f>R12/'Output-Calculation-sheet'!R11*'Output-Calculation-sheet'!R74</f>
        <v>40.82722494832791</v>
      </c>
      <c r="S89" s="2">
        <f>S12/'Output-Calculation-sheet'!S11*'Output-Calculation-sheet'!S74</f>
        <v>53.87136109051027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19.703373776855724</v>
      </c>
      <c r="V89" s="2">
        <f>V12/'Output-Calculation-sheet'!V11*'Output-Calculation-sheet'!V74</f>
        <v>10.128725452708821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28.846508338774946</v>
      </c>
      <c r="Y89" s="2">
        <f>Y12/'Output-Calculation-sheet'!Y11*'Output-Calculation-sheet'!Y74</f>
        <v>7.5920224320394301</v>
      </c>
      <c r="AA89" s="2">
        <f t="shared" si="7"/>
        <v>5.9926535271712309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13992888924.308432</v>
      </c>
      <c r="C96" s="2">
        <f>C8/'Output-Calculation-sheet'!C7*'Output-Calculation-sheet'!C79</f>
        <v>4733857918.4797716</v>
      </c>
      <c r="D96" s="2">
        <f>D8/'Output-Calculation-sheet'!D7*'Output-Calculation-sheet'!D79</f>
        <v>4941835905.9046555</v>
      </c>
      <c r="E96" s="2">
        <f>E8/'Output-Calculation-sheet'!E7*'Output-Calculation-sheet'!E79</f>
        <v>8786163468.4645576</v>
      </c>
      <c r="F96" s="2">
        <f>F8/'Output-Calculation-sheet'!F7*'Output-Calculation-sheet'!F79</f>
        <v>3636506479.0046096</v>
      </c>
      <c r="G96" s="2">
        <f>G8/'Output-Calculation-sheet'!G7*'Output-Calculation-sheet'!G79</f>
        <v>2832539526.3832641</v>
      </c>
      <c r="H96" s="2">
        <f>H8/'Output-Calculation-sheet'!H7*'Output-Calculation-sheet'!H79</f>
        <v>2424493866.0601563</v>
      </c>
      <c r="I96" s="2">
        <f>I8/'Output-Calculation-sheet'!I7*'Output-Calculation-sheet'!I79</f>
        <v>1973164915.1934073</v>
      </c>
      <c r="J96" s="2">
        <f>J8/'Output-Calculation-sheet'!J7*'Output-Calculation-sheet'!J79</f>
        <v>1334305081.4362004</v>
      </c>
      <c r="K96" s="2">
        <f>K8/'Output-Calculation-sheet'!K7*'Output-Calculation-sheet'!K79</f>
        <v>1908992541.741622</v>
      </c>
      <c r="L96" s="2">
        <f>L8/'Output-Calculation-sheet'!L7*'Output-Calculation-sheet'!L79</f>
        <v>1346983476.3829672</v>
      </c>
      <c r="M96" s="2">
        <f>M8/'Output-Calculation-sheet'!M7*'Output-Calculation-sheet'!M79</f>
        <v>1809837780.9342129</v>
      </c>
      <c r="N96" s="2">
        <f>N8/'Output-Calculation-sheet'!N7*'Output-Calculation-sheet'!N79</f>
        <v>1346663448.4529917</v>
      </c>
      <c r="O96" s="2">
        <f>O8/'Output-Calculation-sheet'!O7*'Output-Calculation-sheet'!O79</f>
        <v>680784496.73198962</v>
      </c>
      <c r="P96" s="2">
        <f>P8/'Output-Calculation-sheet'!P7*'Output-Calculation-sheet'!P79</f>
        <v>2277081357.489758</v>
      </c>
      <c r="Q96" s="2">
        <f>Q8/'Output-Calculation-sheet'!Q7*'Output-Calculation-sheet'!Q79</f>
        <v>1061217309.0573778</v>
      </c>
      <c r="R96" s="2">
        <f>R8/'Output-Calculation-sheet'!R7*'Output-Calculation-sheet'!R79</f>
        <v>1323994743.9980447</v>
      </c>
      <c r="S96" s="2">
        <f>S8/'Output-Calculation-sheet'!S7*'Output-Calculation-sheet'!S79</f>
        <v>771470293.02722907</v>
      </c>
      <c r="T96" s="2">
        <f>T8/'Output-Calculation-sheet'!T7*'Output-Calculation-sheet'!T79</f>
        <v>589225701.29145002</v>
      </c>
      <c r="U96" s="2">
        <f>U8/'Output-Calculation-sheet'!U7*'Output-Calculation-sheet'!U79</f>
        <v>370136441.92868674</v>
      </c>
      <c r="V96" s="2">
        <f>V8/'Output-Calculation-sheet'!V7*'Output-Calculation-sheet'!V79</f>
        <v>192046087.74593213</v>
      </c>
      <c r="W96" s="2">
        <f>W8/'Output-Calculation-sheet'!W7*'Output-Calculation-sheet'!W79</f>
        <v>567480619.57821476</v>
      </c>
      <c r="X96" s="2">
        <f>X8/'Output-Calculation-sheet'!X7*'Output-Calculation-sheet'!X79</f>
        <v>199453378.36020675</v>
      </c>
      <c r="Y96" s="2">
        <f>Y8/'Output-Calculation-sheet'!Y7*'Output-Calculation-sheet'!Y79</f>
        <v>311942333.4752273</v>
      </c>
      <c r="AA96" s="2">
        <f t="shared" si="8"/>
        <v>59.413066095430977</v>
      </c>
    </row>
    <row r="97" spans="1:27" x14ac:dyDescent="0.25">
      <c r="A97" s="2">
        <v>2032</v>
      </c>
      <c r="B97" s="2">
        <f>B9/'Output-Calculation-sheet'!B8*'Output-Calculation-sheet'!B80</f>
        <v>19301537525.051003</v>
      </c>
      <c r="C97" s="2">
        <f>C9/'Output-Calculation-sheet'!C8*'Output-Calculation-sheet'!C80</f>
        <v>6574207720.6086988</v>
      </c>
      <c r="D97" s="2">
        <f>D9/'Output-Calculation-sheet'!D8*'Output-Calculation-sheet'!D80</f>
        <v>6550558040.2586803</v>
      </c>
      <c r="E97" s="2">
        <f>E9/'Output-Calculation-sheet'!E8*'Output-Calculation-sheet'!E80</f>
        <v>11979990681.170038</v>
      </c>
      <c r="F97" s="2">
        <f>F9/'Output-Calculation-sheet'!F8*'Output-Calculation-sheet'!F80</f>
        <v>4948935120.7537327</v>
      </c>
      <c r="G97" s="2">
        <f>G9/'Output-Calculation-sheet'!G8*'Output-Calculation-sheet'!G80</f>
        <v>3746071990.2631602</v>
      </c>
      <c r="H97" s="2">
        <f>H9/'Output-Calculation-sheet'!H8*'Output-Calculation-sheet'!H80</f>
        <v>3295786711.4189963</v>
      </c>
      <c r="I97" s="2">
        <f>I9/'Output-Calculation-sheet'!I8*'Output-Calculation-sheet'!I80</f>
        <v>2711090427.106442</v>
      </c>
      <c r="J97" s="2">
        <f>J9/'Output-Calculation-sheet'!J8*'Output-Calculation-sheet'!J80</f>
        <v>1782291721.0207207</v>
      </c>
      <c r="K97" s="2">
        <f>K9/'Output-Calculation-sheet'!K8*'Output-Calculation-sheet'!K80</f>
        <v>2569549033.6592708</v>
      </c>
      <c r="L97" s="2">
        <f>L9/'Output-Calculation-sheet'!L8*'Output-Calculation-sheet'!L80</f>
        <v>1870206046.473449</v>
      </c>
      <c r="M97" s="2">
        <f>M9/'Output-Calculation-sheet'!M8*'Output-Calculation-sheet'!M80</f>
        <v>2467527647.9442883</v>
      </c>
      <c r="N97" s="2">
        <f>N9/'Output-Calculation-sheet'!N8*'Output-Calculation-sheet'!N80</f>
        <v>1802858859.0693231</v>
      </c>
      <c r="O97" s="2">
        <f>O9/'Output-Calculation-sheet'!O8*'Output-Calculation-sheet'!O80</f>
        <v>932681096.74236357</v>
      </c>
      <c r="P97" s="2">
        <f>P9/'Output-Calculation-sheet'!P8*'Output-Calculation-sheet'!P80</f>
        <v>3051557167.2616491</v>
      </c>
      <c r="Q97" s="2">
        <f>Q9/'Output-Calculation-sheet'!Q8*'Output-Calculation-sheet'!Q80</f>
        <v>1427401424.1233113</v>
      </c>
      <c r="R97" s="2">
        <f>R9/'Output-Calculation-sheet'!R8*'Output-Calculation-sheet'!R80</f>
        <v>1803518061.5643034</v>
      </c>
      <c r="S97" s="2">
        <f>S9/'Output-Calculation-sheet'!S8*'Output-Calculation-sheet'!S80</f>
        <v>1046756664.1716226</v>
      </c>
      <c r="T97" s="2">
        <f>T9/'Output-Calculation-sheet'!T8*'Output-Calculation-sheet'!T80</f>
        <v>788244581.58135962</v>
      </c>
      <c r="U97" s="2">
        <f>U9/'Output-Calculation-sheet'!U8*'Output-Calculation-sheet'!U80</f>
        <v>503919107.83801961</v>
      </c>
      <c r="V97" s="2">
        <f>V9/'Output-Calculation-sheet'!V8*'Output-Calculation-sheet'!V80</f>
        <v>264225148.8526713</v>
      </c>
      <c r="W97" s="2">
        <f>W9/'Output-Calculation-sheet'!W8*'Output-Calculation-sheet'!W80</f>
        <v>765201136.45208597</v>
      </c>
      <c r="X97" s="2">
        <f>X9/'Output-Calculation-sheet'!X8*'Output-Calculation-sheet'!X80</f>
        <v>274781051.07274097</v>
      </c>
      <c r="Y97" s="2">
        <f>Y9/'Output-Calculation-sheet'!Y8*'Output-Calculation-sheet'!Y80</f>
        <v>420604075.92182332</v>
      </c>
      <c r="AA97" s="2">
        <f t="shared" si="8"/>
        <v>80.879501040379751</v>
      </c>
    </row>
    <row r="98" spans="1:27" x14ac:dyDescent="0.25">
      <c r="A98" s="2">
        <v>2033</v>
      </c>
      <c r="B98" s="2">
        <f>B10/'Output-Calculation-sheet'!B9*'Output-Calculation-sheet'!B81</f>
        <v>24120685107.037418</v>
      </c>
      <c r="C98" s="2">
        <f>C10/'Output-Calculation-sheet'!C9*'Output-Calculation-sheet'!C81</f>
        <v>8269766968.2068138</v>
      </c>
      <c r="D98" s="2">
        <f>D10/'Output-Calculation-sheet'!D9*'Output-Calculation-sheet'!D81</f>
        <v>7870299385.4916878</v>
      </c>
      <c r="E98" s="2">
        <f>E10/'Output-Calculation-sheet'!E9*'Output-Calculation-sheet'!E81</f>
        <v>14804528341.191778</v>
      </c>
      <c r="F98" s="2">
        <f>F10/'Output-Calculation-sheet'!F9*'Output-Calculation-sheet'!F81</f>
        <v>6105745329.3865757</v>
      </c>
      <c r="G98" s="2">
        <f>G10/'Output-Calculation-sheet'!G9*'Output-Calculation-sheet'!G81</f>
        <v>4483025032.9359493</v>
      </c>
      <c r="H98" s="2">
        <f>H10/'Output-Calculation-sheet'!H9*'Output-Calculation-sheet'!H81</f>
        <v>4061657307.2571025</v>
      </c>
      <c r="I98" s="2">
        <f>I10/'Output-Calculation-sheet'!I9*'Output-Calculation-sheet'!I81</f>
        <v>3376436329.3184185</v>
      </c>
      <c r="J98" s="2">
        <f>J10/'Output-Calculation-sheet'!J9*'Output-Calculation-sheet'!J81</f>
        <v>2158978490.8952098</v>
      </c>
      <c r="K98" s="2">
        <f>K10/'Output-Calculation-sheet'!K9*'Output-Calculation-sheet'!K81</f>
        <v>3136001876.3063335</v>
      </c>
      <c r="L98" s="2">
        <f>L10/'Output-Calculation-sheet'!L9*'Output-Calculation-sheet'!L81</f>
        <v>2352048349.6023211</v>
      </c>
      <c r="M98" s="2">
        <f>M10/'Output-Calculation-sheet'!M9*'Output-Calculation-sheet'!M81</f>
        <v>3050134104.0174603</v>
      </c>
      <c r="N98" s="2">
        <f>N10/'Output-Calculation-sheet'!N9*'Output-Calculation-sheet'!N81</f>
        <v>2188233232.3544779</v>
      </c>
      <c r="O98" s="2">
        <f>O10/'Output-Calculation-sheet'!O9*'Output-Calculation-sheet'!O81</f>
        <v>1158793121.9883873</v>
      </c>
      <c r="P98" s="2">
        <f>P10/'Output-Calculation-sheet'!P9*'Output-Calculation-sheet'!P81</f>
        <v>3703166599.4000955</v>
      </c>
      <c r="Q98" s="2">
        <f>Q10/'Output-Calculation-sheet'!Q9*'Output-Calculation-sheet'!Q81</f>
        <v>1741135057.5836053</v>
      </c>
      <c r="R98" s="2">
        <f>R10/'Output-Calculation-sheet'!R9*'Output-Calculation-sheet'!R81</f>
        <v>2227175151.8711548</v>
      </c>
      <c r="S98" s="2">
        <f>S10/'Output-Calculation-sheet'!S9*'Output-Calculation-sheet'!S81</f>
        <v>1287703761.3646452</v>
      </c>
      <c r="T98" s="2">
        <f>T10/'Output-Calculation-sheet'!T9*'Output-Calculation-sheet'!T81</f>
        <v>955529166.5467335</v>
      </c>
      <c r="U98" s="2">
        <f>U10/'Output-Calculation-sheet'!U9*'Output-Calculation-sheet'!U81</f>
        <v>621729247.94666338</v>
      </c>
      <c r="V98" s="2">
        <f>V10/'Output-Calculation-sheet'!V9*'Output-Calculation-sheet'!V81</f>
        <v>329278279.48783332</v>
      </c>
      <c r="W98" s="2">
        <f>W10/'Output-Calculation-sheet'!W9*'Output-Calculation-sheet'!W81</f>
        <v>933617523.45616162</v>
      </c>
      <c r="X98" s="2">
        <f>X10/'Output-Calculation-sheet'!X9*'Output-Calculation-sheet'!X81</f>
        <v>343076193.02427226</v>
      </c>
      <c r="Y98" s="2">
        <f>Y10/'Output-Calculation-sheet'!Y9*'Output-Calculation-sheet'!Y81</f>
        <v>513360732.18357325</v>
      </c>
      <c r="AA98" s="2">
        <f t="shared" si="8"/>
        <v>99.792104688854693</v>
      </c>
    </row>
    <row r="99" spans="1:27" x14ac:dyDescent="0.25">
      <c r="A99" s="2">
        <v>2034</v>
      </c>
      <c r="B99" s="2">
        <f>B11/'Output-Calculation-sheet'!B10*'Output-Calculation-sheet'!B82</f>
        <v>27788090116.044495</v>
      </c>
      <c r="C99" s="2">
        <f>C11/'Output-Calculation-sheet'!C10*'Output-Calculation-sheet'!C82</f>
        <v>9588031173.7285538</v>
      </c>
      <c r="D99" s="2">
        <f>D11/'Output-Calculation-sheet'!D10*'Output-Calculation-sheet'!D82</f>
        <v>8722411407.3797588</v>
      </c>
      <c r="E99" s="2">
        <f>E11/'Output-Calculation-sheet'!E10*'Output-Calculation-sheet'!E82</f>
        <v>16872740008.563919</v>
      </c>
      <c r="F99" s="2">
        <f>F11/'Output-Calculation-sheet'!F10*'Output-Calculation-sheet'!F82</f>
        <v>6949017033.2784805</v>
      </c>
      <c r="G99" s="2">
        <f>G11/'Output-Calculation-sheet'!G10*'Output-Calculation-sheet'!G82</f>
        <v>4940256616.5592651</v>
      </c>
      <c r="H99" s="2">
        <f>H11/'Output-Calculation-sheet'!H10*'Output-Calculation-sheet'!H82</f>
        <v>4617566757.4936113</v>
      </c>
      <c r="I99" s="2">
        <f>I11/'Output-Calculation-sheet'!I10*'Output-Calculation-sheet'!I82</f>
        <v>3878434615.5452757</v>
      </c>
      <c r="J99" s="2">
        <f>J11/'Output-Calculation-sheet'!J10*'Output-Calculation-sheet'!J82</f>
        <v>2413548377.9116764</v>
      </c>
      <c r="K99" s="2">
        <f>K11/'Output-Calculation-sheet'!K10*'Output-Calculation-sheet'!K82</f>
        <v>3531337999.1798401</v>
      </c>
      <c r="L99" s="2">
        <f>L11/'Output-Calculation-sheet'!L10*'Output-Calculation-sheet'!L82</f>
        <v>2726451179.9484296</v>
      </c>
      <c r="M99" s="2">
        <f>M11/'Output-Calculation-sheet'!M10*'Output-Calculation-sheet'!M82</f>
        <v>3478327450.1916513</v>
      </c>
      <c r="N99" s="2">
        <f>N11/'Output-Calculation-sheet'!N10*'Output-Calculation-sheet'!N82</f>
        <v>2450484938.7211661</v>
      </c>
      <c r="O99" s="2">
        <f>O11/'Output-Calculation-sheet'!O10*'Output-Calculation-sheet'!O82</f>
        <v>1328530865.1793084</v>
      </c>
      <c r="P99" s="2">
        <f>P11/'Output-Calculation-sheet'!P10*'Output-Calculation-sheet'!P82</f>
        <v>4141331673.4493713</v>
      </c>
      <c r="Q99" s="2">
        <f>Q11/'Output-Calculation-sheet'!Q10*'Output-Calculation-sheet'!Q82</f>
        <v>1959938391.3963795</v>
      </c>
      <c r="R99" s="2">
        <f>R11/'Output-Calculation-sheet'!R10*'Output-Calculation-sheet'!R82</f>
        <v>2537131183.7201891</v>
      </c>
      <c r="S99" s="2">
        <f>S11/'Output-Calculation-sheet'!S10*'Output-Calculation-sheet'!S82</f>
        <v>1461458491.1343813</v>
      </c>
      <c r="T99" s="2">
        <f>T11/'Output-Calculation-sheet'!T10*'Output-Calculation-sheet'!T82</f>
        <v>1068155292.433799</v>
      </c>
      <c r="U99" s="2">
        <f>U11/'Output-Calculation-sheet'!U10*'Output-Calculation-sheet'!U82</f>
        <v>707353967.01497996</v>
      </c>
      <c r="V99" s="2">
        <f>V11/'Output-Calculation-sheet'!V10*'Output-Calculation-sheet'!V82</f>
        <v>378213347.28636807</v>
      </c>
      <c r="W99" s="2">
        <f>W11/'Output-Calculation-sheet'!W10*'Output-Calculation-sheet'!W82</f>
        <v>1048798853.9600798</v>
      </c>
      <c r="X99" s="2">
        <f>X11/'Output-Calculation-sheet'!X10*'Output-Calculation-sheet'!X82</f>
        <v>395006522.9888733</v>
      </c>
      <c r="Y99" s="2">
        <f>Y11/'Output-Calculation-sheet'!Y10*'Output-Calculation-sheet'!Y82</f>
        <v>577172010.11338532</v>
      </c>
      <c r="AA99" s="2">
        <f t="shared" si="8"/>
        <v>113.55978827322322</v>
      </c>
    </row>
    <row r="100" spans="1:27" x14ac:dyDescent="0.25">
      <c r="A100" s="2">
        <v>2035</v>
      </c>
      <c r="B100" s="2">
        <f>B12/'Output-Calculation-sheet'!B11*'Output-Calculation-sheet'!B83</f>
        <v>29731776015.170906</v>
      </c>
      <c r="C100" s="2">
        <f>C12/'Output-Calculation-sheet'!C11*'Output-Calculation-sheet'!C83</f>
        <v>10322389717.952734</v>
      </c>
      <c r="D100" s="2">
        <f>D12/'Output-Calculation-sheet'!D11*'Output-Calculation-sheet'!D83</f>
        <v>8984316690.6458397</v>
      </c>
      <c r="E100" s="2">
        <f>E12/'Output-Calculation-sheet'!E11*'Output-Calculation-sheet'!E83</f>
        <v>17867487684.790443</v>
      </c>
      <c r="F100" s="2">
        <f>F12/'Output-Calculation-sheet'!F11*'Output-Calculation-sheet'!F83</f>
        <v>7349972005.2789888</v>
      </c>
      <c r="G100" s="2">
        <f>G12/'Output-Calculation-sheet'!G11*'Output-Calculation-sheet'!G83</f>
        <v>5050861945.4608421</v>
      </c>
      <c r="H100" s="2">
        <f>H12/'Output-Calculation-sheet'!H11*'Output-Calculation-sheet'!H83</f>
        <v>4878755178.0486364</v>
      </c>
      <c r="I100" s="2">
        <f>I12/'Output-Calculation-sheet'!I11*'Output-Calculation-sheet'!I83</f>
        <v>4139527405.1681685</v>
      </c>
      <c r="J100" s="2">
        <f>J12/'Output-Calculation-sheet'!J11*'Output-Calculation-sheet'!J83</f>
        <v>2508731774.8678522</v>
      </c>
      <c r="K100" s="2">
        <f>K12/'Output-Calculation-sheet'!K11*'Output-Calculation-sheet'!K83</f>
        <v>3696430519.522079</v>
      </c>
      <c r="L100" s="2">
        <f>L12/'Output-Calculation-sheet'!L11*'Output-Calculation-sheet'!L83</f>
        <v>2934755064.2245407</v>
      </c>
      <c r="M100" s="2">
        <f>M12/'Output-Calculation-sheet'!M11*'Output-Calculation-sheet'!M83</f>
        <v>3686702677.9627409</v>
      </c>
      <c r="N100" s="2">
        <f>N12/'Output-Calculation-sheet'!N11*'Output-Calculation-sheet'!N83</f>
        <v>2550907068.2751679</v>
      </c>
      <c r="O100" s="2">
        <f>O12/'Output-Calculation-sheet'!O11*'Output-Calculation-sheet'!O83</f>
        <v>1415915393.774478</v>
      </c>
      <c r="P100" s="2">
        <f>P12/'Output-Calculation-sheet'!P11*'Output-Calculation-sheet'!P83</f>
        <v>4300235659.3472805</v>
      </c>
      <c r="Q100" s="2">
        <f>Q12/'Output-Calculation-sheet'!Q11*'Output-Calculation-sheet'!Q83</f>
        <v>2051232122.4335561</v>
      </c>
      <c r="R100" s="2">
        <f>R12/'Output-Calculation-sheet'!R11*'Output-Calculation-sheet'!R83</f>
        <v>2685974136.6805553</v>
      </c>
      <c r="S100" s="2">
        <f>S12/'Output-Calculation-sheet'!S11*'Output-Calculation-sheet'!S83</f>
        <v>1541611151.4306145</v>
      </c>
      <c r="T100" s="2">
        <f>T12/'Output-Calculation-sheet'!T11*'Output-Calculation-sheet'!T83</f>
        <v>1109425898.4453886</v>
      </c>
      <c r="U100" s="2">
        <f>U12/'Output-Calculation-sheet'!U11*'Output-Calculation-sheet'!U83</f>
        <v>747627441.70551717</v>
      </c>
      <c r="V100" s="2">
        <f>V12/'Output-Calculation-sheet'!V11*'Output-Calculation-sheet'!V83</f>
        <v>403388443.05016297</v>
      </c>
      <c r="W100" s="2">
        <f>W12/'Output-Calculation-sheet'!W11*'Output-Calculation-sheet'!W83</f>
        <v>1092878393.6975374</v>
      </c>
      <c r="X100" s="2">
        <f>X12/'Output-Calculation-sheet'!X11*'Output-Calculation-sheet'!X83</f>
        <v>422517167.80690074</v>
      </c>
      <c r="Y100" s="2">
        <f>Y12/'Output-Calculation-sheet'!Y11*'Output-Calculation-sheet'!Y83</f>
        <v>602241228.50015819</v>
      </c>
      <c r="AA100" s="2">
        <f t="shared" si="8"/>
        <v>120.07566078424109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1293.1357145888223</v>
      </c>
      <c r="C19" s="2">
        <f>C8/'Output-Calculation-sheet'!C7*'Output-Calculation-sheet'!C25</f>
        <v>12051.7212640668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5802.2430970853766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4031.2952169710707</v>
      </c>
      <c r="N19" s="2">
        <f>N8/'Output-Calculation-sheet'!N7*'Output-Calculation-sheet'!N25</f>
        <v>1380.190547037467</v>
      </c>
      <c r="O19" s="2">
        <f>O8/'Output-Calculation-sheet'!O7*'Output-Calculation-sheet'!O25</f>
        <v>2137.8819243012535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492.47377511410815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451.0880339751219</v>
      </c>
      <c r="Y19" s="2">
        <f>Y8/'Output-Calculation-sheet'!Y7*'Output-Calculation-sheet'!Y25</f>
        <v>0</v>
      </c>
      <c r="AA19" s="2">
        <f t="shared" si="0"/>
        <v>27.640029573140019</v>
      </c>
    </row>
    <row r="20" spans="1:27" x14ac:dyDescent="0.25">
      <c r="A20" s="2">
        <v>2032</v>
      </c>
      <c r="B20" s="2">
        <f>B9/'Output-Calculation-sheet'!B8*'Output-Calculation-sheet'!B26</f>
        <v>7661.374719675051</v>
      </c>
      <c r="C20" s="2">
        <f>C9/'Output-Calculation-sheet'!C8*'Output-Calculation-sheet'!C26</f>
        <v>15572.138389164593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8335.0391367345092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5796.8986674251209</v>
      </c>
      <c r="N20" s="2">
        <f>N9/'Output-Calculation-sheet'!N8*'Output-Calculation-sheet'!N26</f>
        <v>2613.7088957790102</v>
      </c>
      <c r="O20" s="2">
        <f>O9/'Output-Calculation-sheet'!O8*'Output-Calculation-sheet'!O26</f>
        <v>2711.5092928521408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945.0400603231252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647.90188823012329</v>
      </c>
      <c r="Y20" s="2">
        <f>Y9/'Output-Calculation-sheet'!Y8*'Output-Calculation-sheet'!Y26</f>
        <v>0</v>
      </c>
      <c r="AA20" s="2">
        <f t="shared" si="0"/>
        <v>44.283611050183673</v>
      </c>
    </row>
    <row r="21" spans="1:27" x14ac:dyDescent="0.25">
      <c r="A21" s="2">
        <v>2033</v>
      </c>
      <c r="B21" s="2">
        <f>B10/'Output-Calculation-sheet'!B9*'Output-Calculation-sheet'!B27</f>
        <v>19213.021171367724</v>
      </c>
      <c r="C21" s="2">
        <f>C10/'Output-Calculation-sheet'!C9*'Output-Calculation-sheet'!C27</f>
        <v>19586.618644285147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11107.537182412983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7714.959486140855</v>
      </c>
      <c r="N21" s="2">
        <f>N10/'Output-Calculation-sheet'!N9*'Output-Calculation-sheet'!N27</f>
        <v>4198.0177920699271</v>
      </c>
      <c r="O21" s="2">
        <f>O10/'Output-Calculation-sheet'!O9*'Output-Calculation-sheet'!O27</f>
        <v>3256.6812335632471</v>
      </c>
      <c r="P21" s="2">
        <f>P10/'Output-Calculation-sheet'!P9*'Output-Calculation-sheet'!P27</f>
        <v>0</v>
      </c>
      <c r="Q21" s="2">
        <f>Q10/'Output-Calculation-sheet'!Q9*'Output-Calculation-sheet'!Q27</f>
        <v>286.69140265742016</v>
      </c>
      <c r="R21" s="2">
        <f>R10/'Output-Calculation-sheet'!R9*'Output-Calculation-sheet'!R27</f>
        <v>0</v>
      </c>
      <c r="S21" s="2">
        <f>S10/'Output-Calculation-sheet'!S9*'Output-Calculation-sheet'!S27</f>
        <v>1837.0289050040617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907.15858157411901</v>
      </c>
      <c r="Y21" s="2">
        <f>Y10/'Output-Calculation-sheet'!Y9*'Output-Calculation-sheet'!Y27</f>
        <v>0</v>
      </c>
      <c r="AA21" s="2">
        <f t="shared" si="0"/>
        <v>68.107714399075491</v>
      </c>
    </row>
    <row r="22" spans="1:27" x14ac:dyDescent="0.25">
      <c r="A22" s="2">
        <v>2034</v>
      </c>
      <c r="B22" s="2">
        <f>B11/'Output-Calculation-sheet'!B10*'Output-Calculation-sheet'!B28</f>
        <v>34398.40228446346</v>
      </c>
      <c r="C22" s="2">
        <f>C11/'Output-Calculation-sheet'!C10*'Output-Calculation-sheet'!C28</f>
        <v>24561.167118191981</v>
      </c>
      <c r="D22" s="2">
        <f>D11/'Output-Calculation-sheet'!D10*'Output-Calculation-sheet'!D28</f>
        <v>0</v>
      </c>
      <c r="E22" s="2">
        <f>E11/'Output-Calculation-sheet'!E10*'Output-Calculation-sheet'!E28</f>
        <v>1989.5469929121284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14460.748435855388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987.94927032669693</v>
      </c>
      <c r="M22" s="2">
        <f>M11/'Output-Calculation-sheet'!M10*'Output-Calculation-sheet'!M28</f>
        <v>10046.491840724328</v>
      </c>
      <c r="N22" s="2">
        <f>N11/'Output-Calculation-sheet'!N10*'Output-Calculation-sheet'!N28</f>
        <v>5832.892494217479</v>
      </c>
      <c r="O22" s="2">
        <f>O11/'Output-Calculation-sheet'!O10*'Output-Calculation-sheet'!O28</f>
        <v>3780.2289427039664</v>
      </c>
      <c r="P22" s="2">
        <f>P11/'Output-Calculation-sheet'!P10*'Output-Calculation-sheet'!P28</f>
        <v>0</v>
      </c>
      <c r="Q22" s="2">
        <f>Q11/'Output-Calculation-sheet'!Q10*'Output-Calculation-sheet'!Q28</f>
        <v>872.04513605099555</v>
      </c>
      <c r="R22" s="2">
        <f>R11/'Output-Calculation-sheet'!R10*'Output-Calculation-sheet'!R28</f>
        <v>0</v>
      </c>
      <c r="S22" s="2">
        <f>S11/'Output-Calculation-sheet'!S10*'Output-Calculation-sheet'!S28</f>
        <v>2724.4677779600634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1046.2827765803343</v>
      </c>
      <c r="Y22" s="2">
        <f>Y11/'Output-Calculation-sheet'!Y10*'Output-Calculation-sheet'!Y28</f>
        <v>110.1590119997004</v>
      </c>
      <c r="AA22" s="2">
        <f t="shared" si="0"/>
        <v>100.81038208198652</v>
      </c>
    </row>
    <row r="23" spans="1:27" x14ac:dyDescent="0.25">
      <c r="A23" s="2">
        <v>2035</v>
      </c>
      <c r="B23" s="2">
        <f>B12/'Output-Calculation-sheet'!B11*'Output-Calculation-sheet'!B29</f>
        <v>42870.179317062124</v>
      </c>
      <c r="C23" s="2">
        <f>C12/'Output-Calculation-sheet'!C11*'Output-Calculation-sheet'!C29</f>
        <v>31270.141537949374</v>
      </c>
      <c r="D23" s="2">
        <f>D12/'Output-Calculation-sheet'!D11*'Output-Calculation-sheet'!D29</f>
        <v>0</v>
      </c>
      <c r="E23" s="2">
        <f>E12/'Output-Calculation-sheet'!E11*'Output-Calculation-sheet'!E29</f>
        <v>5453.4801272666009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15696.790936849553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1290.7973519018906</v>
      </c>
      <c r="M23" s="2">
        <f>M12/'Output-Calculation-sheet'!M11*'Output-Calculation-sheet'!M29</f>
        <v>11067.247295930389</v>
      </c>
      <c r="N23" s="2">
        <f>N12/'Output-Calculation-sheet'!N11*'Output-Calculation-sheet'!N29</f>
        <v>6521.2166511231571</v>
      </c>
      <c r="O23" s="2">
        <f>O12/'Output-Calculation-sheet'!O11*'Output-Calculation-sheet'!O29</f>
        <v>4314.3568235067678</v>
      </c>
      <c r="P23" s="2">
        <f>P12/'Output-Calculation-sheet'!P11*'Output-Calculation-sheet'!P29</f>
        <v>919.86614747144552</v>
      </c>
      <c r="Q23" s="2">
        <f>Q12/'Output-Calculation-sheet'!Q11*'Output-Calculation-sheet'!Q29</f>
        <v>1393.2831760361589</v>
      </c>
      <c r="R23" s="2">
        <f>R12/'Output-Calculation-sheet'!R11*'Output-Calculation-sheet'!R29</f>
        <v>0</v>
      </c>
      <c r="S23" s="2">
        <f>S12/'Output-Calculation-sheet'!S11*'Output-Calculation-sheet'!S29</f>
        <v>3189.0823571735036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1149.7028826555024</v>
      </c>
      <c r="Y23" s="2">
        <f>Y12/'Output-Calculation-sheet'!Y11*'Output-Calculation-sheet'!Y29</f>
        <v>291.94105020533459</v>
      </c>
      <c r="AA23" s="2">
        <f t="shared" si="0"/>
        <v>125.4280856551318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22538.935434857889</v>
      </c>
      <c r="C30" s="2">
        <f>C8/'Output-Calculation-sheet'!C7*'Output-Calculation-sheet'!C16</f>
        <v>0</v>
      </c>
      <c r="D30" s="2">
        <f>D8/'Output-Calculation-sheet'!D7*'Output-Calculation-sheet'!D16</f>
        <v>3795.2587702781661</v>
      </c>
      <c r="E30" s="2">
        <f>E8/'Output-Calculation-sheet'!E7*'Output-Calculation-sheet'!E16</f>
        <v>4083.4840128282835</v>
      </c>
      <c r="F30" s="2">
        <f>F8/'Output-Calculation-sheet'!F7*'Output-Calculation-sheet'!F16</f>
        <v>2060.1394138017581</v>
      </c>
      <c r="G30" s="2">
        <f>G8/'Output-Calculation-sheet'!G7*'Output-Calculation-sheet'!G16</f>
        <v>1349.1466299538881</v>
      </c>
      <c r="H30" s="2">
        <f>H8/'Output-Calculation-sheet'!H7*'Output-Calculation-sheet'!H16</f>
        <v>0</v>
      </c>
      <c r="I30" s="2">
        <f>I8/'Output-Calculation-sheet'!I7*'Output-Calculation-sheet'!I16</f>
        <v>1315.2159547146343</v>
      </c>
      <c r="J30" s="2">
        <f>J8/'Output-Calculation-sheet'!J7*'Output-Calculation-sheet'!J16</f>
        <v>1170.7950944305942</v>
      </c>
      <c r="K30" s="2">
        <f>K8/'Output-Calculation-sheet'!K7*'Output-Calculation-sheet'!K16</f>
        <v>1563.2352366147816</v>
      </c>
      <c r="L30" s="2">
        <f>L8/'Output-Calculation-sheet'!L7*'Output-Calculation-sheet'!L16</f>
        <v>1320.4255467722649</v>
      </c>
      <c r="M30" s="2">
        <f>M8/'Output-Calculation-sheet'!M7*'Output-Calculation-sheet'!M16</f>
        <v>0</v>
      </c>
      <c r="N30" s="2">
        <f>N8/'Output-Calculation-sheet'!N7*'Output-Calculation-sheet'!N16</f>
        <v>1875.553244959021</v>
      </c>
      <c r="O30" s="2">
        <f>O8/'Output-Calculation-sheet'!O7*'Output-Calculation-sheet'!O16</f>
        <v>0</v>
      </c>
      <c r="P30" s="2">
        <f>P8/'Output-Calculation-sheet'!P7*'Output-Calculation-sheet'!P16</f>
        <v>1685.685714752608</v>
      </c>
      <c r="Q30" s="2">
        <f>Q8/'Output-Calculation-sheet'!Q7*'Output-Calculation-sheet'!Q16</f>
        <v>1853.6975719420461</v>
      </c>
      <c r="R30" s="2">
        <f>R8/'Output-Calculation-sheet'!R7*'Output-Calculation-sheet'!R16</f>
        <v>1176.1791662789542</v>
      </c>
      <c r="S30" s="2">
        <f>S8/'Output-Calculation-sheet'!S7*'Output-Calculation-sheet'!S16</f>
        <v>1182.8913471774808</v>
      </c>
      <c r="T30" s="2">
        <f>T8/'Output-Calculation-sheet'!T7*'Output-Calculation-sheet'!T16</f>
        <v>353.07207903450649</v>
      </c>
      <c r="U30" s="2">
        <f>U8/'Output-Calculation-sheet'!U7*'Output-Calculation-sheet'!U16</f>
        <v>352.44097164633024</v>
      </c>
      <c r="V30" s="2">
        <f>V8/'Output-Calculation-sheet'!V7*'Output-Calculation-sheet'!V16</f>
        <v>274.29810886799572</v>
      </c>
      <c r="W30" s="2">
        <f>W8/'Output-Calculation-sheet'!W7*'Output-Calculation-sheet'!W16</f>
        <v>166.37563109170057</v>
      </c>
      <c r="X30" s="2">
        <f>X8/'Output-Calculation-sheet'!X7*'Output-Calculation-sheet'!X16</f>
        <v>0</v>
      </c>
      <c r="Y30" s="2">
        <f>Y8/'Output-Calculation-sheet'!Y7*'Output-Calculation-sheet'!Y16</f>
        <v>140.81805691500969</v>
      </c>
      <c r="AA30" s="2">
        <f t="shared" si="1"/>
        <v>48.25764798691791</v>
      </c>
    </row>
    <row r="31" spans="1:27" x14ac:dyDescent="0.25">
      <c r="A31" s="2">
        <v>2032</v>
      </c>
      <c r="B31" s="2">
        <f>B9/'Output-Calculation-sheet'!B8*'Output-Calculation-sheet'!B17</f>
        <v>32440.791785479254</v>
      </c>
      <c r="C31" s="2">
        <f>C9/'Output-Calculation-sheet'!C8*'Output-Calculation-sheet'!C17</f>
        <v>0</v>
      </c>
      <c r="D31" s="2">
        <f>D9/'Output-Calculation-sheet'!D8*'Output-Calculation-sheet'!D17</f>
        <v>5440.7467183266081</v>
      </c>
      <c r="E31" s="2">
        <f>E9/'Output-Calculation-sheet'!E8*'Output-Calculation-sheet'!E17</f>
        <v>6394.8544078911746</v>
      </c>
      <c r="F31" s="2">
        <f>F9/'Output-Calculation-sheet'!F8*'Output-Calculation-sheet'!F17</f>
        <v>2953.4138383830068</v>
      </c>
      <c r="G31" s="2">
        <f>G9/'Output-Calculation-sheet'!G8*'Output-Calculation-sheet'!G17</f>
        <v>1934.1173631292891</v>
      </c>
      <c r="H31" s="2">
        <f>H9/'Output-Calculation-sheet'!H8*'Output-Calculation-sheet'!H17</f>
        <v>0</v>
      </c>
      <c r="I31" s="2">
        <f>I9/'Output-Calculation-sheet'!I8*'Output-Calculation-sheet'!I17</f>
        <v>1885.4836625979472</v>
      </c>
      <c r="J31" s="2">
        <f>J9/'Output-Calculation-sheet'!J8*'Output-Calculation-sheet'!J17</f>
        <v>1678.4438862436537</v>
      </c>
      <c r="K31" s="2">
        <f>K9/'Output-Calculation-sheet'!K8*'Output-Calculation-sheet'!K17</f>
        <v>2389.658442909018</v>
      </c>
      <c r="L31" s="2">
        <f>L9/'Output-Calculation-sheet'!L8*'Output-Calculation-sheet'!L17</f>
        <v>2037.9585604684396</v>
      </c>
      <c r="M31" s="2">
        <f>M9/'Output-Calculation-sheet'!M8*'Output-Calculation-sheet'!M17</f>
        <v>0</v>
      </c>
      <c r="N31" s="2">
        <f>N9/'Output-Calculation-sheet'!N8*'Output-Calculation-sheet'!N17</f>
        <v>2215.4693893901094</v>
      </c>
      <c r="O31" s="2">
        <f>O9/'Output-Calculation-sheet'!O8*'Output-Calculation-sheet'!O17</f>
        <v>0</v>
      </c>
      <c r="P31" s="2">
        <f>P9/'Output-Calculation-sheet'!P8*'Output-Calculation-sheet'!P17</f>
        <v>2749.7413775993609</v>
      </c>
      <c r="Q31" s="2">
        <f>Q9/'Output-Calculation-sheet'!Q8*'Output-Calculation-sheet'!Q17</f>
        <v>2931.4769463707648</v>
      </c>
      <c r="R31" s="2">
        <f>R9/'Output-Calculation-sheet'!R8*'Output-Calculation-sheet'!R17</f>
        <v>1917.9271450761728</v>
      </c>
      <c r="S31" s="2">
        <f>S9/'Output-Calculation-sheet'!S8*'Output-Calculation-sheet'!S17</f>
        <v>1656.1616502514628</v>
      </c>
      <c r="T31" s="2">
        <f>T9/'Output-Calculation-sheet'!T8*'Output-Calculation-sheet'!T17</f>
        <v>520.44354333223453</v>
      </c>
      <c r="U31" s="2">
        <f>U9/'Output-Calculation-sheet'!U8*'Output-Calculation-sheet'!U17</f>
        <v>598.15554950312685</v>
      </c>
      <c r="V31" s="2">
        <f>V9/'Output-Calculation-sheet'!V8*'Output-Calculation-sheet'!V17</f>
        <v>428.43043827708283</v>
      </c>
      <c r="W31" s="2">
        <f>W9/'Output-Calculation-sheet'!W8*'Output-Calculation-sheet'!W17</f>
        <v>238.51733349545438</v>
      </c>
      <c r="X31" s="2">
        <f>X9/'Output-Calculation-sheet'!X8*'Output-Calculation-sheet'!X17</f>
        <v>0</v>
      </c>
      <c r="Y31" s="2">
        <f>Y9/'Output-Calculation-sheet'!Y8*'Output-Calculation-sheet'!Y17</f>
        <v>230.45941954638658</v>
      </c>
      <c r="AA31" s="2">
        <f t="shared" si="1"/>
        <v>70.64225145827055</v>
      </c>
    </row>
    <row r="32" spans="1:27" x14ac:dyDescent="0.25">
      <c r="A32" s="2">
        <v>2033</v>
      </c>
      <c r="B32" s="2">
        <f>B10/'Output-Calculation-sheet'!B9*'Output-Calculation-sheet'!B18</f>
        <v>38940.916350615633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2388.647755547579</v>
      </c>
      <c r="O32" s="2">
        <f>O10/'Output-Calculation-sheet'!O9*'Output-Calculation-sheet'!O18</f>
        <v>0</v>
      </c>
      <c r="P32" s="2">
        <f>P10/'Output-Calculation-sheet'!P9*'Output-Calculation-sheet'!P18</f>
        <v>3822.4196930369139</v>
      </c>
      <c r="Q32" s="2">
        <f>Q10/'Output-Calculation-sheet'!Q9*'Output-Calculation-sheet'!Q18</f>
        <v>4165.1034387642512</v>
      </c>
      <c r="R32" s="2">
        <f>R10/'Output-Calculation-sheet'!R9*'Output-Calculation-sheet'!R18</f>
        <v>2744.3236013353662</v>
      </c>
      <c r="S32" s="2">
        <f>S10/'Output-Calculation-sheet'!S9*'Output-Calculation-sheet'!S18</f>
        <v>1796.1196328626006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887.25761251062568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93.626349651207875</v>
      </c>
    </row>
    <row r="33" spans="1:27" x14ac:dyDescent="0.25">
      <c r="A33" s="2">
        <v>2034</v>
      </c>
      <c r="B33" s="2">
        <f>B11/'Output-Calculation-sheet'!B10*'Output-Calculation-sheet'!B19</f>
        <v>39419.523914625825</v>
      </c>
      <c r="C33" s="2">
        <f>C11/'Output-Calculation-sheet'!C10*'Output-Calculation-sheet'!C19</f>
        <v>0</v>
      </c>
      <c r="D33" s="2">
        <f>D11/'Output-Calculation-sheet'!D10*'Output-Calculation-sheet'!D19</f>
        <v>11933.399209595382</v>
      </c>
      <c r="E33" s="2">
        <f>E11/'Output-Calculation-sheet'!E10*'Output-Calculation-sheet'!E19</f>
        <v>14798.065070575214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4054.8454560533005</v>
      </c>
      <c r="H33" s="2">
        <f>H11/'Output-Calculation-sheet'!H10*'Output-Calculation-sheet'!H19</f>
        <v>0</v>
      </c>
      <c r="I33" s="2">
        <f>I11/'Output-Calculation-sheet'!I10*'Output-Calculation-sheet'!I19</f>
        <v>4431.0729605299548</v>
      </c>
      <c r="J33" s="2">
        <f>J11/'Output-Calculation-sheet'!J10*'Output-Calculation-sheet'!J19</f>
        <v>3748.8070200030152</v>
      </c>
      <c r="K33" s="2">
        <f>K11/'Output-Calculation-sheet'!K10*'Output-Calculation-sheet'!K19</f>
        <v>5190.5802774107369</v>
      </c>
      <c r="L33" s="2">
        <f>L11/'Output-Calculation-sheet'!L10*'Output-Calculation-sheet'!L19</f>
        <v>4100.2313401794008</v>
      </c>
      <c r="M33" s="2">
        <f>M11/'Output-Calculation-sheet'!M10*'Output-Calculation-sheet'!M19</f>
        <v>0</v>
      </c>
      <c r="N33" s="2">
        <f>N11/'Output-Calculation-sheet'!N10*'Output-Calculation-sheet'!N19</f>
        <v>2452.3872061216143</v>
      </c>
      <c r="O33" s="2">
        <f>O11/'Output-Calculation-sheet'!O10*'Output-Calculation-sheet'!O19</f>
        <v>0</v>
      </c>
      <c r="P33" s="2">
        <f>P11/'Output-Calculation-sheet'!P10*'Output-Calculation-sheet'!P19</f>
        <v>5252.6620390627913</v>
      </c>
      <c r="Q33" s="2">
        <f>Q11/'Output-Calculation-sheet'!Q10*'Output-Calculation-sheet'!Q19</f>
        <v>4337.7691178485265</v>
      </c>
      <c r="R33" s="2">
        <f>R11/'Output-Calculation-sheet'!R10*'Output-Calculation-sheet'!R19</f>
        <v>3750.487406713647</v>
      </c>
      <c r="S33" s="2">
        <f>S11/'Output-Calculation-sheet'!S10*'Output-Calculation-sheet'!S19</f>
        <v>1842.3158099344002</v>
      </c>
      <c r="T33" s="2">
        <f>T11/'Output-Calculation-sheet'!T10*'Output-Calculation-sheet'!T19</f>
        <v>1100.4219731363582</v>
      </c>
      <c r="U33" s="2">
        <f>U11/'Output-Calculation-sheet'!U10*'Output-Calculation-sheet'!U19</f>
        <v>1184.5669834512501</v>
      </c>
      <c r="V33" s="2">
        <f>V11/'Output-Calculation-sheet'!V10*'Output-Calculation-sheet'!V19</f>
        <v>863.15216902201962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0</v>
      </c>
      <c r="Y33" s="2">
        <f>Y11/'Output-Calculation-sheet'!Y10*'Output-Calculation-sheet'!Y19</f>
        <v>484.33975168453327</v>
      </c>
      <c r="AA33" s="2">
        <f t="shared" si="1"/>
        <v>116.25359457091882</v>
      </c>
    </row>
    <row r="34" spans="1:27" x14ac:dyDescent="0.25">
      <c r="A34" s="2">
        <v>2035</v>
      </c>
      <c r="B34" s="2">
        <f>B12/'Output-Calculation-sheet'!B11*'Output-Calculation-sheet'!B20</f>
        <v>40703.708293018528</v>
      </c>
      <c r="C34" s="2">
        <f>C12/'Output-Calculation-sheet'!C11*'Output-Calculation-sheet'!C20</f>
        <v>0</v>
      </c>
      <c r="D34" s="2">
        <f>D12/'Output-Calculation-sheet'!D11*'Output-Calculation-sheet'!D20</f>
        <v>12487.602417077782</v>
      </c>
      <c r="E34" s="2">
        <f>E12/'Output-Calculation-sheet'!E11*'Output-Calculation-sheet'!E20</f>
        <v>14719.760584633057</v>
      </c>
      <c r="F34" s="2">
        <f>F12/'Output-Calculation-sheet'!F11*'Output-Calculation-sheet'!F20</f>
        <v>8423.2069020438175</v>
      </c>
      <c r="G34" s="2">
        <f>G12/'Output-Calculation-sheet'!G11*'Output-Calculation-sheet'!G20</f>
        <v>4510.9078666878568</v>
      </c>
      <c r="H34" s="2">
        <f>H12/'Output-Calculation-sheet'!H11*'Output-Calculation-sheet'!H20</f>
        <v>0</v>
      </c>
      <c r="I34" s="2">
        <f>I12/'Output-Calculation-sheet'!I11*'Output-Calculation-sheet'!I20</f>
        <v>5017.3144140065797</v>
      </c>
      <c r="J34" s="2">
        <f>J12/'Output-Calculation-sheet'!J11*'Output-Calculation-sheet'!J20</f>
        <v>3910.9740705526688</v>
      </c>
      <c r="K34" s="2">
        <f>K12/'Output-Calculation-sheet'!K11*'Output-Calculation-sheet'!K20</f>
        <v>5780.9149758600006</v>
      </c>
      <c r="L34" s="2">
        <f>L12/'Output-Calculation-sheet'!L11*'Output-Calculation-sheet'!L20</f>
        <v>4418.0498713050429</v>
      </c>
      <c r="M34" s="2">
        <f>M12/'Output-Calculation-sheet'!M11*'Output-Calculation-sheet'!M20</f>
        <v>0</v>
      </c>
      <c r="N34" s="2">
        <f>N12/'Output-Calculation-sheet'!N11*'Output-Calculation-sheet'!N20</f>
        <v>2563.808424160819</v>
      </c>
      <c r="O34" s="2">
        <f>O12/'Output-Calculation-sheet'!O11*'Output-Calculation-sheet'!O20</f>
        <v>0</v>
      </c>
      <c r="P34" s="2">
        <f>P12/'Output-Calculation-sheet'!P11*'Output-Calculation-sheet'!P20</f>
        <v>5496.3646234240005</v>
      </c>
      <c r="Q34" s="2">
        <f>Q12/'Output-Calculation-sheet'!Q11*'Output-Calculation-sheet'!Q20</f>
        <v>4527.9609990550334</v>
      </c>
      <c r="R34" s="2">
        <f>R12/'Output-Calculation-sheet'!R11*'Output-Calculation-sheet'!R20</f>
        <v>4250.380483720427</v>
      </c>
      <c r="S34" s="2">
        <f>S12/'Output-Calculation-sheet'!S11*'Output-Calculation-sheet'!S20</f>
        <v>1813.5516323674321</v>
      </c>
      <c r="T34" s="2">
        <f>T12/'Output-Calculation-sheet'!T11*'Output-Calculation-sheet'!T20</f>
        <v>1358.7907351022955</v>
      </c>
      <c r="U34" s="2">
        <f>U12/'Output-Calculation-sheet'!U11*'Output-Calculation-sheet'!U20</f>
        <v>1267.60514089857</v>
      </c>
      <c r="V34" s="2">
        <f>V12/'Output-Calculation-sheet'!V11*'Output-Calculation-sheet'!V20</f>
        <v>941.34680813197315</v>
      </c>
      <c r="W34" s="2">
        <f>W12/'Output-Calculation-sheet'!W11*'Output-Calculation-sheet'!W20</f>
        <v>749.6469264878815</v>
      </c>
      <c r="X34" s="2">
        <f>X12/'Output-Calculation-sheet'!X11*'Output-Calculation-sheet'!X20</f>
        <v>29.385059904517696</v>
      </c>
      <c r="Y34" s="2">
        <f>Y12/'Output-Calculation-sheet'!Y11*'Output-Calculation-sheet'!Y20</f>
        <v>438.64277675171235</v>
      </c>
      <c r="AA34" s="2">
        <f t="shared" si="1"/>
        <v>123.40992300519001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2.457159609585462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0.47736000895171504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2.9345196185371769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4.2270587579127632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0.82120379915290997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5.048262557065673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6.2427469782582143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0.90959834532097761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7.1523453235791923</v>
      </c>
    </row>
    <row r="44" spans="1:27" x14ac:dyDescent="0.25">
      <c r="A44" s="2">
        <v>2034</v>
      </c>
      <c r="B44" s="2">
        <f>B11/'Output-Calculation-sheet'!B10*'Output-Calculation-sheet'!B37*0.0114</f>
        <v>3.5628523953598226</v>
      </c>
      <c r="C44" s="2">
        <f>C11/'Output-Calculation-sheet'!C10*'Output-Calculation-sheet'!C37*0.0114</f>
        <v>6.7640368437586318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0.52054530006678867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0.37771217659549078</v>
      </c>
      <c r="M44" s="2">
        <f>M11/'Output-Calculation-sheet'!M10*'Output-Calculation-sheet'!M37*0.0114</f>
        <v>0.35818610472011675</v>
      </c>
      <c r="N44" s="2">
        <f>N11/'Output-Calculation-sheet'!N10*'Output-Calculation-sheet'!N37*0.0114</f>
        <v>0.35203946546353215</v>
      </c>
      <c r="O44" s="2">
        <f>O11/'Output-Calculation-sheet'!O10*'Output-Calculation-sheet'!O37*0.0114</f>
        <v>1.3140703907431897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0.308439531847642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0.20180062679079666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9.8411056699370003E-2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3.9293898688566954E-2</v>
      </c>
      <c r="Y44" s="2">
        <f>Y11/'Output-Calculation-sheet'!Y10*'Output-Calculation-sheet'!Y37*0.0114</f>
        <v>0</v>
      </c>
      <c r="AA44" s="2">
        <f t="shared" si="2"/>
        <v>13.89738779073395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7.2180494668689361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1.40227282943975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8.3862731984353928E-2</v>
      </c>
      <c r="Y45" s="2">
        <f>Y12/'Output-Calculation-sheet'!Y11*'Output-Calculation-sheet'!Y38*0.0114</f>
        <v>4.0464545914074682E-2</v>
      </c>
      <c r="AA45" s="2">
        <f t="shared" si="2"/>
        <v>21.632253938686471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8227.4027609073473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5615.602888921575</v>
      </c>
      <c r="N52" s="2">
        <f>N8/'Output-Calculation-sheet'!N7*'Output-Calculation-sheet'!N43</f>
        <v>179.48736733422851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723.72822709730383</v>
      </c>
      <c r="Y52" s="2">
        <f>Y8/'Output-Calculation-sheet'!Y7*'Output-Calculation-sheet'!Y43</f>
        <v>0</v>
      </c>
      <c r="AA52" s="2">
        <f t="shared" si="3"/>
        <v>14.746221244260456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865.18746506986395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16664.751640524559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11388.438909999582</v>
      </c>
      <c r="N53" s="2">
        <f>N9/'Output-Calculation-sheet'!N8*'Output-Calculation-sheet'!N44</f>
        <v>4065.5063648928272</v>
      </c>
      <c r="O53" s="2">
        <f>O9/'Output-Calculation-sheet'!O8*'Output-Calculation-sheet'!O44</f>
        <v>0</v>
      </c>
      <c r="P53" s="2">
        <f>P9/'Output-Calculation-sheet'!P8*'Output-Calculation-sheet'!P44</f>
        <v>190.16685270879159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1253.7404617918503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1427.4066485971002</v>
      </c>
      <c r="Y53" s="2">
        <f>Y9/'Output-Calculation-sheet'!Y8*'Output-Calculation-sheet'!Y44</f>
        <v>0</v>
      </c>
      <c r="AA53" s="2">
        <f t="shared" si="3"/>
        <v>35.855198343584568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7392.7266847794644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0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1073.7505717506374</v>
      </c>
      <c r="R54" s="2">
        <f>R10/'Output-Calculation-sheet'!R9*'Output-Calculation-sheet'!R45</f>
        <v>1832.487651358188</v>
      </c>
      <c r="S54" s="2">
        <f>S10/'Output-Calculation-sheet'!S9*'Output-Calculation-sheet'!S45</f>
        <v>4394.8059928326838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653.31505280812576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113.08187630043344</v>
      </c>
    </row>
    <row r="55" spans="1:27" x14ac:dyDescent="0.25">
      <c r="A55" s="2">
        <v>2034</v>
      </c>
      <c r="B55" s="2">
        <f>B11/'Output-Calculation-sheet'!B10*'Output-Calculation-sheet'!B46</f>
        <v>93759.273562100585</v>
      </c>
      <c r="C55" s="2">
        <f>C11/'Output-Calculation-sheet'!C10*'Output-Calculation-sheet'!C46</f>
        <v>19283.438370364522</v>
      </c>
      <c r="D55" s="2">
        <f>D11/'Output-Calculation-sheet'!D10*'Output-Calculation-sheet'!D46</f>
        <v>10380.525199388174</v>
      </c>
      <c r="E55" s="2">
        <f>E11/'Output-Calculation-sheet'!E10*'Output-Calculation-sheet'!E46</f>
        <v>12844.545461273976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33698.458899060526</v>
      </c>
      <c r="I55" s="2">
        <f>I11/'Output-Calculation-sheet'!I10*'Output-Calculation-sheet'!I46</f>
        <v>2501.3471939614356</v>
      </c>
      <c r="J55" s="2">
        <f>J11/'Output-Calculation-sheet'!J10*'Output-Calculation-sheet'!J46</f>
        <v>1804.1870668307795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960.84676502361685</v>
      </c>
      <c r="M55" s="2">
        <f>M11/'Output-Calculation-sheet'!M10*'Output-Calculation-sheet'!M46</f>
        <v>23376.356308049722</v>
      </c>
      <c r="N55" s="2">
        <f>N11/'Output-Calculation-sheet'!N10*'Output-Calculation-sheet'!N46</f>
        <v>16613.792317489497</v>
      </c>
      <c r="O55" s="2">
        <f>O11/'Output-Calculation-sheet'!O10*'Output-Calculation-sheet'!O46</f>
        <v>0</v>
      </c>
      <c r="P55" s="2">
        <f>P11/'Output-Calculation-sheet'!P10*'Output-Calculation-sheet'!P46</f>
        <v>6761.174130510648</v>
      </c>
      <c r="Q55" s="2">
        <f>Q11/'Output-Calculation-sheet'!Q10*'Output-Calculation-sheet'!Q46</f>
        <v>2489.1611342090405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7505.5671718682261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1622.9191806562771</v>
      </c>
      <c r="V55" s="2">
        <f>V11/'Output-Calculation-sheet'!V10*'Output-Calculation-sheet'!V46</f>
        <v>838.71623799287795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2385.2085870603801</v>
      </c>
      <c r="Y55" s="2">
        <f>Y11/'Output-Calculation-sheet'!Y10*'Output-Calculation-sheet'!Y46</f>
        <v>635.31527543761024</v>
      </c>
      <c r="AA55" s="2">
        <f t="shared" si="3"/>
        <v>254.30375624264343</v>
      </c>
    </row>
    <row r="56" spans="1:27" x14ac:dyDescent="0.25">
      <c r="A56" s="2">
        <v>2035</v>
      </c>
      <c r="B56" s="2">
        <f>B12/'Output-Calculation-sheet'!B11*'Output-Calculation-sheet'!B47</f>
        <v>121063.57477337196</v>
      </c>
      <c r="C56" s="2">
        <f>C12/'Output-Calculation-sheet'!C11*'Output-Calculation-sheet'!C47</f>
        <v>44163.06581702704</v>
      </c>
      <c r="D56" s="2">
        <f>D12/'Output-Calculation-sheet'!D11*'Output-Calculation-sheet'!D47</f>
        <v>9675.0945089533434</v>
      </c>
      <c r="E56" s="2">
        <f>E12/'Output-Calculation-sheet'!E11*'Output-Calculation-sheet'!E47</f>
        <v>24293.160074872674</v>
      </c>
      <c r="F56" s="2">
        <f>F12/'Output-Calculation-sheet'!F11*'Output-Calculation-sheet'!F47</f>
        <v>2943.6088820961222</v>
      </c>
      <c r="G56" s="2">
        <f>G12/'Output-Calculation-sheet'!G11*'Output-Calculation-sheet'!G47</f>
        <v>7746.1202648267736</v>
      </c>
      <c r="H56" s="2">
        <f>H12/'Output-Calculation-sheet'!H11*'Output-Calculation-sheet'!H47</f>
        <v>36398.892496179025</v>
      </c>
      <c r="I56" s="2">
        <f>I12/'Output-Calculation-sheet'!I11*'Output-Calculation-sheet'!I47</f>
        <v>4388.4139742530569</v>
      </c>
      <c r="J56" s="2">
        <f>J12/'Output-Calculation-sheet'!J11*'Output-Calculation-sheet'!J47</f>
        <v>1522.3198708490165</v>
      </c>
      <c r="K56" s="2">
        <f>K12/'Output-Calculation-sheet'!K11*'Output-Calculation-sheet'!K47</f>
        <v>6447.4476694077393</v>
      </c>
      <c r="L56" s="2">
        <f>L12/'Output-Calculation-sheet'!L11*'Output-Calculation-sheet'!L47</f>
        <v>1661.758396499092</v>
      </c>
      <c r="M56" s="2">
        <f>M12/'Output-Calculation-sheet'!M11*'Output-Calculation-sheet'!M47</f>
        <v>25347.758907554409</v>
      </c>
      <c r="N56" s="2">
        <f>N12/'Output-Calculation-sheet'!N11*'Output-Calculation-sheet'!N47</f>
        <v>18585.72449231632</v>
      </c>
      <c r="O56" s="2">
        <f>O12/'Output-Calculation-sheet'!O11*'Output-Calculation-sheet'!O47</f>
        <v>0</v>
      </c>
      <c r="P56" s="2">
        <f>P12/'Output-Calculation-sheet'!P11*'Output-Calculation-sheet'!P47</f>
        <v>9772.2078811998272</v>
      </c>
      <c r="Q56" s="2">
        <f>Q12/'Output-Calculation-sheet'!Q11*'Output-Calculation-sheet'!Q47</f>
        <v>3464.6575859323843</v>
      </c>
      <c r="R56" s="2">
        <f>R12/'Output-Calculation-sheet'!R11*'Output-Calculation-sheet'!R47</f>
        <v>6699.9153453773697</v>
      </c>
      <c r="S56" s="2">
        <f>S12/'Output-Calculation-sheet'!S11*'Output-Calculation-sheet'!S47</f>
        <v>8821.6216935982211</v>
      </c>
      <c r="T56" s="2">
        <f>T12/'Output-Calculation-sheet'!T11*'Output-Calculation-sheet'!T47</f>
        <v>2415.1760107529458</v>
      </c>
      <c r="U56" s="2">
        <f>U12/'Output-Calculation-sheet'!U11*'Output-Calculation-sheet'!U47</f>
        <v>1823.9718169378566</v>
      </c>
      <c r="V56" s="2">
        <f>V12/'Output-Calculation-sheet'!V11*'Output-Calculation-sheet'!V47</f>
        <v>1015.7677804069646</v>
      </c>
      <c r="W56" s="2">
        <f>W12/'Output-Calculation-sheet'!W11*'Output-Calculation-sheet'!W47</f>
        <v>984.14378744019359</v>
      </c>
      <c r="X56" s="2">
        <f>X12/'Output-Calculation-sheet'!X11*'Output-Calculation-sheet'!X47</f>
        <v>2582.0893795182656</v>
      </c>
      <c r="Y56" s="2">
        <f>Y12/'Output-Calculation-sheet'!Y11*'Output-Calculation-sheet'!Y47</f>
        <v>1142.9459459940392</v>
      </c>
      <c r="AA56" s="2">
        <f t="shared" si="3"/>
        <v>342.95943735536474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6.2889015761573122</v>
      </c>
      <c r="C63" s="2">
        <f>C8*'Output-Calculation-sheet'!C52/10^9</f>
        <v>3.9337869775011143</v>
      </c>
      <c r="D63" s="2">
        <f>D8*'Output-Calculation-sheet'!D52/10^9</f>
        <v>1.7961701830605687</v>
      </c>
      <c r="E63" s="2">
        <f>E8*'Output-Calculation-sheet'!E52/10^9</f>
        <v>1.6499048763442152</v>
      </c>
      <c r="F63" s="2">
        <f>F8*'Output-Calculation-sheet'!F52/10^9</f>
        <v>0.86952935862415071</v>
      </c>
      <c r="G63" s="2">
        <f>G8*'Output-Calculation-sheet'!G52/10^9</f>
        <v>0.64304367966194675</v>
      </c>
      <c r="H63" s="2">
        <f>H8*'Output-Calculation-sheet'!H52/10^9</f>
        <v>1.1095086236811857</v>
      </c>
      <c r="I63" s="2">
        <f>I8*'Output-Calculation-sheet'!I52/10^9</f>
        <v>0.59612991419818262</v>
      </c>
      <c r="J63" s="2">
        <f>J8*'Output-Calculation-sheet'!J52/10^9</f>
        <v>0.6060491267632635</v>
      </c>
      <c r="K63" s="2">
        <f>K8*'Output-Calculation-sheet'!K52/10^9</f>
        <v>0.60990577604636964</v>
      </c>
      <c r="L63" s="2">
        <f>L8*'Output-Calculation-sheet'!L52/10^9</f>
        <v>0.49719322941600441</v>
      </c>
      <c r="M63" s="2">
        <f>M8*'Output-Calculation-sheet'!M52/10^9</f>
        <v>0.76817285126465318</v>
      </c>
      <c r="N63" s="2">
        <f>N8*'Output-Calculation-sheet'!N52/10^9</f>
        <v>0.68922968431018428</v>
      </c>
      <c r="O63" s="2">
        <f>O8*'Output-Calculation-sheet'!O52/10^9</f>
        <v>0.7453620253707085</v>
      </c>
      <c r="P63" s="2">
        <f>P8*'Output-Calculation-sheet'!P52/10^9</f>
        <v>0.49099167804067018</v>
      </c>
      <c r="Q63" s="2">
        <f>Q8*'Output-Calculation-sheet'!Q52/10^9</f>
        <v>0.50635232200782276</v>
      </c>
      <c r="R63" s="2">
        <f>R8*'Output-Calculation-sheet'!R52/10^9</f>
        <v>0.41469702325928492</v>
      </c>
      <c r="S63" s="2">
        <f>S8*'Output-Calculation-sheet'!S52/10^9</f>
        <v>0.38132089778373879</v>
      </c>
      <c r="T63" s="2">
        <f>T8*'Output-Calculation-sheet'!T52/10^9</f>
        <v>0.14298056529636327</v>
      </c>
      <c r="U63" s="2">
        <f>U8*'Output-Calculation-sheet'!U52/10^9</f>
        <v>0.12989128094860347</v>
      </c>
      <c r="V63" s="2">
        <f>V8*'Output-Calculation-sheet'!V52/10^9</f>
        <v>0.10036623326952841</v>
      </c>
      <c r="W63" s="2">
        <f>W8*'Output-Calculation-sheet'!W52/10^9</f>
        <v>7.841184279292579E-2</v>
      </c>
      <c r="X63" s="2">
        <f>X8*'Output-Calculation-sheet'!X52/10^9</f>
        <v>9.4055065563440454E-2</v>
      </c>
      <c r="Y63" s="2">
        <f>Y8*'Output-Calculation-sheet'!Y52/10^9</f>
        <v>5.0970830065808929E-2</v>
      </c>
      <c r="AA63" s="2">
        <f t="shared" si="4"/>
        <v>23.192925621428042</v>
      </c>
    </row>
    <row r="64" spans="1:27" x14ac:dyDescent="0.25">
      <c r="A64" s="2">
        <v>2032</v>
      </c>
      <c r="B64" s="2">
        <f>B9*'Output-Calculation-sheet'!B53/10^9</f>
        <v>7.4650285038208715</v>
      </c>
      <c r="C64" s="2">
        <f>C9*'Output-Calculation-sheet'!C53/10^9</f>
        <v>4.9431631377273728</v>
      </c>
      <c r="D64" s="2">
        <f>D9*'Output-Calculation-sheet'!D53/10^9</f>
        <v>1.7986091846152981</v>
      </c>
      <c r="E64" s="2">
        <f>E9*'Output-Calculation-sheet'!E53/10^9</f>
        <v>1.7559926553391381</v>
      </c>
      <c r="F64" s="2">
        <f>F9*'Output-Calculation-sheet'!F53/10^9</f>
        <v>0.88560514197459472</v>
      </c>
      <c r="G64" s="2">
        <f>G9*'Output-Calculation-sheet'!G53/10^9</f>
        <v>0.64327615980214858</v>
      </c>
      <c r="H64" s="2">
        <f>H9*'Output-Calculation-sheet'!H53/10^9</f>
        <v>1.3810836863663662</v>
      </c>
      <c r="I64" s="2">
        <f>I9*'Output-Calculation-sheet'!I53/10^9</f>
        <v>0.60065728491579951</v>
      </c>
      <c r="J64" s="2">
        <f>J9*'Output-Calculation-sheet'!J53/10^9</f>
        <v>0.59953689165572066</v>
      </c>
      <c r="K64" s="2">
        <f>K9*'Output-Calculation-sheet'!K53/10^9</f>
        <v>0.64664924332283413</v>
      </c>
      <c r="L64" s="2">
        <f>L9*'Output-Calculation-sheet'!L53/10^9</f>
        <v>0.53304540394918365</v>
      </c>
      <c r="M64" s="2">
        <f>M9*'Output-Calculation-sheet'!M53/10^9</f>
        <v>0.95680029819266099</v>
      </c>
      <c r="N64" s="2">
        <f>N9*'Output-Calculation-sheet'!N53/10^9</f>
        <v>0.85018762146206084</v>
      </c>
      <c r="O64" s="2">
        <f>O9*'Output-Calculation-sheet'!O53/10^9</f>
        <v>0.91473563330853991</v>
      </c>
      <c r="P64" s="2">
        <f>P9*'Output-Calculation-sheet'!P53/10^9</f>
        <v>0.57835161766842347</v>
      </c>
      <c r="Q64" s="2">
        <f>Q9*'Output-Calculation-sheet'!Q53/10^9</f>
        <v>0.59181138026109836</v>
      </c>
      <c r="R64" s="2">
        <f>R9*'Output-Calculation-sheet'!R53/10^9</f>
        <v>0.46269939773065011</v>
      </c>
      <c r="S64" s="2">
        <f>S9*'Output-Calculation-sheet'!S53/10^9</f>
        <v>0.46828969449847363</v>
      </c>
      <c r="T64" s="2">
        <f>T9*'Output-Calculation-sheet'!T53/10^9</f>
        <v>0.14826915345460204</v>
      </c>
      <c r="U64" s="2">
        <f>U9*'Output-Calculation-sheet'!U53/10^9</f>
        <v>0.14626029988859302</v>
      </c>
      <c r="V64" s="2">
        <f>V9*'Output-Calculation-sheet'!V53/10^9</f>
        <v>0.10882179731538562</v>
      </c>
      <c r="W64" s="2">
        <f>W9*'Output-Calculation-sheet'!W53/10^9</f>
        <v>7.8564834625395874E-2</v>
      </c>
      <c r="X64" s="2">
        <f>X9*'Output-Calculation-sheet'!X53/10^9</f>
        <v>0.1174147286909492</v>
      </c>
      <c r="Y64" s="2">
        <f>Y9*'Output-Calculation-sheet'!Y53/10^9</f>
        <v>5.6632201953011232E-2</v>
      </c>
      <c r="AA64" s="2">
        <f t="shared" si="4"/>
        <v>26.731485952539177</v>
      </c>
    </row>
    <row r="65" spans="1:27" x14ac:dyDescent="0.25">
      <c r="A65" s="2">
        <v>2033</v>
      </c>
      <c r="B65" s="2">
        <f>B10*'Output-Calculation-sheet'!B54/10^9</f>
        <v>9.0034727429126775</v>
      </c>
      <c r="C65" s="2">
        <f>C10*'Output-Calculation-sheet'!C54/10^9</f>
        <v>5.9464064771060148</v>
      </c>
      <c r="D65" s="2">
        <f>D10*'Output-Calculation-sheet'!D54/10^9</f>
        <v>1.7295145218140089</v>
      </c>
      <c r="E65" s="2">
        <f>E10*'Output-Calculation-sheet'!E54/10^9</f>
        <v>1.9626038533806298</v>
      </c>
      <c r="F65" s="2">
        <f>F10*'Output-Calculation-sheet'!F54/10^9</f>
        <v>0.89032229213370229</v>
      </c>
      <c r="G65" s="2">
        <f>G10*'Output-Calculation-sheet'!G54/10^9</f>
        <v>0.6144706989550075</v>
      </c>
      <c r="H65" s="2">
        <f>H10*'Output-Calculation-sheet'!H54/10^9</f>
        <v>1.6332760253188889</v>
      </c>
      <c r="I65" s="2">
        <f>I10*'Output-Calculation-sheet'!I54/10^9</f>
        <v>0.60443473636508815</v>
      </c>
      <c r="J65" s="2">
        <f>J10*'Output-Calculation-sheet'!J54/10^9</f>
        <v>0.55744579678782413</v>
      </c>
      <c r="K65" s="2">
        <f>K10*'Output-Calculation-sheet'!K54/10^9</f>
        <v>0.71092668755653943</v>
      </c>
      <c r="L65" s="2">
        <f>L10*'Output-Calculation-sheet'!L54/10^9</f>
        <v>0.59131792331110877</v>
      </c>
      <c r="M65" s="2">
        <f>M10*'Output-Calculation-sheet'!M54/10^9</f>
        <v>1.1317969707570141</v>
      </c>
      <c r="N65" s="2">
        <f>N10*'Output-Calculation-sheet'!N54/10^9</f>
        <v>1.017528459837951</v>
      </c>
      <c r="O65" s="2">
        <f>O10*'Output-Calculation-sheet'!O54/10^9</f>
        <v>1.0771516154293457</v>
      </c>
      <c r="P65" s="2">
        <f>P10*'Output-Calculation-sheet'!P54/10^9</f>
        <v>0.68661052341413986</v>
      </c>
      <c r="Q65" s="2">
        <f>Q10*'Output-Calculation-sheet'!Q54/10^9</f>
        <v>0.71232380118226946</v>
      </c>
      <c r="R65" s="2">
        <f>R10*'Output-Calculation-sheet'!R54/10^9</f>
        <v>0.53229372067527048</v>
      </c>
      <c r="S65" s="2">
        <f>S10*'Output-Calculation-sheet'!S54/10^9</f>
        <v>0.56290903933375924</v>
      </c>
      <c r="T65" s="2">
        <f>T10*'Output-Calculation-sheet'!T54/10^9</f>
        <v>0.15977085940774757</v>
      </c>
      <c r="U65" s="2">
        <f>U10*'Output-Calculation-sheet'!U54/10^9</f>
        <v>0.17274029835951116</v>
      </c>
      <c r="V65" s="2">
        <f>V10*'Output-Calculation-sheet'!V54/10^9</f>
        <v>0.1205573540402623</v>
      </c>
      <c r="W65" s="2">
        <f>W10*'Output-Calculation-sheet'!W54/10^9</f>
        <v>7.5411203980913027E-2</v>
      </c>
      <c r="X65" s="2">
        <f>X10*'Output-Calculation-sheet'!X54/10^9</f>
        <v>0.13994457677806155</v>
      </c>
      <c r="Y65" s="2">
        <f>Y10*'Output-Calculation-sheet'!Y54/10^9</f>
        <v>6.6526306355523465E-2</v>
      </c>
      <c r="AA65" s="2">
        <f t="shared" si="4"/>
        <v>30.699756485193262</v>
      </c>
    </row>
    <row r="66" spans="1:27" x14ac:dyDescent="0.25">
      <c r="A66" s="2">
        <v>2034</v>
      </c>
      <c r="B66" s="2">
        <f>B11*'Output-Calculation-sheet'!B55/10^9</f>
        <v>10.886620146006601</v>
      </c>
      <c r="C66" s="2">
        <f>C11*'Output-Calculation-sheet'!C55/10^9</f>
        <v>6.9326784053433679</v>
      </c>
      <c r="D66" s="2">
        <f>D11*'Output-Calculation-sheet'!D55/10^9</f>
        <v>2.0429835796099582</v>
      </c>
      <c r="E66" s="2">
        <f>E11*'Output-Calculation-sheet'!E55/10^9</f>
        <v>2.5175922714918468</v>
      </c>
      <c r="F66" s="2">
        <f>F11*'Output-Calculation-sheet'!F55/10^9</f>
        <v>1.0082179355778409</v>
      </c>
      <c r="G66" s="2">
        <f>G11*'Output-Calculation-sheet'!G55/10^9</f>
        <v>0.72626055418745183</v>
      </c>
      <c r="H66" s="2">
        <f>H11*'Output-Calculation-sheet'!H55/10^9</f>
        <v>1.9137840704299758</v>
      </c>
      <c r="I66" s="2">
        <f>I11*'Output-Calculation-sheet'!I55/10^9</f>
        <v>0.71387470694342958</v>
      </c>
      <c r="J66" s="2">
        <f>J11*'Output-Calculation-sheet'!J55/10^9</f>
        <v>0.63026562838490829</v>
      </c>
      <c r="K66" s="2">
        <f>K11*'Output-Calculation-sheet'!K55/10^9</f>
        <v>0.84174808266053425</v>
      </c>
      <c r="L66" s="2">
        <f>L11*'Output-Calculation-sheet'!L55/10^9</f>
        <v>0.73828472071510021</v>
      </c>
      <c r="M66" s="2">
        <f>M11*'Output-Calculation-sheet'!M55/10^9</f>
        <v>1.3284279298459247</v>
      </c>
      <c r="N66" s="2">
        <f>N11*'Output-Calculation-sheet'!N55/10^9</f>
        <v>1.1897735239154279</v>
      </c>
      <c r="O66" s="2">
        <f>O11*'Output-Calculation-sheet'!O55/10^9</f>
        <v>1.2338083682000724</v>
      </c>
      <c r="P66" s="2">
        <f>P11*'Output-Calculation-sheet'!P55/10^9</f>
        <v>0.83587629015497578</v>
      </c>
      <c r="Q66" s="2">
        <f>Q11*'Output-Calculation-sheet'!Q55/10^9</f>
        <v>0.86793403989991857</v>
      </c>
      <c r="R66" s="2">
        <f>R11*'Output-Calculation-sheet'!R55/10^9</f>
        <v>0.63261306592788935</v>
      </c>
      <c r="S66" s="2">
        <f>S11*'Output-Calculation-sheet'!S55/10^9</f>
        <v>0.66997787762451233</v>
      </c>
      <c r="T66" s="2">
        <f>T11*'Output-Calculation-sheet'!T55/10^9</f>
        <v>0.18624312030885046</v>
      </c>
      <c r="U66" s="2">
        <f>U11*'Output-Calculation-sheet'!U55/10^9</f>
        <v>0.21528296386012225</v>
      </c>
      <c r="V66" s="2">
        <f>V11*'Output-Calculation-sheet'!V55/10^9</f>
        <v>0.1391030066996653</v>
      </c>
      <c r="W66" s="2">
        <f>W11*'Output-Calculation-sheet'!W55/10^9</f>
        <v>8.4750231648761734E-2</v>
      </c>
      <c r="X66" s="2">
        <f>X11*'Output-Calculation-sheet'!X55/10^9</f>
        <v>0.16768185527217269</v>
      </c>
      <c r="Y66" s="2">
        <f>Y11*'Output-Calculation-sheet'!Y55/10^9</f>
        <v>8.7883545269396388E-2</v>
      </c>
      <c r="AA66" s="2">
        <f t="shared" si="4"/>
        <v>36.591665919978709</v>
      </c>
    </row>
    <row r="67" spans="1:27" x14ac:dyDescent="0.25">
      <c r="A67" s="2">
        <v>2035</v>
      </c>
      <c r="B67" s="2">
        <f>B12*'Output-Calculation-sheet'!B56/10^9</f>
        <v>12.931702453126945</v>
      </c>
      <c r="C67" s="2">
        <f>C12*'Output-Calculation-sheet'!C56/10^9</f>
        <v>7.8860700126081875</v>
      </c>
      <c r="D67" s="2">
        <f>D12*'Output-Calculation-sheet'!D56/10^9</f>
        <v>2.6338436752114647</v>
      </c>
      <c r="E67" s="2">
        <f>E12*'Output-Calculation-sheet'!E56/10^9</f>
        <v>3.5590768277467224</v>
      </c>
      <c r="F67" s="2">
        <f>F12*'Output-Calculation-sheet'!F56/10^9</f>
        <v>1.4124573263321318</v>
      </c>
      <c r="G67" s="2">
        <f>G12*'Output-Calculation-sheet'!G56/10^9</f>
        <v>1.024421678737981</v>
      </c>
      <c r="H67" s="2">
        <f>H12*'Output-Calculation-sheet'!H56/10^9</f>
        <v>2.2313572560919317</v>
      </c>
      <c r="I67" s="2">
        <f>I12*'Output-Calculation-sheet'!I56/10^9</f>
        <v>0.96792342241934248</v>
      </c>
      <c r="J67" s="2">
        <f>J12*'Output-Calculation-sheet'!J56/10^9</f>
        <v>0.80001935373416688</v>
      </c>
      <c r="K67" s="2">
        <f>K12*'Output-Calculation-sheet'!K56/10^9</f>
        <v>1.0803228274997003</v>
      </c>
      <c r="L67" s="2">
        <f>L12*'Output-Calculation-sheet'!L56/10^9</f>
        <v>0.93167572456235215</v>
      </c>
      <c r="M67" s="2">
        <f>M12*'Output-Calculation-sheet'!M56/10^9</f>
        <v>1.5636466586175484</v>
      </c>
      <c r="N67" s="2">
        <f>N12*'Output-Calculation-sheet'!N56/10^9</f>
        <v>1.3688562132684934</v>
      </c>
      <c r="O67" s="2">
        <f>O12*'Output-Calculation-sheet'!O56/10^9</f>
        <v>1.3851941262008767</v>
      </c>
      <c r="P67" s="2">
        <f>P12*'Output-Calculation-sheet'!P56/10^9</f>
        <v>1.0915784117671039</v>
      </c>
      <c r="Q67" s="2">
        <f>Q12*'Output-Calculation-sheet'!Q56/10^9</f>
        <v>1.0224050471162409</v>
      </c>
      <c r="R67" s="2">
        <f>R12*'Output-Calculation-sheet'!R56/10^9</f>
        <v>0.8035546508711221</v>
      </c>
      <c r="S67" s="2">
        <f>S12*'Output-Calculation-sheet'!S56/10^9</f>
        <v>0.77902126213847678</v>
      </c>
      <c r="T67" s="2">
        <f>T12*'Output-Calculation-sheet'!T56/10^9</f>
        <v>0.24701788223844137</v>
      </c>
      <c r="U67" s="2">
        <f>U12*'Output-Calculation-sheet'!U56/10^9</f>
        <v>0.26644120975723323</v>
      </c>
      <c r="V67" s="2">
        <f>V12*'Output-Calculation-sheet'!V56/10^9</f>
        <v>0.16813006175890335</v>
      </c>
      <c r="W67" s="2">
        <f>W12*'Output-Calculation-sheet'!W56/10^9</f>
        <v>0.13071814187705125</v>
      </c>
      <c r="X67" s="2">
        <f>X12*'Output-Calculation-sheet'!X56/10^9</f>
        <v>0.19612306785784023</v>
      </c>
      <c r="Y67" s="2">
        <f>Y12*'Output-Calculation-sheet'!Y56/10^9</f>
        <v>0.12273529846323128</v>
      </c>
      <c r="AA67" s="2">
        <f t="shared" si="4"/>
        <v>44.604292590003489</v>
      </c>
    </row>
    <row r="68" spans="1:27" x14ac:dyDescent="0.25">
      <c r="B68" s="2">
        <f>SUM(B60:B67)</f>
        <v>59.324281245096493</v>
      </c>
      <c r="C68" s="2">
        <f t="shared" ref="C68:Y68" si="5">SUM(C60:C67)</f>
        <v>36.165935777633145</v>
      </c>
      <c r="D68" s="2">
        <f t="shared" si="5"/>
        <v>14.325416392500472</v>
      </c>
      <c r="E68" s="2">
        <f t="shared" si="5"/>
        <v>15.291956323163401</v>
      </c>
      <c r="F68" s="2">
        <f t="shared" si="5"/>
        <v>7.1127461059854387</v>
      </c>
      <c r="G68" s="2">
        <f t="shared" si="5"/>
        <v>5.2016176798192557</v>
      </c>
      <c r="H68" s="2">
        <f t="shared" si="5"/>
        <v>10.165817130703228</v>
      </c>
      <c r="I68" s="2">
        <f t="shared" si="5"/>
        <v>4.9065306434753371</v>
      </c>
      <c r="J68" s="2">
        <f t="shared" si="5"/>
        <v>4.6754256513967087</v>
      </c>
      <c r="K68" s="2">
        <f t="shared" si="5"/>
        <v>5.3002796753634982</v>
      </c>
      <c r="L68" s="2">
        <f t="shared" si="5"/>
        <v>4.4318646922332867</v>
      </c>
      <c r="M68" s="2">
        <f t="shared" si="5"/>
        <v>7.0602035135867407</v>
      </c>
      <c r="N68" s="2">
        <f t="shared" si="5"/>
        <v>6.4403049581123897</v>
      </c>
      <c r="O68" s="2">
        <f t="shared" si="5"/>
        <v>6.6361649621395502</v>
      </c>
      <c r="P68" s="2">
        <f t="shared" si="5"/>
        <v>4.7115111411211279</v>
      </c>
      <c r="Q68" s="2">
        <f t="shared" si="5"/>
        <v>4.7399560325324872</v>
      </c>
      <c r="R68" s="2">
        <f t="shared" si="5"/>
        <v>3.7798098948051684</v>
      </c>
      <c r="S68" s="2">
        <f t="shared" si="5"/>
        <v>3.607947728607213</v>
      </c>
      <c r="T68" s="2">
        <f t="shared" si="5"/>
        <v>1.2178114512224039</v>
      </c>
      <c r="U68" s="2">
        <f t="shared" si="5"/>
        <v>1.2269600350208389</v>
      </c>
      <c r="V68" s="2">
        <f t="shared" si="5"/>
        <v>0.86554844244822104</v>
      </c>
      <c r="W68" s="2">
        <f t="shared" si="5"/>
        <v>0.63648734050088118</v>
      </c>
      <c r="X68" s="2">
        <f t="shared" si="5"/>
        <v>0.87298322034247633</v>
      </c>
      <c r="Y68" s="2">
        <f t="shared" si="5"/>
        <v>0.50048954726191108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1761.8253162238166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1177.1992901577103</v>
      </c>
      <c r="N74" s="2">
        <f>N8/'Output-Calculation-sheet'!N7*'Output-Calculation-sheet'!N61</f>
        <v>49.336590095996058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144.94598541312092</v>
      </c>
      <c r="Y74" s="2">
        <f>Y8/'Output-Calculation-sheet'!Y7*'Output-Calculation-sheet'!Y61</f>
        <v>0</v>
      </c>
      <c r="AA74" s="2">
        <f t="shared" si="6"/>
        <v>3.1333071818906437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237.67935647562118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3173.1132923929404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2155.5565923099207</v>
      </c>
      <c r="N75" s="2">
        <f>N9/'Output-Calculation-sheet'!N8*'Output-Calculation-sheet'!N62</f>
        <v>833.68611533245303</v>
      </c>
      <c r="O75" s="2">
        <f>O9/'Output-Calculation-sheet'!O8*'Output-Calculation-sheet'!O62</f>
        <v>0</v>
      </c>
      <c r="P75" s="2">
        <f>P9/'Output-Calculation-sheet'!P8*'Output-Calculation-sheet'!P62</f>
        <v>55.813971270030329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275.76390204306398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260.58643871330401</v>
      </c>
      <c r="Y75" s="2">
        <f>Y9/'Output-Calculation-sheet'!Y8*'Output-Calculation-sheet'!Y62</f>
        <v>0</v>
      </c>
      <c r="AA75" s="2">
        <f t="shared" si="6"/>
        <v>6.9921996685373351</v>
      </c>
    </row>
    <row r="76" spans="1:27" x14ac:dyDescent="0.25">
      <c r="A76" s="2">
        <v>2033</v>
      </c>
      <c r="B76" s="2">
        <f>B10/'Output-Calculation-sheet'!B9*'Output-Calculation-sheet'!B63</f>
        <v>7409.5705963172268</v>
      </c>
      <c r="C76" s="2">
        <f>C10/'Output-Calculation-sheet'!C9*'Output-Calculation-sheet'!C63</f>
        <v>1859.1338588760209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4837.1091071415067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3293.4613629080518</v>
      </c>
      <c r="N76" s="2">
        <f>N10/'Output-Calculation-sheet'!N9*'Output-Calculation-sheet'!N63</f>
        <v>1885.4385350255877</v>
      </c>
      <c r="O76" s="2">
        <f>O10/'Output-Calculation-sheet'!O9*'Output-Calculation-sheet'!O63</f>
        <v>0</v>
      </c>
      <c r="P76" s="2">
        <f>P10/'Output-Calculation-sheet'!P9*'Output-Calculation-sheet'!P63</f>
        <v>646.23263449811282</v>
      </c>
      <c r="Q76" s="2">
        <f>Q10/'Output-Calculation-sheet'!Q9*'Output-Calculation-sheet'!Q63</f>
        <v>287.74018228564171</v>
      </c>
      <c r="R76" s="2">
        <f>R10/'Output-Calculation-sheet'!R9*'Output-Calculation-sheet'!R63</f>
        <v>496.00983319870954</v>
      </c>
      <c r="S76" s="2">
        <f>S10/'Output-Calculation-sheet'!S9*'Output-Calculation-sheet'!S63</f>
        <v>835.81367950679282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174.20406865426426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387.87969930443552</v>
      </c>
      <c r="Y76" s="2">
        <f>Y10/'Output-Calculation-sheet'!Y9*'Output-Calculation-sheet'!Y63</f>
        <v>7.3585752082529883</v>
      </c>
      <c r="AA76" s="2">
        <f t="shared" si="6"/>
        <v>22.294118630864421</v>
      </c>
    </row>
    <row r="77" spans="1:27" x14ac:dyDescent="0.25">
      <c r="A77" s="2">
        <v>2034</v>
      </c>
      <c r="B77" s="2">
        <f>B11/'Output-Calculation-sheet'!B10*'Output-Calculation-sheet'!B64</f>
        <v>15999.394971548718</v>
      </c>
      <c r="C77" s="2">
        <f>C11/'Output-Calculation-sheet'!C10*'Output-Calculation-sheet'!C64</f>
        <v>4357.9087375610716</v>
      </c>
      <c r="D77" s="2">
        <f>D11/'Output-Calculation-sheet'!D10*'Output-Calculation-sheet'!D64</f>
        <v>2383.5788242645758</v>
      </c>
      <c r="E77" s="2">
        <f>E11/'Output-Calculation-sheet'!E10*'Output-Calculation-sheet'!E64</f>
        <v>2956.5428544682018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1272.191558952381</v>
      </c>
      <c r="H77" s="2">
        <f>H11/'Output-Calculation-sheet'!H10*'Output-Calculation-sheet'!H64</f>
        <v>6268.5526213832354</v>
      </c>
      <c r="I77" s="2">
        <f>I11/'Output-Calculation-sheet'!I10*'Output-Calculation-sheet'!I64</f>
        <v>742.39136802472365</v>
      </c>
      <c r="J77" s="2">
        <f>J11/'Output-Calculation-sheet'!J10*'Output-Calculation-sheet'!J64</f>
        <v>509.57795178278644</v>
      </c>
      <c r="K77" s="2">
        <f>K11/'Output-Calculation-sheet'!K10*'Output-Calculation-sheet'!K64</f>
        <v>1150.795511736706</v>
      </c>
      <c r="L77" s="2">
        <f>L11/'Output-Calculation-sheet'!L10*'Output-Calculation-sheet'!L64</f>
        <v>282.15762244624557</v>
      </c>
      <c r="M77" s="2">
        <f>M11/'Output-Calculation-sheet'!M10*'Output-Calculation-sheet'!M64</f>
        <v>4295.5625707728741</v>
      </c>
      <c r="N77" s="2">
        <f>N11/'Output-Calculation-sheet'!N10*'Output-Calculation-sheet'!N64</f>
        <v>2908.2783138968884</v>
      </c>
      <c r="O77" s="2">
        <f>O11/'Output-Calculation-sheet'!O10*'Output-Calculation-sheet'!O64</f>
        <v>0</v>
      </c>
      <c r="P77" s="2">
        <f>P11/'Output-Calculation-sheet'!P10*'Output-Calculation-sheet'!P64</f>
        <v>1413.9982944251487</v>
      </c>
      <c r="Q77" s="2">
        <f>Q11/'Output-Calculation-sheet'!Q10*'Output-Calculation-sheet'!Q64</f>
        <v>576.99837334936956</v>
      </c>
      <c r="R77" s="2">
        <f>R11/'Output-Calculation-sheet'!R10*'Output-Calculation-sheet'!R64</f>
        <v>1200.9898828303528</v>
      </c>
      <c r="S77" s="2">
        <f>S11/'Output-Calculation-sheet'!S10*'Output-Calculation-sheet'!S64</f>
        <v>1340.6288306468589</v>
      </c>
      <c r="T77" s="2">
        <f>T11/'Output-Calculation-sheet'!T10*'Output-Calculation-sheet'!T64</f>
        <v>332.74919680940923</v>
      </c>
      <c r="U77" s="2">
        <f>U11/'Output-Calculation-sheet'!U10*'Output-Calculation-sheet'!U64</f>
        <v>355.33297507539191</v>
      </c>
      <c r="V77" s="2">
        <f>V11/'Output-Calculation-sheet'!V10*'Output-Calculation-sheet'!V64</f>
        <v>172.13652313091924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439.78489715552161</v>
      </c>
      <c r="Y77" s="2">
        <f>Y11/'Output-Calculation-sheet'!Y10*'Output-Calculation-sheet'!Y64</f>
        <v>109.90954265070657</v>
      </c>
      <c r="AA77" s="2">
        <f t="shared" si="6"/>
        <v>49.291188483540324</v>
      </c>
    </row>
    <row r="78" spans="1:27" x14ac:dyDescent="0.25">
      <c r="A78" s="2">
        <v>2035</v>
      </c>
      <c r="B78" s="2">
        <f>B12/'Output-Calculation-sheet'!B11*'Output-Calculation-sheet'!B65</f>
        <v>20918.651792039145</v>
      </c>
      <c r="C78" s="2">
        <f>C12/'Output-Calculation-sheet'!C11*'Output-Calculation-sheet'!C65</f>
        <v>8998.9765403720576</v>
      </c>
      <c r="D78" s="2">
        <f>D12/'Output-Calculation-sheet'!D11*'Output-Calculation-sheet'!D65</f>
        <v>2286.8277731379721</v>
      </c>
      <c r="E78" s="2">
        <f>E12/'Output-Calculation-sheet'!E11*'Output-Calculation-sheet'!E65</f>
        <v>4227.5670355983693</v>
      </c>
      <c r="F78" s="2">
        <f>F12/'Output-Calculation-sheet'!F11*'Output-Calculation-sheet'!F65</f>
        <v>919.52734602621729</v>
      </c>
      <c r="G78" s="2">
        <f>G12/'Output-Calculation-sheet'!G11*'Output-Calculation-sheet'!G65</f>
        <v>1747.9573072921767</v>
      </c>
      <c r="H78" s="2">
        <f>H12/'Output-Calculation-sheet'!H11*'Output-Calculation-sheet'!H65</f>
        <v>6755.6247019380844</v>
      </c>
      <c r="I78" s="2">
        <f>I12/'Output-Calculation-sheet'!I11*'Output-Calculation-sheet'!I65</f>
        <v>1149.8097026354787</v>
      </c>
      <c r="J78" s="2">
        <f>J12/'Output-Calculation-sheet'!J11*'Output-Calculation-sheet'!J65</f>
        <v>468.82974610764859</v>
      </c>
      <c r="K78" s="2">
        <f>K12/'Output-Calculation-sheet'!K11*'Output-Calculation-sheet'!K65</f>
        <v>1424.3968182193621</v>
      </c>
      <c r="L78" s="2">
        <f>L12/'Output-Calculation-sheet'!L11*'Output-Calculation-sheet'!L65</f>
        <v>455.95821875004873</v>
      </c>
      <c r="M78" s="2">
        <f>M12/'Output-Calculation-sheet'!M11*'Output-Calculation-sheet'!M65</f>
        <v>4705.127454042351</v>
      </c>
      <c r="N78" s="2">
        <f>N12/'Output-Calculation-sheet'!N11*'Output-Calculation-sheet'!N65</f>
        <v>3260.7401392104607</v>
      </c>
      <c r="O78" s="2">
        <f>O12/'Output-Calculation-sheet'!O11*'Output-Calculation-sheet'!O65</f>
        <v>0</v>
      </c>
      <c r="P78" s="2">
        <f>P12/'Output-Calculation-sheet'!P11*'Output-Calculation-sheet'!P65</f>
        <v>1878.5471393308342</v>
      </c>
      <c r="Q78" s="2">
        <f>Q12/'Output-Calculation-sheet'!Q11*'Output-Calculation-sheet'!Q65</f>
        <v>759.51068712947756</v>
      </c>
      <c r="R78" s="2">
        <f>R12/'Output-Calculation-sheet'!R11*'Output-Calculation-sheet'!R65</f>
        <v>1478.9061000830422</v>
      </c>
      <c r="S78" s="2">
        <f>S12/'Output-Calculation-sheet'!S11*'Output-Calculation-sheet'!S65</f>
        <v>1540.1758097769537</v>
      </c>
      <c r="T78" s="2">
        <f>T12/'Output-Calculation-sheet'!T11*'Output-Calculation-sheet'!T65</f>
        <v>546.35942229217301</v>
      </c>
      <c r="U78" s="2">
        <f>U12/'Output-Calculation-sheet'!U11*'Output-Calculation-sheet'!U65</f>
        <v>394.53984316985589</v>
      </c>
      <c r="V78" s="2">
        <f>V12/'Output-Calculation-sheet'!V11*'Output-Calculation-sheet'!V65</f>
        <v>198.73532140018222</v>
      </c>
      <c r="W78" s="2">
        <f>W12/'Output-Calculation-sheet'!W11*'Output-Calculation-sheet'!W65</f>
        <v>216.29635178334004</v>
      </c>
      <c r="X78" s="2">
        <f>X12/'Output-Calculation-sheet'!X11*'Output-Calculation-sheet'!X65</f>
        <v>475.38031008130935</v>
      </c>
      <c r="Y78" s="2">
        <f>Y12/'Output-Calculation-sheet'!Y11*'Output-Calculation-sheet'!Y65</f>
        <v>182.53414680976232</v>
      </c>
      <c r="AA78" s="2">
        <f t="shared" si="6"/>
        <v>64.990979707226302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1401.012058096974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272.17895247246912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1.673191010569443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2224.7677673225071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408.20071887717745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2.6329684861996849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3148.753958331994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558.52529975849495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3.7072792580904887</v>
      </c>
    </row>
    <row r="88" spans="1:27" x14ac:dyDescent="0.25">
      <c r="A88" s="2">
        <v>2034</v>
      </c>
      <c r="B88" s="2">
        <f>B11/'Output-Calculation-sheet'!B10*'Output-Calculation-sheet'!B73</f>
        <v>312.53091187366863</v>
      </c>
      <c r="C88" s="2">
        <f>C11/'Output-Calculation-sheet'!C10*'Output-Calculation-sheet'!C73</f>
        <v>3856.687674072904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45.661868426911283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33.132647069779892</v>
      </c>
      <c r="M88" s="2">
        <f>M11/'Output-Calculation-sheet'!M10*'Output-Calculation-sheet'!M73</f>
        <v>31.419833747378661</v>
      </c>
      <c r="N88" s="2">
        <f>N11/'Output-Calculation-sheet'!N10*'Output-Calculation-sheet'!N73</f>
        <v>30.880654865222116</v>
      </c>
      <c r="O88" s="2">
        <f>O11/'Output-Calculation-sheet'!O10*'Output-Calculation-sheet'!O73</f>
        <v>720.43332825832761</v>
      </c>
      <c r="P88" s="2">
        <f>P11/'Output-Calculation-sheet'!P10*'Output-Calculation-sheet'!P73</f>
        <v>0</v>
      </c>
      <c r="Q88" s="2">
        <f>Q11/'Output-Calculation-sheet'!Q10*'Output-Calculation-sheet'!Q73</f>
        <v>54.112198569761752</v>
      </c>
      <c r="R88" s="2">
        <f>R11/'Output-Calculation-sheet'!R10*'Output-Calculation-sheet'!R73</f>
        <v>0</v>
      </c>
      <c r="S88" s="2">
        <f>S11/'Output-Calculation-sheet'!S10*'Output-Calculation-sheet'!S73</f>
        <v>17.701809367613741</v>
      </c>
      <c r="T88" s="2">
        <f>T11/'Output-Calculation-sheet'!T10*'Output-Calculation-sheet'!T73</f>
        <v>0</v>
      </c>
      <c r="U88" s="2">
        <f>U11/'Output-Calculation-sheet'!U10*'Output-Calculation-sheet'!U73</f>
        <v>8.6325488332780704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17.234166091476734</v>
      </c>
      <c r="Y88" s="2">
        <f>Y11/'Output-Calculation-sheet'!Y10*'Output-Calculation-sheet'!Y73</f>
        <v>0</v>
      </c>
      <c r="AA88" s="2">
        <f t="shared" si="7"/>
        <v>5.1284276411763221</v>
      </c>
    </row>
    <row r="89" spans="1:27" x14ac:dyDescent="0.25">
      <c r="A89" s="2">
        <v>2035</v>
      </c>
      <c r="B89" s="2">
        <f>B12/'Output-Calculation-sheet'!B11*'Output-Calculation-sheet'!B74</f>
        <v>1000.5254113501815</v>
      </c>
      <c r="C89" s="2">
        <f>C12/'Output-Calculation-sheet'!C11*'Output-Calculation-sheet'!C74</f>
        <v>4273.8450790671332</v>
      </c>
      <c r="D89" s="2">
        <f>D12/'Output-Calculation-sheet'!D11*'Output-Calculation-sheet'!D74</f>
        <v>280.43752199864764</v>
      </c>
      <c r="E89" s="2">
        <f>E12/'Output-Calculation-sheet'!E11*'Output-Calculation-sheet'!E74</f>
        <v>334.30954231476153</v>
      </c>
      <c r="F89" s="2">
        <f>F12/'Output-Calculation-sheet'!F11*'Output-Calculation-sheet'!F74</f>
        <v>140.17185152838678</v>
      </c>
      <c r="G89" s="2">
        <f>G12/'Output-Calculation-sheet'!G11*'Output-Calculation-sheet'!G74</f>
        <v>100.59896447826979</v>
      </c>
      <c r="H89" s="2">
        <f>H12/'Output-Calculation-sheet'!H11*'Output-Calculation-sheet'!H74</f>
        <v>292.3605822986267</v>
      </c>
      <c r="I89" s="2">
        <f>I12/'Output-Calculation-sheet'!I11*'Output-Calculation-sheet'!I74</f>
        <v>90.482762355733129</v>
      </c>
      <c r="J89" s="2">
        <f>J12/'Output-Calculation-sheet'!J11*'Output-Calculation-sheet'!J74</f>
        <v>89.548227697000968</v>
      </c>
      <c r="K89" s="2">
        <f>K12/'Output-Calculation-sheet'!K11*'Output-Calculation-sheet'!K74</f>
        <v>88.930312681486058</v>
      </c>
      <c r="L89" s="2">
        <f>L12/'Output-Calculation-sheet'!L11*'Output-Calculation-sheet'!L74</f>
        <v>70.713123255280507</v>
      </c>
      <c r="M89" s="2">
        <f>M12/'Output-Calculation-sheet'!M11*'Output-Calculation-sheet'!M74</f>
        <v>201.17268974249532</v>
      </c>
      <c r="N89" s="2">
        <f>N12/'Output-Calculation-sheet'!N11*'Output-Calculation-sheet'!N74</f>
        <v>131.81364888167602</v>
      </c>
      <c r="O89" s="2">
        <f>O12/'Output-Calculation-sheet'!O11*'Output-Calculation-sheet'!O74</f>
        <v>861.04471983142548</v>
      </c>
      <c r="P89" s="2">
        <f>P12/'Output-Calculation-sheet'!P11*'Output-Calculation-sheet'!P74</f>
        <v>91.329045618689975</v>
      </c>
      <c r="Q89" s="2">
        <f>Q12/'Output-Calculation-sheet'!Q11*'Output-Calculation-sheet'!Q74</f>
        <v>115.48858619774614</v>
      </c>
      <c r="R89" s="2">
        <f>R12/'Output-Calculation-sheet'!R11*'Output-Calculation-sheet'!R74</f>
        <v>57.264233721174101</v>
      </c>
      <c r="S89" s="2">
        <f>S12/'Output-Calculation-sheet'!S11*'Output-Calculation-sheet'!S74</f>
        <v>75.559928853089687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27.635936620270556</v>
      </c>
      <c r="V89" s="2">
        <f>V12/'Output-Calculation-sheet'!V11*'Output-Calculation-sheet'!V74</f>
        <v>14.20654238331419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40.460089992451451</v>
      </c>
      <c r="Y89" s="2">
        <f>Y12/'Output-Calculation-sheet'!Y11*'Output-Calculation-sheet'!Y74</f>
        <v>10.648564714230179</v>
      </c>
      <c r="AA89" s="2">
        <f t="shared" si="7"/>
        <v>8.4052911414937146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14218716324.466661</v>
      </c>
      <c r="C96" s="2">
        <f>C8/'Output-Calculation-sheet'!C7*'Output-Calculation-sheet'!C79</f>
        <v>4810256354.3018131</v>
      </c>
      <c r="D96" s="2">
        <f>D8/'Output-Calculation-sheet'!D7*'Output-Calculation-sheet'!D79</f>
        <v>5021590841.477704</v>
      </c>
      <c r="E96" s="2">
        <f>E8/'Output-Calculation-sheet'!E7*'Output-Calculation-sheet'!E79</f>
        <v>8927960953.185648</v>
      </c>
      <c r="F96" s="2">
        <f>F8/'Output-Calculation-sheet'!F7*'Output-Calculation-sheet'!F79</f>
        <v>3695195060.6302056</v>
      </c>
      <c r="G96" s="2">
        <f>G8/'Output-Calculation-sheet'!G7*'Output-Calculation-sheet'!G79</f>
        <v>2878253105.6554708</v>
      </c>
      <c r="H96" s="2">
        <f>H8/'Output-Calculation-sheet'!H7*'Output-Calculation-sheet'!H79</f>
        <v>2463622108.2289906</v>
      </c>
      <c r="I96" s="2">
        <f>I8/'Output-Calculation-sheet'!I7*'Output-Calculation-sheet'!I79</f>
        <v>2005009283.092839</v>
      </c>
      <c r="J96" s="2">
        <f>J8/'Output-Calculation-sheet'!J7*'Output-Calculation-sheet'!J79</f>
        <v>1355839065.5325935</v>
      </c>
      <c r="K96" s="2">
        <f>K8/'Output-Calculation-sheet'!K7*'Output-Calculation-sheet'!K79</f>
        <v>1939801249.2897861</v>
      </c>
      <c r="L96" s="2">
        <f>L8/'Output-Calculation-sheet'!L7*'Output-Calculation-sheet'!L79</f>
        <v>1368722073.6213996</v>
      </c>
      <c r="M96" s="2">
        <f>M8/'Output-Calculation-sheet'!M7*'Output-Calculation-sheet'!M79</f>
        <v>1839046256.9670999</v>
      </c>
      <c r="N96" s="2">
        <f>N8/'Output-Calculation-sheet'!N7*'Output-Calculation-sheet'!N79</f>
        <v>1368396880.8483531</v>
      </c>
      <c r="O96" s="2">
        <f>O8/'Output-Calculation-sheet'!O7*'Output-Calculation-sheet'!O79</f>
        <v>691771491.18300235</v>
      </c>
      <c r="P96" s="2">
        <f>P8/'Output-Calculation-sheet'!P7*'Output-Calculation-sheet'!P79</f>
        <v>2313830549.575273</v>
      </c>
      <c r="Q96" s="2">
        <f>Q8/'Output-Calculation-sheet'!Q7*'Output-Calculation-sheet'!Q79</f>
        <v>1078344004.4241238</v>
      </c>
      <c r="R96" s="2">
        <f>R8/'Output-Calculation-sheet'!R7*'Output-Calculation-sheet'!R79</f>
        <v>1345362332.3836589</v>
      </c>
      <c r="S96" s="2">
        <f>S8/'Output-Calculation-sheet'!S7*'Output-Calculation-sheet'!S79</f>
        <v>783920840.69583774</v>
      </c>
      <c r="T96" s="2">
        <f>T8/'Output-Calculation-sheet'!T7*'Output-Calculation-sheet'!T79</f>
        <v>598735053.43087137</v>
      </c>
      <c r="U96" s="2">
        <f>U8/'Output-Calculation-sheet'!U7*'Output-Calculation-sheet'!U79</f>
        <v>376109972.5438956</v>
      </c>
      <c r="V96" s="2">
        <f>V8/'Output-Calculation-sheet'!V7*'Output-Calculation-sheet'!V79</f>
        <v>195145466.93351945</v>
      </c>
      <c r="W96" s="2">
        <f>W8/'Output-Calculation-sheet'!W7*'Output-Calculation-sheet'!W79</f>
        <v>576639033.8022356</v>
      </c>
      <c r="X96" s="2">
        <f>X8/'Output-Calculation-sheet'!X7*'Output-Calculation-sheet'!X79</f>
        <v>202672301.78134638</v>
      </c>
      <c r="Y96" s="2">
        <f>Y8/'Output-Calculation-sheet'!Y7*'Output-Calculation-sheet'!Y79</f>
        <v>316976685.31987208</v>
      </c>
      <c r="AA96" s="2">
        <f t="shared" si="8"/>
        <v>60.371917289372192</v>
      </c>
    </row>
    <row r="97" spans="1:27" x14ac:dyDescent="0.25">
      <c r="A97" s="2">
        <v>2032</v>
      </c>
      <c r="B97" s="2">
        <f>B9/'Output-Calculation-sheet'!B8*'Output-Calculation-sheet'!B80</f>
        <v>20372316725.910095</v>
      </c>
      <c r="C97" s="2">
        <f>C9/'Output-Calculation-sheet'!C8*'Output-Calculation-sheet'!C80</f>
        <v>6938920888.1591396</v>
      </c>
      <c r="D97" s="2">
        <f>D9/'Output-Calculation-sheet'!D8*'Output-Calculation-sheet'!D80</f>
        <v>6913959209.4363012</v>
      </c>
      <c r="E97" s="2">
        <f>E9/'Output-Calculation-sheet'!E8*'Output-Calculation-sheet'!E80</f>
        <v>12644597054.171854</v>
      </c>
      <c r="F97" s="2">
        <f>F9/'Output-Calculation-sheet'!F8*'Output-Calculation-sheet'!F80</f>
        <v>5223484067.2729635</v>
      </c>
      <c r="G97" s="2">
        <f>G9/'Output-Calculation-sheet'!G8*'Output-Calculation-sheet'!G80</f>
        <v>3953890458.9674559</v>
      </c>
      <c r="H97" s="2">
        <f>H9/'Output-Calculation-sheet'!H8*'Output-Calculation-sheet'!H80</f>
        <v>3478624988.2389102</v>
      </c>
      <c r="I97" s="2">
        <f>I9/'Output-Calculation-sheet'!I8*'Output-Calculation-sheet'!I80</f>
        <v>2861491877.6243625</v>
      </c>
      <c r="J97" s="2">
        <f>J9/'Output-Calculation-sheet'!J8*'Output-Calculation-sheet'!J80</f>
        <v>1881166792.6182766</v>
      </c>
      <c r="K97" s="2">
        <f>K9/'Output-Calculation-sheet'!K8*'Output-Calculation-sheet'!K80</f>
        <v>2712098281.7312918</v>
      </c>
      <c r="L97" s="2">
        <f>L9/'Output-Calculation-sheet'!L8*'Output-Calculation-sheet'!L80</f>
        <v>1973958285.5521016</v>
      </c>
      <c r="M97" s="2">
        <f>M9/'Output-Calculation-sheet'!M8*'Output-Calculation-sheet'!M80</f>
        <v>2604417120.067131</v>
      </c>
      <c r="N97" s="2">
        <f>N9/'Output-Calculation-sheet'!N8*'Output-Calculation-sheet'!N80</f>
        <v>1902874920.7882648</v>
      </c>
      <c r="O97" s="2">
        <f>O9/'Output-Calculation-sheet'!O8*'Output-Calculation-sheet'!O80</f>
        <v>984422856.59594941</v>
      </c>
      <c r="P97" s="2">
        <f>P9/'Output-Calculation-sheet'!P8*'Output-Calculation-sheet'!P80</f>
        <v>3220846475.9861679</v>
      </c>
      <c r="Q97" s="2">
        <f>Q9/'Output-Calculation-sheet'!Q8*'Output-Calculation-sheet'!Q80</f>
        <v>1506588470.9709609</v>
      </c>
      <c r="R97" s="2">
        <f>R9/'Output-Calculation-sheet'!R8*'Output-Calculation-sheet'!R80</f>
        <v>1903570693.4435165</v>
      </c>
      <c r="S97" s="2">
        <f>S9/'Output-Calculation-sheet'!S8*'Output-Calculation-sheet'!S80</f>
        <v>1104826922.1964509</v>
      </c>
      <c r="T97" s="2">
        <f>T9/'Output-Calculation-sheet'!T8*'Output-Calculation-sheet'!T80</f>
        <v>831973528.15112066</v>
      </c>
      <c r="U97" s="2">
        <f>U9/'Output-Calculation-sheet'!U8*'Output-Calculation-sheet'!U80</f>
        <v>531874709.76289743</v>
      </c>
      <c r="V97" s="2">
        <f>V9/'Output-Calculation-sheet'!V8*'Output-Calculation-sheet'!V80</f>
        <v>278883400.47475743</v>
      </c>
      <c r="W97" s="2">
        <f>W9/'Output-Calculation-sheet'!W8*'Output-Calculation-sheet'!W80</f>
        <v>807651716.37729657</v>
      </c>
      <c r="X97" s="2">
        <f>X9/'Output-Calculation-sheet'!X8*'Output-Calculation-sheet'!X80</f>
        <v>290024905.8121376</v>
      </c>
      <c r="Y97" s="2">
        <f>Y9/'Output-Calculation-sheet'!Y8*'Output-Calculation-sheet'!Y80</f>
        <v>443937662.46689069</v>
      </c>
      <c r="AA97" s="2">
        <f t="shared" si="8"/>
        <v>85.366402012776305</v>
      </c>
    </row>
    <row r="98" spans="1:27" x14ac:dyDescent="0.25">
      <c r="A98" s="2">
        <v>2033</v>
      </c>
      <c r="B98" s="2">
        <f>B10/'Output-Calculation-sheet'!B9*'Output-Calculation-sheet'!B81</f>
        <v>27066263171.170055</v>
      </c>
      <c r="C98" s="2">
        <f>C10/'Output-Calculation-sheet'!C9*'Output-Calculation-sheet'!C81</f>
        <v>9279657195.9902554</v>
      </c>
      <c r="D98" s="2">
        <f>D10/'Output-Calculation-sheet'!D9*'Output-Calculation-sheet'!D81</f>
        <v>8831407294.5409718</v>
      </c>
      <c r="E98" s="2">
        <f>E10/'Output-Calculation-sheet'!E9*'Output-Calculation-sheet'!E81</f>
        <v>16612432790.759899</v>
      </c>
      <c r="F98" s="2">
        <f>F10/'Output-Calculation-sheet'!F9*'Output-Calculation-sheet'!F81</f>
        <v>6851368823.3964605</v>
      </c>
      <c r="G98" s="2">
        <f>G10/'Output-Calculation-sheet'!G9*'Output-Calculation-sheet'!G81</f>
        <v>5030484615.4218941</v>
      </c>
      <c r="H98" s="2">
        <f>H10/'Output-Calculation-sheet'!H9*'Output-Calculation-sheet'!H81</f>
        <v>4557660161.8688059</v>
      </c>
      <c r="I98" s="2">
        <f>I10/'Output-Calculation-sheet'!I9*'Output-Calculation-sheet'!I81</f>
        <v>3788761134.4575219</v>
      </c>
      <c r="J98" s="2">
        <f>J10/'Output-Calculation-sheet'!J9*'Output-Calculation-sheet'!J81</f>
        <v>2422629363.8075914</v>
      </c>
      <c r="K98" s="2">
        <f>K10/'Output-Calculation-sheet'!K9*'Output-Calculation-sheet'!K81</f>
        <v>3518965224.7740626</v>
      </c>
      <c r="L98" s="2">
        <f>L10/'Output-Calculation-sheet'!L9*'Output-Calculation-sheet'!L81</f>
        <v>2639276593.477808</v>
      </c>
      <c r="M98" s="2">
        <f>M10/'Output-Calculation-sheet'!M9*'Output-Calculation-sheet'!M81</f>
        <v>3422611422.5342302</v>
      </c>
      <c r="N98" s="2">
        <f>N10/'Output-Calculation-sheet'!N9*'Output-Calculation-sheet'!N81</f>
        <v>2455456645.7785373</v>
      </c>
      <c r="O98" s="2">
        <f>O10/'Output-Calculation-sheet'!O9*'Output-Calculation-sheet'!O81</f>
        <v>1300303016.3321805</v>
      </c>
      <c r="P98" s="2">
        <f>P10/'Output-Calculation-sheet'!P9*'Output-Calculation-sheet'!P81</f>
        <v>4155391163.2802925</v>
      </c>
      <c r="Q98" s="2">
        <f>Q10/'Output-Calculation-sheet'!Q9*'Output-Calculation-sheet'!Q81</f>
        <v>1953759583.3610368</v>
      </c>
      <c r="R98" s="2">
        <f>R10/'Output-Calculation-sheet'!R9*'Output-Calculation-sheet'!R81</f>
        <v>2499154087.9262886</v>
      </c>
      <c r="S98" s="2">
        <f>S10/'Output-Calculation-sheet'!S9*'Output-Calculation-sheet'!S81</f>
        <v>1444956009.2068982</v>
      </c>
      <c r="T98" s="2">
        <f>T10/'Output-Calculation-sheet'!T9*'Output-Calculation-sheet'!T81</f>
        <v>1072216803.7398341</v>
      </c>
      <c r="U98" s="2">
        <f>U10/'Output-Calculation-sheet'!U9*'Output-Calculation-sheet'!U81</f>
        <v>697653792.64573014</v>
      </c>
      <c r="V98" s="2">
        <f>V10/'Output-Calculation-sheet'!V9*'Output-Calculation-sheet'!V81</f>
        <v>369489196.91205347</v>
      </c>
      <c r="W98" s="2">
        <f>W10/'Output-Calculation-sheet'!W9*'Output-Calculation-sheet'!W81</f>
        <v>1047629347.1327603</v>
      </c>
      <c r="X98" s="2">
        <f>X10/'Output-Calculation-sheet'!X9*'Output-Calculation-sheet'!X81</f>
        <v>384972088.76744878</v>
      </c>
      <c r="Y98" s="2">
        <f>Y10/'Output-Calculation-sheet'!Y9*'Output-Calculation-sheet'!Y81</f>
        <v>576051493.45327795</v>
      </c>
      <c r="AA98" s="2">
        <f t="shared" si="8"/>
        <v>111.97855102073591</v>
      </c>
    </row>
    <row r="99" spans="1:27" x14ac:dyDescent="0.25">
      <c r="A99" s="2">
        <v>2034</v>
      </c>
      <c r="B99" s="2">
        <f>B11/'Output-Calculation-sheet'!B10*'Output-Calculation-sheet'!B82</f>
        <v>34202507908.901047</v>
      </c>
      <c r="C99" s="2">
        <f>C11/'Output-Calculation-sheet'!C10*'Output-Calculation-sheet'!C82</f>
        <v>11801268481.596556</v>
      </c>
      <c r="D99" s="2">
        <f>D11/'Output-Calculation-sheet'!D10*'Output-Calculation-sheet'!D82</f>
        <v>10735834809.076853</v>
      </c>
      <c r="E99" s="2">
        <f>E11/'Output-Calculation-sheet'!E10*'Output-Calculation-sheet'!E82</f>
        <v>20767531024.18269</v>
      </c>
      <c r="F99" s="2">
        <f>F11/'Output-Calculation-sheet'!F10*'Output-Calculation-sheet'!F82</f>
        <v>8553081879.5842857</v>
      </c>
      <c r="G99" s="2">
        <f>G11/'Output-Calculation-sheet'!G10*'Output-Calculation-sheet'!G82</f>
        <v>6080632576.5551023</v>
      </c>
      <c r="H99" s="2">
        <f>H11/'Output-Calculation-sheet'!H10*'Output-Calculation-sheet'!H82</f>
        <v>5683455137.9213219</v>
      </c>
      <c r="I99" s="2">
        <f>I11/'Output-Calculation-sheet'!I10*'Output-Calculation-sheet'!I82</f>
        <v>4773706651.2444897</v>
      </c>
      <c r="J99" s="2">
        <f>J11/'Output-Calculation-sheet'!J10*'Output-Calculation-sheet'!J82</f>
        <v>2970675823.3224673</v>
      </c>
      <c r="K99" s="2">
        <f>K11/'Output-Calculation-sheet'!K10*'Output-Calculation-sheet'!K82</f>
        <v>4346488561.8826342</v>
      </c>
      <c r="L99" s="2">
        <f>L11/'Output-Calculation-sheet'!L10*'Output-Calculation-sheet'!L82</f>
        <v>3355807025.8155866</v>
      </c>
      <c r="M99" s="2">
        <f>M11/'Output-Calculation-sheet'!M10*'Output-Calculation-sheet'!M82</f>
        <v>4281241410.5508184</v>
      </c>
      <c r="N99" s="2">
        <f>N11/'Output-Calculation-sheet'!N10*'Output-Calculation-sheet'!N82</f>
        <v>3016138574.016685</v>
      </c>
      <c r="O99" s="2">
        <f>O11/'Output-Calculation-sheet'!O10*'Output-Calculation-sheet'!O82</f>
        <v>1635200088.7343633</v>
      </c>
      <c r="P99" s="2">
        <f>P11/'Output-Calculation-sheet'!P10*'Output-Calculation-sheet'!P82</f>
        <v>5097289116.4172211</v>
      </c>
      <c r="Q99" s="2">
        <f>Q11/'Output-Calculation-sheet'!Q10*'Output-Calculation-sheet'!Q82</f>
        <v>2412357526.2910352</v>
      </c>
      <c r="R99" s="2">
        <f>R11/'Output-Calculation-sheet'!R10*'Output-Calculation-sheet'!R82</f>
        <v>3122785661.5811725</v>
      </c>
      <c r="S99" s="2">
        <f>S11/'Output-Calculation-sheet'!S10*'Output-Calculation-sheet'!S82</f>
        <v>1798811843.2325525</v>
      </c>
      <c r="T99" s="2">
        <f>T11/'Output-Calculation-sheet'!T10*'Output-Calculation-sheet'!T82</f>
        <v>1314721151.5737631</v>
      </c>
      <c r="U99" s="2">
        <f>U11/'Output-Calculation-sheet'!U10*'Output-Calculation-sheet'!U82</f>
        <v>870634849.32537651</v>
      </c>
      <c r="V99" s="2">
        <f>V11/'Output-Calculation-sheet'!V10*'Output-Calculation-sheet'!V82</f>
        <v>465517599.36696571</v>
      </c>
      <c r="W99" s="2">
        <f>W11/'Output-Calculation-sheet'!W10*'Output-Calculation-sheet'!W82</f>
        <v>1290896601.6597235</v>
      </c>
      <c r="X99" s="2">
        <f>X11/'Output-Calculation-sheet'!X10*'Output-Calculation-sheet'!X82</f>
        <v>486187199.99017906</v>
      </c>
      <c r="Y99" s="2">
        <f>Y11/'Output-Calculation-sheet'!Y10*'Output-Calculation-sheet'!Y82</f>
        <v>710402555.85256386</v>
      </c>
      <c r="AA99" s="2">
        <f t="shared" si="8"/>
        <v>139.77317405867541</v>
      </c>
    </row>
    <row r="100" spans="1:27" x14ac:dyDescent="0.25">
      <c r="A100" s="2">
        <v>2035</v>
      </c>
      <c r="B100" s="2">
        <f>B12/'Output-Calculation-sheet'!B11*'Output-Calculation-sheet'!B83</f>
        <v>41701765741.687386</v>
      </c>
      <c r="C100" s="2">
        <f>C12/'Output-Calculation-sheet'!C11*'Output-Calculation-sheet'!C83</f>
        <v>14478175729.99408</v>
      </c>
      <c r="D100" s="2">
        <f>D12/'Output-Calculation-sheet'!D11*'Output-Calculation-sheet'!D83</f>
        <v>12601395550.379171</v>
      </c>
      <c r="E100" s="2">
        <f>E12/'Output-Calculation-sheet'!E11*'Output-Calculation-sheet'!E83</f>
        <v>25060924226.101345</v>
      </c>
      <c r="F100" s="2">
        <f>F12/'Output-Calculation-sheet'!F11*'Output-Calculation-sheet'!F83</f>
        <v>10309064975.321581</v>
      </c>
      <c r="G100" s="2">
        <f>G12/'Output-Calculation-sheet'!G11*'Output-Calculation-sheet'!G83</f>
        <v>7084335006.9547005</v>
      </c>
      <c r="H100" s="2">
        <f>H12/'Output-Calculation-sheet'!H11*'Output-Calculation-sheet'!H83</f>
        <v>6842938189.8415689</v>
      </c>
      <c r="I100" s="2">
        <f>I12/'Output-Calculation-sheet'!I11*'Output-Calculation-sheet'!I83</f>
        <v>5806097894.8426838</v>
      </c>
      <c r="J100" s="2">
        <f>J12/'Output-Calculation-sheet'!J11*'Output-Calculation-sheet'!J83</f>
        <v>3518745221.6404505</v>
      </c>
      <c r="K100" s="2">
        <f>K12/'Output-Calculation-sheet'!K11*'Output-Calculation-sheet'!K83</f>
        <v>5184610550.2368326</v>
      </c>
      <c r="L100" s="2">
        <f>L12/'Output-Calculation-sheet'!L11*'Output-Calculation-sheet'!L83</f>
        <v>4116285153.4692965</v>
      </c>
      <c r="M100" s="2">
        <f>M12/'Output-Calculation-sheet'!M11*'Output-Calculation-sheet'!M83</f>
        <v>5170966287.2882357</v>
      </c>
      <c r="N100" s="2">
        <f>N12/'Output-Calculation-sheet'!N11*'Output-Calculation-sheet'!N83</f>
        <v>3577900255.1258831</v>
      </c>
      <c r="O100" s="2">
        <f>O12/'Output-Calculation-sheet'!O11*'Output-Calculation-sheet'!O83</f>
        <v>1985961821.8267045</v>
      </c>
      <c r="P100" s="2">
        <f>P12/'Output-Calculation-sheet'!P11*'Output-Calculation-sheet'!P83</f>
        <v>6031507166.2267141</v>
      </c>
      <c r="Q100" s="2">
        <f>Q12/'Output-Calculation-sheet'!Q11*'Output-Calculation-sheet'!Q83</f>
        <v>2877056567.6231651</v>
      </c>
      <c r="R100" s="2">
        <f>R12/'Output-Calculation-sheet'!R11*'Output-Calculation-sheet'!R83</f>
        <v>3767345219.4355788</v>
      </c>
      <c r="S100" s="2">
        <f>S12/'Output-Calculation-sheet'!S11*'Output-Calculation-sheet'!S83</f>
        <v>2162262593.0226622</v>
      </c>
      <c r="T100" s="2">
        <f>T12/'Output-Calculation-sheet'!T11*'Output-Calculation-sheet'!T83</f>
        <v>1556079895.8368149</v>
      </c>
      <c r="U100" s="2">
        <f>U12/'Output-Calculation-sheet'!U11*'Output-Calculation-sheet'!U83</f>
        <v>1048621663.9110954</v>
      </c>
      <c r="V100" s="2">
        <f>V12/'Output-Calculation-sheet'!V11*'Output-Calculation-sheet'!V83</f>
        <v>565792314.13549995</v>
      </c>
      <c r="W100" s="2">
        <f>W12/'Output-Calculation-sheet'!W11*'Output-Calculation-sheet'!W83</f>
        <v>1532870378.6437538</v>
      </c>
      <c r="X100" s="2">
        <f>X12/'Output-Calculation-sheet'!X11*'Output-Calculation-sheet'!X83</f>
        <v>592622248.49043584</v>
      </c>
      <c r="Y100" s="2">
        <f>Y12/'Output-Calculation-sheet'!Y11*'Output-Calculation-sheet'!Y83</f>
        <v>844703075.1908232</v>
      </c>
      <c r="AA100" s="2">
        <f t="shared" si="8"/>
        <v>168.4180277272265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1294.6230395991481</v>
      </c>
      <c r="C19" s="2">
        <f>C8/'Output-Calculation-sheet'!C7*'Output-Calculation-sheet'!C25</f>
        <v>12065.582783976346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5808.9166590146651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4035.9318890021368</v>
      </c>
      <c r="N19" s="2">
        <f>N8/'Output-Calculation-sheet'!N7*'Output-Calculation-sheet'!N25</f>
        <v>1381.7779998442104</v>
      </c>
      <c r="O19" s="2">
        <f>O8/'Output-Calculation-sheet'!O7*'Output-Calculation-sheet'!O25</f>
        <v>2140.3408504752533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493.0402033353638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451.60686158712008</v>
      </c>
      <c r="Y19" s="2">
        <f>Y8/'Output-Calculation-sheet'!Y7*'Output-Calculation-sheet'!Y25</f>
        <v>0</v>
      </c>
      <c r="AA19" s="2">
        <f t="shared" si="0"/>
        <v>27.671820286834244</v>
      </c>
    </row>
    <row r="20" spans="1:27" x14ac:dyDescent="0.25">
      <c r="A20" s="2">
        <v>2032</v>
      </c>
      <c r="B20" s="2">
        <f>B9/'Output-Calculation-sheet'!B8*'Output-Calculation-sheet'!B26</f>
        <v>7672.4578833559808</v>
      </c>
      <c r="C20" s="2">
        <f>C9/'Output-Calculation-sheet'!C8*'Output-Calculation-sheet'!C26</f>
        <v>15594.665489710402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8347.0968426188301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5805.28462675013</v>
      </c>
      <c r="N20" s="2">
        <f>N9/'Output-Calculation-sheet'!N8*'Output-Calculation-sheet'!N26</f>
        <v>2617.4899617842839</v>
      </c>
      <c r="O20" s="2">
        <f>O9/'Output-Calculation-sheet'!O8*'Output-Calculation-sheet'!O26</f>
        <v>2715.4318397075854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946.4071822897223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648.83916162284697</v>
      </c>
      <c r="Y20" s="2">
        <f>Y9/'Output-Calculation-sheet'!Y8*'Output-Calculation-sheet'!Y26</f>
        <v>0</v>
      </c>
      <c r="AA20" s="2">
        <f t="shared" si="0"/>
        <v>44.347672987839779</v>
      </c>
    </row>
    <row r="21" spans="1:27" x14ac:dyDescent="0.25">
      <c r="A21" s="2">
        <v>2033</v>
      </c>
      <c r="B21" s="2">
        <f>B10/'Output-Calculation-sheet'!B9*'Output-Calculation-sheet'!B27</f>
        <v>19227.623242768193</v>
      </c>
      <c r="C21" s="2">
        <f>C10/'Output-Calculation-sheet'!C9*'Output-Calculation-sheet'!C27</f>
        <v>19601.504653173946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11115.979012022934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7720.8229257458797</v>
      </c>
      <c r="N21" s="2">
        <f>N10/'Output-Calculation-sheet'!N9*'Output-Calculation-sheet'!N27</f>
        <v>4201.2083238969371</v>
      </c>
      <c r="O21" s="2">
        <f>O10/'Output-Calculation-sheet'!O9*'Output-Calculation-sheet'!O27</f>
        <v>3259.1563410165163</v>
      </c>
      <c r="P21" s="2">
        <f>P10/'Output-Calculation-sheet'!P9*'Output-Calculation-sheet'!P27</f>
        <v>0</v>
      </c>
      <c r="Q21" s="2">
        <f>Q10/'Output-Calculation-sheet'!Q9*'Output-Calculation-sheet'!Q27</f>
        <v>286.90929073937076</v>
      </c>
      <c r="R21" s="2">
        <f>R10/'Output-Calculation-sheet'!R9*'Output-Calculation-sheet'!R27</f>
        <v>0</v>
      </c>
      <c r="S21" s="2">
        <f>S10/'Output-Calculation-sheet'!S9*'Output-Calculation-sheet'!S27</f>
        <v>1838.4250637339326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907.84803037353208</v>
      </c>
      <c r="Y21" s="2">
        <f>Y10/'Output-Calculation-sheet'!Y9*'Output-Calculation-sheet'!Y27</f>
        <v>0</v>
      </c>
      <c r="AA21" s="2">
        <f t="shared" si="0"/>
        <v>68.159476883471243</v>
      </c>
    </row>
    <row r="22" spans="1:27" x14ac:dyDescent="0.25">
      <c r="A22" s="2">
        <v>2034</v>
      </c>
      <c r="B22" s="2">
        <f>B11/'Output-Calculation-sheet'!B10*'Output-Calculation-sheet'!B28</f>
        <v>34418.386112815482</v>
      </c>
      <c r="C22" s="2">
        <f>C11/'Output-Calculation-sheet'!C10*'Output-Calculation-sheet'!C28</f>
        <v>24575.435982883897</v>
      </c>
      <c r="D22" s="2">
        <f>D11/'Output-Calculation-sheet'!D10*'Output-Calculation-sheet'!D28</f>
        <v>0</v>
      </c>
      <c r="E22" s="2">
        <f>E11/'Output-Calculation-sheet'!E10*'Output-Calculation-sheet'!E28</f>
        <v>1990.7028246648899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14469.149439837904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988.52322165372198</v>
      </c>
      <c r="M22" s="2">
        <f>M11/'Output-Calculation-sheet'!M10*'Output-Calculation-sheet'!M28</f>
        <v>10052.328372515098</v>
      </c>
      <c r="N22" s="2">
        <f>N11/'Output-Calculation-sheet'!N10*'Output-Calculation-sheet'!N28</f>
        <v>5836.2811260916078</v>
      </c>
      <c r="O22" s="2">
        <f>O11/'Output-Calculation-sheet'!O10*'Output-Calculation-sheet'!O28</f>
        <v>3782.4250751201644</v>
      </c>
      <c r="P22" s="2">
        <f>P11/'Output-Calculation-sheet'!P10*'Output-Calculation-sheet'!P28</f>
        <v>0</v>
      </c>
      <c r="Q22" s="2">
        <f>Q11/'Output-Calculation-sheet'!Q10*'Output-Calculation-sheet'!Q28</f>
        <v>872.55175261329816</v>
      </c>
      <c r="R22" s="2">
        <f>R11/'Output-Calculation-sheet'!R10*'Output-Calculation-sheet'!R28</f>
        <v>0</v>
      </c>
      <c r="S22" s="2">
        <f>S11/'Output-Calculation-sheet'!S10*'Output-Calculation-sheet'!S28</f>
        <v>2726.0505635782765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1046.8906168876235</v>
      </c>
      <c r="Y22" s="2">
        <f>Y11/'Output-Calculation-sheet'!Y10*'Output-Calculation-sheet'!Y28</f>
        <v>110.22300912285236</v>
      </c>
      <c r="AA22" s="2">
        <f t="shared" si="0"/>
        <v>100.86894809778482</v>
      </c>
    </row>
    <row r="23" spans="1:27" x14ac:dyDescent="0.25">
      <c r="A23" s="2">
        <v>2035</v>
      </c>
      <c r="B23" s="2">
        <f>B12/'Output-Calculation-sheet'!B11*'Output-Calculation-sheet'!B29</f>
        <v>42976.524620761789</v>
      </c>
      <c r="C23" s="2">
        <f>C12/'Output-Calculation-sheet'!C11*'Output-Calculation-sheet'!C29</f>
        <v>31347.71137207557</v>
      </c>
      <c r="D23" s="2">
        <f>D12/'Output-Calculation-sheet'!D11*'Output-Calculation-sheet'!D29</f>
        <v>0</v>
      </c>
      <c r="E23" s="2">
        <f>E12/'Output-Calculation-sheet'!E11*'Output-Calculation-sheet'!E29</f>
        <v>5467.0082255762682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15735.728959173737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1293.9993500877974</v>
      </c>
      <c r="M23" s="2">
        <f>M12/'Output-Calculation-sheet'!M11*'Output-Calculation-sheet'!M29</f>
        <v>11094.701106330866</v>
      </c>
      <c r="N23" s="2">
        <f>N12/'Output-Calculation-sheet'!N11*'Output-Calculation-sheet'!N29</f>
        <v>6537.3934149320039</v>
      </c>
      <c r="O23" s="2">
        <f>O12/'Output-Calculation-sheet'!O11*'Output-Calculation-sheet'!O29</f>
        <v>4325.0591717118268</v>
      </c>
      <c r="P23" s="2">
        <f>P12/'Output-Calculation-sheet'!P11*'Output-Calculation-sheet'!P29</f>
        <v>922.14800041384626</v>
      </c>
      <c r="Q23" s="2">
        <f>Q12/'Output-Calculation-sheet'!Q11*'Output-Calculation-sheet'!Q29</f>
        <v>1396.7394042315057</v>
      </c>
      <c r="R23" s="2">
        <f>R12/'Output-Calculation-sheet'!R11*'Output-Calculation-sheet'!R29</f>
        <v>0</v>
      </c>
      <c r="S23" s="2">
        <f>S12/'Output-Calculation-sheet'!S11*'Output-Calculation-sheet'!S29</f>
        <v>3196.993309196554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1152.5548768427934</v>
      </c>
      <c r="Y23" s="2">
        <f>Y12/'Output-Calculation-sheet'!Y11*'Output-Calculation-sheet'!Y29</f>
        <v>292.66524964049137</v>
      </c>
      <c r="AA23" s="2">
        <f t="shared" si="0"/>
        <v>125.73922706097503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22564.859026635757</v>
      </c>
      <c r="C30" s="2">
        <f>C8/'Output-Calculation-sheet'!C7*'Output-Calculation-sheet'!C16</f>
        <v>0</v>
      </c>
      <c r="D30" s="2">
        <f>D8/'Output-Calculation-sheet'!D7*'Output-Calculation-sheet'!D16</f>
        <v>3799.623960432617</v>
      </c>
      <c r="E30" s="2">
        <f>E8/'Output-Calculation-sheet'!E7*'Output-Calculation-sheet'!E16</f>
        <v>4088.1807108105804</v>
      </c>
      <c r="F30" s="2">
        <f>F8/'Output-Calculation-sheet'!F7*'Output-Calculation-sheet'!F16</f>
        <v>2062.5089229262348</v>
      </c>
      <c r="G30" s="2">
        <f>G8/'Output-Calculation-sheet'!G7*'Output-Calculation-sheet'!G16</f>
        <v>1350.698376999994</v>
      </c>
      <c r="H30" s="2">
        <f>H8/'Output-Calculation-sheet'!H7*'Output-Calculation-sheet'!H16</f>
        <v>0</v>
      </c>
      <c r="I30" s="2">
        <f>I8/'Output-Calculation-sheet'!I7*'Output-Calculation-sheet'!I16</f>
        <v>1316.7286757394716</v>
      </c>
      <c r="J30" s="2">
        <f>J8/'Output-Calculation-sheet'!J7*'Output-Calculation-sheet'!J16</f>
        <v>1172.1417070144612</v>
      </c>
      <c r="K30" s="2">
        <f>K8/'Output-Calculation-sheet'!K7*'Output-Calculation-sheet'!K16</f>
        <v>1565.0332218055153</v>
      </c>
      <c r="L30" s="2">
        <f>L8/'Output-Calculation-sheet'!L7*'Output-Calculation-sheet'!L16</f>
        <v>1321.9442597099953</v>
      </c>
      <c r="M30" s="2">
        <f>M8/'Output-Calculation-sheet'!M7*'Output-Calculation-sheet'!M16</f>
        <v>0</v>
      </c>
      <c r="N30" s="2">
        <f>N8/'Output-Calculation-sheet'!N7*'Output-Calculation-sheet'!N16</f>
        <v>1877.7104487373672</v>
      </c>
      <c r="O30" s="2">
        <f>O8/'Output-Calculation-sheet'!O7*'Output-Calculation-sheet'!O16</f>
        <v>0</v>
      </c>
      <c r="P30" s="2">
        <f>P8/'Output-Calculation-sheet'!P7*'Output-Calculation-sheet'!P16</f>
        <v>1687.6245387250767</v>
      </c>
      <c r="Q30" s="2">
        <f>Q8/'Output-Calculation-sheet'!Q7*'Output-Calculation-sheet'!Q16</f>
        <v>1855.8296379960764</v>
      </c>
      <c r="R30" s="2">
        <f>R8/'Output-Calculation-sheet'!R7*'Output-Calculation-sheet'!R16</f>
        <v>1177.5319714570146</v>
      </c>
      <c r="S30" s="2">
        <f>S8/'Output-Calculation-sheet'!S7*'Output-Calculation-sheet'!S16</f>
        <v>1184.251872500002</v>
      </c>
      <c r="T30" s="2">
        <f>T8/'Output-Calculation-sheet'!T7*'Output-Calculation-sheet'!T16</f>
        <v>353.47817170341301</v>
      </c>
      <c r="U30" s="2">
        <f>U8/'Output-Calculation-sheet'!U7*'Output-Calculation-sheet'!U16</f>
        <v>352.84633843488865</v>
      </c>
      <c r="V30" s="2">
        <f>V8/'Output-Calculation-sheet'!V7*'Output-Calculation-sheet'!V16</f>
        <v>274.61359813412753</v>
      </c>
      <c r="W30" s="2">
        <f>W8/'Output-Calculation-sheet'!W7*'Output-Calculation-sheet'!W16</f>
        <v>166.56699123622346</v>
      </c>
      <c r="X30" s="2">
        <f>X8/'Output-Calculation-sheet'!X7*'Output-Calculation-sheet'!X16</f>
        <v>0</v>
      </c>
      <c r="Y30" s="2">
        <f>Y8/'Output-Calculation-sheet'!Y7*'Output-Calculation-sheet'!Y16</f>
        <v>140.98002152212112</v>
      </c>
      <c r="AA30" s="2">
        <f t="shared" si="1"/>
        <v>48.313152452520924</v>
      </c>
    </row>
    <row r="31" spans="1:27" x14ac:dyDescent="0.25">
      <c r="A31" s="2">
        <v>2032</v>
      </c>
      <c r="B31" s="2">
        <f>B9/'Output-Calculation-sheet'!B8*'Output-Calculation-sheet'!B17</f>
        <v>32487.721562242961</v>
      </c>
      <c r="C31" s="2">
        <f>C9/'Output-Calculation-sheet'!C8*'Output-Calculation-sheet'!C17</f>
        <v>0</v>
      </c>
      <c r="D31" s="2">
        <f>D9/'Output-Calculation-sheet'!D8*'Output-Calculation-sheet'!D17</f>
        <v>5448.617458060934</v>
      </c>
      <c r="E31" s="2">
        <f>E9/'Output-Calculation-sheet'!E8*'Output-Calculation-sheet'!E17</f>
        <v>6404.1053870837686</v>
      </c>
      <c r="F31" s="2">
        <f>F9/'Output-Calculation-sheet'!F8*'Output-Calculation-sheet'!F17</f>
        <v>2957.6863312692076</v>
      </c>
      <c r="G31" s="2">
        <f>G9/'Output-Calculation-sheet'!G8*'Output-Calculation-sheet'!G17</f>
        <v>1936.9153125963276</v>
      </c>
      <c r="H31" s="2">
        <f>H9/'Output-Calculation-sheet'!H8*'Output-Calculation-sheet'!H17</f>
        <v>0</v>
      </c>
      <c r="I31" s="2">
        <f>I9/'Output-Calculation-sheet'!I8*'Output-Calculation-sheet'!I17</f>
        <v>1888.2112571635323</v>
      </c>
      <c r="J31" s="2">
        <f>J9/'Output-Calculation-sheet'!J8*'Output-Calculation-sheet'!J17</f>
        <v>1680.871971150234</v>
      </c>
      <c r="K31" s="2">
        <f>K9/'Output-Calculation-sheet'!K8*'Output-Calculation-sheet'!K17</f>
        <v>2393.1153911243646</v>
      </c>
      <c r="L31" s="2">
        <f>L9/'Output-Calculation-sheet'!L8*'Output-Calculation-sheet'!L17</f>
        <v>2040.9067295799989</v>
      </c>
      <c r="M31" s="2">
        <f>M9/'Output-Calculation-sheet'!M8*'Output-Calculation-sheet'!M17</f>
        <v>0</v>
      </c>
      <c r="N31" s="2">
        <f>N9/'Output-Calculation-sheet'!N8*'Output-Calculation-sheet'!N17</f>
        <v>2218.6743507411902</v>
      </c>
      <c r="O31" s="2">
        <f>O9/'Output-Calculation-sheet'!O8*'Output-Calculation-sheet'!O17</f>
        <v>0</v>
      </c>
      <c r="P31" s="2">
        <f>P9/'Output-Calculation-sheet'!P8*'Output-Calculation-sheet'!P17</f>
        <v>2753.7192320815207</v>
      </c>
      <c r="Q31" s="2">
        <f>Q9/'Output-Calculation-sheet'!Q8*'Output-Calculation-sheet'!Q17</f>
        <v>2935.7177047218829</v>
      </c>
      <c r="R31" s="2">
        <f>R9/'Output-Calculation-sheet'!R8*'Output-Calculation-sheet'!R17</f>
        <v>1920.7016733109549</v>
      </c>
      <c r="S31" s="2">
        <f>S9/'Output-Calculation-sheet'!S8*'Output-Calculation-sheet'!S17</f>
        <v>1658.5575010384869</v>
      </c>
      <c r="T31" s="2">
        <f>T9/'Output-Calculation-sheet'!T8*'Output-Calculation-sheet'!T17</f>
        <v>521.19643183964854</v>
      </c>
      <c r="U31" s="2">
        <f>U9/'Output-Calculation-sheet'!U8*'Output-Calculation-sheet'!U17</f>
        <v>599.02085842017755</v>
      </c>
      <c r="V31" s="2">
        <f>V9/'Output-Calculation-sheet'!V8*'Output-Calculation-sheet'!V17</f>
        <v>429.05021799639673</v>
      </c>
      <c r="W31" s="2">
        <f>W9/'Output-Calculation-sheet'!W8*'Output-Calculation-sheet'!W17</f>
        <v>238.86237948845101</v>
      </c>
      <c r="X31" s="2">
        <f>X9/'Output-Calculation-sheet'!X8*'Output-Calculation-sheet'!X17</f>
        <v>0</v>
      </c>
      <c r="Y31" s="2">
        <f>Y9/'Output-Calculation-sheet'!Y8*'Output-Calculation-sheet'!Y17</f>
        <v>230.79280873071738</v>
      </c>
      <c r="AA31" s="2">
        <f t="shared" si="1"/>
        <v>70.744444558640751</v>
      </c>
    </row>
    <row r="32" spans="1:27" x14ac:dyDescent="0.25">
      <c r="A32" s="2">
        <v>2033</v>
      </c>
      <c r="B32" s="2">
        <f>B10/'Output-Calculation-sheet'!B9*'Output-Calculation-sheet'!B18</f>
        <v>38970.511802360561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2390.4631496371385</v>
      </c>
      <c r="O32" s="2">
        <f>O10/'Output-Calculation-sheet'!O9*'Output-Calculation-sheet'!O18</f>
        <v>0</v>
      </c>
      <c r="P32" s="2">
        <f>P10/'Output-Calculation-sheet'!P9*'Output-Calculation-sheet'!P18</f>
        <v>3825.3247668814938</v>
      </c>
      <c r="Q32" s="2">
        <f>Q10/'Output-Calculation-sheet'!Q9*'Output-Calculation-sheet'!Q18</f>
        <v>4168.2689553824202</v>
      </c>
      <c r="R32" s="2">
        <f>R10/'Output-Calculation-sheet'!R9*'Output-Calculation-sheet'!R18</f>
        <v>2746.4093123131079</v>
      </c>
      <c r="S32" s="2">
        <f>S10/'Output-Calculation-sheet'!S9*'Output-Calculation-sheet'!S18</f>
        <v>1797.4847001723654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887.93193639196306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93.697506531241402</v>
      </c>
    </row>
    <row r="33" spans="1:27" x14ac:dyDescent="0.25">
      <c r="A33" s="2">
        <v>2034</v>
      </c>
      <c r="B33" s="2">
        <f>B11/'Output-Calculation-sheet'!B10*'Output-Calculation-sheet'!B19</f>
        <v>39442.424774762105</v>
      </c>
      <c r="C33" s="2">
        <f>C11/'Output-Calculation-sheet'!C10*'Output-Calculation-sheet'!C19</f>
        <v>0</v>
      </c>
      <c r="D33" s="2">
        <f>D11/'Output-Calculation-sheet'!D10*'Output-Calculation-sheet'!D19</f>
        <v>11940.331944420928</v>
      </c>
      <c r="E33" s="2">
        <f>E11/'Output-Calculation-sheet'!E10*'Output-Calculation-sheet'!E19</f>
        <v>14806.662039407283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4057.2011275440177</v>
      </c>
      <c r="H33" s="2">
        <f>H11/'Output-Calculation-sheet'!H10*'Output-Calculation-sheet'!H19</f>
        <v>0</v>
      </c>
      <c r="I33" s="2">
        <f>I11/'Output-Calculation-sheet'!I10*'Output-Calculation-sheet'!I19</f>
        <v>4433.6472022265962</v>
      </c>
      <c r="J33" s="2">
        <f>J11/'Output-Calculation-sheet'!J10*'Output-Calculation-sheet'!J19</f>
        <v>3750.9848977832985</v>
      </c>
      <c r="K33" s="2">
        <f>K11/'Output-Calculation-sheet'!K10*'Output-Calculation-sheet'!K19</f>
        <v>5193.5957565732097</v>
      </c>
      <c r="L33" s="2">
        <f>L11/'Output-Calculation-sheet'!L10*'Output-Calculation-sheet'!L19</f>
        <v>4102.6133787004965</v>
      </c>
      <c r="M33" s="2">
        <f>M11/'Output-Calculation-sheet'!M10*'Output-Calculation-sheet'!M19</f>
        <v>0</v>
      </c>
      <c r="N33" s="2">
        <f>N11/'Output-Calculation-sheet'!N10*'Output-Calculation-sheet'!N19</f>
        <v>2453.8119259261725</v>
      </c>
      <c r="O33" s="2">
        <f>O11/'Output-Calculation-sheet'!O10*'Output-Calculation-sheet'!O19</f>
        <v>0</v>
      </c>
      <c r="P33" s="2">
        <f>P11/'Output-Calculation-sheet'!P10*'Output-Calculation-sheet'!P19</f>
        <v>5255.7135847628433</v>
      </c>
      <c r="Q33" s="2">
        <f>Q11/'Output-Calculation-sheet'!Q10*'Output-Calculation-sheet'!Q19</f>
        <v>4340.2891544701379</v>
      </c>
      <c r="R33" s="2">
        <f>R11/'Output-Calculation-sheet'!R10*'Output-Calculation-sheet'!R19</f>
        <v>3752.6662607183302</v>
      </c>
      <c r="S33" s="2">
        <f>S11/'Output-Calculation-sheet'!S10*'Output-Calculation-sheet'!S19</f>
        <v>1843.3861074037852</v>
      </c>
      <c r="T33" s="2">
        <f>T11/'Output-Calculation-sheet'!T10*'Output-Calculation-sheet'!T19</f>
        <v>1101.06126573036</v>
      </c>
      <c r="U33" s="2">
        <f>U11/'Output-Calculation-sheet'!U10*'Output-Calculation-sheet'!U19</f>
        <v>1185.2551602762376</v>
      </c>
      <c r="V33" s="2">
        <f>V11/'Output-Calculation-sheet'!V10*'Output-Calculation-sheet'!V19</f>
        <v>863.6536191953378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0</v>
      </c>
      <c r="Y33" s="2">
        <f>Y11/'Output-Calculation-sheet'!Y10*'Output-Calculation-sheet'!Y19</f>
        <v>484.62112994104876</v>
      </c>
      <c r="AA33" s="2">
        <f t="shared" si="1"/>
        <v>116.32113235537749</v>
      </c>
    </row>
    <row r="34" spans="1:27" x14ac:dyDescent="0.25">
      <c r="A34" s="2">
        <v>2035</v>
      </c>
      <c r="B34" s="2">
        <f>B12/'Output-Calculation-sheet'!B11*'Output-Calculation-sheet'!B20</f>
        <v>40804.679371028484</v>
      </c>
      <c r="C34" s="2">
        <f>C12/'Output-Calculation-sheet'!C11*'Output-Calculation-sheet'!C20</f>
        <v>0</v>
      </c>
      <c r="D34" s="2">
        <f>D12/'Output-Calculation-sheet'!D11*'Output-Calculation-sheet'!D20</f>
        <v>12518.579611311168</v>
      </c>
      <c r="E34" s="2">
        <f>E12/'Output-Calculation-sheet'!E11*'Output-Calculation-sheet'!E20</f>
        <v>14756.274950439225</v>
      </c>
      <c r="F34" s="2">
        <f>F12/'Output-Calculation-sheet'!F11*'Output-Calculation-sheet'!F20</f>
        <v>8444.1018110549976</v>
      </c>
      <c r="G34" s="2">
        <f>G12/'Output-Calculation-sheet'!G11*'Output-Calculation-sheet'!G20</f>
        <v>4522.0977864569404</v>
      </c>
      <c r="H34" s="2">
        <f>H12/'Output-Calculation-sheet'!H11*'Output-Calculation-sheet'!H20</f>
        <v>0</v>
      </c>
      <c r="I34" s="2">
        <f>I12/'Output-Calculation-sheet'!I11*'Output-Calculation-sheet'!I20</f>
        <v>5029.7605440114976</v>
      </c>
      <c r="J34" s="2">
        <f>J12/'Output-Calculation-sheet'!J11*'Output-Calculation-sheet'!J20</f>
        <v>3920.6757730395748</v>
      </c>
      <c r="K34" s="2">
        <f>K12/'Output-Calculation-sheet'!K11*'Output-Calculation-sheet'!K20</f>
        <v>5795.2553207935516</v>
      </c>
      <c r="L34" s="2">
        <f>L12/'Output-Calculation-sheet'!L11*'Output-Calculation-sheet'!L20</f>
        <v>4429.0094442018426</v>
      </c>
      <c r="M34" s="2">
        <f>M12/'Output-Calculation-sheet'!M11*'Output-Calculation-sheet'!M20</f>
        <v>0</v>
      </c>
      <c r="N34" s="2">
        <f>N12/'Output-Calculation-sheet'!N11*'Output-Calculation-sheet'!N20</f>
        <v>2570.1682992497163</v>
      </c>
      <c r="O34" s="2">
        <f>O12/'Output-Calculation-sheet'!O11*'Output-Calculation-sheet'!O20</f>
        <v>0</v>
      </c>
      <c r="P34" s="2">
        <f>P12/'Output-Calculation-sheet'!P11*'Output-Calculation-sheet'!P20</f>
        <v>5509.9991025522331</v>
      </c>
      <c r="Q34" s="2">
        <f>Q12/'Output-Calculation-sheet'!Q11*'Output-Calculation-sheet'!Q20</f>
        <v>4539.1932214356175</v>
      </c>
      <c r="R34" s="2">
        <f>R12/'Output-Calculation-sheet'!R11*'Output-Calculation-sheet'!R20</f>
        <v>4260.9241299234754</v>
      </c>
      <c r="S34" s="2">
        <f>S12/'Output-Calculation-sheet'!S11*'Output-Calculation-sheet'!S20</f>
        <v>1818.0503935620786</v>
      </c>
      <c r="T34" s="2">
        <f>T12/'Output-Calculation-sheet'!T11*'Output-Calculation-sheet'!T20</f>
        <v>1362.1614001121161</v>
      </c>
      <c r="U34" s="2">
        <f>U12/'Output-Calculation-sheet'!U11*'Output-Calculation-sheet'!U20</f>
        <v>1270.7496076544271</v>
      </c>
      <c r="V34" s="2">
        <f>V12/'Output-Calculation-sheet'!V11*'Output-Calculation-sheet'!V20</f>
        <v>943.6819467712852</v>
      </c>
      <c r="W34" s="2">
        <f>W12/'Output-Calculation-sheet'!W11*'Output-Calculation-sheet'!W20</f>
        <v>751.50652752839187</v>
      </c>
      <c r="X34" s="2">
        <f>X12/'Output-Calculation-sheet'!X11*'Output-Calculation-sheet'!X20</f>
        <v>29.457953537564272</v>
      </c>
      <c r="Y34" s="2">
        <f>Y12/'Output-Calculation-sheet'!Y11*'Output-Calculation-sheet'!Y20</f>
        <v>439.73088974896217</v>
      </c>
      <c r="AA34" s="2">
        <f t="shared" si="1"/>
        <v>123.71605808441318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2.4599857591538856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0.47790905378299864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2.937894812936884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4.2331737419485336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0.82239177604405989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5.0555655179925933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6.2474915229239683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0.91028964836309989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7.157781171287068</v>
      </c>
    </row>
    <row r="44" spans="1:27" x14ac:dyDescent="0.25">
      <c r="A44" s="2">
        <v>2034</v>
      </c>
      <c r="B44" s="2">
        <f>B11/'Output-Calculation-sheet'!B10*'Output-Calculation-sheet'!B37*0.0114</f>
        <v>3.5649222423871247</v>
      </c>
      <c r="C44" s="2">
        <f>C11/'Output-Calculation-sheet'!C10*'Output-Calculation-sheet'!C37*0.0114</f>
        <v>6.7679664260146488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0.52084771201720315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0.37793160932498593</v>
      </c>
      <c r="M44" s="2">
        <f>M11/'Output-Calculation-sheet'!M10*'Output-Calculation-sheet'!M37*0.0114</f>
        <v>0.3583941937347056</v>
      </c>
      <c r="N44" s="2">
        <f>N11/'Output-Calculation-sheet'!N10*'Output-Calculation-sheet'!N37*0.0114</f>
        <v>0.35224398357436709</v>
      </c>
      <c r="O44" s="2">
        <f>O11/'Output-Calculation-sheet'!O10*'Output-Calculation-sheet'!O37*0.0114</f>
        <v>1.31483380286082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0.30861872048002231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0.20191786331398656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9.8468228821748188E-2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3.9316726566448613E-2</v>
      </c>
      <c r="Y44" s="2">
        <f>Y11/'Output-Calculation-sheet'!Y10*'Output-Calculation-sheet'!Y37*0.0114</f>
        <v>0</v>
      </c>
      <c r="AA44" s="2">
        <f t="shared" si="2"/>
        <v>13.905461509096058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7.2359548191418126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1.4057513576916065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8.4070764883773366E-2</v>
      </c>
      <c r="Y45" s="2">
        <f>Y12/'Output-Calculation-sheet'!Y11*'Output-Calculation-sheet'!Y38*0.0114</f>
        <v>4.056492371731351E-2</v>
      </c>
      <c r="AA45" s="2">
        <f t="shared" si="2"/>
        <v>21.685915683317951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8236.8656670495784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5622.061783011748</v>
      </c>
      <c r="N52" s="2">
        <f>N8/'Output-Calculation-sheet'!N7*'Output-Calculation-sheet'!N43</f>
        <v>179.69380819535547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724.5606370916272</v>
      </c>
      <c r="Y52" s="2">
        <f>Y8/'Output-Calculation-sheet'!Y7*'Output-Calculation-sheet'!Y43</f>
        <v>0</v>
      </c>
      <c r="AA52" s="2">
        <f t="shared" si="3"/>
        <v>14.763181895348309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866.43906998946591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16688.859346633712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11404.913751281745</v>
      </c>
      <c r="N53" s="2">
        <f>N9/'Output-Calculation-sheet'!N8*'Output-Calculation-sheet'!N44</f>
        <v>4071.3876426186462</v>
      </c>
      <c r="O53" s="2">
        <f>O9/'Output-Calculation-sheet'!O8*'Output-Calculation-sheet'!O44</f>
        <v>0</v>
      </c>
      <c r="P53" s="2">
        <f>P9/'Output-Calculation-sheet'!P8*'Output-Calculation-sheet'!P44</f>
        <v>190.441953514114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1255.5541585838585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1429.4715758594389</v>
      </c>
      <c r="Y53" s="2">
        <f>Y9/'Output-Calculation-sheet'!Y8*'Output-Calculation-sheet'!Y44</f>
        <v>0</v>
      </c>
      <c r="AA53" s="2">
        <f t="shared" si="3"/>
        <v>35.907067498480984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7398.3452245152248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0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1074.5666319826621</v>
      </c>
      <c r="R54" s="2">
        <f>R10/'Output-Calculation-sheet'!R9*'Output-Calculation-sheet'!R45</f>
        <v>1833.8803586938513</v>
      </c>
      <c r="S54" s="2">
        <f>S10/'Output-Calculation-sheet'!S9*'Output-Calculation-sheet'!S45</f>
        <v>4398.1460854878769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653.81157820946783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113.16781955824334</v>
      </c>
    </row>
    <row r="55" spans="1:27" x14ac:dyDescent="0.25">
      <c r="A55" s="2">
        <v>2034</v>
      </c>
      <c r="B55" s="2">
        <f>B11/'Output-Calculation-sheet'!B10*'Output-Calculation-sheet'!B46</f>
        <v>93813.743220713804</v>
      </c>
      <c r="C55" s="2">
        <f>C11/'Output-Calculation-sheet'!C10*'Output-Calculation-sheet'!C46</f>
        <v>19294.641126796148</v>
      </c>
      <c r="D55" s="2">
        <f>D11/'Output-Calculation-sheet'!D10*'Output-Calculation-sheet'!D46</f>
        <v>10386.555788601967</v>
      </c>
      <c r="E55" s="2">
        <f>E11/'Output-Calculation-sheet'!E10*'Output-Calculation-sheet'!E46</f>
        <v>12852.007528541963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33718.036093745257</v>
      </c>
      <c r="I55" s="2">
        <f>I11/'Output-Calculation-sheet'!I10*'Output-Calculation-sheet'!I46</f>
        <v>2502.8003571798772</v>
      </c>
      <c r="J55" s="2">
        <f>J11/'Output-Calculation-sheet'!J10*'Output-Calculation-sheet'!J46</f>
        <v>1805.2352133220124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961.40497108987643</v>
      </c>
      <c r="M55" s="2">
        <f>M11/'Output-Calculation-sheet'!M10*'Output-Calculation-sheet'!M46</f>
        <v>23389.936854264994</v>
      </c>
      <c r="N55" s="2">
        <f>N11/'Output-Calculation-sheet'!N10*'Output-Calculation-sheet'!N46</f>
        <v>16623.444137106097</v>
      </c>
      <c r="O55" s="2">
        <f>O11/'Output-Calculation-sheet'!O10*'Output-Calculation-sheet'!O46</f>
        <v>0</v>
      </c>
      <c r="P55" s="2">
        <f>P11/'Output-Calculation-sheet'!P10*'Output-Calculation-sheet'!P46</f>
        <v>6765.1020496670344</v>
      </c>
      <c r="Q55" s="2">
        <f>Q11/'Output-Calculation-sheet'!Q10*'Output-Calculation-sheet'!Q46</f>
        <v>2490.607217908952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7509.9275478184472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1623.8620191656719</v>
      </c>
      <c r="V55" s="2">
        <f>V11/'Output-Calculation-sheet'!V10*'Output-Calculation-sheet'!V46</f>
        <v>839.20349205768878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2386.5942792967053</v>
      </c>
      <c r="Y55" s="2">
        <f>Y11/'Output-Calculation-sheet'!Y10*'Output-Calculation-sheet'!Y46</f>
        <v>635.68436326060748</v>
      </c>
      <c r="AA55" s="2">
        <f t="shared" si="3"/>
        <v>254.45149457572066</v>
      </c>
    </row>
    <row r="56" spans="1:27" x14ac:dyDescent="0.25">
      <c r="A56" s="2">
        <v>2035</v>
      </c>
      <c r="B56" s="2">
        <f>B12/'Output-Calculation-sheet'!B11*'Output-Calculation-sheet'!B47</f>
        <v>121363.88941705522</v>
      </c>
      <c r="C56" s="2">
        <f>C12/'Output-Calculation-sheet'!C11*'Output-Calculation-sheet'!C47</f>
        <v>44272.618301328192</v>
      </c>
      <c r="D56" s="2">
        <f>D12/'Output-Calculation-sheet'!D11*'Output-Calculation-sheet'!D47</f>
        <v>9699.0948952420949</v>
      </c>
      <c r="E56" s="2">
        <f>E12/'Output-Calculation-sheet'!E11*'Output-Calculation-sheet'!E47</f>
        <v>24353.422558658433</v>
      </c>
      <c r="F56" s="2">
        <f>F12/'Output-Calculation-sheet'!F11*'Output-Calculation-sheet'!F47</f>
        <v>2950.9109038167303</v>
      </c>
      <c r="G56" s="2">
        <f>G12/'Output-Calculation-sheet'!G11*'Output-Calculation-sheet'!G47</f>
        <v>7765.3355684522785</v>
      </c>
      <c r="H56" s="2">
        <f>H12/'Output-Calculation-sheet'!H11*'Output-Calculation-sheet'!H47</f>
        <v>36489.184893796715</v>
      </c>
      <c r="I56" s="2">
        <f>I12/'Output-Calculation-sheet'!I11*'Output-Calculation-sheet'!I47</f>
        <v>4399.3000312811901</v>
      </c>
      <c r="J56" s="2">
        <f>J12/'Output-Calculation-sheet'!J11*'Output-Calculation-sheet'!J47</f>
        <v>1526.096192095451</v>
      </c>
      <c r="K56" s="2">
        <f>K12/'Output-Calculation-sheet'!K11*'Output-Calculation-sheet'!K47</f>
        <v>6463.441439235944</v>
      </c>
      <c r="L56" s="2">
        <f>L12/'Output-Calculation-sheet'!L11*'Output-Calculation-sheet'!L47</f>
        <v>1665.8806139510921</v>
      </c>
      <c r="M56" s="2">
        <f>M12/'Output-Calculation-sheet'!M11*'Output-Calculation-sheet'!M47</f>
        <v>25410.637467011635</v>
      </c>
      <c r="N56" s="2">
        <f>N12/'Output-Calculation-sheet'!N11*'Output-Calculation-sheet'!N47</f>
        <v>18631.828906785773</v>
      </c>
      <c r="O56" s="2">
        <f>O12/'Output-Calculation-sheet'!O11*'Output-Calculation-sheet'!O47</f>
        <v>0</v>
      </c>
      <c r="P56" s="2">
        <f>P12/'Output-Calculation-sheet'!P11*'Output-Calculation-sheet'!P47</f>
        <v>9796.4491704012653</v>
      </c>
      <c r="Q56" s="2">
        <f>Q12/'Output-Calculation-sheet'!Q11*'Output-Calculation-sheet'!Q47</f>
        <v>3473.252139747201</v>
      </c>
      <c r="R56" s="2">
        <f>R12/'Output-Calculation-sheet'!R11*'Output-Calculation-sheet'!R47</f>
        <v>6716.535395573489</v>
      </c>
      <c r="S56" s="2">
        <f>S12/'Output-Calculation-sheet'!S11*'Output-Calculation-sheet'!S47</f>
        <v>8843.5049246244052</v>
      </c>
      <c r="T56" s="2">
        <f>T12/'Output-Calculation-sheet'!T11*'Output-Calculation-sheet'!T47</f>
        <v>2421.1671829487073</v>
      </c>
      <c r="U56" s="2">
        <f>U12/'Output-Calculation-sheet'!U11*'Output-Calculation-sheet'!U47</f>
        <v>1828.4964268159104</v>
      </c>
      <c r="V56" s="2">
        <f>V12/'Output-Calculation-sheet'!V11*'Output-Calculation-sheet'!V47</f>
        <v>1018.2875303780761</v>
      </c>
      <c r="W56" s="2">
        <f>W12/'Output-Calculation-sheet'!W11*'Output-Calculation-sheet'!W47</f>
        <v>986.58508980063914</v>
      </c>
      <c r="X56" s="2">
        <f>X12/'Output-Calculation-sheet'!X11*'Output-Calculation-sheet'!X47</f>
        <v>2588.4946030003903</v>
      </c>
      <c r="Y56" s="2">
        <f>Y12/'Output-Calculation-sheet'!Y11*'Output-Calculation-sheet'!Y47</f>
        <v>1145.7811786820132</v>
      </c>
      <c r="AA56" s="2">
        <f t="shared" si="3"/>
        <v>343.81019483068286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6.2961348777328308</v>
      </c>
      <c r="C63" s="2">
        <f>C8*'Output-Calculation-sheet'!C52/10^9</f>
        <v>3.9383114985478405</v>
      </c>
      <c r="D63" s="2">
        <f>D8*'Output-Calculation-sheet'!D52/10^9</f>
        <v>1.7982360828775239</v>
      </c>
      <c r="E63" s="2">
        <f>E8*'Output-Calculation-sheet'!E52/10^9</f>
        <v>1.6518025462945229</v>
      </c>
      <c r="F63" s="2">
        <f>F8*'Output-Calculation-sheet'!F52/10^9</f>
        <v>0.87052946460506497</v>
      </c>
      <c r="G63" s="2">
        <f>G8*'Output-Calculation-sheet'!G52/10^9</f>
        <v>0.64378328876615987</v>
      </c>
      <c r="H63" s="2">
        <f>H8*'Output-Calculation-sheet'!H52/10^9</f>
        <v>1.1107847464473859</v>
      </c>
      <c r="I63" s="2">
        <f>I8*'Output-Calculation-sheet'!I52/10^9</f>
        <v>0.5968155645292248</v>
      </c>
      <c r="J63" s="2">
        <f>J8*'Output-Calculation-sheet'!J52/10^9</f>
        <v>0.60674618586815998</v>
      </c>
      <c r="K63" s="2">
        <f>K8*'Output-Calculation-sheet'!K52/10^9</f>
        <v>0.61060727095090439</v>
      </c>
      <c r="L63" s="2">
        <f>L8*'Output-Calculation-sheet'!L52/10^9</f>
        <v>0.49776508580874979</v>
      </c>
      <c r="M63" s="2">
        <f>M8*'Output-Calculation-sheet'!M52/10^9</f>
        <v>0.76905638010161081</v>
      </c>
      <c r="N63" s="2">
        <f>N8*'Output-Calculation-sheet'!N52/10^9</f>
        <v>0.69002241513941476</v>
      </c>
      <c r="O63" s="2">
        <f>O8*'Output-Calculation-sheet'!O52/10^9</f>
        <v>0.74621931789582707</v>
      </c>
      <c r="P63" s="2">
        <f>P8*'Output-Calculation-sheet'!P52/10^9</f>
        <v>0.49155640159936009</v>
      </c>
      <c r="Q63" s="2">
        <f>Q8*'Output-Calculation-sheet'!Q52/10^9</f>
        <v>0.50693471290775871</v>
      </c>
      <c r="R63" s="2">
        <f>R8*'Output-Calculation-sheet'!R52/10^9</f>
        <v>0.4151739950476615</v>
      </c>
      <c r="S63" s="2">
        <f>S8*'Output-Calculation-sheet'!S52/10^9</f>
        <v>0.38175948137696503</v>
      </c>
      <c r="T63" s="2">
        <f>T8*'Output-Calculation-sheet'!T52/10^9</f>
        <v>0.14314501715424377</v>
      </c>
      <c r="U63" s="2">
        <f>U8*'Output-Calculation-sheet'!U52/10^9</f>
        <v>0.13004067791336021</v>
      </c>
      <c r="V63" s="2">
        <f>V8*'Output-Calculation-sheet'!V52/10^9</f>
        <v>0.10048167143061998</v>
      </c>
      <c r="W63" s="2">
        <f>W8*'Output-Calculation-sheet'!W52/10^9</f>
        <v>7.8502029687909772E-2</v>
      </c>
      <c r="X63" s="2">
        <f>X8*'Output-Calculation-sheet'!X52/10^9</f>
        <v>9.4163244813137217E-2</v>
      </c>
      <c r="Y63" s="2">
        <f>Y8*'Output-Calculation-sheet'!Y52/10^9</f>
        <v>5.1029455150166797E-2</v>
      </c>
      <c r="AA63" s="2">
        <f t="shared" si="4"/>
        <v>23.219601412646412</v>
      </c>
    </row>
    <row r="64" spans="1:27" x14ac:dyDescent="0.25">
      <c r="A64" s="2">
        <v>2032</v>
      </c>
      <c r="B64" s="2">
        <f>B9*'Output-Calculation-sheet'!B53/10^9</f>
        <v>7.4758276274531079</v>
      </c>
      <c r="C64" s="2">
        <f>C9*'Output-Calculation-sheet'!C53/10^9</f>
        <v>4.9503140588298598</v>
      </c>
      <c r="D64" s="2">
        <f>D9*'Output-Calculation-sheet'!D53/10^9</f>
        <v>1.8012111040776009</v>
      </c>
      <c r="E64" s="2">
        <f>E9*'Output-Calculation-sheet'!E53/10^9</f>
        <v>1.758532924511935</v>
      </c>
      <c r="F64" s="2">
        <f>F9*'Output-Calculation-sheet'!F53/10^9</f>
        <v>0.88688628368927602</v>
      </c>
      <c r="G64" s="2">
        <f>G9*'Output-Calculation-sheet'!G53/10^9</f>
        <v>0.64420674148389556</v>
      </c>
      <c r="H64" s="2">
        <f>H9*'Output-Calculation-sheet'!H53/10^9</f>
        <v>1.3830816015073335</v>
      </c>
      <c r="I64" s="2">
        <f>I9*'Output-Calculation-sheet'!I53/10^9</f>
        <v>0.60152621291481378</v>
      </c>
      <c r="J64" s="2">
        <f>J9*'Output-Calculation-sheet'!J53/10^9</f>
        <v>0.60040419886181684</v>
      </c>
      <c r="K64" s="2">
        <f>K9*'Output-Calculation-sheet'!K53/10^9</f>
        <v>0.64758470460362638</v>
      </c>
      <c r="L64" s="2">
        <f>L9*'Output-Calculation-sheet'!L53/10^9</f>
        <v>0.5338165226684084</v>
      </c>
      <c r="M64" s="2">
        <f>M9*'Output-Calculation-sheet'!M53/10^9</f>
        <v>0.95818443285554344</v>
      </c>
      <c r="N64" s="2">
        <f>N9*'Output-Calculation-sheet'!N53/10^9</f>
        <v>0.85141752717910779</v>
      </c>
      <c r="O64" s="2">
        <f>O9*'Output-Calculation-sheet'!O53/10^9</f>
        <v>0.91605891602472178</v>
      </c>
      <c r="P64" s="2">
        <f>P9*'Output-Calculation-sheet'!P53/10^9</f>
        <v>0.579188277651558</v>
      </c>
      <c r="Q64" s="2">
        <f>Q9*'Output-Calculation-sheet'!Q53/10^9</f>
        <v>0.59266751152156627</v>
      </c>
      <c r="R64" s="2">
        <f>R9*'Output-Calculation-sheet'!R53/10^9</f>
        <v>0.46336875190633725</v>
      </c>
      <c r="S64" s="2">
        <f>S9*'Output-Calculation-sheet'!S53/10^9</f>
        <v>0.46896713575727178</v>
      </c>
      <c r="T64" s="2">
        <f>T9*'Output-Calculation-sheet'!T53/10^9</f>
        <v>0.14848364385047713</v>
      </c>
      <c r="U64" s="2">
        <f>U9*'Output-Calculation-sheet'!U53/10^9</f>
        <v>0.14647188421947355</v>
      </c>
      <c r="V64" s="2">
        <f>V9*'Output-Calculation-sheet'!V53/10^9</f>
        <v>0.10897922203821016</v>
      </c>
      <c r="W64" s="2">
        <f>W9*'Output-Calculation-sheet'!W53/10^9</f>
        <v>7.8678488761054127E-2</v>
      </c>
      <c r="X64" s="2">
        <f>X9*'Output-Calculation-sheet'!X53/10^9</f>
        <v>0.11758458419394294</v>
      </c>
      <c r="Y64" s="2">
        <f>Y9*'Output-Calculation-sheet'!Y53/10^9</f>
        <v>5.6714127715269652E-2</v>
      </c>
      <c r="AA64" s="2">
        <f t="shared" si="4"/>
        <v>26.770156484276203</v>
      </c>
    </row>
    <row r="65" spans="1:27" x14ac:dyDescent="0.25">
      <c r="A65" s="2">
        <v>2033</v>
      </c>
      <c r="B65" s="2">
        <f>B10*'Output-Calculation-sheet'!B54/10^9</f>
        <v>9.0103154643499561</v>
      </c>
      <c r="C65" s="2">
        <f>C10*'Output-Calculation-sheet'!C54/10^9</f>
        <v>5.9509258002869174</v>
      </c>
      <c r="D65" s="2">
        <f>D10*'Output-Calculation-sheet'!D54/10^9</f>
        <v>1.7308289686316347</v>
      </c>
      <c r="E65" s="2">
        <f>E10*'Output-Calculation-sheet'!E54/10^9</f>
        <v>1.9640954502170824</v>
      </c>
      <c r="F65" s="2">
        <f>F10*'Output-Calculation-sheet'!F54/10^9</f>
        <v>0.89099894519951695</v>
      </c>
      <c r="G65" s="2">
        <f>G10*'Output-Calculation-sheet'!G54/10^9</f>
        <v>0.61493770229298406</v>
      </c>
      <c r="H65" s="2">
        <f>H10*'Output-Calculation-sheet'!H54/10^9</f>
        <v>1.6345173300010452</v>
      </c>
      <c r="I65" s="2">
        <f>I10*'Output-Calculation-sheet'!I54/10^9</f>
        <v>0.60489411227992251</v>
      </c>
      <c r="J65" s="2">
        <f>J10*'Output-Calculation-sheet'!J54/10^9</f>
        <v>0.55786946067982679</v>
      </c>
      <c r="K65" s="2">
        <f>K10*'Output-Calculation-sheet'!K54/10^9</f>
        <v>0.7114669983259706</v>
      </c>
      <c r="L65" s="2">
        <f>L10*'Output-Calculation-sheet'!L54/10^9</f>
        <v>0.59176733032833717</v>
      </c>
      <c r="M65" s="2">
        <f>M10*'Output-Calculation-sheet'!M54/10^9</f>
        <v>1.1326571467819309</v>
      </c>
      <c r="N65" s="2">
        <f>N10*'Output-Calculation-sheet'!N54/10^9</f>
        <v>1.0183017907519205</v>
      </c>
      <c r="O65" s="2">
        <f>O10*'Output-Calculation-sheet'!O54/10^9</f>
        <v>1.0779702604855992</v>
      </c>
      <c r="P65" s="2">
        <f>P10*'Output-Calculation-sheet'!P54/10^9</f>
        <v>0.68713235367694891</v>
      </c>
      <c r="Q65" s="2">
        <f>Q10*'Output-Calculation-sheet'!Q54/10^9</f>
        <v>0.71286517377080438</v>
      </c>
      <c r="R65" s="2">
        <f>R10*'Output-Calculation-sheet'!R54/10^9</f>
        <v>0.53269826875992599</v>
      </c>
      <c r="S65" s="2">
        <f>S10*'Output-Calculation-sheet'!S54/10^9</f>
        <v>0.56333685533994637</v>
      </c>
      <c r="T65" s="2">
        <f>T10*'Output-Calculation-sheet'!T54/10^9</f>
        <v>0.15989228671873518</v>
      </c>
      <c r="U65" s="2">
        <f>U10*'Output-Calculation-sheet'!U54/10^9</f>
        <v>0.17287158256244245</v>
      </c>
      <c r="V65" s="2">
        <f>V10*'Output-Calculation-sheet'!V54/10^9</f>
        <v>0.12064897872936491</v>
      </c>
      <c r="W65" s="2">
        <f>W10*'Output-Calculation-sheet'!W54/10^9</f>
        <v>7.5468517184032052E-2</v>
      </c>
      <c r="X65" s="2">
        <f>X10*'Output-Calculation-sheet'!X54/10^9</f>
        <v>0.14005093593334461</v>
      </c>
      <c r="Y65" s="2">
        <f>Y10*'Output-Calculation-sheet'!Y54/10^9</f>
        <v>6.6576866955376471E-2</v>
      </c>
      <c r="AA65" s="2">
        <f t="shared" si="4"/>
        <v>30.723088580243569</v>
      </c>
    </row>
    <row r="66" spans="1:27" x14ac:dyDescent="0.25">
      <c r="A66" s="2">
        <v>2034</v>
      </c>
      <c r="B66" s="2">
        <f>B11*'Output-Calculation-sheet'!B55/10^9</f>
        <v>10.892944752205818</v>
      </c>
      <c r="C66" s="2">
        <f>C11*'Output-Calculation-sheet'!C55/10^9</f>
        <v>6.9367059602898573</v>
      </c>
      <c r="D66" s="2">
        <f>D11*'Output-Calculation-sheet'!D55/10^9</f>
        <v>2.0441704554666709</v>
      </c>
      <c r="E66" s="2">
        <f>E11*'Output-Calculation-sheet'!E55/10^9</f>
        <v>2.5190548723242294</v>
      </c>
      <c r="F66" s="2">
        <f>F11*'Output-Calculation-sheet'!F55/10^9</f>
        <v>1.0088036620310463</v>
      </c>
      <c r="G66" s="2">
        <f>G11*'Output-Calculation-sheet'!G55/10^9</f>
        <v>0.72668247687251442</v>
      </c>
      <c r="H66" s="2">
        <f>H11*'Output-Calculation-sheet'!H55/10^9</f>
        <v>1.9148958875443298</v>
      </c>
      <c r="I66" s="2">
        <f>I11*'Output-Calculation-sheet'!I55/10^9</f>
        <v>0.7142894340429744</v>
      </c>
      <c r="J66" s="2">
        <f>J11*'Output-Calculation-sheet'!J55/10^9</f>
        <v>0.63063178260421382</v>
      </c>
      <c r="K66" s="2">
        <f>K11*'Output-Calculation-sheet'!K55/10^9</f>
        <v>0.84223709808225133</v>
      </c>
      <c r="L66" s="2">
        <f>L11*'Output-Calculation-sheet'!L55/10^9</f>
        <v>0.73871362886646363</v>
      </c>
      <c r="M66" s="2">
        <f>M11*'Output-Calculation-sheet'!M55/10^9</f>
        <v>1.3291996830078456</v>
      </c>
      <c r="N66" s="2">
        <f>N11*'Output-Calculation-sheet'!N55/10^9</f>
        <v>1.1904647254916838</v>
      </c>
      <c r="O66" s="2">
        <f>O11*'Output-Calculation-sheet'!O55/10^9</f>
        <v>1.2345251519171037</v>
      </c>
      <c r="P66" s="2">
        <f>P11*'Output-Calculation-sheet'!P55/10^9</f>
        <v>0.83636189434577046</v>
      </c>
      <c r="Q66" s="2">
        <f>Q11*'Output-Calculation-sheet'!Q55/10^9</f>
        <v>0.86843826811176394</v>
      </c>
      <c r="R66" s="2">
        <f>R11*'Output-Calculation-sheet'!R55/10^9</f>
        <v>0.63298058389625911</v>
      </c>
      <c r="S66" s="2">
        <f>S11*'Output-Calculation-sheet'!S55/10^9</f>
        <v>0.67036710276338307</v>
      </c>
      <c r="T66" s="2">
        <f>T11*'Output-Calculation-sheet'!T55/10^9</f>
        <v>0.18635131866403043</v>
      </c>
      <c r="U66" s="2">
        <f>U11*'Output-Calculation-sheet'!U55/10^9</f>
        <v>0.21540803297703404</v>
      </c>
      <c r="V66" s="2">
        <f>V11*'Output-Calculation-sheet'!V55/10^9</f>
        <v>0.13918381890094569</v>
      </c>
      <c r="W66" s="2">
        <f>W11*'Output-Calculation-sheet'!W55/10^9</f>
        <v>8.4799467484428084E-2</v>
      </c>
      <c r="X66" s="2">
        <f>X11*'Output-Calculation-sheet'!X55/10^9</f>
        <v>0.16777927041912619</v>
      </c>
      <c r="Y66" s="2">
        <f>Y11*'Output-Calculation-sheet'!Y55/10^9</f>
        <v>8.7934601410583013E-2</v>
      </c>
      <c r="AA66" s="2">
        <f t="shared" si="4"/>
        <v>36.612923929720324</v>
      </c>
    </row>
    <row r="67" spans="1:27" x14ac:dyDescent="0.25">
      <c r="A67" s="2">
        <v>2035</v>
      </c>
      <c r="B67" s="2">
        <f>B12*'Output-Calculation-sheet'!B56/10^9</f>
        <v>12.963781297830636</v>
      </c>
      <c r="C67" s="2">
        <f>C12*'Output-Calculation-sheet'!C56/10^9</f>
        <v>7.9056324805952034</v>
      </c>
      <c r="D67" s="2">
        <f>D12*'Output-Calculation-sheet'!D56/10^9</f>
        <v>2.6403772822548652</v>
      </c>
      <c r="E67" s="2">
        <f>E12*'Output-Calculation-sheet'!E56/10^9</f>
        <v>3.5679056013176909</v>
      </c>
      <c r="F67" s="2">
        <f>F12*'Output-Calculation-sheet'!F56/10^9</f>
        <v>1.4159611186120917</v>
      </c>
      <c r="G67" s="2">
        <f>G12*'Output-Calculation-sheet'!G56/10^9</f>
        <v>1.0269628958795327</v>
      </c>
      <c r="H67" s="2">
        <f>H12*'Output-Calculation-sheet'!H56/10^9</f>
        <v>2.2368924408950219</v>
      </c>
      <c r="I67" s="2">
        <f>I12*'Output-Calculation-sheet'!I56/10^9</f>
        <v>0.97032448796082116</v>
      </c>
      <c r="J67" s="2">
        <f>J12*'Output-Calculation-sheet'!J56/10^9</f>
        <v>0.80200391042354402</v>
      </c>
      <c r="K67" s="2">
        <f>K12*'Output-Calculation-sheet'!K56/10^9</f>
        <v>1.0830027150349133</v>
      </c>
      <c r="L67" s="2">
        <f>L12*'Output-Calculation-sheet'!L56/10^9</f>
        <v>0.93398687276505543</v>
      </c>
      <c r="M67" s="2">
        <f>M12*'Output-Calculation-sheet'!M56/10^9</f>
        <v>1.5675254965752772</v>
      </c>
      <c r="N67" s="2">
        <f>N12*'Output-Calculation-sheet'!N56/10^9</f>
        <v>1.3722518470642979</v>
      </c>
      <c r="O67" s="2">
        <f>O12*'Output-Calculation-sheet'!O56/10^9</f>
        <v>1.3886302884092117</v>
      </c>
      <c r="P67" s="2">
        <f>P12*'Output-Calculation-sheet'!P56/10^9</f>
        <v>1.0942862203081605</v>
      </c>
      <c r="Q67" s="2">
        <f>Q12*'Output-Calculation-sheet'!Q56/10^9</f>
        <v>1.0249412617290958</v>
      </c>
      <c r="R67" s="2">
        <f>R12*'Output-Calculation-sheet'!R56/10^9</f>
        <v>0.80554797734531669</v>
      </c>
      <c r="S67" s="2">
        <f>S12*'Output-Calculation-sheet'!S56/10^9</f>
        <v>0.780953730209065</v>
      </c>
      <c r="T67" s="2">
        <f>T12*'Output-Calculation-sheet'!T56/10^9</f>
        <v>0.24763064365265458</v>
      </c>
      <c r="U67" s="2">
        <f>U12*'Output-Calculation-sheet'!U56/10^9</f>
        <v>0.26710215337401128</v>
      </c>
      <c r="V67" s="2">
        <f>V12*'Output-Calculation-sheet'!V56/10^9</f>
        <v>0.16854713121752538</v>
      </c>
      <c r="W67" s="2">
        <f>W12*'Output-Calculation-sheet'!W56/10^9</f>
        <v>0.13104240598600583</v>
      </c>
      <c r="X67" s="2">
        <f>X12*'Output-Calculation-sheet'!X56/10^9</f>
        <v>0.19660957777093391</v>
      </c>
      <c r="Y67" s="2">
        <f>Y12*'Output-Calculation-sheet'!Y56/10^9</f>
        <v>0.12303976004463053</v>
      </c>
      <c r="AA67" s="2">
        <f t="shared" si="4"/>
        <v>44.714939597255572</v>
      </c>
    </row>
    <row r="68" spans="1:27" x14ac:dyDescent="0.25">
      <c r="B68" s="2">
        <f>SUM(B60:B67)</f>
        <v>59.387559842644436</v>
      </c>
      <c r="C68" s="2">
        <f t="shared" ref="C68:Y68" si="5">SUM(C60:C67)</f>
        <v>36.205720565896762</v>
      </c>
      <c r="D68" s="2">
        <f t="shared" si="5"/>
        <v>14.339119141497468</v>
      </c>
      <c r="E68" s="2">
        <f t="shared" si="5"/>
        <v>15.30817723352631</v>
      </c>
      <c r="F68" s="2">
        <f t="shared" si="5"/>
        <v>7.1197935254800138</v>
      </c>
      <c r="G68" s="2">
        <f t="shared" si="5"/>
        <v>5.206718013769807</v>
      </c>
      <c r="H68" s="2">
        <f t="shared" si="5"/>
        <v>10.176979475209997</v>
      </c>
      <c r="I68" s="2">
        <f t="shared" si="5"/>
        <v>4.911360390361251</v>
      </c>
      <c r="J68" s="2">
        <f t="shared" si="5"/>
        <v>4.6797643925083872</v>
      </c>
      <c r="K68" s="2">
        <f t="shared" si="5"/>
        <v>5.3056258452751859</v>
      </c>
      <c r="L68" s="2">
        <f t="shared" si="5"/>
        <v>4.4363971307165526</v>
      </c>
      <c r="M68" s="2">
        <f t="shared" si="5"/>
        <v>7.067981944231148</v>
      </c>
      <c r="N68" s="2">
        <f t="shared" si="5"/>
        <v>6.447187760944697</v>
      </c>
      <c r="O68" s="2">
        <f t="shared" si="5"/>
        <v>6.6433171283624706</v>
      </c>
      <c r="P68" s="2">
        <f t="shared" si="5"/>
        <v>4.7166277676576129</v>
      </c>
      <c r="Q68" s="2">
        <f t="shared" si="5"/>
        <v>4.7449763701061265</v>
      </c>
      <c r="R68" s="2">
        <f t="shared" si="5"/>
        <v>3.7837216132964517</v>
      </c>
      <c r="S68" s="2">
        <f t="shared" si="5"/>
        <v>3.6118132626748833</v>
      </c>
      <c r="T68" s="2">
        <f t="shared" si="5"/>
        <v>1.21903278055654</v>
      </c>
      <c r="U68" s="2">
        <f t="shared" si="5"/>
        <v>1.2282383132530974</v>
      </c>
      <c r="V68" s="2">
        <f t="shared" si="5"/>
        <v>0.8664108116811422</v>
      </c>
      <c r="W68" s="2">
        <f t="shared" si="5"/>
        <v>0.63712199467926334</v>
      </c>
      <c r="X68" s="2">
        <f t="shared" si="5"/>
        <v>0.87395153931049718</v>
      </c>
      <c r="Y68" s="2">
        <f t="shared" si="5"/>
        <v>0.50103617643096621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1763.85171362904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1178.5532686509464</v>
      </c>
      <c r="N74" s="2">
        <f>N8/'Output-Calculation-sheet'!N7*'Output-Calculation-sheet'!N61</f>
        <v>49.393335527698333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145.11269783689752</v>
      </c>
      <c r="Y74" s="2">
        <f>Y8/'Output-Calculation-sheet'!Y7*'Output-Calculation-sheet'!Y61</f>
        <v>0</v>
      </c>
      <c r="AA74" s="2">
        <f t="shared" si="6"/>
        <v>3.1369110156445816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238.02319022710614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3177.7036087897377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2158.6748820960515</v>
      </c>
      <c r="N75" s="2">
        <f>N9/'Output-Calculation-sheet'!N8*'Output-Calculation-sheet'!N62</f>
        <v>834.8921494990135</v>
      </c>
      <c r="O75" s="2">
        <f>O9/'Output-Calculation-sheet'!O8*'Output-Calculation-sheet'!O62</f>
        <v>0</v>
      </c>
      <c r="P75" s="2">
        <f>P9/'Output-Calculation-sheet'!P8*'Output-Calculation-sheet'!P62</f>
        <v>55.894713356392458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276.16282998686847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260.96341050478594</v>
      </c>
      <c r="Y75" s="2">
        <f>Y9/'Output-Calculation-sheet'!Y8*'Output-Calculation-sheet'!Y62</f>
        <v>0</v>
      </c>
      <c r="AA75" s="2">
        <f t="shared" si="6"/>
        <v>7.0023147844599549</v>
      </c>
    </row>
    <row r="76" spans="1:27" x14ac:dyDescent="0.25">
      <c r="A76" s="2">
        <v>2033</v>
      </c>
      <c r="B76" s="2">
        <f>B10/'Output-Calculation-sheet'!B9*'Output-Calculation-sheet'!B63</f>
        <v>7415.2019375794471</v>
      </c>
      <c r="C76" s="2">
        <f>C10/'Output-Calculation-sheet'!C9*'Output-Calculation-sheet'!C63</f>
        <v>1860.5468175725325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4840.7853541993936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3295.9644235952255</v>
      </c>
      <c r="N76" s="2">
        <f>N10/'Output-Calculation-sheet'!N9*'Output-Calculation-sheet'!N63</f>
        <v>1886.8714855159915</v>
      </c>
      <c r="O76" s="2">
        <f>O10/'Output-Calculation-sheet'!O9*'Output-Calculation-sheet'!O63</f>
        <v>0</v>
      </c>
      <c r="P76" s="2">
        <f>P10/'Output-Calculation-sheet'!P9*'Output-Calculation-sheet'!P63</f>
        <v>646.72377719691542</v>
      </c>
      <c r="Q76" s="2">
        <f>Q10/'Output-Calculation-sheet'!Q9*'Output-Calculation-sheet'!Q63</f>
        <v>287.95886744967942</v>
      </c>
      <c r="R76" s="2">
        <f>R10/'Output-Calculation-sheet'!R9*'Output-Calculation-sheet'!R63</f>
        <v>496.38680519780871</v>
      </c>
      <c r="S76" s="2">
        <f>S10/'Output-Calculation-sheet'!S9*'Output-Calculation-sheet'!S63</f>
        <v>836.44890552964421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174.33646533597579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388.17449141513589</v>
      </c>
      <c r="Y76" s="2">
        <f>Y10/'Output-Calculation-sheet'!Y9*'Output-Calculation-sheet'!Y63</f>
        <v>7.364167792554972</v>
      </c>
      <c r="AA76" s="2">
        <f t="shared" si="6"/>
        <v>22.31106236444775</v>
      </c>
    </row>
    <row r="77" spans="1:27" x14ac:dyDescent="0.25">
      <c r="A77" s="2">
        <v>2034</v>
      </c>
      <c r="B77" s="2">
        <f>B11/'Output-Calculation-sheet'!B10*'Output-Calculation-sheet'!B64</f>
        <v>16008.689855660006</v>
      </c>
      <c r="C77" s="2">
        <f>C11/'Output-Calculation-sheet'!C10*'Output-Calculation-sheet'!C64</f>
        <v>4360.4404743395698</v>
      </c>
      <c r="D77" s="2">
        <f>D11/'Output-Calculation-sheet'!D10*'Output-Calculation-sheet'!D64</f>
        <v>2384.963569686578</v>
      </c>
      <c r="E77" s="2">
        <f>E11/'Output-Calculation-sheet'!E10*'Output-Calculation-sheet'!E64</f>
        <v>2958.2604646185368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1272.9306414694918</v>
      </c>
      <c r="H77" s="2">
        <f>H11/'Output-Calculation-sheet'!H10*'Output-Calculation-sheet'!H64</f>
        <v>6272.194350977692</v>
      </c>
      <c r="I77" s="2">
        <f>I11/'Output-Calculation-sheet'!I10*'Output-Calculation-sheet'!I64</f>
        <v>742.82266194198007</v>
      </c>
      <c r="J77" s="2">
        <f>J11/'Output-Calculation-sheet'!J10*'Output-Calculation-sheet'!J64</f>
        <v>509.87399222781028</v>
      </c>
      <c r="K77" s="2">
        <f>K11/'Output-Calculation-sheet'!K10*'Output-Calculation-sheet'!K64</f>
        <v>1151.4640689500509</v>
      </c>
      <c r="L77" s="2">
        <f>L11/'Output-Calculation-sheet'!L10*'Output-Calculation-sheet'!L64</f>
        <v>282.32154254487546</v>
      </c>
      <c r="M77" s="2">
        <f>M11/'Output-Calculation-sheet'!M10*'Output-Calculation-sheet'!M64</f>
        <v>4298.0580874070411</v>
      </c>
      <c r="N77" s="2">
        <f>N11/'Output-Calculation-sheet'!N10*'Output-Calculation-sheet'!N64</f>
        <v>2909.9678846549778</v>
      </c>
      <c r="O77" s="2">
        <f>O11/'Output-Calculation-sheet'!O10*'Output-Calculation-sheet'!O64</f>
        <v>0</v>
      </c>
      <c r="P77" s="2">
        <f>P11/'Output-Calculation-sheet'!P10*'Output-Calculation-sheet'!P64</f>
        <v>1414.8197598807872</v>
      </c>
      <c r="Q77" s="2">
        <f>Q11/'Output-Calculation-sheet'!Q10*'Output-Calculation-sheet'!Q64</f>
        <v>577.33358183832945</v>
      </c>
      <c r="R77" s="2">
        <f>R11/'Output-Calculation-sheet'!R10*'Output-Calculation-sheet'!R64</f>
        <v>1201.6876005752797</v>
      </c>
      <c r="S77" s="2">
        <f>S11/'Output-Calculation-sheet'!S10*'Output-Calculation-sheet'!S64</f>
        <v>1341.4076719492505</v>
      </c>
      <c r="T77" s="2">
        <f>T11/'Output-Calculation-sheet'!T10*'Output-Calculation-sheet'!T64</f>
        <v>332.94250819574404</v>
      </c>
      <c r="U77" s="2">
        <f>U11/'Output-Calculation-sheet'!U10*'Output-Calculation-sheet'!U64</f>
        <v>355.53940655796481</v>
      </c>
      <c r="V77" s="2">
        <f>V11/'Output-Calculation-sheet'!V10*'Output-Calculation-sheet'!V64</f>
        <v>172.23652622707803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440.04039117015304</v>
      </c>
      <c r="Y77" s="2">
        <f>Y11/'Output-Calculation-sheet'!Y10*'Output-Calculation-sheet'!Y64</f>
        <v>109.97339484408509</v>
      </c>
      <c r="AA77" s="2">
        <f t="shared" si="6"/>
        <v>49.319824309174791</v>
      </c>
    </row>
    <row r="78" spans="1:27" x14ac:dyDescent="0.25">
      <c r="A78" s="2">
        <v>2035</v>
      </c>
      <c r="B78" s="2">
        <f>B12/'Output-Calculation-sheet'!B11*'Output-Calculation-sheet'!B65</f>
        <v>20970.54334960318</v>
      </c>
      <c r="C78" s="2">
        <f>C12/'Output-Calculation-sheet'!C11*'Output-Calculation-sheet'!C65</f>
        <v>9021.2997241892808</v>
      </c>
      <c r="D78" s="2">
        <f>D12/'Output-Calculation-sheet'!D11*'Output-Calculation-sheet'!D65</f>
        <v>2292.5005600942513</v>
      </c>
      <c r="E78" s="2">
        <f>E12/'Output-Calculation-sheet'!E11*'Output-Calculation-sheet'!E65</f>
        <v>4238.0540899441503</v>
      </c>
      <c r="F78" s="2">
        <f>F12/'Output-Calculation-sheet'!F11*'Output-Calculation-sheet'!F65</f>
        <v>921.80835852560722</v>
      </c>
      <c r="G78" s="2">
        <f>G12/'Output-Calculation-sheet'!G11*'Output-Calculation-sheet'!G65</f>
        <v>1752.2933528525009</v>
      </c>
      <c r="H78" s="2">
        <f>H12/'Output-Calculation-sheet'!H11*'Output-Calculation-sheet'!H65</f>
        <v>6772.3829467612559</v>
      </c>
      <c r="I78" s="2">
        <f>I12/'Output-Calculation-sheet'!I11*'Output-Calculation-sheet'!I65</f>
        <v>1152.6619618042416</v>
      </c>
      <c r="J78" s="2">
        <f>J12/'Output-Calculation-sheet'!J11*'Output-Calculation-sheet'!J65</f>
        <v>469.99274198327845</v>
      </c>
      <c r="K78" s="2">
        <f>K12/'Output-Calculation-sheet'!K11*'Output-Calculation-sheet'!K65</f>
        <v>1427.9302280309257</v>
      </c>
      <c r="L78" s="2">
        <f>L12/'Output-Calculation-sheet'!L11*'Output-Calculation-sheet'!L65</f>
        <v>457.08928505347416</v>
      </c>
      <c r="M78" s="2">
        <f>M12/'Output-Calculation-sheet'!M11*'Output-Calculation-sheet'!M65</f>
        <v>4716.7991618825517</v>
      </c>
      <c r="N78" s="2">
        <f>N12/'Output-Calculation-sheet'!N11*'Output-Calculation-sheet'!N65</f>
        <v>3268.8288480965466</v>
      </c>
      <c r="O78" s="2">
        <f>O12/'Output-Calculation-sheet'!O11*'Output-Calculation-sheet'!O65</f>
        <v>0</v>
      </c>
      <c r="P78" s="2">
        <f>P12/'Output-Calculation-sheet'!P11*'Output-Calculation-sheet'!P65</f>
        <v>1883.2071307101276</v>
      </c>
      <c r="Q78" s="2">
        <f>Q12/'Output-Calculation-sheet'!Q11*'Output-Calculation-sheet'!Q65</f>
        <v>761.39475656824902</v>
      </c>
      <c r="R78" s="2">
        <f>R12/'Output-Calculation-sheet'!R11*'Output-Calculation-sheet'!R65</f>
        <v>1482.5747275733413</v>
      </c>
      <c r="S78" s="2">
        <f>S12/'Output-Calculation-sheet'!S11*'Output-Calculation-sheet'!S65</f>
        <v>1543.9964251056238</v>
      </c>
      <c r="T78" s="2">
        <f>T12/'Output-Calculation-sheet'!T11*'Output-Calculation-sheet'!T65</f>
        <v>547.71474106196683</v>
      </c>
      <c r="U78" s="2">
        <f>U12/'Output-Calculation-sheet'!U11*'Output-Calculation-sheet'!U65</f>
        <v>395.51855284898295</v>
      </c>
      <c r="V78" s="2">
        <f>V12/'Output-Calculation-sheet'!V11*'Output-Calculation-sheet'!V65</f>
        <v>199.22831136306164</v>
      </c>
      <c r="W78" s="2">
        <f>W12/'Output-Calculation-sheet'!W11*'Output-Calculation-sheet'!W65</f>
        <v>216.83290426774673</v>
      </c>
      <c r="X78" s="2">
        <f>X12/'Output-Calculation-sheet'!X11*'Output-Calculation-sheet'!X65</f>
        <v>476.55955552076841</v>
      </c>
      <c r="Y78" s="2">
        <f>Y12/'Output-Calculation-sheet'!Y11*'Output-Calculation-sheet'!Y65</f>
        <v>182.98694755814449</v>
      </c>
      <c r="AA78" s="2">
        <f t="shared" si="6"/>
        <v>65.152198661399254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1402.6234591666891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272.49200434995538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1.6751154635166445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2227.9861799729124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408.79123370611165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2.6367774136790239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3151.1470400712997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558.94978408260522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3.7100968241539047</v>
      </c>
    </row>
    <row r="88" spans="1:27" x14ac:dyDescent="0.25">
      <c r="A88" s="2">
        <v>2034</v>
      </c>
      <c r="B88" s="2">
        <f>B11/'Output-Calculation-sheet'!B10*'Output-Calculation-sheet'!B73</f>
        <v>312.71247740237936</v>
      </c>
      <c r="C88" s="2">
        <f>C11/'Output-Calculation-sheet'!C10*'Output-Calculation-sheet'!C73</f>
        <v>3858.9282253592296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45.688395790982732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33.151895554823327</v>
      </c>
      <c r="M88" s="2">
        <f>M11/'Output-Calculation-sheet'!M10*'Output-Calculation-sheet'!M73</f>
        <v>31.438087169711014</v>
      </c>
      <c r="N88" s="2">
        <f>N11/'Output-Calculation-sheet'!N10*'Output-Calculation-sheet'!N73</f>
        <v>30.898595050383079</v>
      </c>
      <c r="O88" s="2">
        <f>O11/'Output-Calculation-sheet'!O10*'Output-Calculation-sheet'!O73</f>
        <v>720.85186560351963</v>
      </c>
      <c r="P88" s="2">
        <f>P11/'Output-Calculation-sheet'!P10*'Output-Calculation-sheet'!P73</f>
        <v>0</v>
      </c>
      <c r="Q88" s="2">
        <f>Q11/'Output-Calculation-sheet'!Q10*'Output-Calculation-sheet'!Q73</f>
        <v>54.143635171933738</v>
      </c>
      <c r="R88" s="2">
        <f>R11/'Output-Calculation-sheet'!R10*'Output-Calculation-sheet'!R73</f>
        <v>0</v>
      </c>
      <c r="S88" s="2">
        <f>S11/'Output-Calculation-sheet'!S10*'Output-Calculation-sheet'!S73</f>
        <v>17.712093273156714</v>
      </c>
      <c r="T88" s="2">
        <f>T11/'Output-Calculation-sheet'!T10*'Output-Calculation-sheet'!T73</f>
        <v>0</v>
      </c>
      <c r="U88" s="2">
        <f>U11/'Output-Calculation-sheet'!U10*'Output-Calculation-sheet'!U73</f>
        <v>8.6375639317322968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17.244178318617813</v>
      </c>
      <c r="Y88" s="2">
        <f>Y11/'Output-Calculation-sheet'!Y10*'Output-Calculation-sheet'!Y73</f>
        <v>0</v>
      </c>
      <c r="AA88" s="2">
        <f t="shared" si="7"/>
        <v>5.1314070126264699</v>
      </c>
    </row>
    <row r="89" spans="1:27" x14ac:dyDescent="0.25">
      <c r="A89" s="2">
        <v>2035</v>
      </c>
      <c r="B89" s="2">
        <f>B12/'Output-Calculation-sheet'!B11*'Output-Calculation-sheet'!B74</f>
        <v>1003.0073505541754</v>
      </c>
      <c r="C89" s="2">
        <f>C12/'Output-Calculation-sheet'!C11*'Output-Calculation-sheet'!C74</f>
        <v>4284.4469323865997</v>
      </c>
      <c r="D89" s="2">
        <f>D12/'Output-Calculation-sheet'!D11*'Output-Calculation-sheet'!D74</f>
        <v>281.1331853693361</v>
      </c>
      <c r="E89" s="2">
        <f>E12/'Output-Calculation-sheet'!E11*'Output-Calculation-sheet'!E74</f>
        <v>335.13884255034537</v>
      </c>
      <c r="F89" s="2">
        <f>F12/'Output-Calculation-sheet'!F11*'Output-Calculation-sheet'!F74</f>
        <v>140.51956684841574</v>
      </c>
      <c r="G89" s="2">
        <f>G12/'Output-Calculation-sheet'!G11*'Output-Calculation-sheet'!G74</f>
        <v>100.84851387600362</v>
      </c>
      <c r="H89" s="2">
        <f>H12/'Output-Calculation-sheet'!H11*'Output-Calculation-sheet'!H74</f>
        <v>293.08582244013428</v>
      </c>
      <c r="I89" s="2">
        <f>I12/'Output-Calculation-sheet'!I11*'Output-Calculation-sheet'!I74</f>
        <v>90.707217139818354</v>
      </c>
      <c r="J89" s="2">
        <f>J12/'Output-Calculation-sheet'!J11*'Output-Calculation-sheet'!J74</f>
        <v>89.770364240908876</v>
      </c>
      <c r="K89" s="2">
        <f>K12/'Output-Calculation-sheet'!K11*'Output-Calculation-sheet'!K74</f>
        <v>89.150916403254399</v>
      </c>
      <c r="L89" s="2">
        <f>L12/'Output-Calculation-sheet'!L11*'Output-Calculation-sheet'!L74</f>
        <v>70.88853676387626</v>
      </c>
      <c r="M89" s="2">
        <f>M12/'Output-Calculation-sheet'!M11*'Output-Calculation-sheet'!M74</f>
        <v>201.67172592866376</v>
      </c>
      <c r="N89" s="2">
        <f>N12/'Output-Calculation-sheet'!N11*'Output-Calculation-sheet'!N74</f>
        <v>132.14063054457995</v>
      </c>
      <c r="O89" s="2">
        <f>O12/'Output-Calculation-sheet'!O11*'Output-Calculation-sheet'!O74</f>
        <v>863.1806582316882</v>
      </c>
      <c r="P89" s="2">
        <f>P12/'Output-Calculation-sheet'!P11*'Output-Calculation-sheet'!P74</f>
        <v>91.555599723376318</v>
      </c>
      <c r="Q89" s="2">
        <f>Q12/'Output-Calculation-sheet'!Q11*'Output-Calculation-sheet'!Q74</f>
        <v>115.7750713249067</v>
      </c>
      <c r="R89" s="2">
        <f>R12/'Output-Calculation-sheet'!R11*'Output-Calculation-sheet'!R74</f>
        <v>57.406285432252041</v>
      </c>
      <c r="S89" s="2">
        <f>S12/'Output-Calculation-sheet'!S11*'Output-Calculation-sheet'!S74</f>
        <v>75.747365521408184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27.70449131539258</v>
      </c>
      <c r="V89" s="2">
        <f>V12/'Output-Calculation-sheet'!V11*'Output-Calculation-sheet'!V74</f>
        <v>14.241783641651415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40.560456742171361</v>
      </c>
      <c r="Y89" s="2">
        <f>Y12/'Output-Calculation-sheet'!Y11*'Output-Calculation-sheet'!Y74</f>
        <v>10.674979925608818</v>
      </c>
      <c r="AA89" s="2">
        <f t="shared" si="7"/>
        <v>8.4261416080269989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14235070255.585815</v>
      </c>
      <c r="C96" s="2">
        <f>C8/'Output-Calculation-sheet'!C7*'Output-Calculation-sheet'!C79</f>
        <v>4815788963.5253592</v>
      </c>
      <c r="D96" s="2">
        <f>D8/'Output-Calculation-sheet'!D7*'Output-Calculation-sheet'!D79</f>
        <v>5027366521.1421747</v>
      </c>
      <c r="E96" s="2">
        <f>E8/'Output-Calculation-sheet'!E7*'Output-Calculation-sheet'!E79</f>
        <v>8938229619.8592834</v>
      </c>
      <c r="F96" s="2">
        <f>F8/'Output-Calculation-sheet'!F7*'Output-Calculation-sheet'!F79</f>
        <v>3699445160.5769501</v>
      </c>
      <c r="G96" s="2">
        <f>G8/'Output-Calculation-sheet'!G7*'Output-Calculation-sheet'!G79</f>
        <v>2881563584.0389795</v>
      </c>
      <c r="H96" s="2">
        <f>H8/'Output-Calculation-sheet'!H7*'Output-Calculation-sheet'!H79</f>
        <v>2466455690.7650089</v>
      </c>
      <c r="I96" s="2">
        <f>I8/'Output-Calculation-sheet'!I7*'Output-Calculation-sheet'!I79</f>
        <v>2007315383.2330143</v>
      </c>
      <c r="J96" s="2">
        <f>J8/'Output-Calculation-sheet'!J7*'Output-Calculation-sheet'!J79</f>
        <v>1357398510.0126991</v>
      </c>
      <c r="K96" s="2">
        <f>K8/'Output-Calculation-sheet'!K7*'Output-Calculation-sheet'!K79</f>
        <v>1942032349.1508298</v>
      </c>
      <c r="L96" s="2">
        <f>L8/'Output-Calculation-sheet'!L7*'Output-Calculation-sheet'!L79</f>
        <v>1370296335.7420073</v>
      </c>
      <c r="M96" s="2">
        <f>M8/'Output-Calculation-sheet'!M7*'Output-Calculation-sheet'!M79</f>
        <v>1841161471.5283206</v>
      </c>
      <c r="N96" s="2">
        <f>N8/'Output-Calculation-sheet'!N7*'Output-Calculation-sheet'!N79</f>
        <v>1369970768.942214</v>
      </c>
      <c r="O96" s="2">
        <f>O8/'Output-Calculation-sheet'!O7*'Output-Calculation-sheet'!O79</f>
        <v>692567145.5204854</v>
      </c>
      <c r="P96" s="2">
        <f>P8/'Output-Calculation-sheet'!P7*'Output-Calculation-sheet'!P79</f>
        <v>2316491846.4578929</v>
      </c>
      <c r="Q96" s="2">
        <f>Q8/'Output-Calculation-sheet'!Q7*'Output-Calculation-sheet'!Q79</f>
        <v>1079584282.6017506</v>
      </c>
      <c r="R96" s="2">
        <f>R8/'Output-Calculation-sheet'!R7*'Output-Calculation-sheet'!R79</f>
        <v>1346909726.8468456</v>
      </c>
      <c r="S96" s="2">
        <f>S8/'Output-Calculation-sheet'!S7*'Output-Calculation-sheet'!S79</f>
        <v>784822482.38690579</v>
      </c>
      <c r="T96" s="2">
        <f>T8/'Output-Calculation-sheet'!T7*'Output-Calculation-sheet'!T79</f>
        <v>599423700.11310279</v>
      </c>
      <c r="U96" s="2">
        <f>U8/'Output-Calculation-sheet'!U7*'Output-Calculation-sheet'!U79</f>
        <v>376542562.6908434</v>
      </c>
      <c r="V96" s="2">
        <f>V8/'Output-Calculation-sheet'!V7*'Output-Calculation-sheet'!V79</f>
        <v>195369917.26023108</v>
      </c>
      <c r="W96" s="2">
        <f>W8/'Output-Calculation-sheet'!W7*'Output-Calculation-sheet'!W79</f>
        <v>577302266.32085562</v>
      </c>
      <c r="X96" s="2">
        <f>X8/'Output-Calculation-sheet'!X7*'Output-Calculation-sheet'!X79</f>
        <v>202905409.24248821</v>
      </c>
      <c r="Y96" s="2">
        <f>Y8/'Output-Calculation-sheet'!Y7*'Output-Calculation-sheet'!Y79</f>
        <v>317341262.17475873</v>
      </c>
      <c r="AA96" s="2">
        <f t="shared" si="8"/>
        <v>60.441355215718829</v>
      </c>
    </row>
    <row r="97" spans="1:27" x14ac:dyDescent="0.25">
      <c r="A97" s="2">
        <v>2032</v>
      </c>
      <c r="B97" s="2">
        <f>B9/'Output-Calculation-sheet'!B8*'Output-Calculation-sheet'!B80</f>
        <v>20401787901.65786</v>
      </c>
      <c r="C97" s="2">
        <f>C9/'Output-Calculation-sheet'!C8*'Output-Calculation-sheet'!C80</f>
        <v>6948958929.4750156</v>
      </c>
      <c r="D97" s="2">
        <f>D9/'Output-Calculation-sheet'!D8*'Output-Calculation-sheet'!D80</f>
        <v>6923961140.4741716</v>
      </c>
      <c r="E97" s="2">
        <f>E9/'Output-Calculation-sheet'!E8*'Output-Calculation-sheet'!E80</f>
        <v>12662889089.734468</v>
      </c>
      <c r="F97" s="2">
        <f>F9/'Output-Calculation-sheet'!F8*'Output-Calculation-sheet'!F80</f>
        <v>5231040508.6455097</v>
      </c>
      <c r="G97" s="2">
        <f>G9/'Output-Calculation-sheet'!G8*'Output-Calculation-sheet'!G80</f>
        <v>3959610269.9330621</v>
      </c>
      <c r="H97" s="2">
        <f>H9/'Output-Calculation-sheet'!H8*'Output-Calculation-sheet'!H80</f>
        <v>3483657266.5884109</v>
      </c>
      <c r="I97" s="2">
        <f>I9/'Output-Calculation-sheet'!I8*'Output-Calculation-sheet'!I80</f>
        <v>2865631393.5744081</v>
      </c>
      <c r="J97" s="2">
        <f>J9/'Output-Calculation-sheet'!J8*'Output-Calculation-sheet'!J80</f>
        <v>1883888142.2763453</v>
      </c>
      <c r="K97" s="2">
        <f>K9/'Output-Calculation-sheet'!K8*'Output-Calculation-sheet'!K80</f>
        <v>2716021680.6348867</v>
      </c>
      <c r="L97" s="2">
        <f>L9/'Output-Calculation-sheet'!L8*'Output-Calculation-sheet'!L80</f>
        <v>1976813870.0364268</v>
      </c>
      <c r="M97" s="2">
        <f>M9/'Output-Calculation-sheet'!M8*'Output-Calculation-sheet'!M80</f>
        <v>2608184744.3240414</v>
      </c>
      <c r="N97" s="2">
        <f>N9/'Output-Calculation-sheet'!N8*'Output-Calculation-sheet'!N80</f>
        <v>1905627674.0451024</v>
      </c>
      <c r="O97" s="2">
        <f>O9/'Output-Calculation-sheet'!O8*'Output-Calculation-sheet'!O80</f>
        <v>985846950.84144866</v>
      </c>
      <c r="P97" s="2">
        <f>P9/'Output-Calculation-sheet'!P8*'Output-Calculation-sheet'!P80</f>
        <v>3225505844.5708733</v>
      </c>
      <c r="Q97" s="2">
        <f>Q9/'Output-Calculation-sheet'!Q8*'Output-Calculation-sheet'!Q80</f>
        <v>1508767944.9210727</v>
      </c>
      <c r="R97" s="2">
        <f>R9/'Output-Calculation-sheet'!R8*'Output-Calculation-sheet'!R80</f>
        <v>1906324453.224967</v>
      </c>
      <c r="S97" s="2">
        <f>S9/'Output-Calculation-sheet'!S8*'Output-Calculation-sheet'!S80</f>
        <v>1106425196.4051719</v>
      </c>
      <c r="T97" s="2">
        <f>T9/'Output-Calculation-sheet'!T8*'Output-Calculation-sheet'!T80</f>
        <v>833177084.8401078</v>
      </c>
      <c r="U97" s="2">
        <f>U9/'Output-Calculation-sheet'!U8*'Output-Calculation-sheet'!U80</f>
        <v>532644134.92244649</v>
      </c>
      <c r="V97" s="2">
        <f>V9/'Output-Calculation-sheet'!V8*'Output-Calculation-sheet'!V80</f>
        <v>279286841.17416865</v>
      </c>
      <c r="W97" s="2">
        <f>W9/'Output-Calculation-sheet'!W8*'Output-Calculation-sheet'!W80</f>
        <v>808820088.43809748</v>
      </c>
      <c r="X97" s="2">
        <f>X9/'Output-Calculation-sheet'!X8*'Output-Calculation-sheet'!X80</f>
        <v>290444464.13166571</v>
      </c>
      <c r="Y97" s="2">
        <f>Y9/'Output-Calculation-sheet'!Y8*'Output-Calculation-sheet'!Y80</f>
        <v>444579875.38001388</v>
      </c>
      <c r="AA97" s="2">
        <f t="shared" si="8"/>
        <v>85.489895490249708</v>
      </c>
    </row>
    <row r="98" spans="1:27" x14ac:dyDescent="0.25">
      <c r="A98" s="2">
        <v>2033</v>
      </c>
      <c r="B98" s="2">
        <f>B10/'Output-Calculation-sheet'!B9*'Output-Calculation-sheet'!B81</f>
        <v>27086833778.147697</v>
      </c>
      <c r="C98" s="2">
        <f>C10/'Output-Calculation-sheet'!C9*'Output-Calculation-sheet'!C81</f>
        <v>9286709820.1319351</v>
      </c>
      <c r="D98" s="2">
        <f>D10/'Output-Calculation-sheet'!D9*'Output-Calculation-sheet'!D81</f>
        <v>8838119244.6674671</v>
      </c>
      <c r="E98" s="2">
        <f>E10/'Output-Calculation-sheet'!E9*'Output-Calculation-sheet'!E81</f>
        <v>16625058391.261904</v>
      </c>
      <c r="F98" s="2">
        <f>F10/'Output-Calculation-sheet'!F9*'Output-Calculation-sheet'!F81</f>
        <v>6856575926.2179203</v>
      </c>
      <c r="G98" s="2">
        <f>G10/'Output-Calculation-sheet'!G9*'Output-Calculation-sheet'!G81</f>
        <v>5034307829.6305389</v>
      </c>
      <c r="H98" s="2">
        <f>H10/'Output-Calculation-sheet'!H9*'Output-Calculation-sheet'!H81</f>
        <v>4561124025.1784391</v>
      </c>
      <c r="I98" s="2">
        <f>I10/'Output-Calculation-sheet'!I9*'Output-Calculation-sheet'!I81</f>
        <v>3791640627.4904613</v>
      </c>
      <c r="J98" s="2">
        <f>J10/'Output-Calculation-sheet'!J9*'Output-Calculation-sheet'!J81</f>
        <v>2424470584.229496</v>
      </c>
      <c r="K98" s="2">
        <f>K10/'Output-Calculation-sheet'!K9*'Output-Calculation-sheet'!K81</f>
        <v>3521639670.4538755</v>
      </c>
      <c r="L98" s="2">
        <f>L10/'Output-Calculation-sheet'!L9*'Output-Calculation-sheet'!L81</f>
        <v>2641282467.771071</v>
      </c>
      <c r="M98" s="2">
        <f>M10/'Output-Calculation-sheet'!M9*'Output-Calculation-sheet'!M81</f>
        <v>3425212638.4451561</v>
      </c>
      <c r="N98" s="2">
        <f>N10/'Output-Calculation-sheet'!N9*'Output-Calculation-sheet'!N81</f>
        <v>2457322815.2342739</v>
      </c>
      <c r="O98" s="2">
        <f>O10/'Output-Calculation-sheet'!O9*'Output-Calculation-sheet'!O81</f>
        <v>1301291258.4892771</v>
      </c>
      <c r="P98" s="2">
        <f>P10/'Output-Calculation-sheet'!P9*'Output-Calculation-sheet'!P81</f>
        <v>4158549298.4804735</v>
      </c>
      <c r="Q98" s="2">
        <f>Q10/'Output-Calculation-sheet'!Q9*'Output-Calculation-sheet'!Q81</f>
        <v>1955244458.4715743</v>
      </c>
      <c r="R98" s="2">
        <f>R10/'Output-Calculation-sheet'!R9*'Output-Calculation-sheet'!R81</f>
        <v>2501053467.8367772</v>
      </c>
      <c r="S98" s="2">
        <f>S10/'Output-Calculation-sheet'!S9*'Output-Calculation-sheet'!S81</f>
        <v>1446054188.9584732</v>
      </c>
      <c r="T98" s="2">
        <f>T10/'Output-Calculation-sheet'!T9*'Output-Calculation-sheet'!T81</f>
        <v>1073031698.2941757</v>
      </c>
      <c r="U98" s="2">
        <f>U10/'Output-Calculation-sheet'!U9*'Output-Calculation-sheet'!U81</f>
        <v>698184015.89391994</v>
      </c>
      <c r="V98" s="2">
        <f>V10/'Output-Calculation-sheet'!V9*'Output-Calculation-sheet'!V81</f>
        <v>369770012.07313049</v>
      </c>
      <c r="W98" s="2">
        <f>W10/'Output-Calculation-sheet'!W9*'Output-Calculation-sheet'!W81</f>
        <v>1048425554.9957309</v>
      </c>
      <c r="X98" s="2">
        <f>X10/'Output-Calculation-sheet'!X9*'Output-Calculation-sheet'!X81</f>
        <v>385264671.06761038</v>
      </c>
      <c r="Y98" s="2">
        <f>Y10/'Output-Calculation-sheet'!Y9*'Output-Calculation-sheet'!Y81</f>
        <v>576489297.84451497</v>
      </c>
      <c r="AA98" s="2">
        <f t="shared" si="8"/>
        <v>112.06365574126589</v>
      </c>
    </row>
    <row r="99" spans="1:27" x14ac:dyDescent="0.25">
      <c r="A99" s="2">
        <v>2034</v>
      </c>
      <c r="B99" s="2">
        <f>B11/'Output-Calculation-sheet'!B10*'Output-Calculation-sheet'!B82</f>
        <v>34222377931.979671</v>
      </c>
      <c r="C99" s="2">
        <f>C11/'Output-Calculation-sheet'!C10*'Output-Calculation-sheet'!C82</f>
        <v>11808124454.781647</v>
      </c>
      <c r="D99" s="2">
        <f>D11/'Output-Calculation-sheet'!D10*'Output-Calculation-sheet'!D82</f>
        <v>10742071816.199043</v>
      </c>
      <c r="E99" s="2">
        <f>E11/'Output-Calculation-sheet'!E10*'Output-Calculation-sheet'!E82</f>
        <v>20779595967.544029</v>
      </c>
      <c r="F99" s="2">
        <f>F11/'Output-Calculation-sheet'!F10*'Output-Calculation-sheet'!F82</f>
        <v>8558050811.5349283</v>
      </c>
      <c r="G99" s="2">
        <f>G11/'Output-Calculation-sheet'!G10*'Output-Calculation-sheet'!G82</f>
        <v>6084165133.5813475</v>
      </c>
      <c r="H99" s="2">
        <f>H11/'Output-Calculation-sheet'!H10*'Output-Calculation-sheet'!H82</f>
        <v>5686756953.8307762</v>
      </c>
      <c r="I99" s="2">
        <f>I11/'Output-Calculation-sheet'!I10*'Output-Calculation-sheet'!I82</f>
        <v>4776479946.7461958</v>
      </c>
      <c r="J99" s="2">
        <f>J11/'Output-Calculation-sheet'!J10*'Output-Calculation-sheet'!J82</f>
        <v>2972401644.0525069</v>
      </c>
      <c r="K99" s="2">
        <f>K11/'Output-Calculation-sheet'!K10*'Output-Calculation-sheet'!K82</f>
        <v>4349013664.0846596</v>
      </c>
      <c r="L99" s="2">
        <f>L11/'Output-Calculation-sheet'!L10*'Output-Calculation-sheet'!L82</f>
        <v>3357756589.3747258</v>
      </c>
      <c r="M99" s="2">
        <f>M11/'Output-Calculation-sheet'!M10*'Output-Calculation-sheet'!M82</f>
        <v>4283728607.2750869</v>
      </c>
      <c r="N99" s="2">
        <f>N11/'Output-Calculation-sheet'!N10*'Output-Calculation-sheet'!N82</f>
        <v>3017890806.4329062</v>
      </c>
      <c r="O99" s="2">
        <f>O11/'Output-Calculation-sheet'!O10*'Output-Calculation-sheet'!O82</f>
        <v>1636150061.8646338</v>
      </c>
      <c r="P99" s="2">
        <f>P11/'Output-Calculation-sheet'!P10*'Output-Calculation-sheet'!P82</f>
        <v>5100250397.8721189</v>
      </c>
      <c r="Q99" s="2">
        <f>Q11/'Output-Calculation-sheet'!Q10*'Output-Calculation-sheet'!Q82</f>
        <v>2413758990.7640195</v>
      </c>
      <c r="R99" s="2">
        <f>R11/'Output-Calculation-sheet'!R10*'Output-Calculation-sheet'!R82</f>
        <v>3124599850.8602304</v>
      </c>
      <c r="S99" s="2">
        <f>S11/'Output-Calculation-sheet'!S10*'Output-Calculation-sheet'!S82</f>
        <v>1799856866.9756751</v>
      </c>
      <c r="T99" s="2">
        <f>T11/'Output-Calculation-sheet'!T10*'Output-Calculation-sheet'!T82</f>
        <v>1315484941.7523463</v>
      </c>
      <c r="U99" s="2">
        <f>U11/'Output-Calculation-sheet'!U10*'Output-Calculation-sheet'!U82</f>
        <v>871140646.57846761</v>
      </c>
      <c r="V99" s="2">
        <f>V11/'Output-Calculation-sheet'!V10*'Output-Calculation-sheet'!V82</f>
        <v>465788042.85220855</v>
      </c>
      <c r="W99" s="2">
        <f>W11/'Output-Calculation-sheet'!W10*'Output-Calculation-sheet'!W82</f>
        <v>1291646550.9130182</v>
      </c>
      <c r="X99" s="2">
        <f>X11/'Output-Calculation-sheet'!X10*'Output-Calculation-sheet'!X82</f>
        <v>486469651.52589881</v>
      </c>
      <c r="Y99" s="2">
        <f>Y11/'Output-Calculation-sheet'!Y10*'Output-Calculation-sheet'!Y82</f>
        <v>710815265.79820585</v>
      </c>
      <c r="AA99" s="2">
        <f t="shared" si="8"/>
        <v>139.85437559517439</v>
      </c>
    </row>
    <row r="100" spans="1:27" x14ac:dyDescent="0.25">
      <c r="A100" s="2">
        <v>2035</v>
      </c>
      <c r="B100" s="2">
        <f>B12/'Output-Calculation-sheet'!B11*'Output-Calculation-sheet'!B83</f>
        <v>41805212636.784622</v>
      </c>
      <c r="C100" s="2">
        <f>C12/'Output-Calculation-sheet'!C11*'Output-Calculation-sheet'!C83</f>
        <v>14514090811.749069</v>
      </c>
      <c r="D100" s="2">
        <f>D12/'Output-Calculation-sheet'!D11*'Output-Calculation-sheet'!D83</f>
        <v>12632655023.938482</v>
      </c>
      <c r="E100" s="2">
        <f>E12/'Output-Calculation-sheet'!E11*'Output-Calculation-sheet'!E83</f>
        <v>25123091253.164803</v>
      </c>
      <c r="F100" s="2">
        <f>F12/'Output-Calculation-sheet'!F11*'Output-Calculation-sheet'!F83</f>
        <v>10334638011.476898</v>
      </c>
      <c r="G100" s="2">
        <f>G12/'Output-Calculation-sheet'!G11*'Output-Calculation-sheet'!G83</f>
        <v>7101908662.3446827</v>
      </c>
      <c r="H100" s="2">
        <f>H12/'Output-Calculation-sheet'!H11*'Output-Calculation-sheet'!H83</f>
        <v>6859913027.6330023</v>
      </c>
      <c r="I100" s="2">
        <f>I12/'Output-Calculation-sheet'!I11*'Output-Calculation-sheet'!I83</f>
        <v>5820500709.4278641</v>
      </c>
      <c r="J100" s="2">
        <f>J12/'Output-Calculation-sheet'!J11*'Output-Calculation-sheet'!J83</f>
        <v>3527473947.1834335</v>
      </c>
      <c r="K100" s="2">
        <f>K12/'Output-Calculation-sheet'!K11*'Output-Calculation-sheet'!K83</f>
        <v>5197471681.0348101</v>
      </c>
      <c r="L100" s="2">
        <f>L12/'Output-Calculation-sheet'!L11*'Output-Calculation-sheet'!L83</f>
        <v>4126496157.9888391</v>
      </c>
      <c r="M100" s="2">
        <f>M12/'Output-Calculation-sheet'!M11*'Output-Calculation-sheet'!M83</f>
        <v>5183793571.6383982</v>
      </c>
      <c r="N100" s="2">
        <f>N12/'Output-Calculation-sheet'!N11*'Output-Calculation-sheet'!N83</f>
        <v>3586775722.765624</v>
      </c>
      <c r="O100" s="2">
        <f>O12/'Output-Calculation-sheet'!O11*'Output-Calculation-sheet'!O83</f>
        <v>1990888269.9181879</v>
      </c>
      <c r="P100" s="2">
        <f>P12/'Output-Calculation-sheet'!P11*'Output-Calculation-sheet'!P83</f>
        <v>6046469139.1313572</v>
      </c>
      <c r="Q100" s="2">
        <f>Q12/'Output-Calculation-sheet'!Q11*'Output-Calculation-sheet'!Q83</f>
        <v>2884193497.2866073</v>
      </c>
      <c r="R100" s="2">
        <f>R12/'Output-Calculation-sheet'!R11*'Output-Calculation-sheet'!R83</f>
        <v>3776690631.0453429</v>
      </c>
      <c r="S100" s="2">
        <f>S12/'Output-Calculation-sheet'!S11*'Output-Calculation-sheet'!S83</f>
        <v>2167626379.1275153</v>
      </c>
      <c r="T100" s="2">
        <f>T12/'Output-Calculation-sheet'!T11*'Output-Calculation-sheet'!T83</f>
        <v>1559939963.4115231</v>
      </c>
      <c r="U100" s="2">
        <f>U12/'Output-Calculation-sheet'!U11*'Output-Calculation-sheet'!U83</f>
        <v>1051222912.4034314</v>
      </c>
      <c r="V100" s="2">
        <f>V12/'Output-Calculation-sheet'!V11*'Output-Calculation-sheet'!V83</f>
        <v>567195838.83346474</v>
      </c>
      <c r="W100" s="2">
        <f>W12/'Output-Calculation-sheet'!W11*'Output-Calculation-sheet'!W83</f>
        <v>1536672871.858057</v>
      </c>
      <c r="X100" s="2">
        <f>X12/'Output-Calculation-sheet'!X11*'Output-Calculation-sheet'!X83</f>
        <v>594092328.48540819</v>
      </c>
      <c r="Y100" s="2">
        <f>Y12/'Output-Calculation-sheet'!Y11*'Output-Calculation-sheet'!Y83</f>
        <v>846798475.92154646</v>
      </c>
      <c r="AA100" s="2">
        <f t="shared" si="8"/>
        <v>168.83581152455298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1258.9526257399841</v>
      </c>
      <c r="C19" s="2">
        <f>C8/'Output-Calculation-sheet'!C7*'Output-Calculation-sheet'!C25</f>
        <v>11733.142901329351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5648.8650803214568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3924.7309012360929</v>
      </c>
      <c r="N19" s="2">
        <f>N8/'Output-Calculation-sheet'!N7*'Output-Calculation-sheet'!N25</f>
        <v>1343.7062279010879</v>
      </c>
      <c r="O19" s="2">
        <f>O8/'Output-Calculation-sheet'!O7*'Output-Calculation-sheet'!O25</f>
        <v>2081.3685924504261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479.45559409835829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439.16385450187732</v>
      </c>
      <c r="Y19" s="2">
        <f>Y8/'Output-Calculation-sheet'!Y7*'Output-Calculation-sheet'!Y25</f>
        <v>0</v>
      </c>
      <c r="AA19" s="2">
        <f t="shared" si="0"/>
        <v>26.909385777578631</v>
      </c>
    </row>
    <row r="20" spans="1:27" x14ac:dyDescent="0.25">
      <c r="A20" s="2">
        <v>2032</v>
      </c>
      <c r="B20" s="2">
        <f>B9/'Output-Calculation-sheet'!B8*'Output-Calculation-sheet'!B26</f>
        <v>6935.8683045560665</v>
      </c>
      <c r="C20" s="2">
        <f>C9/'Output-Calculation-sheet'!C8*'Output-Calculation-sheet'!C26</f>
        <v>14097.509264257533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7545.7389673485686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5247.9518628508649</v>
      </c>
      <c r="N20" s="2">
        <f>N9/'Output-Calculation-sheet'!N8*'Output-Calculation-sheet'!N26</f>
        <v>2366.1994551728139</v>
      </c>
      <c r="O20" s="2">
        <f>O9/'Output-Calculation-sheet'!O8*'Output-Calculation-sheet'!O26</f>
        <v>2454.7384836177371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855.54794547484653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586.54775878498435</v>
      </c>
      <c r="Y20" s="2">
        <f>Y9/'Output-Calculation-sheet'!Y8*'Output-Calculation-sheet'!Y26</f>
        <v>0</v>
      </c>
      <c r="AA20" s="2">
        <f t="shared" si="0"/>
        <v>40.090102042063414</v>
      </c>
    </row>
    <row r="21" spans="1:27" x14ac:dyDescent="0.25">
      <c r="A21" s="2">
        <v>2033</v>
      </c>
      <c r="B21" s="2">
        <f>B10/'Output-Calculation-sheet'!B9*'Output-Calculation-sheet'!B27</f>
        <v>15376.481779458116</v>
      </c>
      <c r="C21" s="2">
        <f>C10/'Output-Calculation-sheet'!C9*'Output-Calculation-sheet'!C27</f>
        <v>15675.47768873902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8889.5359858632964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6174.4029171575376</v>
      </c>
      <c r="N21" s="2">
        <f>N10/'Output-Calculation-sheet'!N9*'Output-Calculation-sheet'!N27</f>
        <v>3359.7393930841654</v>
      </c>
      <c r="O21" s="2">
        <f>O10/'Output-Calculation-sheet'!O9*'Output-Calculation-sheet'!O27</f>
        <v>2606.3730010361323</v>
      </c>
      <c r="P21" s="2">
        <f>P10/'Output-Calculation-sheet'!P9*'Output-Calculation-sheet'!P27</f>
        <v>0</v>
      </c>
      <c r="Q21" s="2">
        <f>Q10/'Output-Calculation-sheet'!Q9*'Output-Calculation-sheet'!Q27</f>
        <v>229.44362003090924</v>
      </c>
      <c r="R21" s="2">
        <f>R10/'Output-Calculation-sheet'!R9*'Output-Calculation-sheet'!R27</f>
        <v>0</v>
      </c>
      <c r="S21" s="2">
        <f>S10/'Output-Calculation-sheet'!S9*'Output-Calculation-sheet'!S27</f>
        <v>1470.2030062938832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726.01322177487214</v>
      </c>
      <c r="Y21" s="2">
        <f>Y10/'Output-Calculation-sheet'!Y9*'Output-Calculation-sheet'!Y27</f>
        <v>0</v>
      </c>
      <c r="AA21" s="2">
        <f t="shared" si="0"/>
        <v>54.507670613437931</v>
      </c>
    </row>
    <row r="22" spans="1:27" x14ac:dyDescent="0.25">
      <c r="A22" s="2">
        <v>2034</v>
      </c>
      <c r="B22" s="2">
        <f>B11/'Output-Calculation-sheet'!B10*'Output-Calculation-sheet'!B28</f>
        <v>22918.210337658798</v>
      </c>
      <c r="C22" s="2">
        <f>C11/'Output-Calculation-sheet'!C10*'Output-Calculation-sheet'!C28</f>
        <v>16364.073816514257</v>
      </c>
      <c r="D22" s="2">
        <f>D11/'Output-Calculation-sheet'!D10*'Output-Calculation-sheet'!D28</f>
        <v>0</v>
      </c>
      <c r="E22" s="2">
        <f>E11/'Output-Calculation-sheet'!E10*'Output-Calculation-sheet'!E28</f>
        <v>1325.5515789118847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9634.5891751662093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658.22909427715967</v>
      </c>
      <c r="M22" s="2">
        <f>M11/'Output-Calculation-sheet'!M10*'Output-Calculation-sheet'!M28</f>
        <v>6693.5554522916818</v>
      </c>
      <c r="N22" s="2">
        <f>N11/'Output-Calculation-sheet'!N10*'Output-Calculation-sheet'!N28</f>
        <v>3886.2112244034574</v>
      </c>
      <c r="O22" s="2">
        <f>O11/'Output-Calculation-sheet'!O10*'Output-Calculation-sheet'!O28</f>
        <v>2518.6077340727384</v>
      </c>
      <c r="P22" s="2">
        <f>P11/'Output-Calculation-sheet'!P10*'Output-Calculation-sheet'!P28</f>
        <v>0</v>
      </c>
      <c r="Q22" s="2">
        <f>Q11/'Output-Calculation-sheet'!Q10*'Output-Calculation-sheet'!Q28</f>
        <v>581.00703883493554</v>
      </c>
      <c r="R22" s="2">
        <f>R11/'Output-Calculation-sheet'!R10*'Output-Calculation-sheet'!R28</f>
        <v>0</v>
      </c>
      <c r="S22" s="2">
        <f>S11/'Output-Calculation-sheet'!S10*'Output-Calculation-sheet'!S28</f>
        <v>1815.1984233774863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697.09425885655719</v>
      </c>
      <c r="Y22" s="2">
        <f>Y11/'Output-Calculation-sheet'!Y10*'Output-Calculation-sheet'!Y28</f>
        <v>73.394321826921214</v>
      </c>
      <c r="AA22" s="2">
        <f t="shared" si="0"/>
        <v>67.165722456192086</v>
      </c>
    </row>
    <row r="23" spans="1:27" x14ac:dyDescent="0.25">
      <c r="A23" s="2">
        <v>2035</v>
      </c>
      <c r="B23" s="2">
        <f>B12/'Output-Calculation-sheet'!B11*'Output-Calculation-sheet'!B29</f>
        <v>22208.636153600713</v>
      </c>
      <c r="C23" s="2">
        <f>C12/'Output-Calculation-sheet'!C11*'Output-Calculation-sheet'!C29</f>
        <v>16199.306999668162</v>
      </c>
      <c r="D23" s="2">
        <f>D12/'Output-Calculation-sheet'!D11*'Output-Calculation-sheet'!D29</f>
        <v>0</v>
      </c>
      <c r="E23" s="2">
        <f>E12/'Output-Calculation-sheet'!E11*'Output-Calculation-sheet'!E29</f>
        <v>2825.1422748108989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8131.627258131999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668.68973242225547</v>
      </c>
      <c r="M23" s="2">
        <f>M12/'Output-Calculation-sheet'!M11*'Output-Calculation-sheet'!M29</f>
        <v>5733.3202784019331</v>
      </c>
      <c r="N23" s="2">
        <f>N12/'Output-Calculation-sheet'!N11*'Output-Calculation-sheet'!N29</f>
        <v>3378.2766993455557</v>
      </c>
      <c r="O23" s="2">
        <f>O12/'Output-Calculation-sheet'!O11*'Output-Calculation-sheet'!O29</f>
        <v>2235.0263622977668</v>
      </c>
      <c r="P23" s="2">
        <f>P12/'Output-Calculation-sheet'!P11*'Output-Calculation-sheet'!P29</f>
        <v>476.53107368919069</v>
      </c>
      <c r="Q23" s="2">
        <f>Q12/'Output-Calculation-sheet'!Q11*'Output-Calculation-sheet'!Q29</f>
        <v>721.7818914791693</v>
      </c>
      <c r="R23" s="2">
        <f>R12/'Output-Calculation-sheet'!R11*'Output-Calculation-sheet'!R29</f>
        <v>0</v>
      </c>
      <c r="S23" s="2">
        <f>S12/'Output-Calculation-sheet'!S11*'Output-Calculation-sheet'!S29</f>
        <v>1652.0847559446893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595.59659913714904</v>
      </c>
      <c r="Y23" s="2">
        <f>Y12/'Output-Calculation-sheet'!Y11*'Output-Calculation-sheet'!Y29</f>
        <v>151.23828884312385</v>
      </c>
      <c r="AA23" s="2">
        <f t="shared" si="0"/>
        <v>64.977258367772606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21943.135300474503</v>
      </c>
      <c r="C30" s="2">
        <f>C8/'Output-Calculation-sheet'!C7*'Output-Calculation-sheet'!C16</f>
        <v>0</v>
      </c>
      <c r="D30" s="2">
        <f>D8/'Output-Calculation-sheet'!D7*'Output-Calculation-sheet'!D16</f>
        <v>3694.9339039202664</v>
      </c>
      <c r="E30" s="2">
        <f>E8/'Output-Calculation-sheet'!E7*'Output-Calculation-sheet'!E16</f>
        <v>3975.5401247672353</v>
      </c>
      <c r="F30" s="2">
        <f>F8/'Output-Calculation-sheet'!F7*'Output-Calculation-sheet'!F16</f>
        <v>2005.6811478761506</v>
      </c>
      <c r="G30" s="2">
        <f>G8/'Output-Calculation-sheet'!G7*'Output-Calculation-sheet'!G16</f>
        <v>1313.4829338688346</v>
      </c>
      <c r="H30" s="2">
        <f>H8/'Output-Calculation-sheet'!H7*'Output-Calculation-sheet'!H16</f>
        <v>0</v>
      </c>
      <c r="I30" s="2">
        <f>I8/'Output-Calculation-sheet'!I7*'Output-Calculation-sheet'!I16</f>
        <v>1280.4491910035917</v>
      </c>
      <c r="J30" s="2">
        <f>J8/'Output-Calculation-sheet'!J7*'Output-Calculation-sheet'!J16</f>
        <v>1139.8459896419831</v>
      </c>
      <c r="K30" s="2">
        <f>K8/'Output-Calculation-sheet'!K7*'Output-Calculation-sheet'!K16</f>
        <v>1521.9122661160286</v>
      </c>
      <c r="L30" s="2">
        <f>L8/'Output-Calculation-sheet'!L7*'Output-Calculation-sheet'!L16</f>
        <v>1285.5210713375698</v>
      </c>
      <c r="M30" s="2">
        <f>M8/'Output-Calculation-sheet'!M7*'Output-Calculation-sheet'!M16</f>
        <v>0</v>
      </c>
      <c r="N30" s="2">
        <f>N8/'Output-Calculation-sheet'!N7*'Output-Calculation-sheet'!N16</f>
        <v>1825.9743782632336</v>
      </c>
      <c r="O30" s="2">
        <f>O8/'Output-Calculation-sheet'!O7*'Output-Calculation-sheet'!O16</f>
        <v>0</v>
      </c>
      <c r="P30" s="2">
        <f>P8/'Output-Calculation-sheet'!P7*'Output-Calculation-sheet'!P16</f>
        <v>1641.1258561789639</v>
      </c>
      <c r="Q30" s="2">
        <f>Q8/'Output-Calculation-sheet'!Q7*'Output-Calculation-sheet'!Q16</f>
        <v>1804.6964438425723</v>
      </c>
      <c r="R30" s="2">
        <f>R8/'Output-Calculation-sheet'!R7*'Output-Calculation-sheet'!R16</f>
        <v>1145.0877375221125</v>
      </c>
      <c r="S30" s="2">
        <f>S8/'Output-Calculation-sheet'!S7*'Output-Calculation-sheet'!S16</f>
        <v>1151.6224868692286</v>
      </c>
      <c r="T30" s="2">
        <f>T8/'Output-Calculation-sheet'!T7*'Output-Calculation-sheet'!T16</f>
        <v>343.73887903738307</v>
      </c>
      <c r="U30" s="2">
        <f>U8/'Output-Calculation-sheet'!U7*'Output-Calculation-sheet'!U16</f>
        <v>343.12445450753313</v>
      </c>
      <c r="V30" s="2">
        <f>V8/'Output-Calculation-sheet'!V7*'Output-Calculation-sheet'!V16</f>
        <v>267.04724067162516</v>
      </c>
      <c r="W30" s="2">
        <f>W8/'Output-Calculation-sheet'!W7*'Output-Calculation-sheet'!W16</f>
        <v>161.97761399594856</v>
      </c>
      <c r="X30" s="2">
        <f>X8/'Output-Calculation-sheet'!X7*'Output-Calculation-sheet'!X16</f>
        <v>0</v>
      </c>
      <c r="Y30" s="2">
        <f>Y8/'Output-Calculation-sheet'!Y7*'Output-Calculation-sheet'!Y16</f>
        <v>137.09563544235158</v>
      </c>
      <c r="AA30" s="2">
        <f t="shared" si="1"/>
        <v>46.981992655337116</v>
      </c>
    </row>
    <row r="31" spans="1:27" x14ac:dyDescent="0.25">
      <c r="A31" s="2">
        <v>2032</v>
      </c>
      <c r="B31" s="2">
        <f>B9/'Output-Calculation-sheet'!B8*'Output-Calculation-sheet'!B17</f>
        <v>29368.757925620917</v>
      </c>
      <c r="C31" s="2">
        <f>C9/'Output-Calculation-sheet'!C8*'Output-Calculation-sheet'!C17</f>
        <v>0</v>
      </c>
      <c r="D31" s="2">
        <f>D9/'Output-Calculation-sheet'!D8*'Output-Calculation-sheet'!D17</f>
        <v>4925.5263053312074</v>
      </c>
      <c r="E31" s="2">
        <f>E9/'Output-Calculation-sheet'!E8*'Output-Calculation-sheet'!E17</f>
        <v>5789.283206059431</v>
      </c>
      <c r="F31" s="2">
        <f>F9/'Output-Calculation-sheet'!F8*'Output-Calculation-sheet'!F17</f>
        <v>2673.7354823896153</v>
      </c>
      <c r="G31" s="2">
        <f>G9/'Output-Calculation-sheet'!G8*'Output-Calculation-sheet'!G17</f>
        <v>1750.9629546992021</v>
      </c>
      <c r="H31" s="2">
        <f>H9/'Output-Calculation-sheet'!H8*'Output-Calculation-sheet'!H17</f>
        <v>0</v>
      </c>
      <c r="I31" s="2">
        <f>I9/'Output-Calculation-sheet'!I8*'Output-Calculation-sheet'!I17</f>
        <v>1706.9347020172975</v>
      </c>
      <c r="J31" s="2">
        <f>J9/'Output-Calculation-sheet'!J8*'Output-Calculation-sheet'!J17</f>
        <v>1519.500896056815</v>
      </c>
      <c r="K31" s="2">
        <f>K9/'Output-Calculation-sheet'!K8*'Output-Calculation-sheet'!K17</f>
        <v>2163.3658265432614</v>
      </c>
      <c r="L31" s="2">
        <f>L9/'Output-Calculation-sheet'!L8*'Output-Calculation-sheet'!L17</f>
        <v>1844.9707399446036</v>
      </c>
      <c r="M31" s="2">
        <f>M9/'Output-Calculation-sheet'!M8*'Output-Calculation-sheet'!M17</f>
        <v>0</v>
      </c>
      <c r="N31" s="2">
        <f>N9/'Output-Calculation-sheet'!N8*'Output-Calculation-sheet'!N17</f>
        <v>2005.6718904667787</v>
      </c>
      <c r="O31" s="2">
        <f>O9/'Output-Calculation-sheet'!O8*'Output-Calculation-sheet'!O17</f>
        <v>0</v>
      </c>
      <c r="P31" s="2">
        <f>P9/'Output-Calculation-sheet'!P8*'Output-Calculation-sheet'!P17</f>
        <v>2489.3501185419968</v>
      </c>
      <c r="Q31" s="2">
        <f>Q9/'Output-Calculation-sheet'!Q8*'Output-Calculation-sheet'!Q17</f>
        <v>2653.8759402610408</v>
      </c>
      <c r="R31" s="2">
        <f>R9/'Output-Calculation-sheet'!R8*'Output-Calculation-sheet'!R17</f>
        <v>1736.3058958361125</v>
      </c>
      <c r="S31" s="2">
        <f>S9/'Output-Calculation-sheet'!S8*'Output-Calculation-sheet'!S17</f>
        <v>1499.3287128615473</v>
      </c>
      <c r="T31" s="2">
        <f>T9/'Output-Calculation-sheet'!T8*'Output-Calculation-sheet'!T17</f>
        <v>471.15929041283084</v>
      </c>
      <c r="U31" s="2">
        <f>U9/'Output-Calculation-sheet'!U8*'Output-Calculation-sheet'!U17</f>
        <v>541.51223100193431</v>
      </c>
      <c r="V31" s="2">
        <f>V9/'Output-Calculation-sheet'!V8*'Output-Calculation-sheet'!V17</f>
        <v>387.85951689870063</v>
      </c>
      <c r="W31" s="2">
        <f>W9/'Output-Calculation-sheet'!W8*'Output-Calculation-sheet'!W17</f>
        <v>215.93054432253612</v>
      </c>
      <c r="X31" s="2">
        <f>X9/'Output-Calculation-sheet'!X8*'Output-Calculation-sheet'!X17</f>
        <v>0</v>
      </c>
      <c r="Y31" s="2">
        <f>Y9/'Output-Calculation-sheet'!Y8*'Output-Calculation-sheet'!Y17</f>
        <v>208.63568771975793</v>
      </c>
      <c r="AA31" s="2">
        <f t="shared" si="1"/>
        <v>63.9526678669856</v>
      </c>
    </row>
    <row r="32" spans="1:27" x14ac:dyDescent="0.25">
      <c r="A32" s="2">
        <v>2033</v>
      </c>
      <c r="B32" s="2">
        <f>B10/'Output-Calculation-sheet'!B9*'Output-Calculation-sheet'!B18</f>
        <v>31165.025291960304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1911.6722124605992</v>
      </c>
      <c r="O32" s="2">
        <f>O10/'Output-Calculation-sheet'!O9*'Output-Calculation-sheet'!O18</f>
        <v>0</v>
      </c>
      <c r="P32" s="2">
        <f>P10/'Output-Calculation-sheet'!P9*'Output-Calculation-sheet'!P18</f>
        <v>3059.1423513868917</v>
      </c>
      <c r="Q32" s="2">
        <f>Q10/'Output-Calculation-sheet'!Q9*'Output-Calculation-sheet'!Q18</f>
        <v>3333.3975205918996</v>
      </c>
      <c r="R32" s="2">
        <f>R10/'Output-Calculation-sheet'!R9*'Output-Calculation-sheet'!R18</f>
        <v>2196.3251628409134</v>
      </c>
      <c r="S32" s="2">
        <f>S10/'Output-Calculation-sheet'!S9*'Output-Calculation-sheet'!S18</f>
        <v>1437.4626750319003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710.08616452192996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74.930634107373365</v>
      </c>
    </row>
    <row r="33" spans="1:27" x14ac:dyDescent="0.25">
      <c r="A33" s="2">
        <v>2034</v>
      </c>
      <c r="B33" s="2">
        <f>B11/'Output-Calculation-sheet'!B10*'Output-Calculation-sheet'!B19</f>
        <v>26263.572738487645</v>
      </c>
      <c r="C33" s="2">
        <f>C11/'Output-Calculation-sheet'!C10*'Output-Calculation-sheet'!C19</f>
        <v>0</v>
      </c>
      <c r="D33" s="2">
        <f>D11/'Output-Calculation-sheet'!D10*'Output-Calculation-sheet'!D19</f>
        <v>7950.7225616779569</v>
      </c>
      <c r="E33" s="2">
        <f>E11/'Output-Calculation-sheet'!E10*'Output-Calculation-sheet'!E19</f>
        <v>9859.329077937562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2701.573180057338</v>
      </c>
      <c r="H33" s="2">
        <f>H11/'Output-Calculation-sheet'!H10*'Output-Calculation-sheet'!H19</f>
        <v>0</v>
      </c>
      <c r="I33" s="2">
        <f>I11/'Output-Calculation-sheet'!I10*'Output-Calculation-sheet'!I19</f>
        <v>2952.2377606708073</v>
      </c>
      <c r="J33" s="2">
        <f>J11/'Output-Calculation-sheet'!J10*'Output-Calculation-sheet'!J19</f>
        <v>2497.6726270372787</v>
      </c>
      <c r="K33" s="2">
        <f>K11/'Output-Calculation-sheet'!K10*'Output-Calculation-sheet'!K19</f>
        <v>3458.2655783967061</v>
      </c>
      <c r="L33" s="2">
        <f>L11/'Output-Calculation-sheet'!L10*'Output-Calculation-sheet'!L19</f>
        <v>2731.8118879531512</v>
      </c>
      <c r="M33" s="2">
        <f>M11/'Output-Calculation-sheet'!M10*'Output-Calculation-sheet'!M19</f>
        <v>0</v>
      </c>
      <c r="N33" s="2">
        <f>N11/'Output-Calculation-sheet'!N10*'Output-Calculation-sheet'!N19</f>
        <v>1633.9225686846528</v>
      </c>
      <c r="O33" s="2">
        <f>O11/'Output-Calculation-sheet'!O10*'Output-Calculation-sheet'!O19</f>
        <v>0</v>
      </c>
      <c r="P33" s="2">
        <f>P11/'Output-Calculation-sheet'!P10*'Output-Calculation-sheet'!P19</f>
        <v>3499.6280480808527</v>
      </c>
      <c r="Q33" s="2">
        <f>Q11/'Output-Calculation-sheet'!Q10*'Output-Calculation-sheet'!Q19</f>
        <v>2890.0733300614634</v>
      </c>
      <c r="R33" s="2">
        <f>R11/'Output-Calculation-sheet'!R10*'Output-Calculation-sheet'!R19</f>
        <v>2498.792198108179</v>
      </c>
      <c r="S33" s="2">
        <f>S11/'Output-Calculation-sheet'!S10*'Output-Calculation-sheet'!S19</f>
        <v>1227.4576269939505</v>
      </c>
      <c r="T33" s="2">
        <f>T11/'Output-Calculation-sheet'!T10*'Output-Calculation-sheet'!T19</f>
        <v>733.16493109075054</v>
      </c>
      <c r="U33" s="2">
        <f>U11/'Output-Calculation-sheet'!U10*'Output-Calculation-sheet'!U19</f>
        <v>789.22721646416699</v>
      </c>
      <c r="V33" s="2">
        <f>V11/'Output-Calculation-sheet'!V10*'Output-Calculation-sheet'!V19</f>
        <v>575.08202850420901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0</v>
      </c>
      <c r="Y33" s="2">
        <f>Y11/'Output-Calculation-sheet'!Y10*'Output-Calculation-sheet'!Y19</f>
        <v>322.69522904583079</v>
      </c>
      <c r="AA33" s="2">
        <f t="shared" si="1"/>
        <v>77.454886155820319</v>
      </c>
    </row>
    <row r="34" spans="1:27" x14ac:dyDescent="0.25">
      <c r="A34" s="2">
        <v>2035</v>
      </c>
      <c r="B34" s="2">
        <f>B12/'Output-Calculation-sheet'!B11*'Output-Calculation-sheet'!B20</f>
        <v>21086.308991065293</v>
      </c>
      <c r="C34" s="2">
        <f>C12/'Output-Calculation-sheet'!C11*'Output-Calculation-sheet'!C20</f>
        <v>0</v>
      </c>
      <c r="D34" s="2">
        <f>D12/'Output-Calculation-sheet'!D11*'Output-Calculation-sheet'!D20</f>
        <v>6469.1266267068822</v>
      </c>
      <c r="E34" s="2">
        <f>E12/'Output-Calculation-sheet'!E11*'Output-Calculation-sheet'!E20</f>
        <v>7625.4826151875122</v>
      </c>
      <c r="F34" s="2">
        <f>F12/'Output-Calculation-sheet'!F11*'Output-Calculation-sheet'!F20</f>
        <v>4363.5912028839421</v>
      </c>
      <c r="G34" s="2">
        <f>G12/'Output-Calculation-sheet'!G11*'Output-Calculation-sheet'!G20</f>
        <v>2336.8484370629681</v>
      </c>
      <c r="H34" s="2">
        <f>H12/'Output-Calculation-sheet'!H11*'Output-Calculation-sheet'!H20</f>
        <v>0</v>
      </c>
      <c r="I34" s="2">
        <f>I12/'Output-Calculation-sheet'!I11*'Output-Calculation-sheet'!I20</f>
        <v>2599.1892747819888</v>
      </c>
      <c r="J34" s="2">
        <f>J12/'Output-Calculation-sheet'!J11*'Output-Calculation-sheet'!J20</f>
        <v>2026.0563758477711</v>
      </c>
      <c r="K34" s="2">
        <f>K12/'Output-Calculation-sheet'!K11*'Output-Calculation-sheet'!K20</f>
        <v>2994.767910445365</v>
      </c>
      <c r="L34" s="2">
        <f>L12/'Output-Calculation-sheet'!L11*'Output-Calculation-sheet'!L20</f>
        <v>2288.7439162454193</v>
      </c>
      <c r="M34" s="2">
        <f>M12/'Output-Calculation-sheet'!M11*'Output-Calculation-sheet'!M20</f>
        <v>0</v>
      </c>
      <c r="N34" s="2">
        <f>N12/'Output-Calculation-sheet'!N11*'Output-Calculation-sheet'!N20</f>
        <v>1328.1653906463303</v>
      </c>
      <c r="O34" s="2">
        <f>O12/'Output-Calculation-sheet'!O11*'Output-Calculation-sheet'!O20</f>
        <v>0</v>
      </c>
      <c r="P34" s="2">
        <f>P12/'Output-Calculation-sheet'!P11*'Output-Calculation-sheet'!P20</f>
        <v>2847.3583277167268</v>
      </c>
      <c r="Q34" s="2">
        <f>Q12/'Output-Calculation-sheet'!Q11*'Output-Calculation-sheet'!Q20</f>
        <v>2345.6827087654679</v>
      </c>
      <c r="R34" s="2">
        <f>R12/'Output-Calculation-sheet'!R11*'Output-Calculation-sheet'!R20</f>
        <v>2201.8838078371073</v>
      </c>
      <c r="S34" s="2">
        <f>S12/'Output-Calculation-sheet'!S11*'Output-Calculation-sheet'!S20</f>
        <v>939.49941405976529</v>
      </c>
      <c r="T34" s="2">
        <f>T12/'Output-Calculation-sheet'!T11*'Output-Calculation-sheet'!T20</f>
        <v>703.91329183827975</v>
      </c>
      <c r="U34" s="2">
        <f>U12/'Output-Calculation-sheet'!U11*'Output-Calculation-sheet'!U20</f>
        <v>656.6751482993177</v>
      </c>
      <c r="V34" s="2">
        <f>V12/'Output-Calculation-sheet'!V11*'Output-Calculation-sheet'!V20</f>
        <v>487.65899954693862</v>
      </c>
      <c r="W34" s="2">
        <f>W12/'Output-Calculation-sheet'!W11*'Output-Calculation-sheet'!W20</f>
        <v>388.35003956720902</v>
      </c>
      <c r="X34" s="2">
        <f>X12/'Output-Calculation-sheet'!X11*'Output-Calculation-sheet'!X20</f>
        <v>15.222751902776899</v>
      </c>
      <c r="Y34" s="2">
        <f>Y12/'Output-Calculation-sheet'!Y11*'Output-Calculation-sheet'!Y20</f>
        <v>227.23622773387265</v>
      </c>
      <c r="AA34" s="2">
        <f t="shared" si="1"/>
        <v>63.93176145814094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2.3922064076108773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0.46474134919714544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2.8569477568080228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3.8267705122438893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0.74343856168508571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4.5702090739289751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4.9961681876459032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0.72796580291581514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5.7241339905617181</v>
      </c>
    </row>
    <row r="44" spans="1:27" x14ac:dyDescent="0.25">
      <c r="A44" s="2">
        <v>2034</v>
      </c>
      <c r="B44" s="2">
        <f>B11/'Output-Calculation-sheet'!B10*'Output-Calculation-sheet'!B37*0.0114</f>
        <v>2.3737788727404996</v>
      </c>
      <c r="C44" s="2">
        <f>C11/'Output-Calculation-sheet'!C10*'Output-Calculation-sheet'!C37*0.0114</f>
        <v>4.5065935863815083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0.34681746490879084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0.25165375527398287</v>
      </c>
      <c r="M44" s="2">
        <f>M11/'Output-Calculation-sheet'!M10*'Output-Calculation-sheet'!M37*0.0114</f>
        <v>0.23864435388936722</v>
      </c>
      <c r="N44" s="2">
        <f>N11/'Output-Calculation-sheet'!N10*'Output-Calculation-sheet'!N37*0.0114</f>
        <v>0.23454910637795176</v>
      </c>
      <c r="O44" s="2">
        <f>O11/'Output-Calculation-sheet'!O10*'Output-Calculation-sheet'!O37*0.0114</f>
        <v>0.87550989620073993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0.20550030227787733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0.13445127982446345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6.5567152751339106E-2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2.617987392798116E-2</v>
      </c>
      <c r="Y44" s="2">
        <f>Y11/'Output-Calculation-sheet'!Y10*'Output-Calculation-sheet'!Y37*0.0114</f>
        <v>0</v>
      </c>
      <c r="AA44" s="2">
        <f t="shared" si="2"/>
        <v>9.2592456445545022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3.7392667094486338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0.72643892685359035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4.3444579219340758E-2</v>
      </c>
      <c r="Y45" s="2">
        <f>Y12/'Output-Calculation-sheet'!Y11*'Output-Calculation-sheet'!Y38*0.0114</f>
        <v>2.0962412372478503E-2</v>
      </c>
      <c r="AA45" s="2">
        <f t="shared" si="2"/>
        <v>11.206457835257474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8009.9174371331928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5467.1585684019483</v>
      </c>
      <c r="N52" s="2">
        <f>N8/'Output-Calculation-sheet'!N7*'Output-Calculation-sheet'!N43</f>
        <v>174.74275116160902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704.59700520761533</v>
      </c>
      <c r="Y52" s="2">
        <f>Y8/'Output-Calculation-sheet'!Y7*'Output-Calculation-sheet'!Y43</f>
        <v>0</v>
      </c>
      <c r="AA52" s="2">
        <f t="shared" si="3"/>
        <v>14.356415761904367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783.25712238910023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15086.655715975137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10309.992052913109</v>
      </c>
      <c r="N53" s="2">
        <f>N9/'Output-Calculation-sheet'!N8*'Output-Calculation-sheet'!N44</f>
        <v>3680.5165874235031</v>
      </c>
      <c r="O53" s="2">
        <f>O9/'Output-Calculation-sheet'!O8*'Output-Calculation-sheet'!O44</f>
        <v>0</v>
      </c>
      <c r="P53" s="2">
        <f>P9/'Output-Calculation-sheet'!P8*'Output-Calculation-sheet'!P44</f>
        <v>172.15869142816612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1135.0154573108264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1292.2360403926486</v>
      </c>
      <c r="Y53" s="2">
        <f>Y9/'Output-Calculation-sheet'!Y8*'Output-Calculation-sheet'!Y44</f>
        <v>0</v>
      </c>
      <c r="AA53" s="2">
        <f t="shared" si="3"/>
        <v>32.459831667832489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5916.5149590543588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0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859.33940086482869</v>
      </c>
      <c r="R54" s="2">
        <f>R10/'Output-Calculation-sheet'!R9*'Output-Calculation-sheet'!R45</f>
        <v>1466.5685698708523</v>
      </c>
      <c r="S54" s="2">
        <f>S10/'Output-Calculation-sheet'!S9*'Output-Calculation-sheet'!S45</f>
        <v>3517.2320724734045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522.85826971972961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90.501196819155453</v>
      </c>
    </row>
    <row r="55" spans="1:27" x14ac:dyDescent="0.25">
      <c r="A55" s="2">
        <v>2034</v>
      </c>
      <c r="B55" s="2">
        <f>B11/'Output-Calculation-sheet'!B10*'Output-Calculation-sheet'!B46</f>
        <v>62467.865072118402</v>
      </c>
      <c r="C55" s="2">
        <f>C11/'Output-Calculation-sheet'!C10*'Output-Calculation-sheet'!C46</f>
        <v>12847.744873456053</v>
      </c>
      <c r="D55" s="2">
        <f>D11/'Output-Calculation-sheet'!D10*'Output-Calculation-sheet'!D46</f>
        <v>6916.1078461599973</v>
      </c>
      <c r="E55" s="2">
        <f>E11/'Output-Calculation-sheet'!E10*'Output-Calculation-sheet'!E46</f>
        <v>8557.7810311863232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22451.86746514804</v>
      </c>
      <c r="I55" s="2">
        <f>I11/'Output-Calculation-sheet'!I10*'Output-Calculation-sheet'!I46</f>
        <v>1666.5425517339538</v>
      </c>
      <c r="J55" s="2">
        <f>J11/'Output-Calculation-sheet'!J10*'Output-Calculation-sheet'!J46</f>
        <v>1202.0540472830985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640.17183359171077</v>
      </c>
      <c r="M55" s="2">
        <f>M11/'Output-Calculation-sheet'!M10*'Output-Calculation-sheet'!M46</f>
        <v>15574.684148569229</v>
      </c>
      <c r="N55" s="2">
        <f>N11/'Output-Calculation-sheet'!N10*'Output-Calculation-sheet'!N46</f>
        <v>11069.071862398074</v>
      </c>
      <c r="O55" s="2">
        <f>O11/'Output-Calculation-sheet'!O10*'Output-Calculation-sheet'!O46</f>
        <v>0</v>
      </c>
      <c r="P55" s="2">
        <f>P11/'Output-Calculation-sheet'!P10*'Output-Calculation-sheet'!P46</f>
        <v>4504.6862808092565</v>
      </c>
      <c r="Q55" s="2">
        <f>Q11/'Output-Calculation-sheet'!Q10*'Output-Calculation-sheet'!Q46</f>
        <v>1658.4234920670801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5000.6440917168866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1081.2828699343643</v>
      </c>
      <c r="V55" s="2">
        <f>V11/'Output-Calculation-sheet'!V10*'Output-Calculation-sheet'!V46</f>
        <v>558.80139423256037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1589.1642770318388</v>
      </c>
      <c r="Y55" s="2">
        <f>Y11/'Output-Calculation-sheet'!Y10*'Output-Calculation-sheet'!Y46</f>
        <v>423.28387791961927</v>
      </c>
      <c r="AA55" s="2">
        <f t="shared" si="3"/>
        <v>169.43190927963531</v>
      </c>
    </row>
    <row r="56" spans="1:27" x14ac:dyDescent="0.25">
      <c r="A56" s="2">
        <v>2035</v>
      </c>
      <c r="B56" s="2">
        <f>B12/'Output-Calculation-sheet'!B11*'Output-Calculation-sheet'!B47</f>
        <v>62716.250000054912</v>
      </c>
      <c r="C56" s="2">
        <f>C12/'Output-Calculation-sheet'!C11*'Output-Calculation-sheet'!C47</f>
        <v>22878.40815649493</v>
      </c>
      <c r="D56" s="2">
        <f>D12/'Output-Calculation-sheet'!D11*'Output-Calculation-sheet'!D47</f>
        <v>5012.1239781128579</v>
      </c>
      <c r="E56" s="2">
        <f>E12/'Output-Calculation-sheet'!E11*'Output-Calculation-sheet'!E47</f>
        <v>12584.924106191016</v>
      </c>
      <c r="F56" s="2">
        <f>F12/'Output-Calculation-sheet'!F11*'Output-Calculation-sheet'!F47</f>
        <v>1524.91871231716</v>
      </c>
      <c r="G56" s="2">
        <f>G12/'Output-Calculation-sheet'!G11*'Output-Calculation-sheet'!G47</f>
        <v>4012.8305806993349</v>
      </c>
      <c r="H56" s="2">
        <f>H12/'Output-Calculation-sheet'!H11*'Output-Calculation-sheet'!H47</f>
        <v>18856.225299714108</v>
      </c>
      <c r="I56" s="2">
        <f>I12/'Output-Calculation-sheet'!I11*'Output-Calculation-sheet'!I47</f>
        <v>2273.3912196810929</v>
      </c>
      <c r="J56" s="2">
        <f>J12/'Output-Calculation-sheet'!J11*'Output-Calculation-sheet'!J47</f>
        <v>788.62856791519323</v>
      </c>
      <c r="K56" s="2">
        <f>K12/'Output-Calculation-sheet'!K11*'Output-Calculation-sheet'!K47</f>
        <v>3340.0611261793551</v>
      </c>
      <c r="L56" s="2">
        <f>L12/'Output-Calculation-sheet'!L11*'Output-Calculation-sheet'!L47</f>
        <v>860.86384967256504</v>
      </c>
      <c r="M56" s="2">
        <f>M12/'Output-Calculation-sheet'!M11*'Output-Calculation-sheet'!M47</f>
        <v>13131.252629564355</v>
      </c>
      <c r="N56" s="2">
        <f>N12/'Output-Calculation-sheet'!N11*'Output-Calculation-sheet'!N47</f>
        <v>9628.2217493930693</v>
      </c>
      <c r="O56" s="2">
        <f>O12/'Output-Calculation-sheet'!O11*'Output-Calculation-sheet'!O47</f>
        <v>0</v>
      </c>
      <c r="P56" s="2">
        <f>P12/'Output-Calculation-sheet'!P11*'Output-Calculation-sheet'!P47</f>
        <v>5062.4329710825459</v>
      </c>
      <c r="Q56" s="2">
        <f>Q12/'Output-Calculation-sheet'!Q11*'Output-Calculation-sheet'!Q47</f>
        <v>1794.8448303355021</v>
      </c>
      <c r="R56" s="2">
        <f>R12/'Output-Calculation-sheet'!R11*'Output-Calculation-sheet'!R47</f>
        <v>3470.8504731211137</v>
      </c>
      <c r="S56" s="2">
        <f>S12/'Output-Calculation-sheet'!S11*'Output-Calculation-sheet'!S47</f>
        <v>4569.9875670886231</v>
      </c>
      <c r="T56" s="2">
        <f>T12/'Output-Calculation-sheet'!T11*'Output-Calculation-sheet'!T47</f>
        <v>1251.1672711471363</v>
      </c>
      <c r="U56" s="2">
        <f>U12/'Output-Calculation-sheet'!U11*'Output-Calculation-sheet'!U47</f>
        <v>944.89752742118606</v>
      </c>
      <c r="V56" s="2">
        <f>V12/'Output-Calculation-sheet'!V11*'Output-Calculation-sheet'!V47</f>
        <v>526.21233246464556</v>
      </c>
      <c r="W56" s="2">
        <f>W12/'Output-Calculation-sheet'!W11*'Output-Calculation-sheet'!W47</f>
        <v>509.82971488031637</v>
      </c>
      <c r="X56" s="2">
        <f>X12/'Output-Calculation-sheet'!X11*'Output-Calculation-sheet'!X47</f>
        <v>1337.6357285954916</v>
      </c>
      <c r="Y56" s="2">
        <f>Y12/'Output-Calculation-sheet'!Y11*'Output-Calculation-sheet'!Y47</f>
        <v>592.09620911737522</v>
      </c>
      <c r="AA56" s="2">
        <f t="shared" si="3"/>
        <v>177.66805460124388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6.1226591014393827</v>
      </c>
      <c r="C63" s="2">
        <f>C8*'Output-Calculation-sheet'!C52/10^9</f>
        <v>3.8298002201582624</v>
      </c>
      <c r="D63" s="2">
        <f>D8*'Output-Calculation-sheet'!D52/10^9</f>
        <v>1.7486897490562261</v>
      </c>
      <c r="E63" s="2">
        <f>E8*'Output-Calculation-sheet'!E52/10^9</f>
        <v>1.6062908578433504</v>
      </c>
      <c r="F63" s="2">
        <f>F8*'Output-Calculation-sheet'!F52/10^9</f>
        <v>0.84654399135976144</v>
      </c>
      <c r="G63" s="2">
        <f>G8*'Output-Calculation-sheet'!G52/10^9</f>
        <v>0.62604529427394628</v>
      </c>
      <c r="H63" s="2">
        <f>H8*'Output-Calculation-sheet'!H52/10^9</f>
        <v>1.080179581544332</v>
      </c>
      <c r="I63" s="2">
        <f>I8*'Output-Calculation-sheet'!I52/10^9</f>
        <v>0.58037165959845849</v>
      </c>
      <c r="J63" s="2">
        <f>J8*'Output-Calculation-sheet'!J52/10^9</f>
        <v>0.59002866509540475</v>
      </c>
      <c r="K63" s="2">
        <f>K8*'Output-Calculation-sheet'!K52/10^9</f>
        <v>0.59378336669922571</v>
      </c>
      <c r="L63" s="2">
        <f>L8*'Output-Calculation-sheet'!L52/10^9</f>
        <v>0.48405029310666869</v>
      </c>
      <c r="M63" s="2">
        <f>M8*'Output-Calculation-sheet'!M52/10^9</f>
        <v>0.74786676851571732</v>
      </c>
      <c r="N63" s="2">
        <f>N8*'Output-Calculation-sheet'!N52/10^9</f>
        <v>0.67101040595429806</v>
      </c>
      <c r="O63" s="2">
        <f>O8*'Output-Calculation-sheet'!O52/10^9</f>
        <v>0.72565892997990611</v>
      </c>
      <c r="P63" s="2">
        <f>P8*'Output-Calculation-sheet'!P52/10^9</f>
        <v>0.47801267516791979</v>
      </c>
      <c r="Q63" s="2">
        <f>Q8*'Output-Calculation-sheet'!Q52/10^9</f>
        <v>0.4929672718412107</v>
      </c>
      <c r="R63" s="2">
        <f>R8*'Output-Calculation-sheet'!R52/10^9</f>
        <v>0.40373481331372768</v>
      </c>
      <c r="S63" s="2">
        <f>S8*'Output-Calculation-sheet'!S52/10^9</f>
        <v>0.37124096109820304</v>
      </c>
      <c r="T63" s="2">
        <f>T8*'Output-Calculation-sheet'!T52/10^9</f>
        <v>0.13920097950962562</v>
      </c>
      <c r="U63" s="2">
        <f>U8*'Output-Calculation-sheet'!U52/10^9</f>
        <v>0.12645770073945478</v>
      </c>
      <c r="V63" s="2">
        <f>V8*'Output-Calculation-sheet'!V52/10^9</f>
        <v>9.7713125919255905E-2</v>
      </c>
      <c r="W63" s="2">
        <f>W8*'Output-Calculation-sheet'!W52/10^9</f>
        <v>7.6339083562202661E-2</v>
      </c>
      <c r="X63" s="2">
        <f>X8*'Output-Calculation-sheet'!X52/10^9</f>
        <v>9.1568789276607929E-2</v>
      </c>
      <c r="Y63" s="2">
        <f>Y8*'Output-Calculation-sheet'!Y52/10^9</f>
        <v>4.9623453767109617E-2</v>
      </c>
      <c r="AA63" s="2">
        <f t="shared" si="4"/>
        <v>22.579837738820252</v>
      </c>
    </row>
    <row r="64" spans="1:27" x14ac:dyDescent="0.25">
      <c r="A64" s="2">
        <v>2032</v>
      </c>
      <c r="B64" s="2">
        <f>B9*'Output-Calculation-sheet'!B53/10^9</f>
        <v>6.7581154148866407</v>
      </c>
      <c r="C64" s="2">
        <f>C9*'Output-Calculation-sheet'!C53/10^9</f>
        <v>4.4750622160754165</v>
      </c>
      <c r="D64" s="2">
        <f>D9*'Output-Calculation-sheet'!D53/10^9</f>
        <v>1.6282869448768835</v>
      </c>
      <c r="E64" s="2">
        <f>E9*'Output-Calculation-sheet'!E53/10^9</f>
        <v>1.5897060575724649</v>
      </c>
      <c r="F64" s="2">
        <f>F9*'Output-Calculation-sheet'!F53/10^9</f>
        <v>0.80174131397060733</v>
      </c>
      <c r="G64" s="2">
        <f>G9*'Output-Calculation-sheet'!G53/10^9</f>
        <v>0.58236007127941458</v>
      </c>
      <c r="H64" s="2">
        <f>H9*'Output-Calculation-sheet'!H53/10^9</f>
        <v>1.2502997068669963</v>
      </c>
      <c r="I64" s="2">
        <f>I9*'Output-Calculation-sheet'!I53/10^9</f>
        <v>0.54377706048620178</v>
      </c>
      <c r="J64" s="2">
        <f>J9*'Output-Calculation-sheet'!J53/10^9</f>
        <v>0.54276276469914653</v>
      </c>
      <c r="K64" s="2">
        <f>K9*'Output-Calculation-sheet'!K53/10^9</f>
        <v>0.58541373513685002</v>
      </c>
      <c r="L64" s="2">
        <f>L9*'Output-Calculation-sheet'!L53/10^9</f>
        <v>0.48256779721867438</v>
      </c>
      <c r="M64" s="2">
        <f>M9*'Output-Calculation-sheet'!M53/10^9</f>
        <v>0.86619452837646105</v>
      </c>
      <c r="N64" s="2">
        <f>N9*'Output-Calculation-sheet'!N53/10^9</f>
        <v>0.76967771351545722</v>
      </c>
      <c r="O64" s="2">
        <f>O9*'Output-Calculation-sheet'!O53/10^9</f>
        <v>0.82811324576248091</v>
      </c>
      <c r="P64" s="2">
        <f>P9*'Output-Calculation-sheet'!P53/10^9</f>
        <v>0.52358366489679864</v>
      </c>
      <c r="Q64" s="2">
        <f>Q9*'Output-Calculation-sheet'!Q53/10^9</f>
        <v>0.53576883324702185</v>
      </c>
      <c r="R64" s="2">
        <f>R9*'Output-Calculation-sheet'!R53/10^9</f>
        <v>0.41888332116371335</v>
      </c>
      <c r="S64" s="2">
        <f>S9*'Output-Calculation-sheet'!S53/10^9</f>
        <v>0.4239442356319007</v>
      </c>
      <c r="T64" s="2">
        <f>T9*'Output-Calculation-sheet'!T53/10^9</f>
        <v>0.13422856336059116</v>
      </c>
      <c r="U64" s="2">
        <f>U9*'Output-Calculation-sheet'!U53/10^9</f>
        <v>0.13240994147003218</v>
      </c>
      <c r="V64" s="2">
        <f>V9*'Output-Calculation-sheet'!V53/10^9</f>
        <v>9.8516739157306299E-2</v>
      </c>
      <c r="W64" s="2">
        <f>W9*'Output-Calculation-sheet'!W53/10^9</f>
        <v>7.1125009057654398E-2</v>
      </c>
      <c r="X64" s="2">
        <f>X9*'Output-Calculation-sheet'!X53/10^9</f>
        <v>0.10629594883594796</v>
      </c>
      <c r="Y64" s="2">
        <f>Y9*'Output-Calculation-sheet'!Y53/10^9</f>
        <v>5.1269322923780551E-2</v>
      </c>
      <c r="AA64" s="2">
        <f t="shared" si="4"/>
        <v>24.200104150468444</v>
      </c>
    </row>
    <row r="65" spans="1:27" x14ac:dyDescent="0.25">
      <c r="A65" s="2">
        <v>2033</v>
      </c>
      <c r="B65" s="2">
        <f>B10*'Output-Calculation-sheet'!B54/10^9</f>
        <v>7.205620258700276</v>
      </c>
      <c r="C65" s="2">
        <f>C10*'Output-Calculation-sheet'!C54/10^9</f>
        <v>4.7590022429545558</v>
      </c>
      <c r="D65" s="2">
        <f>D10*'Output-Calculation-sheet'!D54/10^9</f>
        <v>1.384157561415323</v>
      </c>
      <c r="E65" s="2">
        <f>E10*'Output-Calculation-sheet'!E54/10^9</f>
        <v>1.5707026043761576</v>
      </c>
      <c r="F65" s="2">
        <f>F10*'Output-Calculation-sheet'!F54/10^9</f>
        <v>0.71253887562674778</v>
      </c>
      <c r="G65" s="2">
        <f>G10*'Output-Calculation-sheet'!G54/10^9</f>
        <v>0.49177052490698736</v>
      </c>
      <c r="H65" s="2">
        <f>H10*'Output-Calculation-sheet'!H54/10^9</f>
        <v>1.3071363852743758</v>
      </c>
      <c r="I65" s="2">
        <f>I10*'Output-Calculation-sheet'!I54/10^9</f>
        <v>0.48373858685170679</v>
      </c>
      <c r="J65" s="2">
        <f>J10*'Output-Calculation-sheet'!J54/10^9</f>
        <v>0.44613260251424081</v>
      </c>
      <c r="K65" s="2">
        <f>K10*'Output-Calculation-sheet'!K54/10^9</f>
        <v>0.56896576338730243</v>
      </c>
      <c r="L65" s="2">
        <f>L10*'Output-Calculation-sheet'!L54/10^9</f>
        <v>0.47324099591428359</v>
      </c>
      <c r="M65" s="2">
        <f>M10*'Output-Calculation-sheet'!M54/10^9</f>
        <v>0.90579484317781755</v>
      </c>
      <c r="N65" s="2">
        <f>N10*'Output-Calculation-sheet'!N54/10^9</f>
        <v>0.81434396408696286</v>
      </c>
      <c r="O65" s="2">
        <f>O10*'Output-Calculation-sheet'!O54/10^9</f>
        <v>0.86206130939188186</v>
      </c>
      <c r="P65" s="2">
        <f>P10*'Output-Calculation-sheet'!P54/10^9</f>
        <v>0.54950515635694541</v>
      </c>
      <c r="Q65" s="2">
        <f>Q10*'Output-Calculation-sheet'!Q54/10^9</f>
        <v>0.57008389530514392</v>
      </c>
      <c r="R65" s="2">
        <f>R10*'Output-Calculation-sheet'!R54/10^9</f>
        <v>0.42600300204117286</v>
      </c>
      <c r="S65" s="2">
        <f>S10*'Output-Calculation-sheet'!S54/10^9</f>
        <v>0.45050492109522072</v>
      </c>
      <c r="T65" s="2">
        <f>T10*'Output-Calculation-sheet'!T54/10^9</f>
        <v>0.12786712129546401</v>
      </c>
      <c r="U65" s="2">
        <f>U10*'Output-Calculation-sheet'!U54/10^9</f>
        <v>0.13824676643054459</v>
      </c>
      <c r="V65" s="2">
        <f>V10*'Output-Calculation-sheet'!V54/10^9</f>
        <v>9.6483938743706241E-2</v>
      </c>
      <c r="W65" s="2">
        <f>W10*'Output-Calculation-sheet'!W54/10^9</f>
        <v>6.0352767721275694E-2</v>
      </c>
      <c r="X65" s="2">
        <f>X10*'Output-Calculation-sheet'!X54/10^9</f>
        <v>0.11199983676532095</v>
      </c>
      <c r="Y65" s="2">
        <f>Y10*'Output-Calculation-sheet'!Y54/10^9</f>
        <v>5.3242044986386419E-2</v>
      </c>
      <c r="AA65" s="2">
        <f t="shared" si="4"/>
        <v>24.569495969319807</v>
      </c>
    </row>
    <row r="66" spans="1:27" x14ac:dyDescent="0.25">
      <c r="A66" s="2">
        <v>2034</v>
      </c>
      <c r="B66" s="2">
        <f>B11*'Output-Calculation-sheet'!B55/10^9</f>
        <v>7.253297647637087</v>
      </c>
      <c r="C66" s="2">
        <f>C11*'Output-Calculation-sheet'!C55/10^9</f>
        <v>4.6189523740981073</v>
      </c>
      <c r="D66" s="2">
        <f>D11*'Output-Calculation-sheet'!D55/10^9</f>
        <v>1.3611541317147671</v>
      </c>
      <c r="E66" s="2">
        <f>E11*'Output-Calculation-sheet'!E55/10^9</f>
        <v>1.6773659644237255</v>
      </c>
      <c r="F66" s="2">
        <f>F11*'Output-Calculation-sheet'!F55/10^9</f>
        <v>0.67173325443110743</v>
      </c>
      <c r="G66" s="2">
        <f>G11*'Output-Calculation-sheet'!G55/10^9</f>
        <v>0.48387689646650933</v>
      </c>
      <c r="H66" s="2">
        <f>H11*'Output-Calculation-sheet'!H55/10^9</f>
        <v>1.2750739265231874</v>
      </c>
      <c r="I66" s="2">
        <f>I11*'Output-Calculation-sheet'!I55/10^9</f>
        <v>0.47562472678719775</v>
      </c>
      <c r="J66" s="2">
        <f>J11*'Output-Calculation-sheet'!J55/10^9</f>
        <v>0.41991951022812829</v>
      </c>
      <c r="K66" s="2">
        <f>K11*'Output-Calculation-sheet'!K55/10^9</f>
        <v>0.56082138496439271</v>
      </c>
      <c r="L66" s="2">
        <f>L11*'Output-Calculation-sheet'!L55/10^9</f>
        <v>0.49188809347899809</v>
      </c>
      <c r="M66" s="2">
        <f>M11*'Output-Calculation-sheet'!M55/10^9</f>
        <v>0.88507572133315504</v>
      </c>
      <c r="N66" s="2">
        <f>N11*'Output-Calculation-sheet'!N55/10^9</f>
        <v>0.79269611564450626</v>
      </c>
      <c r="O66" s="2">
        <f>O11*'Output-Calculation-sheet'!O55/10^9</f>
        <v>0.82203468245222566</v>
      </c>
      <c r="P66" s="2">
        <f>P11*'Output-Calculation-sheet'!P55/10^9</f>
        <v>0.55690925629665344</v>
      </c>
      <c r="Q66" s="2">
        <f>Q11*'Output-Calculation-sheet'!Q55/10^9</f>
        <v>0.57826798817992064</v>
      </c>
      <c r="R66" s="2">
        <f>R11*'Output-Calculation-sheet'!R55/10^9</f>
        <v>0.42148350924528194</v>
      </c>
      <c r="S66" s="2">
        <f>S11*'Output-Calculation-sheet'!S55/10^9</f>
        <v>0.44637811355302304</v>
      </c>
      <c r="T66" s="2">
        <f>T11*'Output-Calculation-sheet'!T55/10^9</f>
        <v>0.12408596683887245</v>
      </c>
      <c r="U66" s="2">
        <f>U11*'Output-Calculation-sheet'!U55/10^9</f>
        <v>0.1434339946099574</v>
      </c>
      <c r="V66" s="2">
        <f>V11*'Output-Calculation-sheet'!V55/10^9</f>
        <v>9.2678489535067535E-2</v>
      </c>
      <c r="W66" s="2">
        <f>W11*'Output-Calculation-sheet'!W55/10^9</f>
        <v>5.6465518922339815E-2</v>
      </c>
      <c r="X66" s="2">
        <f>X11*'Output-Calculation-sheet'!X55/10^9</f>
        <v>0.1117193757185707</v>
      </c>
      <c r="Y66" s="2">
        <f>Y11*'Output-Calculation-sheet'!Y55/10^9</f>
        <v>5.8553114154749508E-2</v>
      </c>
      <c r="AA66" s="2">
        <f t="shared" si="4"/>
        <v>24.379489757237529</v>
      </c>
    </row>
    <row r="67" spans="1:27" x14ac:dyDescent="0.25">
      <c r="A67" s="2">
        <v>2035</v>
      </c>
      <c r="B67" s="2">
        <f>B12*'Output-Calculation-sheet'!B56/10^9</f>
        <v>6.6991899544917386</v>
      </c>
      <c r="C67" s="2">
        <f>C12*'Output-Calculation-sheet'!C56/10^9</f>
        <v>4.0853306979784936</v>
      </c>
      <c r="D67" s="2">
        <f>D12*'Output-Calculation-sheet'!D56/10^9</f>
        <v>1.364446727307099</v>
      </c>
      <c r="E67" s="2">
        <f>E12*'Output-Calculation-sheet'!E56/10^9</f>
        <v>1.8437581453894212</v>
      </c>
      <c r="F67" s="2">
        <f>F12*'Output-Calculation-sheet'!F56/10^9</f>
        <v>0.73171494364413314</v>
      </c>
      <c r="G67" s="2">
        <f>G12*'Output-Calculation-sheet'!G56/10^9</f>
        <v>0.53069543196190616</v>
      </c>
      <c r="H67" s="2">
        <f>H12*'Output-Calculation-sheet'!H56/10^9</f>
        <v>1.1559410811589432</v>
      </c>
      <c r="I67" s="2">
        <f>I12*'Output-Calculation-sheet'!I56/10^9</f>
        <v>0.50142685324630165</v>
      </c>
      <c r="J67" s="2">
        <f>J12*'Output-Calculation-sheet'!J56/10^9</f>
        <v>0.41444516971846634</v>
      </c>
      <c r="K67" s="2">
        <f>K12*'Output-Calculation-sheet'!K56/10^9</f>
        <v>0.55965468273236485</v>
      </c>
      <c r="L67" s="2">
        <f>L12*'Output-Calculation-sheet'!L56/10^9</f>
        <v>0.48264895341159858</v>
      </c>
      <c r="M67" s="2">
        <f>M12*'Output-Calculation-sheet'!M56/10^9</f>
        <v>0.81003765944617068</v>
      </c>
      <c r="N67" s="2">
        <f>N12*'Output-Calculation-sheet'!N56/10^9</f>
        <v>0.70912765170022074</v>
      </c>
      <c r="O67" s="2">
        <f>O12*'Output-Calculation-sheet'!O56/10^9</f>
        <v>0.71759140831623491</v>
      </c>
      <c r="P67" s="2">
        <f>P12*'Output-Calculation-sheet'!P56/10^9</f>
        <v>0.56548556983554699</v>
      </c>
      <c r="Q67" s="2">
        <f>Q12*'Output-Calculation-sheet'!Q56/10^9</f>
        <v>0.52965072819214032</v>
      </c>
      <c r="R67" s="2">
        <f>R12*'Output-Calculation-sheet'!R56/10^9</f>
        <v>0.41627660893939478</v>
      </c>
      <c r="S67" s="2">
        <f>S12*'Output-Calculation-sheet'!S56/10^9</f>
        <v>0.40356723583534249</v>
      </c>
      <c r="T67" s="2">
        <f>T12*'Output-Calculation-sheet'!T56/10^9</f>
        <v>0.12796611438205857</v>
      </c>
      <c r="U67" s="2">
        <f>U12*'Output-Calculation-sheet'!U56/10^9</f>
        <v>0.13802825129468368</v>
      </c>
      <c r="V67" s="2">
        <f>V12*'Output-Calculation-sheet'!V56/10^9</f>
        <v>8.7098757867798623E-2</v>
      </c>
      <c r="W67" s="2">
        <f>W12*'Output-Calculation-sheet'!W56/10^9</f>
        <v>6.7717739880476302E-2</v>
      </c>
      <c r="X67" s="2">
        <f>X12*'Output-Calculation-sheet'!X56/10^9</f>
        <v>0.10160036474699789</v>
      </c>
      <c r="Y67" s="2">
        <f>Y12*'Output-Calculation-sheet'!Y56/10^9</f>
        <v>6.3582276309458854E-2</v>
      </c>
      <c r="AA67" s="2">
        <f t="shared" si="4"/>
        <v>23.10698300778699</v>
      </c>
    </row>
    <row r="68" spans="1:27" x14ac:dyDescent="0.25">
      <c r="B68" s="2">
        <f>SUM(B60:B67)</f>
        <v>46.787438200227207</v>
      </c>
      <c r="C68" s="2">
        <f t="shared" ref="C68:Y68" si="5">SUM(C60:C67)</f>
        <v>28.29197851861192</v>
      </c>
      <c r="D68" s="2">
        <f t="shared" si="5"/>
        <v>11.811030362559473</v>
      </c>
      <c r="E68" s="2">
        <f t="shared" si="5"/>
        <v>12.134609468465968</v>
      </c>
      <c r="F68" s="2">
        <f t="shared" si="5"/>
        <v>5.8108864303753736</v>
      </c>
      <c r="G68" s="2">
        <f t="shared" si="5"/>
        <v>4.2648931273634849</v>
      </c>
      <c r="H68" s="2">
        <f t="shared" si="5"/>
        <v>7.9654381501827149</v>
      </c>
      <c r="I68" s="2">
        <f t="shared" si="5"/>
        <v>4.0084494656033618</v>
      </c>
      <c r="J68" s="2">
        <f t="shared" si="5"/>
        <v>3.8953975663262126</v>
      </c>
      <c r="K68" s="2">
        <f t="shared" si="5"/>
        <v>4.2793659911976558</v>
      </c>
      <c r="L68" s="2">
        <f t="shared" si="5"/>
        <v>3.5547438234097624</v>
      </c>
      <c r="M68" s="2">
        <f t="shared" si="5"/>
        <v>5.5263283257582616</v>
      </c>
      <c r="N68" s="2">
        <f t="shared" si="5"/>
        <v>5.0815853062197167</v>
      </c>
      <c r="O68" s="2">
        <f t="shared" si="5"/>
        <v>5.2353727695327361</v>
      </c>
      <c r="P68" s="2">
        <f t="shared" si="5"/>
        <v>3.7015989426296789</v>
      </c>
      <c r="Q68" s="2">
        <f t="shared" si="5"/>
        <v>3.7458681588305751</v>
      </c>
      <c r="R68" s="2">
        <f t="shared" si="5"/>
        <v>3.020333291044242</v>
      </c>
      <c r="S68" s="2">
        <f t="shared" si="5"/>
        <v>2.8420644244419422</v>
      </c>
      <c r="T68" s="2">
        <f t="shared" si="5"/>
        <v>0.98687861590301096</v>
      </c>
      <c r="U68" s="2">
        <f t="shared" si="5"/>
        <v>0.97492063675144858</v>
      </c>
      <c r="V68" s="2">
        <f t="shared" si="5"/>
        <v>0.70106104058761065</v>
      </c>
      <c r="W68" s="2">
        <f t="shared" si="5"/>
        <v>0.5206312047197823</v>
      </c>
      <c r="X68" s="2">
        <f t="shared" si="5"/>
        <v>0.68094824152345768</v>
      </c>
      <c r="Y68" s="2">
        <f t="shared" si="5"/>
        <v>0.39201157729642461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1715.2527634428729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1146.0808951785368</v>
      </c>
      <c r="N74" s="2">
        <f>N8/'Output-Calculation-sheet'!N7*'Output-Calculation-sheet'!N61</f>
        <v>48.032413725547279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141.11444519521376</v>
      </c>
      <c r="Y74" s="2">
        <f>Y8/'Output-Calculation-sheet'!Y7*'Output-Calculation-sheet'!Y61</f>
        <v>0</v>
      </c>
      <c r="AA74" s="2">
        <f t="shared" si="6"/>
        <v>3.0504805175421712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215.17192090774853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2872.6301371155491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1951.432633739312</v>
      </c>
      <c r="N75" s="2">
        <f>N9/'Output-Calculation-sheet'!N8*'Output-Calculation-sheet'!N62</f>
        <v>754.73884450962976</v>
      </c>
      <c r="O75" s="2">
        <f>O9/'Output-Calculation-sheet'!O8*'Output-Calculation-sheet'!O62</f>
        <v>0</v>
      </c>
      <c r="P75" s="2">
        <f>P9/'Output-Calculation-sheet'!P8*'Output-Calculation-sheet'!P62</f>
        <v>50.528575934166753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249.64998811627308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235.90977951087686</v>
      </c>
      <c r="Y75" s="2">
        <f>Y9/'Output-Calculation-sheet'!Y8*'Output-Calculation-sheet'!Y62</f>
        <v>0</v>
      </c>
      <c r="AA75" s="2">
        <f t="shared" si="6"/>
        <v>6.3300618798335551</v>
      </c>
    </row>
    <row r="76" spans="1:27" x14ac:dyDescent="0.25">
      <c r="A76" s="2">
        <v>2033</v>
      </c>
      <c r="B76" s="2">
        <f>B10/'Output-Calculation-sheet'!B9*'Output-Calculation-sheet'!B63</f>
        <v>5929.9954052863741</v>
      </c>
      <c r="C76" s="2">
        <f>C10/'Output-Calculation-sheet'!C9*'Output-Calculation-sheet'!C63</f>
        <v>1487.893947110337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3871.2141827051105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2635.8087146426592</v>
      </c>
      <c r="N76" s="2">
        <f>N10/'Output-Calculation-sheet'!N9*'Output-Calculation-sheet'!N63</f>
        <v>1508.9459914463484</v>
      </c>
      <c r="O76" s="2">
        <f>O10/'Output-Calculation-sheet'!O9*'Output-Calculation-sheet'!O63</f>
        <v>0</v>
      </c>
      <c r="P76" s="2">
        <f>P10/'Output-Calculation-sheet'!P9*'Output-Calculation-sheet'!P63</f>
        <v>517.19009941340084</v>
      </c>
      <c r="Q76" s="2">
        <f>Q10/'Output-Calculation-sheet'!Q9*'Output-Calculation-sheet'!Q63</f>
        <v>230.28297479454466</v>
      </c>
      <c r="R76" s="2">
        <f>R10/'Output-Calculation-sheet'!R9*'Output-Calculation-sheet'!R63</f>
        <v>396.96443857450231</v>
      </c>
      <c r="S76" s="2">
        <f>S10/'Output-Calculation-sheet'!S9*'Output-Calculation-sheet'!S63</f>
        <v>668.91477916604799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139.41824472465717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310.42619876277212</v>
      </c>
      <c r="Y76" s="2">
        <f>Y10/'Output-Calculation-sheet'!Y9*'Output-Calculation-sheet'!Y63</f>
        <v>5.8891829974712673</v>
      </c>
      <c r="AA76" s="2">
        <f t="shared" si="6"/>
        <v>17.842332335917636</v>
      </c>
    </row>
    <row r="77" spans="1:27" x14ac:dyDescent="0.25">
      <c r="A77" s="2">
        <v>2034</v>
      </c>
      <c r="B77" s="2">
        <f>B11/'Output-Calculation-sheet'!B10*'Output-Calculation-sheet'!B64</f>
        <v>10659.72472212319</v>
      </c>
      <c r="C77" s="2">
        <f>C11/'Output-Calculation-sheet'!C10*'Output-Calculation-sheet'!C64</f>
        <v>2903.4915125943494</v>
      </c>
      <c r="D77" s="2">
        <f>D11/'Output-Calculation-sheet'!D10*'Output-Calculation-sheet'!D64</f>
        <v>1588.0784345486372</v>
      </c>
      <c r="E77" s="2">
        <f>E11/'Output-Calculation-sheet'!E10*'Output-Calculation-sheet'!E64</f>
        <v>1969.8202971946926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847.60778994184886</v>
      </c>
      <c r="H77" s="2">
        <f>H11/'Output-Calculation-sheet'!H10*'Output-Calculation-sheet'!H64</f>
        <v>4176.4732647025112</v>
      </c>
      <c r="I77" s="2">
        <f>I11/'Output-Calculation-sheet'!I10*'Output-Calculation-sheet'!I64</f>
        <v>494.62418005785196</v>
      </c>
      <c r="J77" s="2">
        <f>J11/'Output-Calculation-sheet'!J10*'Output-Calculation-sheet'!J64</f>
        <v>339.51038149426114</v>
      </c>
      <c r="K77" s="2">
        <f>K11/'Output-Calculation-sheet'!K10*'Output-Calculation-sheet'!K64</f>
        <v>766.72670362738904</v>
      </c>
      <c r="L77" s="2">
        <f>L11/'Output-Calculation-sheet'!L10*'Output-Calculation-sheet'!L64</f>
        <v>187.98977016782788</v>
      </c>
      <c r="M77" s="2">
        <f>M11/'Output-Calculation-sheet'!M10*'Output-Calculation-sheet'!M64</f>
        <v>2861.9528808758632</v>
      </c>
      <c r="N77" s="2">
        <f>N11/'Output-Calculation-sheet'!N10*'Output-Calculation-sheet'!N64</f>
        <v>1937.6636614441002</v>
      </c>
      <c r="O77" s="2">
        <f>O11/'Output-Calculation-sheet'!O10*'Output-Calculation-sheet'!O64</f>
        <v>0</v>
      </c>
      <c r="P77" s="2">
        <f>P11/'Output-Calculation-sheet'!P10*'Output-Calculation-sheet'!P64</f>
        <v>942.08766037261944</v>
      </c>
      <c r="Q77" s="2">
        <f>Q11/'Output-Calculation-sheet'!Q10*'Output-Calculation-sheet'!Q64</f>
        <v>384.42977599807125</v>
      </c>
      <c r="R77" s="2">
        <f>R11/'Output-Calculation-sheet'!R10*'Output-Calculation-sheet'!R64</f>
        <v>800.16910438128355</v>
      </c>
      <c r="S77" s="2">
        <f>S11/'Output-Calculation-sheet'!S10*'Output-Calculation-sheet'!S64</f>
        <v>893.20466896718551</v>
      </c>
      <c r="T77" s="2">
        <f>T11/'Output-Calculation-sheet'!T10*'Output-Calculation-sheet'!T64</f>
        <v>221.69681077337313</v>
      </c>
      <c r="U77" s="2">
        <f>U11/'Output-Calculation-sheet'!U10*'Output-Calculation-sheet'!U64</f>
        <v>236.74343346935265</v>
      </c>
      <c r="V77" s="2">
        <f>V11/'Output-Calculation-sheet'!V10*'Output-Calculation-sheet'!V64</f>
        <v>114.68733376868262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293.01020125833719</v>
      </c>
      <c r="Y77" s="2">
        <f>Y11/'Output-Calculation-sheet'!Y10*'Output-Calculation-sheet'!Y64</f>
        <v>73.228110880094135</v>
      </c>
      <c r="AA77" s="2">
        <f t="shared" si="6"/>
        <v>32.840648124206403</v>
      </c>
    </row>
    <row r="78" spans="1:27" x14ac:dyDescent="0.25">
      <c r="A78" s="2">
        <v>2035</v>
      </c>
      <c r="B78" s="2">
        <f>B12/'Output-Calculation-sheet'!B11*'Output-Calculation-sheet'!B65</f>
        <v>10836.780575078359</v>
      </c>
      <c r="C78" s="2">
        <f>C12/'Output-Calculation-sheet'!C11*'Output-Calculation-sheet'!C65</f>
        <v>4661.8651688347427</v>
      </c>
      <c r="D78" s="2">
        <f>D12/'Output-Calculation-sheet'!D11*'Output-Calculation-sheet'!D65</f>
        <v>1184.677245783226</v>
      </c>
      <c r="E78" s="2">
        <f>E12/'Output-Calculation-sheet'!E11*'Output-Calculation-sheet'!E65</f>
        <v>2190.0654395255438</v>
      </c>
      <c r="F78" s="2">
        <f>F12/'Output-Calculation-sheet'!F11*'Output-Calculation-sheet'!F65</f>
        <v>476.35555965716998</v>
      </c>
      <c r="G78" s="2">
        <f>G12/'Output-Calculation-sheet'!G11*'Output-Calculation-sheet'!G65</f>
        <v>905.51867214209472</v>
      </c>
      <c r="H78" s="2">
        <f>H12/'Output-Calculation-sheet'!H11*'Output-Calculation-sheet'!H65</f>
        <v>3499.7103671061086</v>
      </c>
      <c r="I78" s="2">
        <f>I12/'Output-Calculation-sheet'!I11*'Output-Calculation-sheet'!I65</f>
        <v>595.65193657932969</v>
      </c>
      <c r="J78" s="2">
        <f>J12/'Output-Calculation-sheet'!J11*'Output-Calculation-sheet'!J65</f>
        <v>242.87440395999965</v>
      </c>
      <c r="K78" s="2">
        <f>K12/'Output-Calculation-sheet'!K11*'Output-Calculation-sheet'!K65</f>
        <v>737.90012493813424</v>
      </c>
      <c r="L78" s="2">
        <f>L12/'Output-Calculation-sheet'!L11*'Output-Calculation-sheet'!L65</f>
        <v>236.20638734845531</v>
      </c>
      <c r="M78" s="2">
        <f>M12/'Output-Calculation-sheet'!M11*'Output-Calculation-sheet'!M65</f>
        <v>2437.4627152902053</v>
      </c>
      <c r="N78" s="2">
        <f>N12/'Output-Calculation-sheet'!N11*'Output-Calculation-sheet'!N65</f>
        <v>1689.2066349334118</v>
      </c>
      <c r="O78" s="2">
        <f>O12/'Output-Calculation-sheet'!O11*'Output-Calculation-sheet'!O65</f>
        <v>0</v>
      </c>
      <c r="P78" s="2">
        <f>P12/'Output-Calculation-sheet'!P11*'Output-Calculation-sheet'!P65</f>
        <v>973.16994188969056</v>
      </c>
      <c r="Q78" s="2">
        <f>Q12/'Output-Calculation-sheet'!Q11*'Output-Calculation-sheet'!Q65</f>
        <v>393.45990089004766</v>
      </c>
      <c r="R78" s="2">
        <f>R12/'Output-Calculation-sheet'!R11*'Output-Calculation-sheet'!R65</f>
        <v>766.13832751133236</v>
      </c>
      <c r="S78" s="2">
        <f>S12/'Output-Calculation-sheet'!S11*'Output-Calculation-sheet'!S65</f>
        <v>797.87872868309182</v>
      </c>
      <c r="T78" s="2">
        <f>T12/'Output-Calculation-sheet'!T11*'Output-Calculation-sheet'!T65</f>
        <v>283.03818206678511</v>
      </c>
      <c r="U78" s="2">
        <f>U12/'Output-Calculation-sheet'!U11*'Output-Calculation-sheet'!U65</f>
        <v>204.38897071677766</v>
      </c>
      <c r="V78" s="2">
        <f>V12/'Output-Calculation-sheet'!V11*'Output-Calculation-sheet'!V65</f>
        <v>102.95362683703395</v>
      </c>
      <c r="W78" s="2">
        <f>W12/'Output-Calculation-sheet'!W11*'Output-Calculation-sheet'!W65</f>
        <v>112.05101202353953</v>
      </c>
      <c r="X78" s="2">
        <f>X12/'Output-Calculation-sheet'!X11*'Output-Calculation-sheet'!X65</f>
        <v>246.26788386163409</v>
      </c>
      <c r="Y78" s="2">
        <f>Y12/'Output-Calculation-sheet'!Y11*'Output-Calculation-sheet'!Y65</f>
        <v>94.560706689009379</v>
      </c>
      <c r="AA78" s="2">
        <f t="shared" si="6"/>
        <v>33.668182512345723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1363.9773376728685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264.98410261240747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1.6289614402852761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2014.0897432862575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369.54548387855135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2.3836352271648087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2519.9971121898197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446.99654565006193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2.9669936578398817</v>
      </c>
    </row>
    <row r="88" spans="1:27" x14ac:dyDescent="0.25">
      <c r="A88" s="2">
        <v>2034</v>
      </c>
      <c r="B88" s="2">
        <f>B11/'Output-Calculation-sheet'!B10*'Output-Calculation-sheet'!B73</f>
        <v>208.22621690706134</v>
      </c>
      <c r="C88" s="2">
        <f>C11/'Output-Calculation-sheet'!C10*'Output-Calculation-sheet'!C73</f>
        <v>2569.5489746912108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30.422584641122004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22.074890813507267</v>
      </c>
      <c r="M88" s="2">
        <f>M11/'Output-Calculation-sheet'!M10*'Output-Calculation-sheet'!M73</f>
        <v>20.933715253453265</v>
      </c>
      <c r="N88" s="2">
        <f>N11/'Output-Calculation-sheet'!N10*'Output-Calculation-sheet'!N73</f>
        <v>20.574483015609804</v>
      </c>
      <c r="O88" s="2">
        <f>O11/'Output-Calculation-sheet'!O10*'Output-Calculation-sheet'!O73</f>
        <v>479.9944606363706</v>
      </c>
      <c r="P88" s="2">
        <f>P11/'Output-Calculation-sheet'!P10*'Output-Calculation-sheet'!P73</f>
        <v>0</v>
      </c>
      <c r="Q88" s="2">
        <f>Q11/'Output-Calculation-sheet'!Q10*'Output-Calculation-sheet'!Q73</f>
        <v>36.052684610153918</v>
      </c>
      <c r="R88" s="2">
        <f>R11/'Output-Calculation-sheet'!R10*'Output-Calculation-sheet'!R73</f>
        <v>0</v>
      </c>
      <c r="S88" s="2">
        <f>S11/'Output-Calculation-sheet'!S10*'Output-Calculation-sheet'!S73</f>
        <v>11.793971914426619</v>
      </c>
      <c r="T88" s="2">
        <f>T11/'Output-Calculation-sheet'!T10*'Output-Calculation-sheet'!T73</f>
        <v>0</v>
      </c>
      <c r="U88" s="2">
        <f>U11/'Output-Calculation-sheet'!U10*'Output-Calculation-sheet'!U73</f>
        <v>5.7515046273104478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11.48240084560577</v>
      </c>
      <c r="Y88" s="2">
        <f>Y11/'Output-Calculation-sheet'!Y10*'Output-Calculation-sheet'!Y73</f>
        <v>0</v>
      </c>
      <c r="AA88" s="2">
        <f t="shared" si="7"/>
        <v>3.4168558879558319</v>
      </c>
    </row>
    <row r="89" spans="1:27" x14ac:dyDescent="0.25">
      <c r="A89" s="2">
        <v>2035</v>
      </c>
      <c r="B89" s="2">
        <f>B12/'Output-Calculation-sheet'!B11*'Output-Calculation-sheet'!B74</f>
        <v>518.31611570293319</v>
      </c>
      <c r="C89" s="2">
        <f>C12/'Output-Calculation-sheet'!C11*'Output-Calculation-sheet'!C74</f>
        <v>2214.0394990156383</v>
      </c>
      <c r="D89" s="2">
        <f>D12/'Output-Calculation-sheet'!D11*'Output-Calculation-sheet'!D74</f>
        <v>145.2789558873292</v>
      </c>
      <c r="E89" s="2">
        <f>E12/'Output-Calculation-sheet'!E11*'Output-Calculation-sheet'!E74</f>
        <v>173.18702898428003</v>
      </c>
      <c r="F89" s="2">
        <f>F12/'Output-Calculation-sheet'!F11*'Output-Calculation-sheet'!F74</f>
        <v>72.615176777007619</v>
      </c>
      <c r="G89" s="2">
        <f>G12/'Output-Calculation-sheet'!G11*'Output-Calculation-sheet'!G74</f>
        <v>52.114682866225131</v>
      </c>
      <c r="H89" s="2">
        <f>H12/'Output-Calculation-sheet'!H11*'Output-Calculation-sheet'!H74</f>
        <v>151.45562489730207</v>
      </c>
      <c r="I89" s="2">
        <f>I12/'Output-Calculation-sheet'!I11*'Output-Calculation-sheet'!I74</f>
        <v>46.874045766620476</v>
      </c>
      <c r="J89" s="2">
        <f>J12/'Output-Calculation-sheet'!J11*'Output-Calculation-sheet'!J74</f>
        <v>46.389915759717248</v>
      </c>
      <c r="K89" s="2">
        <f>K12/'Output-Calculation-sheet'!K11*'Output-Calculation-sheet'!K74</f>
        <v>46.069808636956623</v>
      </c>
      <c r="L89" s="2">
        <f>L12/'Output-Calculation-sheet'!L11*'Output-Calculation-sheet'!L74</f>
        <v>36.632504241385746</v>
      </c>
      <c r="M89" s="2">
        <f>M12/'Output-Calculation-sheet'!M11*'Output-Calculation-sheet'!M74</f>
        <v>104.21629071082822</v>
      </c>
      <c r="N89" s="2">
        <f>N12/'Output-Calculation-sheet'!N11*'Output-Calculation-sheet'!N74</f>
        <v>68.285260633993403</v>
      </c>
      <c r="O89" s="2">
        <f>O12/'Output-Calculation-sheet'!O11*'Output-Calculation-sheet'!O74</f>
        <v>446.05899017325726</v>
      </c>
      <c r="P89" s="2">
        <f>P12/'Output-Calculation-sheet'!P11*'Output-Calculation-sheet'!P74</f>
        <v>47.312457673668654</v>
      </c>
      <c r="Q89" s="2">
        <f>Q12/'Output-Calculation-sheet'!Q11*'Output-Calculation-sheet'!Q74</f>
        <v>59.828161011183404</v>
      </c>
      <c r="R89" s="2">
        <f>R12/'Output-Calculation-sheet'!R11*'Output-Calculation-sheet'!R74</f>
        <v>29.665388659154818</v>
      </c>
      <c r="S89" s="2">
        <f>S12/'Output-Calculation-sheet'!S11*'Output-Calculation-sheet'!S74</f>
        <v>39.1433624590032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14.316629203351305</v>
      </c>
      <c r="V89" s="2">
        <f>V12/'Output-Calculation-sheet'!V11*'Output-Calculation-sheet'!V74</f>
        <v>7.3596130414635743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20.960104009331069</v>
      </c>
      <c r="Y89" s="2">
        <f>Y12/'Output-Calculation-sheet'!Y11*'Output-Calculation-sheet'!Y74</f>
        <v>5.5164243085469735</v>
      </c>
      <c r="AA89" s="2">
        <f t="shared" si="7"/>
        <v>4.3543100518878255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13842855045.598328</v>
      </c>
      <c r="C96" s="2">
        <f>C8/'Output-Calculation-sheet'!C7*'Output-Calculation-sheet'!C79</f>
        <v>4683100775.4327602</v>
      </c>
      <c r="D96" s="2">
        <f>D8/'Output-Calculation-sheet'!D7*'Output-Calculation-sheet'!D79</f>
        <v>4888848791.3122072</v>
      </c>
      <c r="E96" s="2">
        <f>E8/'Output-Calculation-sheet'!E7*'Output-Calculation-sheet'!E79</f>
        <v>8691956890.3029346</v>
      </c>
      <c r="F96" s="2">
        <f>F8/'Output-Calculation-sheet'!F7*'Output-Calculation-sheet'!F79</f>
        <v>3597515304.6337719</v>
      </c>
      <c r="G96" s="2">
        <f>G8/'Output-Calculation-sheet'!G7*'Output-Calculation-sheet'!G79</f>
        <v>2802168607.694366</v>
      </c>
      <c r="H96" s="2">
        <f>H8/'Output-Calculation-sheet'!H7*'Output-Calculation-sheet'!H79</f>
        <v>2398498074.8692508</v>
      </c>
      <c r="I96" s="2">
        <f>I8/'Output-Calculation-sheet'!I7*'Output-Calculation-sheet'!I79</f>
        <v>1952008341.5106936</v>
      </c>
      <c r="J96" s="2">
        <f>J8/'Output-Calculation-sheet'!J7*'Output-Calculation-sheet'!J79</f>
        <v>1319998459.8490953</v>
      </c>
      <c r="K96" s="2">
        <f>K8/'Output-Calculation-sheet'!K7*'Output-Calculation-sheet'!K79</f>
        <v>1888524033.9863298</v>
      </c>
      <c r="L96" s="2">
        <f>L8/'Output-Calculation-sheet'!L7*'Output-Calculation-sheet'!L79</f>
        <v>1332540915.1210768</v>
      </c>
      <c r="M96" s="2">
        <f>M8/'Output-Calculation-sheet'!M7*'Output-Calculation-sheet'!M79</f>
        <v>1790432425.5727525</v>
      </c>
      <c r="N96" s="2">
        <f>N8/'Output-Calculation-sheet'!N7*'Output-Calculation-sheet'!N79</f>
        <v>1332224318.5791364</v>
      </c>
      <c r="O96" s="2">
        <f>O8/'Output-Calculation-sheet'!O7*'Output-Calculation-sheet'!O79</f>
        <v>673485022.03717041</v>
      </c>
      <c r="P96" s="2">
        <f>P8/'Output-Calculation-sheet'!P7*'Output-Calculation-sheet'!P79</f>
        <v>2252666145.58815</v>
      </c>
      <c r="Q96" s="2">
        <f>Q8/'Output-Calculation-sheet'!Q7*'Output-Calculation-sheet'!Q79</f>
        <v>1049838776.0115258</v>
      </c>
      <c r="R96" s="2">
        <f>R8/'Output-Calculation-sheet'!R7*'Output-Calculation-sheet'!R79</f>
        <v>1309798671.4137244</v>
      </c>
      <c r="S96" s="2">
        <f>S8/'Output-Calculation-sheet'!S7*'Output-Calculation-sheet'!S79</f>
        <v>763198471.4613893</v>
      </c>
      <c r="T96" s="2">
        <f>T8/'Output-Calculation-sheet'!T7*'Output-Calculation-sheet'!T79</f>
        <v>582907933.89697993</v>
      </c>
      <c r="U96" s="2">
        <f>U8/'Output-Calculation-sheet'!U7*'Output-Calculation-sheet'!U79</f>
        <v>366167782.82370049</v>
      </c>
      <c r="V96" s="2">
        <f>V8/'Output-Calculation-sheet'!V7*'Output-Calculation-sheet'!V79</f>
        <v>189986940.44679445</v>
      </c>
      <c r="W96" s="2">
        <f>W8/'Output-Calculation-sheet'!W7*'Output-Calculation-sheet'!W79</f>
        <v>561396006.25006759</v>
      </c>
      <c r="X96" s="2">
        <f>X8/'Output-Calculation-sheet'!X7*'Output-Calculation-sheet'!X79</f>
        <v>197314808.96691796</v>
      </c>
      <c r="Y96" s="2">
        <f>Y8/'Output-Calculation-sheet'!Y7*'Output-Calculation-sheet'!Y79</f>
        <v>308597640.43304467</v>
      </c>
      <c r="AA96" s="2">
        <f t="shared" si="8"/>
        <v>58.77603018379218</v>
      </c>
    </row>
    <row r="97" spans="1:27" x14ac:dyDescent="0.25">
      <c r="A97" s="2">
        <v>2032</v>
      </c>
      <c r="B97" s="2">
        <f>B9/'Output-Calculation-sheet'!B8*'Output-Calculation-sheet'!B80</f>
        <v>18443126859.04108</v>
      </c>
      <c r="C97" s="2">
        <f>C9/'Output-Calculation-sheet'!C8*'Output-Calculation-sheet'!C80</f>
        <v>6281828420.7414789</v>
      </c>
      <c r="D97" s="2">
        <f>D9/'Output-Calculation-sheet'!D8*'Output-Calculation-sheet'!D80</f>
        <v>6259230529.0292215</v>
      </c>
      <c r="E97" s="2">
        <f>E9/'Output-Calculation-sheet'!E8*'Output-Calculation-sheet'!E80</f>
        <v>11447196246.215372</v>
      </c>
      <c r="F97" s="2">
        <f>F9/'Output-Calculation-sheet'!F8*'Output-Calculation-sheet'!F80</f>
        <v>4728837696.5183601</v>
      </c>
      <c r="G97" s="2">
        <f>G9/'Output-Calculation-sheet'!G8*'Output-Calculation-sheet'!G80</f>
        <v>3579470332.3429365</v>
      </c>
      <c r="H97" s="2">
        <f>H9/'Output-Calculation-sheet'!H8*'Output-Calculation-sheet'!H80</f>
        <v>3149210903.0252881</v>
      </c>
      <c r="I97" s="2">
        <f>I9/'Output-Calculation-sheet'!I8*'Output-Calculation-sheet'!I80</f>
        <v>2590518222.1136985</v>
      </c>
      <c r="J97" s="2">
        <f>J9/'Output-Calculation-sheet'!J8*'Output-Calculation-sheet'!J80</f>
        <v>1703026625.1038954</v>
      </c>
      <c r="K97" s="2">
        <f>K9/'Output-Calculation-sheet'!K8*'Output-Calculation-sheet'!K80</f>
        <v>2455271697.231235</v>
      </c>
      <c r="L97" s="2">
        <f>L9/'Output-Calculation-sheet'!L8*'Output-Calculation-sheet'!L80</f>
        <v>1787031075.7828784</v>
      </c>
      <c r="M97" s="2">
        <f>M9/'Output-Calculation-sheet'!M8*'Output-Calculation-sheet'!M80</f>
        <v>2357787579.3657789</v>
      </c>
      <c r="N97" s="2">
        <f>N9/'Output-Calculation-sheet'!N8*'Output-Calculation-sheet'!N80</f>
        <v>1722679066.5565758</v>
      </c>
      <c r="O97" s="2">
        <f>O9/'Output-Calculation-sheet'!O8*'Output-Calculation-sheet'!O80</f>
        <v>891201323.41392434</v>
      </c>
      <c r="P97" s="2">
        <f>P9/'Output-Calculation-sheet'!P8*'Output-Calculation-sheet'!P80</f>
        <v>2915843148.7842784</v>
      </c>
      <c r="Q97" s="2">
        <f>Q9/'Output-Calculation-sheet'!Q8*'Output-Calculation-sheet'!Q80</f>
        <v>1363919610.5343716</v>
      </c>
      <c r="R97" s="2">
        <f>R9/'Output-Calculation-sheet'!R8*'Output-Calculation-sheet'!R80</f>
        <v>1723308951.8817701</v>
      </c>
      <c r="S97" s="2">
        <f>S9/'Output-Calculation-sheet'!S8*'Output-Calculation-sheet'!S80</f>
        <v>1000203529.0094271</v>
      </c>
      <c r="T97" s="2">
        <f>T9/'Output-Calculation-sheet'!T8*'Output-Calculation-sheet'!T80</f>
        <v>753188433.57367992</v>
      </c>
      <c r="U97" s="2">
        <f>U9/'Output-Calculation-sheet'!U8*'Output-Calculation-sheet'!U80</f>
        <v>481507963.83392459</v>
      </c>
      <c r="V97" s="2">
        <f>V9/'Output-Calculation-sheet'!V8*'Output-Calculation-sheet'!V80</f>
        <v>252474080.53965124</v>
      </c>
      <c r="W97" s="2">
        <f>W9/'Output-Calculation-sheet'!W8*'Output-Calculation-sheet'!W80</f>
        <v>731169815.56270754</v>
      </c>
      <c r="X97" s="2">
        <f>X9/'Output-Calculation-sheet'!X8*'Output-Calculation-sheet'!X80</f>
        <v>262560522.79865283</v>
      </c>
      <c r="Y97" s="2">
        <f>Y9/'Output-Calculation-sheet'!Y8*'Output-Calculation-sheet'!Y80</f>
        <v>401898259.11992639</v>
      </c>
      <c r="AA97" s="2">
        <f t="shared" si="8"/>
        <v>77.282490892120137</v>
      </c>
    </row>
    <row r="98" spans="1:27" x14ac:dyDescent="0.25">
      <c r="A98" s="2">
        <v>2033</v>
      </c>
      <c r="B98" s="2">
        <f>B10/'Output-Calculation-sheet'!B9*'Output-Calculation-sheet'!B81</f>
        <v>21661554358.235664</v>
      </c>
      <c r="C98" s="2">
        <f>C10/'Output-Calculation-sheet'!C9*'Output-Calculation-sheet'!C81</f>
        <v>7426655002.4107399</v>
      </c>
      <c r="D98" s="2">
        <f>D10/'Output-Calculation-sheet'!D9*'Output-Calculation-sheet'!D81</f>
        <v>7067913585.2852325</v>
      </c>
      <c r="E98" s="2">
        <f>E10/'Output-Calculation-sheet'!E9*'Output-Calculation-sheet'!E81</f>
        <v>13295190165.108631</v>
      </c>
      <c r="F98" s="2">
        <f>F10/'Output-Calculation-sheet'!F9*'Output-Calculation-sheet'!F81</f>
        <v>5483257783.2319889</v>
      </c>
      <c r="G98" s="2">
        <f>G10/'Output-Calculation-sheet'!G9*'Output-Calculation-sheet'!G81</f>
        <v>4025975630.84727</v>
      </c>
      <c r="H98" s="2">
        <f>H10/'Output-Calculation-sheet'!H9*'Output-Calculation-sheet'!H81</f>
        <v>3647566814.7587304</v>
      </c>
      <c r="I98" s="2">
        <f>I10/'Output-Calculation-sheet'!I9*'Output-Calculation-sheet'!I81</f>
        <v>3032204879.7574878</v>
      </c>
      <c r="J98" s="2">
        <f>J10/'Output-Calculation-sheet'!J9*'Output-Calculation-sheet'!J81</f>
        <v>1938868225.8093719</v>
      </c>
      <c r="K98" s="2">
        <f>K10/'Output-Calculation-sheet'!K9*'Output-Calculation-sheet'!K81</f>
        <v>2816282987.3899112</v>
      </c>
      <c r="L98" s="2">
        <f>L10/'Output-Calculation-sheet'!L9*'Output-Calculation-sheet'!L81</f>
        <v>2112254397.0877652</v>
      </c>
      <c r="M98" s="2">
        <f>M10/'Output-Calculation-sheet'!M9*'Output-Calculation-sheet'!M81</f>
        <v>2739169530.2554231</v>
      </c>
      <c r="N98" s="2">
        <f>N10/'Output-Calculation-sheet'!N9*'Output-Calculation-sheet'!N81</f>
        <v>1965140413.7486436</v>
      </c>
      <c r="O98" s="2">
        <f>O10/'Output-Calculation-sheet'!O9*'Output-Calculation-sheet'!O81</f>
        <v>1040652870.7834071</v>
      </c>
      <c r="P98" s="2">
        <f>P10/'Output-Calculation-sheet'!P9*'Output-Calculation-sheet'!P81</f>
        <v>3325624634.3974724</v>
      </c>
      <c r="Q98" s="2">
        <f>Q10/'Output-Calculation-sheet'!Q9*'Output-Calculation-sheet'!Q81</f>
        <v>1563624396.5505426</v>
      </c>
      <c r="R98" s="2">
        <f>R10/'Output-Calculation-sheet'!R9*'Output-Calculation-sheet'!R81</f>
        <v>2000112161.1381245</v>
      </c>
      <c r="S98" s="2">
        <f>S10/'Output-Calculation-sheet'!S9*'Output-Calculation-sheet'!S81</f>
        <v>1156420926.6994066</v>
      </c>
      <c r="T98" s="2">
        <f>T10/'Output-Calculation-sheet'!T9*'Output-Calculation-sheet'!T81</f>
        <v>858111902.30217791</v>
      </c>
      <c r="U98" s="2">
        <f>U10/'Output-Calculation-sheet'!U9*'Output-Calculation-sheet'!U81</f>
        <v>558343257.69512796</v>
      </c>
      <c r="V98" s="2">
        <f>V10/'Output-Calculation-sheet'!V9*'Output-Calculation-sheet'!V81</f>
        <v>295707991.64535326</v>
      </c>
      <c r="W98" s="2">
        <f>W10/'Output-Calculation-sheet'!W9*'Output-Calculation-sheet'!W81</f>
        <v>838434175.66305339</v>
      </c>
      <c r="X98" s="2">
        <f>X10/'Output-Calculation-sheet'!X9*'Output-Calculation-sheet'!X81</f>
        <v>308099192.50774521</v>
      </c>
      <c r="Y98" s="2">
        <f>Y10/'Output-Calculation-sheet'!Y9*'Output-Calculation-sheet'!Y81</f>
        <v>461023032.9790144</v>
      </c>
      <c r="AA98" s="2">
        <f t="shared" si="8"/>
        <v>89.618188316288283</v>
      </c>
    </row>
    <row r="99" spans="1:27" x14ac:dyDescent="0.25">
      <c r="A99" s="2">
        <v>2034</v>
      </c>
      <c r="B99" s="2">
        <f>B11/'Output-Calculation-sheet'!B10*'Output-Calculation-sheet'!B82</f>
        <v>22787694144.901455</v>
      </c>
      <c r="C99" s="2">
        <f>C11/'Output-Calculation-sheet'!C10*'Output-Calculation-sheet'!C82</f>
        <v>7862689408.5302362</v>
      </c>
      <c r="D99" s="2">
        <f>D11/'Output-Calculation-sheet'!D10*'Output-Calculation-sheet'!D82</f>
        <v>7152835712.2537813</v>
      </c>
      <c r="E99" s="2">
        <f>E11/'Output-Calculation-sheet'!E10*'Output-Calculation-sheet'!E82</f>
        <v>13836533460.771969</v>
      </c>
      <c r="F99" s="2">
        <f>F11/'Output-Calculation-sheet'!F10*'Output-Calculation-sheet'!F82</f>
        <v>5698559134.5347624</v>
      </c>
      <c r="G99" s="2">
        <f>G11/'Output-Calculation-sheet'!G10*'Output-Calculation-sheet'!G82</f>
        <v>4051270033.5053854</v>
      </c>
      <c r="H99" s="2">
        <f>H11/'Output-Calculation-sheet'!H10*'Output-Calculation-sheet'!H82</f>
        <v>3786647391.8865662</v>
      </c>
      <c r="I99" s="2">
        <f>I11/'Output-Calculation-sheet'!I10*'Output-Calculation-sheet'!I82</f>
        <v>3180520194.4776459</v>
      </c>
      <c r="J99" s="2">
        <f>J11/'Output-Calculation-sheet'!J10*'Output-Calculation-sheet'!J82</f>
        <v>1979236500.6049285</v>
      </c>
      <c r="K99" s="2">
        <f>K11/'Output-Calculation-sheet'!K10*'Output-Calculation-sheet'!K82</f>
        <v>2895882729.3105493</v>
      </c>
      <c r="L99" s="2">
        <f>L11/'Output-Calculation-sheet'!L10*'Output-Calculation-sheet'!L82</f>
        <v>2235833241.1552701</v>
      </c>
      <c r="M99" s="2">
        <f>M11/'Output-Calculation-sheet'!M10*'Output-Calculation-sheet'!M82</f>
        <v>2852411293.4633393</v>
      </c>
      <c r="N99" s="2">
        <f>N11/'Output-Calculation-sheet'!N10*'Output-Calculation-sheet'!N82</f>
        <v>2009526421.4658523</v>
      </c>
      <c r="O99" s="2">
        <f>O11/'Output-Calculation-sheet'!O10*'Output-Calculation-sheet'!O82</f>
        <v>1089465123.0559912</v>
      </c>
      <c r="P99" s="2">
        <f>P11/'Output-Calculation-sheet'!P10*'Output-Calculation-sheet'!P82</f>
        <v>3396109597.063251</v>
      </c>
      <c r="Q99" s="2">
        <f>Q11/'Output-Calculation-sheet'!Q10*'Output-Calculation-sheet'!Q82</f>
        <v>1607252474.6925044</v>
      </c>
      <c r="R99" s="2">
        <f>R11/'Output-Calculation-sheet'!R10*'Output-Calculation-sheet'!R82</f>
        <v>2080580895.5803547</v>
      </c>
      <c r="S99" s="2">
        <f>S11/'Output-Calculation-sheet'!S10*'Output-Calculation-sheet'!S82</f>
        <v>1198472761.6170554</v>
      </c>
      <c r="T99" s="2">
        <f>T11/'Output-Calculation-sheet'!T10*'Output-Calculation-sheet'!T82</f>
        <v>875943470.80316639</v>
      </c>
      <c r="U99" s="2">
        <f>U11/'Output-Calculation-sheet'!U10*'Output-Calculation-sheet'!U82</f>
        <v>580067424.03693247</v>
      </c>
      <c r="V99" s="2">
        <f>V11/'Output-Calculation-sheet'!V10*'Output-Calculation-sheet'!V82</f>
        <v>310154819.69035614</v>
      </c>
      <c r="W99" s="2">
        <f>W11/'Output-Calculation-sheet'!W10*'Output-Calculation-sheet'!W82</f>
        <v>860070174.08389902</v>
      </c>
      <c r="X99" s="2">
        <f>X11/'Output-Calculation-sheet'!X10*'Output-Calculation-sheet'!X82</f>
        <v>323926106.23909688</v>
      </c>
      <c r="Y99" s="2">
        <f>Y11/'Output-Calculation-sheet'!Y10*'Output-Calculation-sheet'!Y82</f>
        <v>473311378.38320708</v>
      </c>
      <c r="AA99" s="2">
        <f t="shared" si="8"/>
        <v>93.124993892107511</v>
      </c>
    </row>
    <row r="100" spans="1:27" x14ac:dyDescent="0.25">
      <c r="A100" s="2">
        <v>2035</v>
      </c>
      <c r="B100" s="2">
        <f>B12/'Output-Calculation-sheet'!B11*'Output-Calculation-sheet'!B83</f>
        <v>21603346593.682827</v>
      </c>
      <c r="C100" s="2">
        <f>C12/'Output-Calculation-sheet'!C11*'Output-Calculation-sheet'!C83</f>
        <v>7500331047.7723913</v>
      </c>
      <c r="D100" s="2">
        <f>D12/'Output-Calculation-sheet'!D11*'Output-Calculation-sheet'!D83</f>
        <v>6528076468.6372833</v>
      </c>
      <c r="E100" s="2">
        <f>E12/'Output-Calculation-sheet'!E11*'Output-Calculation-sheet'!E83</f>
        <v>12982659664.055347</v>
      </c>
      <c r="F100" s="2">
        <f>F12/'Output-Calculation-sheet'!F11*'Output-Calculation-sheet'!F83</f>
        <v>5340548529.7241249</v>
      </c>
      <c r="G100" s="2">
        <f>G12/'Output-Calculation-sheet'!G11*'Output-Calculation-sheet'!G83</f>
        <v>3669996745.1980162</v>
      </c>
      <c r="H100" s="2">
        <f>H12/'Output-Calculation-sheet'!H11*'Output-Calculation-sheet'!H83</f>
        <v>3544942589.481688</v>
      </c>
      <c r="I100" s="2">
        <f>I12/'Output-Calculation-sheet'!I11*'Output-Calculation-sheet'!I83</f>
        <v>3007813768.7525029</v>
      </c>
      <c r="J100" s="2">
        <f>J12/'Output-Calculation-sheet'!J11*'Output-Calculation-sheet'!J83</f>
        <v>1822864601.6773698</v>
      </c>
      <c r="K100" s="2">
        <f>K12/'Output-Calculation-sheet'!K11*'Output-Calculation-sheet'!K83</f>
        <v>2685856022.59198</v>
      </c>
      <c r="L100" s="2">
        <f>L12/'Output-Calculation-sheet'!L11*'Output-Calculation-sheet'!L83</f>
        <v>2132416536.0205178</v>
      </c>
      <c r="M100" s="2">
        <f>M12/'Output-Calculation-sheet'!M11*'Output-Calculation-sheet'!M83</f>
        <v>2678787694.9983778</v>
      </c>
      <c r="N100" s="2">
        <f>N12/'Output-Calculation-sheet'!N11*'Output-Calculation-sheet'!N83</f>
        <v>1853509507.6763792</v>
      </c>
      <c r="O100" s="2">
        <f>O12/'Output-Calculation-sheet'!O11*'Output-Calculation-sheet'!O83</f>
        <v>1028815466.1004066</v>
      </c>
      <c r="P100" s="2">
        <f>P12/'Output-Calculation-sheet'!P11*'Output-Calculation-sheet'!P83</f>
        <v>3124585673.4555883</v>
      </c>
      <c r="Q100" s="2">
        <f>Q12/'Output-Calculation-sheet'!Q11*'Output-Calculation-sheet'!Q83</f>
        <v>1490441689.8074439</v>
      </c>
      <c r="R100" s="2">
        <f>R12/'Output-Calculation-sheet'!R11*'Output-Calculation-sheet'!R83</f>
        <v>1951650321.4194045</v>
      </c>
      <c r="S100" s="2">
        <f>S12/'Output-Calculation-sheet'!S11*'Output-Calculation-sheet'!S83</f>
        <v>1120147010.3921266</v>
      </c>
      <c r="T100" s="2">
        <f>T12/'Output-Calculation-sheet'!T11*'Output-Calculation-sheet'!T83</f>
        <v>806117743.9213239</v>
      </c>
      <c r="U100" s="2">
        <f>U12/'Output-Calculation-sheet'!U11*'Output-Calculation-sheet'!U83</f>
        <v>543232087.37585568</v>
      </c>
      <c r="V100" s="2">
        <f>V12/'Output-Calculation-sheet'!V11*'Output-Calculation-sheet'!V83</f>
        <v>293105273.71967578</v>
      </c>
      <c r="W100" s="2">
        <f>W12/'Output-Calculation-sheet'!W11*'Output-Calculation-sheet'!W83</f>
        <v>794094194.43184721</v>
      </c>
      <c r="X100" s="2">
        <f>X12/'Output-Calculation-sheet'!X11*'Output-Calculation-sheet'!X83</f>
        <v>307004358.34227288</v>
      </c>
      <c r="Y100" s="2">
        <f>Y12/'Output-Calculation-sheet'!Y11*'Output-Calculation-sheet'!Y83</f>
        <v>437593300.36845326</v>
      </c>
      <c r="AA100" s="2">
        <f t="shared" si="8"/>
        <v>87.247936889603196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1283.4625279092991</v>
      </c>
      <c r="C19" s="2">
        <f>C8/'Output-Calculation-sheet'!C7*'Output-Calculation-sheet'!C25</f>
        <v>11961.569435235771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5758.8399337476985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4001.1394717123985</v>
      </c>
      <c r="N19" s="2">
        <f>N8/'Output-Calculation-sheet'!N7*'Output-Calculation-sheet'!N25</f>
        <v>1369.8661544279473</v>
      </c>
      <c r="O19" s="2">
        <f>O8/'Output-Calculation-sheet'!O7*'Output-Calculation-sheet'!O25</f>
        <v>2121.8896887460546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488.78986884835086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447.71371006440381</v>
      </c>
      <c r="Y19" s="2">
        <f>Y8/'Output-Calculation-sheet'!Y7*'Output-Calculation-sheet'!Y25</f>
        <v>0</v>
      </c>
      <c r="AA19" s="2">
        <f t="shared" si="0"/>
        <v>27.433270790691925</v>
      </c>
    </row>
    <row r="20" spans="1:27" x14ac:dyDescent="0.25">
      <c r="A20" s="2">
        <v>2032</v>
      </c>
      <c r="B20" s="2">
        <f>B9/'Output-Calculation-sheet'!B8*'Output-Calculation-sheet'!B26</f>
        <v>7446.7596928291268</v>
      </c>
      <c r="C20" s="2">
        <f>C9/'Output-Calculation-sheet'!C8*'Output-Calculation-sheet'!C26</f>
        <v>15135.922302532463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8101.5530179184916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5634.5124627747236</v>
      </c>
      <c r="N20" s="2">
        <f>N9/'Output-Calculation-sheet'!N8*'Output-Calculation-sheet'!N26</f>
        <v>2540.492113496518</v>
      </c>
      <c r="O20" s="2">
        <f>O9/'Output-Calculation-sheet'!O8*'Output-Calculation-sheet'!O26</f>
        <v>2635.5528671490638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918.56703095988814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629.75247167973021</v>
      </c>
      <c r="Y20" s="2">
        <f>Y9/'Output-Calculation-sheet'!Y8*'Output-Calculation-sheet'!Y26</f>
        <v>0</v>
      </c>
      <c r="AA20" s="2">
        <f t="shared" si="0"/>
        <v>43.043111959339996</v>
      </c>
    </row>
    <row r="21" spans="1:27" x14ac:dyDescent="0.25">
      <c r="A21" s="2">
        <v>2033</v>
      </c>
      <c r="B21" s="2">
        <f>B10/'Output-Calculation-sheet'!B9*'Output-Calculation-sheet'!B27</f>
        <v>18037.395251543872</v>
      </c>
      <c r="C21" s="2">
        <f>C10/'Output-Calculation-sheet'!C9*'Output-Calculation-sheet'!C27</f>
        <v>18388.13266154745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10427.877877372914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7242.8886826269027</v>
      </c>
      <c r="N21" s="2">
        <f>N10/'Output-Calculation-sheet'!N9*'Output-Calculation-sheet'!N27</f>
        <v>3941.1452011213487</v>
      </c>
      <c r="O21" s="2">
        <f>O10/'Output-Calculation-sheet'!O9*'Output-Calculation-sheet'!O27</f>
        <v>3057.4081032922763</v>
      </c>
      <c r="P21" s="2">
        <f>P10/'Output-Calculation-sheet'!P9*'Output-Calculation-sheet'!P27</f>
        <v>0</v>
      </c>
      <c r="Q21" s="2">
        <f>Q10/'Output-Calculation-sheet'!Q9*'Output-Calculation-sheet'!Q27</f>
        <v>269.14903693843581</v>
      </c>
      <c r="R21" s="2">
        <f>R10/'Output-Calculation-sheet'!R9*'Output-Calculation-sheet'!R27</f>
        <v>0</v>
      </c>
      <c r="S21" s="2">
        <f>S10/'Output-Calculation-sheet'!S9*'Output-Calculation-sheet'!S27</f>
        <v>1724.6229082102391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851.65043778054928</v>
      </c>
      <c r="Y21" s="2">
        <f>Y10/'Output-Calculation-sheet'!Y9*'Output-Calculation-sheet'!Y27</f>
        <v>0</v>
      </c>
      <c r="AA21" s="2">
        <f t="shared" si="0"/>
        <v>63.940270160433982</v>
      </c>
    </row>
    <row r="22" spans="1:27" x14ac:dyDescent="0.25">
      <c r="A22" s="2">
        <v>2034</v>
      </c>
      <c r="B22" s="2">
        <f>B11/'Output-Calculation-sheet'!B10*'Output-Calculation-sheet'!B28</f>
        <v>30732.334696889535</v>
      </c>
      <c r="C22" s="2">
        <f>C11/'Output-Calculation-sheet'!C10*'Output-Calculation-sheet'!C28</f>
        <v>21943.519416407315</v>
      </c>
      <c r="D22" s="2">
        <f>D11/'Output-Calculation-sheet'!D10*'Output-Calculation-sheet'!D28</f>
        <v>0</v>
      </c>
      <c r="E22" s="2">
        <f>E11/'Output-Calculation-sheet'!E10*'Output-Calculation-sheet'!E28</f>
        <v>1777.5076753777591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12919.569845805167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882.65691493878705</v>
      </c>
      <c r="M22" s="2">
        <f>M11/'Output-Calculation-sheet'!M10*'Output-Calculation-sheet'!M28</f>
        <v>8975.7700728490581</v>
      </c>
      <c r="N22" s="2">
        <f>N11/'Output-Calculation-sheet'!N10*'Output-Calculation-sheet'!N28</f>
        <v>5211.2421647045821</v>
      </c>
      <c r="O22" s="2">
        <f>O11/'Output-Calculation-sheet'!O10*'Output-Calculation-sheet'!O28</f>
        <v>3377.3446841314317</v>
      </c>
      <c r="P22" s="2">
        <f>P11/'Output-Calculation-sheet'!P10*'Output-Calculation-sheet'!P28</f>
        <v>0</v>
      </c>
      <c r="Q22" s="2">
        <f>Q11/'Output-Calculation-sheet'!Q10*'Output-Calculation-sheet'!Q28</f>
        <v>779.10545874447098</v>
      </c>
      <c r="R22" s="2">
        <f>R11/'Output-Calculation-sheet'!R10*'Output-Calculation-sheet'!R28</f>
        <v>0</v>
      </c>
      <c r="S22" s="2">
        <f>S11/'Output-Calculation-sheet'!S10*'Output-Calculation-sheet'!S28</f>
        <v>2434.1030414943748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934.77342963631975</v>
      </c>
      <c r="Y22" s="2">
        <f>Y11/'Output-Calculation-sheet'!Y10*'Output-Calculation-sheet'!Y28</f>
        <v>98.418629989176793</v>
      </c>
      <c r="AA22" s="2">
        <f t="shared" si="0"/>
        <v>90.066346030967992</v>
      </c>
    </row>
    <row r="23" spans="1:27" x14ac:dyDescent="0.25">
      <c r="A23" s="2">
        <v>2035</v>
      </c>
      <c r="B23" s="2">
        <f>B12/'Output-Calculation-sheet'!B11*'Output-Calculation-sheet'!B29</f>
        <v>35933.199641339575</v>
      </c>
      <c r="C23" s="2">
        <f>C12/'Output-Calculation-sheet'!C11*'Output-Calculation-sheet'!C29</f>
        <v>26210.206175855164</v>
      </c>
      <c r="D23" s="2">
        <f>D12/'Output-Calculation-sheet'!D11*'Output-Calculation-sheet'!D29</f>
        <v>0</v>
      </c>
      <c r="E23" s="2">
        <f>E12/'Output-Calculation-sheet'!E11*'Output-Calculation-sheet'!E29</f>
        <v>4571.0326682761788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13156.836090902494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1081.9287365085286</v>
      </c>
      <c r="M23" s="2">
        <f>M12/'Output-Calculation-sheet'!M11*'Output-Calculation-sheet'!M29</f>
        <v>9276.4157486616077</v>
      </c>
      <c r="N23" s="2">
        <f>N12/'Output-Calculation-sheet'!N11*'Output-Calculation-sheet'!N29</f>
        <v>5465.9948608140021</v>
      </c>
      <c r="O23" s="2">
        <f>O12/'Output-Calculation-sheet'!O11*'Output-Calculation-sheet'!O29</f>
        <v>3616.2350503941943</v>
      </c>
      <c r="P23" s="2">
        <f>P12/'Output-Calculation-sheet'!P11*'Output-Calculation-sheet'!P29</f>
        <v>771.01925970358923</v>
      </c>
      <c r="Q23" s="2">
        <f>Q12/'Output-Calculation-sheet'!Q11*'Output-Calculation-sheet'!Q29</f>
        <v>1167.8309565992715</v>
      </c>
      <c r="R23" s="2">
        <f>R12/'Output-Calculation-sheet'!R11*'Output-Calculation-sheet'!R29</f>
        <v>0</v>
      </c>
      <c r="S23" s="2">
        <f>S12/'Output-Calculation-sheet'!S11*'Output-Calculation-sheet'!S29</f>
        <v>2673.0453391731312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963.66527662835313</v>
      </c>
      <c r="Y23" s="2">
        <f>Y12/'Output-Calculation-sheet'!Y11*'Output-Calculation-sheet'!Y29</f>
        <v>244.70100679881011</v>
      </c>
      <c r="AA23" s="2">
        <f t="shared" si="0"/>
        <v>105.1321108116549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22370.334933333248</v>
      </c>
      <c r="C30" s="2">
        <f>C8/'Output-Calculation-sheet'!C7*'Output-Calculation-sheet'!C16</f>
        <v>0</v>
      </c>
      <c r="D30" s="2">
        <f>D8/'Output-Calculation-sheet'!D7*'Output-Calculation-sheet'!D16</f>
        <v>3766.8686746618896</v>
      </c>
      <c r="E30" s="2">
        <f>E8/'Output-Calculation-sheet'!E7*'Output-Calculation-sheet'!E16</f>
        <v>4052.9378739247604</v>
      </c>
      <c r="F30" s="2">
        <f>F8/'Output-Calculation-sheet'!F7*'Output-Calculation-sheet'!F16</f>
        <v>2044.7287241806114</v>
      </c>
      <c r="G30" s="2">
        <f>G8/'Output-Calculation-sheet'!G7*'Output-Calculation-sheet'!G16</f>
        <v>1339.0544586045387</v>
      </c>
      <c r="H30" s="2">
        <f>H8/'Output-Calculation-sheet'!H7*'Output-Calculation-sheet'!H16</f>
        <v>0</v>
      </c>
      <c r="I30" s="2">
        <f>I8/'Output-Calculation-sheet'!I7*'Output-Calculation-sheet'!I16</f>
        <v>1305.3775987630415</v>
      </c>
      <c r="J30" s="2">
        <f>J8/'Output-Calculation-sheet'!J7*'Output-Calculation-sheet'!J16</f>
        <v>1162.0370658771112</v>
      </c>
      <c r="K30" s="2">
        <f>K8/'Output-Calculation-sheet'!K7*'Output-Calculation-sheet'!K16</f>
        <v>1551.5415944879833</v>
      </c>
      <c r="L30" s="2">
        <f>L8/'Output-Calculation-sheet'!L7*'Output-Calculation-sheet'!L16</f>
        <v>1310.5482209307145</v>
      </c>
      <c r="M30" s="2">
        <f>M8/'Output-Calculation-sheet'!M7*'Output-Calculation-sheet'!M16</f>
        <v>0</v>
      </c>
      <c r="N30" s="2">
        <f>N8/'Output-Calculation-sheet'!N7*'Output-Calculation-sheet'!N16</f>
        <v>1861.5233357536727</v>
      </c>
      <c r="O30" s="2">
        <f>O8/'Output-Calculation-sheet'!O7*'Output-Calculation-sheet'!O16</f>
        <v>0</v>
      </c>
      <c r="P30" s="2">
        <f>P8/'Output-Calculation-sheet'!P7*'Output-Calculation-sheet'!P16</f>
        <v>1673.0760927169249</v>
      </c>
      <c r="Q30" s="2">
        <f>Q8/'Output-Calculation-sheet'!Q7*'Output-Calculation-sheet'!Q16</f>
        <v>1839.8311521544861</v>
      </c>
      <c r="R30" s="2">
        <f>R8/'Output-Calculation-sheet'!R7*'Output-Calculation-sheet'!R16</f>
        <v>1167.3808626549608</v>
      </c>
      <c r="S30" s="2">
        <f>S8/'Output-Calculation-sheet'!S7*'Output-Calculation-sheet'!S16</f>
        <v>1174.0428336813711</v>
      </c>
      <c r="T30" s="2">
        <f>T8/'Output-Calculation-sheet'!T7*'Output-Calculation-sheet'!T16</f>
        <v>350.43095475551758</v>
      </c>
      <c r="U30" s="2">
        <f>U8/'Output-Calculation-sheet'!U7*'Output-Calculation-sheet'!U16</f>
        <v>349.80456831001715</v>
      </c>
      <c r="V30" s="2">
        <f>V8/'Output-Calculation-sheet'!V7*'Output-Calculation-sheet'!V16</f>
        <v>272.24624626534234</v>
      </c>
      <c r="W30" s="2">
        <f>W8/'Output-Calculation-sheet'!W7*'Output-Calculation-sheet'!W16</f>
        <v>165.13107298359415</v>
      </c>
      <c r="X30" s="2">
        <f>X8/'Output-Calculation-sheet'!X7*'Output-Calculation-sheet'!X16</f>
        <v>0</v>
      </c>
      <c r="Y30" s="2">
        <f>Y8/'Output-Calculation-sheet'!Y7*'Output-Calculation-sheet'!Y16</f>
        <v>139.76467996700717</v>
      </c>
      <c r="AA30" s="2">
        <f t="shared" si="1"/>
        <v>47.89666094400679</v>
      </c>
    </row>
    <row r="31" spans="1:27" x14ac:dyDescent="0.25">
      <c r="A31" s="2">
        <v>2032</v>
      </c>
      <c r="B31" s="2">
        <f>B9/'Output-Calculation-sheet'!B8*'Output-Calculation-sheet'!B17</f>
        <v>31532.040855693256</v>
      </c>
      <c r="C31" s="2">
        <f>C9/'Output-Calculation-sheet'!C8*'Output-Calculation-sheet'!C17</f>
        <v>0</v>
      </c>
      <c r="D31" s="2">
        <f>D9/'Output-Calculation-sheet'!D8*'Output-Calculation-sheet'!D17</f>
        <v>5288.3372558293795</v>
      </c>
      <c r="E31" s="2">
        <f>E9/'Output-Calculation-sheet'!E8*'Output-Calculation-sheet'!E17</f>
        <v>6215.7179081581935</v>
      </c>
      <c r="F31" s="2">
        <f>F9/'Output-Calculation-sheet'!F8*'Output-Calculation-sheet'!F17</f>
        <v>2870.6810373644221</v>
      </c>
      <c r="G31" s="2">
        <f>G9/'Output-Calculation-sheet'!G8*'Output-Calculation-sheet'!G17</f>
        <v>1879.9377067361395</v>
      </c>
      <c r="H31" s="2">
        <f>H9/'Output-Calculation-sheet'!H8*'Output-Calculation-sheet'!H17</f>
        <v>0</v>
      </c>
      <c r="I31" s="2">
        <f>I9/'Output-Calculation-sheet'!I8*'Output-Calculation-sheet'!I17</f>
        <v>1832.666362613021</v>
      </c>
      <c r="J31" s="2">
        <f>J9/'Output-Calculation-sheet'!J8*'Output-Calculation-sheet'!J17</f>
        <v>1631.4263087349484</v>
      </c>
      <c r="K31" s="2">
        <f>K9/'Output-Calculation-sheet'!K8*'Output-Calculation-sheet'!K17</f>
        <v>2322.7178963827596</v>
      </c>
      <c r="L31" s="2">
        <f>L9/'Output-Calculation-sheet'!L8*'Output-Calculation-sheet'!L17</f>
        <v>1980.8700421320898</v>
      </c>
      <c r="M31" s="2">
        <f>M9/'Output-Calculation-sheet'!M8*'Output-Calculation-sheet'!M17</f>
        <v>0</v>
      </c>
      <c r="N31" s="2">
        <f>N9/'Output-Calculation-sheet'!N8*'Output-Calculation-sheet'!N17</f>
        <v>2153.4083311756845</v>
      </c>
      <c r="O31" s="2">
        <f>O9/'Output-Calculation-sheet'!O8*'Output-Calculation-sheet'!O17</f>
        <v>0</v>
      </c>
      <c r="P31" s="2">
        <f>P9/'Output-Calculation-sheet'!P8*'Output-Calculation-sheet'!P17</f>
        <v>2672.7139717922396</v>
      </c>
      <c r="Q31" s="2">
        <f>Q9/'Output-Calculation-sheet'!Q8*'Output-Calculation-sheet'!Q17</f>
        <v>2849.3586547372952</v>
      </c>
      <c r="R31" s="2">
        <f>R9/'Output-Calculation-sheet'!R8*'Output-Calculation-sheet'!R17</f>
        <v>1864.2010187881606</v>
      </c>
      <c r="S31" s="2">
        <f>S9/'Output-Calculation-sheet'!S8*'Output-Calculation-sheet'!S17</f>
        <v>1609.7682561107074</v>
      </c>
      <c r="T31" s="2">
        <f>T9/'Output-Calculation-sheet'!T8*'Output-Calculation-sheet'!T17</f>
        <v>505.86456643697943</v>
      </c>
      <c r="U31" s="2">
        <f>U9/'Output-Calculation-sheet'!U8*'Output-Calculation-sheet'!U17</f>
        <v>581.39965724987655</v>
      </c>
      <c r="V31" s="2">
        <f>V9/'Output-Calculation-sheet'!V8*'Output-Calculation-sheet'!V17</f>
        <v>416.42898770499204</v>
      </c>
      <c r="W31" s="2">
        <f>W9/'Output-Calculation-sheet'!W8*'Output-Calculation-sheet'!W17</f>
        <v>231.8358427964175</v>
      </c>
      <c r="X31" s="2">
        <f>X9/'Output-Calculation-sheet'!X8*'Output-Calculation-sheet'!X17</f>
        <v>0</v>
      </c>
      <c r="Y31" s="2">
        <f>Y9/'Output-Calculation-sheet'!Y8*'Output-Calculation-sheet'!Y17</f>
        <v>224.00365196908407</v>
      </c>
      <c r="AA31" s="2">
        <f t="shared" si="1"/>
        <v>68.663378312405655</v>
      </c>
    </row>
    <row r="32" spans="1:27" x14ac:dyDescent="0.25">
      <c r="A32" s="2">
        <v>2033</v>
      </c>
      <c r="B32" s="2">
        <f>B10/'Output-Calculation-sheet'!B9*'Output-Calculation-sheet'!B18</f>
        <v>36558.159875454927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2242.488742360435</v>
      </c>
      <c r="O32" s="2">
        <f>O10/'Output-Calculation-sheet'!O9*'Output-Calculation-sheet'!O18</f>
        <v>0</v>
      </c>
      <c r="P32" s="2">
        <f>P10/'Output-Calculation-sheet'!P9*'Output-Calculation-sheet'!P18</f>
        <v>3588.529581351816</v>
      </c>
      <c r="Q32" s="2">
        <f>Q10/'Output-Calculation-sheet'!Q9*'Output-Calculation-sheet'!Q18</f>
        <v>3910.2448448094433</v>
      </c>
      <c r="R32" s="2">
        <f>R10/'Output-Calculation-sheet'!R9*'Output-Calculation-sheet'!R18</f>
        <v>2576.4011320194941</v>
      </c>
      <c r="S32" s="2">
        <f>S10/'Output-Calculation-sheet'!S9*'Output-Calculation-sheet'!S18</f>
        <v>1686.2168343040614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832.96718949360536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87.897445152186009</v>
      </c>
    </row>
    <row r="33" spans="1:27" x14ac:dyDescent="0.25">
      <c r="A33" s="2">
        <v>2034</v>
      </c>
      <c r="B33" s="2">
        <f>B11/'Output-Calculation-sheet'!B10*'Output-Calculation-sheet'!B19</f>
        <v>35218.321842915735</v>
      </c>
      <c r="C33" s="2">
        <f>C11/'Output-Calculation-sheet'!C10*'Output-Calculation-sheet'!C19</f>
        <v>0</v>
      </c>
      <c r="D33" s="2">
        <f>D11/'Output-Calculation-sheet'!D10*'Output-Calculation-sheet'!D19</f>
        <v>10661.577114775657</v>
      </c>
      <c r="E33" s="2">
        <f>E11/'Output-Calculation-sheet'!E10*'Output-Calculation-sheet'!E19</f>
        <v>13220.936392754362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3622.6934806177273</v>
      </c>
      <c r="H33" s="2">
        <f>H11/'Output-Calculation-sheet'!H10*'Output-Calculation-sheet'!H19</f>
        <v>0</v>
      </c>
      <c r="I33" s="2">
        <f>I11/'Output-Calculation-sheet'!I10*'Output-Calculation-sheet'!I19</f>
        <v>3958.8239059245557</v>
      </c>
      <c r="J33" s="2">
        <f>J11/'Output-Calculation-sheet'!J10*'Output-Calculation-sheet'!J19</f>
        <v>3349.2716056994841</v>
      </c>
      <c r="K33" s="2">
        <f>K11/'Output-Calculation-sheet'!K10*'Output-Calculation-sheet'!K19</f>
        <v>4637.3854528851007</v>
      </c>
      <c r="L33" s="2">
        <f>L11/'Output-Calculation-sheet'!L10*'Output-Calculation-sheet'!L19</f>
        <v>3663.2422877961221</v>
      </c>
      <c r="M33" s="2">
        <f>M11/'Output-Calculation-sheet'!M10*'Output-Calculation-sheet'!M19</f>
        <v>0</v>
      </c>
      <c r="N33" s="2">
        <f>N11/'Output-Calculation-sheet'!N10*'Output-Calculation-sheet'!N19</f>
        <v>2191.0199142865472</v>
      </c>
      <c r="O33" s="2">
        <f>O11/'Output-Calculation-sheet'!O10*'Output-Calculation-sheet'!O19</f>
        <v>0</v>
      </c>
      <c r="P33" s="2">
        <f>P11/'Output-Calculation-sheet'!P10*'Output-Calculation-sheet'!P19</f>
        <v>4692.8507463567466</v>
      </c>
      <c r="Q33" s="2">
        <f>Q11/'Output-Calculation-sheet'!Q10*'Output-Calculation-sheet'!Q19</f>
        <v>3875.4640772302223</v>
      </c>
      <c r="R33" s="2">
        <f>R11/'Output-Calculation-sheet'!R10*'Output-Calculation-sheet'!R19</f>
        <v>3350.772902369727</v>
      </c>
      <c r="S33" s="2">
        <f>S11/'Output-Calculation-sheet'!S10*'Output-Calculation-sheet'!S19</f>
        <v>1645.9679033943894</v>
      </c>
      <c r="T33" s="2">
        <f>T11/'Output-Calculation-sheet'!T10*'Output-Calculation-sheet'!T19</f>
        <v>983.14265024782208</v>
      </c>
      <c r="U33" s="2">
        <f>U11/'Output-Calculation-sheet'!U10*'Output-Calculation-sheet'!U19</f>
        <v>1058.3197645418331</v>
      </c>
      <c r="V33" s="2">
        <f>V11/'Output-Calculation-sheet'!V10*'Output-Calculation-sheet'!V19</f>
        <v>771.16027463612875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0</v>
      </c>
      <c r="Y33" s="2">
        <f>Y11/'Output-Calculation-sheet'!Y10*'Output-Calculation-sheet'!Y19</f>
        <v>432.72042790488615</v>
      </c>
      <c r="AA33" s="2">
        <f t="shared" si="1"/>
        <v>103.86367217071765</v>
      </c>
    </row>
    <row r="34" spans="1:27" x14ac:dyDescent="0.25">
      <c r="A34" s="2">
        <v>2035</v>
      </c>
      <c r="B34" s="2">
        <f>B12/'Output-Calculation-sheet'!B11*'Output-Calculation-sheet'!B20</f>
        <v>34117.293175253188</v>
      </c>
      <c r="C34" s="2">
        <f>C12/'Output-Calculation-sheet'!C11*'Output-Calculation-sheet'!C20</f>
        <v>0</v>
      </c>
      <c r="D34" s="2">
        <f>D12/'Output-Calculation-sheet'!D11*'Output-Calculation-sheet'!D20</f>
        <v>10466.938040446737</v>
      </c>
      <c r="E34" s="2">
        <f>E12/'Output-Calculation-sheet'!E11*'Output-Calculation-sheet'!E20</f>
        <v>12337.902574385318</v>
      </c>
      <c r="F34" s="2">
        <f>F12/'Output-Calculation-sheet'!F11*'Output-Calculation-sheet'!F20</f>
        <v>7060.2171498496064</v>
      </c>
      <c r="G34" s="2">
        <f>G12/'Output-Calculation-sheet'!G11*'Output-Calculation-sheet'!G20</f>
        <v>3780.981454231342</v>
      </c>
      <c r="H34" s="2">
        <f>H12/'Output-Calculation-sheet'!H11*'Output-Calculation-sheet'!H20</f>
        <v>0</v>
      </c>
      <c r="I34" s="2">
        <f>I12/'Output-Calculation-sheet'!I11*'Output-Calculation-sheet'!I20</f>
        <v>4205.4445158365661</v>
      </c>
      <c r="J34" s="2">
        <f>J12/'Output-Calculation-sheet'!J11*'Output-Calculation-sheet'!J20</f>
        <v>3278.1251281899763</v>
      </c>
      <c r="K34" s="2">
        <f>K12/'Output-Calculation-sheet'!K11*'Output-Calculation-sheet'!K20</f>
        <v>4845.4840928205058</v>
      </c>
      <c r="L34" s="2">
        <f>L12/'Output-Calculation-sheet'!L11*'Output-Calculation-sheet'!L20</f>
        <v>3703.1491488960278</v>
      </c>
      <c r="M34" s="2">
        <f>M12/'Output-Calculation-sheet'!M11*'Output-Calculation-sheet'!M20</f>
        <v>0</v>
      </c>
      <c r="N34" s="2">
        <f>N12/'Output-Calculation-sheet'!N11*'Output-Calculation-sheet'!N20</f>
        <v>2148.9492559890759</v>
      </c>
      <c r="O34" s="2">
        <f>O12/'Output-Calculation-sheet'!O11*'Output-Calculation-sheet'!O20</f>
        <v>0</v>
      </c>
      <c r="P34" s="2">
        <f>P12/'Output-Calculation-sheet'!P11*'Output-Calculation-sheet'!P20</f>
        <v>4606.9778680978361</v>
      </c>
      <c r="Q34" s="2">
        <f>Q12/'Output-Calculation-sheet'!Q11*'Output-Calculation-sheet'!Q20</f>
        <v>3795.2751572114007</v>
      </c>
      <c r="R34" s="2">
        <f>R12/'Output-Calculation-sheet'!R11*'Output-Calculation-sheet'!R20</f>
        <v>3562.6109548926897</v>
      </c>
      <c r="S34" s="2">
        <f>S12/'Output-Calculation-sheet'!S11*'Output-Calculation-sheet'!S20</f>
        <v>1520.0942450875209</v>
      </c>
      <c r="T34" s="2">
        <f>T12/'Output-Calculation-sheet'!T11*'Output-Calculation-sheet'!T20</f>
        <v>1138.9198630153842</v>
      </c>
      <c r="U34" s="2">
        <f>U12/'Output-Calculation-sheet'!U11*'Output-Calculation-sheet'!U20</f>
        <v>1062.4893415402248</v>
      </c>
      <c r="V34" s="2">
        <f>V12/'Output-Calculation-sheet'!V11*'Output-Calculation-sheet'!V20</f>
        <v>789.02405651663673</v>
      </c>
      <c r="W34" s="2">
        <f>W12/'Output-Calculation-sheet'!W11*'Output-Calculation-sheet'!W20</f>
        <v>628.34383011980469</v>
      </c>
      <c r="X34" s="2">
        <f>X12/'Output-Calculation-sheet'!X11*'Output-Calculation-sheet'!X20</f>
        <v>24.630156459399608</v>
      </c>
      <c r="Y34" s="2">
        <f>Y12/'Output-Calculation-sheet'!Y11*'Output-Calculation-sheet'!Y20</f>
        <v>367.66439327622987</v>
      </c>
      <c r="AA34" s="2">
        <f t="shared" si="1"/>
        <v>103.44051440211547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2.4387790457074758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0.4737891598692604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2.9125682055767363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4.1086478509930178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0.79819974546153127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4.9068475964545488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5.8607594140390287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0.85394091477685108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6.71470032881588</v>
      </c>
    </row>
    <row r="44" spans="1:27" x14ac:dyDescent="0.25">
      <c r="A44" s="2">
        <v>2034</v>
      </c>
      <c r="B44" s="2">
        <f>B11/'Output-Calculation-sheet'!B10*'Output-Calculation-sheet'!B37*0.0114</f>
        <v>3.1831354079857239</v>
      </c>
      <c r="C44" s="2">
        <f>C11/'Output-Calculation-sheet'!C10*'Output-Calculation-sheet'!C37*0.0114</f>
        <v>6.0431482388463191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0.46506730906426086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0.3374568659971216</v>
      </c>
      <c r="M44" s="2">
        <f>M11/'Output-Calculation-sheet'!M10*'Output-Calculation-sheet'!M37*0.0114</f>
        <v>0.32001181807812124</v>
      </c>
      <c r="N44" s="2">
        <f>N11/'Output-Calculation-sheet'!N10*'Output-Calculation-sheet'!N37*0.0114</f>
        <v>0.31452026724002563</v>
      </c>
      <c r="O44" s="2">
        <f>O11/'Output-Calculation-sheet'!O10*'Output-Calculation-sheet'!O37*0.0114</f>
        <v>1.1740211283543347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0.27556706989193541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0.18029338552674551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8.7922732787087246E-2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3.5106085336647615E-2</v>
      </c>
      <c r="Y44" s="2">
        <f>Y11/'Output-Calculation-sheet'!Y10*'Output-Calculation-sheet'!Y37*0.0114</f>
        <v>0</v>
      </c>
      <c r="AA44" s="2">
        <f t="shared" si="2"/>
        <v>12.416250309108323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6.0500706235870361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1.1753659614815375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7.0292598231857684E-2</v>
      </c>
      <c r="Y45" s="2">
        <f>Y12/'Output-Calculation-sheet'!Y11*'Output-Calculation-sheet'!Y38*0.0114</f>
        <v>3.3916830530911816E-2</v>
      </c>
      <c r="AA45" s="2">
        <f t="shared" si="2"/>
        <v>18.131860231375505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8165.858406439349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5573.5958710581153</v>
      </c>
      <c r="N52" s="2">
        <f>N8/'Output-Calculation-sheet'!N7*'Output-Calculation-sheet'!N43</f>
        <v>178.14472804954042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718.31444247518561</v>
      </c>
      <c r="Y52" s="2">
        <f>Y8/'Output-Calculation-sheet'!Y7*'Output-Calculation-sheet'!Y43</f>
        <v>0</v>
      </c>
      <c r="AA52" s="2">
        <f t="shared" si="3"/>
        <v>14.635913448022192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840.95131453073452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16197.928615731498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11069.419124147576</v>
      </c>
      <c r="N53" s="2">
        <f>N9/'Output-Calculation-sheet'!N8*'Output-Calculation-sheet'!N44</f>
        <v>3951.620960566755</v>
      </c>
      <c r="O53" s="2">
        <f>O9/'Output-Calculation-sheet'!O8*'Output-Calculation-sheet'!O44</f>
        <v>0</v>
      </c>
      <c r="P53" s="2">
        <f>P9/'Output-Calculation-sheet'!P8*'Output-Calculation-sheet'!P44</f>
        <v>184.83978469650765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1218.6199315070858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1387.421276856699</v>
      </c>
      <c r="Y53" s="2">
        <f>Y9/'Output-Calculation-sheet'!Y8*'Output-Calculation-sheet'!Y44</f>
        <v>0</v>
      </c>
      <c r="AA53" s="2">
        <f t="shared" si="3"/>
        <v>34.850801008036854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6940.3729903093754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0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1008.0488274847784</v>
      </c>
      <c r="R54" s="2">
        <f>R10/'Output-Calculation-sheet'!R9*'Output-Calculation-sheet'!R45</f>
        <v>1720.3595294205354</v>
      </c>
      <c r="S54" s="2">
        <f>S10/'Output-Calculation-sheet'!S9*'Output-Calculation-sheet'!S45</f>
        <v>4125.8921249048781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613.33934554991913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106.16250720926612</v>
      </c>
    </row>
    <row r="55" spans="1:27" x14ac:dyDescent="0.25">
      <c r="A55" s="2">
        <v>2034</v>
      </c>
      <c r="B55" s="2">
        <f>B11/'Output-Calculation-sheet'!B10*'Output-Calculation-sheet'!B46</f>
        <v>83766.721262782215</v>
      </c>
      <c r="C55" s="2">
        <f>C11/'Output-Calculation-sheet'!C10*'Output-Calculation-sheet'!C46</f>
        <v>17228.273487939066</v>
      </c>
      <c r="D55" s="2">
        <f>D11/'Output-Calculation-sheet'!D10*'Output-Calculation-sheet'!D46</f>
        <v>9274.2032644109859</v>
      </c>
      <c r="E55" s="2">
        <f>E11/'Output-Calculation-sheet'!E10*'Output-Calculation-sheet'!E46</f>
        <v>11475.616421974826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30106.988955212677</v>
      </c>
      <c r="I55" s="2">
        <f>I11/'Output-Calculation-sheet'!I10*'Output-Calculation-sheet'!I46</f>
        <v>2234.7619090631074</v>
      </c>
      <c r="J55" s="2">
        <f>J11/'Output-Calculation-sheet'!J10*'Output-Calculation-sheet'!J46</f>
        <v>1611.9027952262284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858.44290472951991</v>
      </c>
      <c r="M55" s="2">
        <f>M11/'Output-Calculation-sheet'!M10*'Output-Calculation-sheet'!M46</f>
        <v>20884.981811414225</v>
      </c>
      <c r="N55" s="2">
        <f>N11/'Output-Calculation-sheet'!N10*'Output-Calculation-sheet'!N46</f>
        <v>14843.149453959104</v>
      </c>
      <c r="O55" s="2">
        <f>O11/'Output-Calculation-sheet'!O10*'Output-Calculation-sheet'!O46</f>
        <v>0</v>
      </c>
      <c r="P55" s="2">
        <f>P11/'Output-Calculation-sheet'!P10*'Output-Calculation-sheet'!P46</f>
        <v>6040.5906240783224</v>
      </c>
      <c r="Q55" s="2">
        <f>Q11/'Output-Calculation-sheet'!Q10*'Output-Calculation-sheet'!Q46</f>
        <v>2223.8745991278997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6705.6487248543945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1449.9538389449474</v>
      </c>
      <c r="V55" s="2">
        <f>V11/'Output-Calculation-sheet'!V10*'Output-Calculation-sheet'!V46</f>
        <v>749.3286440619122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2131.0009695579074</v>
      </c>
      <c r="Y55" s="2">
        <f>Y11/'Output-Calculation-sheet'!Y10*'Output-Calculation-sheet'!Y46</f>
        <v>567.6054812468376</v>
      </c>
      <c r="AA55" s="2">
        <f t="shared" si="3"/>
        <v>227.20090563784834</v>
      </c>
    </row>
    <row r="56" spans="1:27" x14ac:dyDescent="0.25">
      <c r="A56" s="2">
        <v>2035</v>
      </c>
      <c r="B56" s="2">
        <f>B12/'Output-Calculation-sheet'!B11*'Output-Calculation-sheet'!B47</f>
        <v>101473.83731363252</v>
      </c>
      <c r="C56" s="2">
        <f>C12/'Output-Calculation-sheet'!C11*'Output-Calculation-sheet'!C47</f>
        <v>37016.879473262787</v>
      </c>
      <c r="D56" s="2">
        <f>D12/'Output-Calculation-sheet'!D11*'Output-Calculation-sheet'!D47</f>
        <v>8109.5322687554717</v>
      </c>
      <c r="E56" s="2">
        <f>E12/'Output-Calculation-sheet'!E11*'Output-Calculation-sheet'!E47</f>
        <v>20362.195465368564</v>
      </c>
      <c r="F56" s="2">
        <f>F12/'Output-Calculation-sheet'!F11*'Output-Calculation-sheet'!F47</f>
        <v>2467.2928201231734</v>
      </c>
      <c r="G56" s="2">
        <f>G12/'Output-Calculation-sheet'!G11*'Output-Calculation-sheet'!G47</f>
        <v>6492.6923646215655</v>
      </c>
      <c r="H56" s="2">
        <f>H12/'Output-Calculation-sheet'!H11*'Output-Calculation-sheet'!H47</f>
        <v>30509.055283291258</v>
      </c>
      <c r="I56" s="2">
        <f>I12/'Output-Calculation-sheet'!I11*'Output-Calculation-sheet'!I47</f>
        <v>3678.3087441605303</v>
      </c>
      <c r="J56" s="2">
        <f>J12/'Output-Calculation-sheet'!J11*'Output-Calculation-sheet'!J47</f>
        <v>1275.9877543928287</v>
      </c>
      <c r="K56" s="2">
        <f>K12/'Output-Calculation-sheet'!K11*'Output-Calculation-sheet'!K47</f>
        <v>5404.1627063993028</v>
      </c>
      <c r="L56" s="2">
        <f>L12/'Output-Calculation-sheet'!L11*'Output-Calculation-sheet'!L47</f>
        <v>1392.8632249342841</v>
      </c>
      <c r="M56" s="2">
        <f>M12/'Output-Calculation-sheet'!M11*'Output-Calculation-sheet'!M47</f>
        <v>21246.14582433509</v>
      </c>
      <c r="N56" s="2">
        <f>N12/'Output-Calculation-sheet'!N11*'Output-Calculation-sheet'!N47</f>
        <v>15578.300797905409</v>
      </c>
      <c r="O56" s="2">
        <f>O12/'Output-Calculation-sheet'!O11*'Output-Calculation-sheet'!O47</f>
        <v>0</v>
      </c>
      <c r="P56" s="2">
        <f>P12/'Output-Calculation-sheet'!P11*'Output-Calculation-sheet'!P47</f>
        <v>8190.9313729432133</v>
      </c>
      <c r="Q56" s="2">
        <f>Q12/'Output-Calculation-sheet'!Q11*'Output-Calculation-sheet'!Q47</f>
        <v>2904.0287376321071</v>
      </c>
      <c r="R56" s="2">
        <f>R12/'Output-Calculation-sheet'!R11*'Output-Calculation-sheet'!R47</f>
        <v>5615.7776692504403</v>
      </c>
      <c r="S56" s="2">
        <f>S12/'Output-Calculation-sheet'!S11*'Output-Calculation-sheet'!S47</f>
        <v>7394.1629945615086</v>
      </c>
      <c r="T56" s="2">
        <f>T12/'Output-Calculation-sheet'!T11*'Output-Calculation-sheet'!T47</f>
        <v>2024.3675941150007</v>
      </c>
      <c r="U56" s="2">
        <f>U12/'Output-Calculation-sheet'!U11*'Output-Calculation-sheet'!U47</f>
        <v>1528.8283016842861</v>
      </c>
      <c r="V56" s="2">
        <f>V12/'Output-Calculation-sheet'!V11*'Output-Calculation-sheet'!V47</f>
        <v>851.40270052654296</v>
      </c>
      <c r="W56" s="2">
        <f>W12/'Output-Calculation-sheet'!W11*'Output-Calculation-sheet'!W47</f>
        <v>824.89590090886441</v>
      </c>
      <c r="X56" s="2">
        <f>X12/'Output-Calculation-sheet'!X11*'Output-Calculation-sheet'!X47</f>
        <v>2164.2721034545657</v>
      </c>
      <c r="Y56" s="2">
        <f>Y12/'Output-Calculation-sheet'!Y11*'Output-Calculation-sheet'!Y47</f>
        <v>958.00170446961454</v>
      </c>
      <c r="AA56" s="2">
        <f t="shared" si="3"/>
        <v>287.46392312072885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6.2418580073586103</v>
      </c>
      <c r="C63" s="2">
        <f>C8*'Output-Calculation-sheet'!C52/10^9</f>
        <v>3.9043606339537584</v>
      </c>
      <c r="D63" s="2">
        <f>D8*'Output-Calculation-sheet'!D52/10^9</f>
        <v>1.7827340917880741</v>
      </c>
      <c r="E63" s="2">
        <f>E8*'Output-Calculation-sheet'!E52/10^9</f>
        <v>1.637562909687291</v>
      </c>
      <c r="F63" s="2">
        <f>F8*'Output-Calculation-sheet'!F52/10^9</f>
        <v>0.86302492160767563</v>
      </c>
      <c r="G63" s="2">
        <f>G8*'Output-Calculation-sheet'!G52/10^9</f>
        <v>0.63823344861946452</v>
      </c>
      <c r="H63" s="2">
        <f>H8*'Output-Calculation-sheet'!H52/10^9</f>
        <v>1.1012090431202841</v>
      </c>
      <c r="I63" s="2">
        <f>I8*'Output-Calculation-sheet'!I52/10^9</f>
        <v>0.59167061740494475</v>
      </c>
      <c r="J63" s="2">
        <f>J8*'Output-Calculation-sheet'!J52/10^9</f>
        <v>0.60151563018281584</v>
      </c>
      <c r="K63" s="2">
        <f>K8*'Output-Calculation-sheet'!K52/10^9</f>
        <v>0.60534343014403569</v>
      </c>
      <c r="L63" s="2">
        <f>L8*'Output-Calculation-sheet'!L52/10^9</f>
        <v>0.49347401969217014</v>
      </c>
      <c r="M63" s="2">
        <f>M8*'Output-Calculation-sheet'!M52/10^9</f>
        <v>0.76242660258511097</v>
      </c>
      <c r="N63" s="2">
        <f>N8*'Output-Calculation-sheet'!N52/10^9</f>
        <v>0.68407396296849887</v>
      </c>
      <c r="O63" s="2">
        <f>O8*'Output-Calculation-sheet'!O52/10^9</f>
        <v>0.73978641104508369</v>
      </c>
      <c r="P63" s="2">
        <f>P8*'Output-Calculation-sheet'!P52/10^9</f>
        <v>0.48731885847022777</v>
      </c>
      <c r="Q63" s="2">
        <f>Q8*'Output-Calculation-sheet'!Q52/10^9</f>
        <v>0.50256459850662072</v>
      </c>
      <c r="R63" s="2">
        <f>R8*'Output-Calculation-sheet'!R52/10^9</f>
        <v>0.41159491906699203</v>
      </c>
      <c r="S63" s="2">
        <f>S8*'Output-Calculation-sheet'!S52/10^9</f>
        <v>0.37846846072902607</v>
      </c>
      <c r="T63" s="2">
        <f>T8*'Output-Calculation-sheet'!T52/10^9</f>
        <v>0.14191101189678421</v>
      </c>
      <c r="U63" s="2">
        <f>U8*'Output-Calculation-sheet'!U52/10^9</f>
        <v>0.12891964077620457</v>
      </c>
      <c r="V63" s="2">
        <f>V8*'Output-Calculation-sheet'!V52/10^9</f>
        <v>9.9615452589833536E-2</v>
      </c>
      <c r="W63" s="2">
        <f>W8*'Output-Calculation-sheet'!W52/10^9</f>
        <v>7.7825289978194684E-2</v>
      </c>
      <c r="X63" s="2">
        <f>X8*'Output-Calculation-sheet'!X52/10^9</f>
        <v>9.3351495012348476E-2</v>
      </c>
      <c r="Y63" s="2">
        <f>Y8*'Output-Calculation-sheet'!Y52/10^9</f>
        <v>5.0589547305713169E-2</v>
      </c>
      <c r="AA63" s="2">
        <f t="shared" si="4"/>
        <v>23.019433004489759</v>
      </c>
    </row>
    <row r="64" spans="1:27" x14ac:dyDescent="0.25">
      <c r="A64" s="2">
        <v>2032</v>
      </c>
      <c r="B64" s="2">
        <f>B9*'Output-Calculation-sheet'!B53/10^9</f>
        <v>7.2559136450163857</v>
      </c>
      <c r="C64" s="2">
        <f>C9*'Output-Calculation-sheet'!C53/10^9</f>
        <v>4.8046922851292466</v>
      </c>
      <c r="D64" s="2">
        <f>D9*'Output-Calculation-sheet'!D53/10^9</f>
        <v>1.7482254646478836</v>
      </c>
      <c r="E64" s="2">
        <f>E9*'Output-Calculation-sheet'!E53/10^9</f>
        <v>1.7068027351673654</v>
      </c>
      <c r="F64" s="2">
        <f>F9*'Output-Calculation-sheet'!F53/10^9</f>
        <v>0.86079703921574335</v>
      </c>
      <c r="G64" s="2">
        <f>G9*'Output-Calculation-sheet'!G53/10^9</f>
        <v>0.62525632193274649</v>
      </c>
      <c r="H64" s="2">
        <f>H9*'Output-Calculation-sheet'!H53/10^9</f>
        <v>1.3423959412460551</v>
      </c>
      <c r="I64" s="2">
        <f>I9*'Output-Calculation-sheet'!I53/10^9</f>
        <v>0.58383131254867959</v>
      </c>
      <c r="J64" s="2">
        <f>J9*'Output-Calculation-sheet'!J53/10^9</f>
        <v>0.58274230441703878</v>
      </c>
      <c r="K64" s="2">
        <f>K9*'Output-Calculation-sheet'!K53/10^9</f>
        <v>0.62853491661339556</v>
      </c>
      <c r="L64" s="2">
        <f>L9*'Output-Calculation-sheet'!L53/10^9</f>
        <v>0.51811341617095075</v>
      </c>
      <c r="M64" s="2">
        <f>M9*'Output-Calculation-sheet'!M53/10^9</f>
        <v>0.92999783398797131</v>
      </c>
      <c r="N64" s="2">
        <f>N9*'Output-Calculation-sheet'!N53/10^9</f>
        <v>0.82637165554466885</v>
      </c>
      <c r="O64" s="2">
        <f>O9*'Output-Calculation-sheet'!O53/10^9</f>
        <v>0.88911150974292452</v>
      </c>
      <c r="P64" s="2">
        <f>P9*'Output-Calculation-sheet'!P53/10^9</f>
        <v>0.56215048503963638</v>
      </c>
      <c r="Q64" s="2">
        <f>Q9*'Output-Calculation-sheet'!Q53/10^9</f>
        <v>0.57523320468429462</v>
      </c>
      <c r="R64" s="2">
        <f>R9*'Output-Calculation-sheet'!R53/10^9</f>
        <v>0.44973798449882652</v>
      </c>
      <c r="S64" s="2">
        <f>S9*'Output-Calculation-sheet'!S53/10^9</f>
        <v>0.45517168251840945</v>
      </c>
      <c r="T64" s="2">
        <f>T9*'Output-Calculation-sheet'!T53/10^9</f>
        <v>0.14411574893995752</v>
      </c>
      <c r="U64" s="2">
        <f>U9*'Output-Calculation-sheet'!U53/10^9</f>
        <v>0.14216316858571185</v>
      </c>
      <c r="V64" s="2">
        <f>V9*'Output-Calculation-sheet'!V53/10^9</f>
        <v>0.10577341581639879</v>
      </c>
      <c r="W64" s="2">
        <f>W9*'Output-Calculation-sheet'!W53/10^9</f>
        <v>7.6364029324883176E-2</v>
      </c>
      <c r="X64" s="2">
        <f>X9*'Output-Calculation-sheet'!X53/10^9</f>
        <v>0.11412563684097063</v>
      </c>
      <c r="Y64" s="2">
        <f>Y9*'Output-Calculation-sheet'!Y53/10^9</f>
        <v>5.504578672242913E-2</v>
      </c>
      <c r="AA64" s="2">
        <f t="shared" si="4"/>
        <v>25.982667524352571</v>
      </c>
    </row>
    <row r="65" spans="1:27" x14ac:dyDescent="0.25">
      <c r="A65" s="2">
        <v>2033</v>
      </c>
      <c r="B65" s="2">
        <f>B10*'Output-Calculation-sheet'!B54/10^9</f>
        <v>8.4525590770926655</v>
      </c>
      <c r="C65" s="2">
        <f>C10*'Output-Calculation-sheet'!C54/10^9</f>
        <v>5.5825516974781095</v>
      </c>
      <c r="D65" s="2">
        <f>D10*'Output-Calculation-sheet'!D54/10^9</f>
        <v>1.6236872246689673</v>
      </c>
      <c r="E65" s="2">
        <f>E10*'Output-Calculation-sheet'!E54/10^9</f>
        <v>1.8425140486694953</v>
      </c>
      <c r="F65" s="2">
        <f>F10*'Output-Calculation-sheet'!F54/10^9</f>
        <v>0.83584434437662625</v>
      </c>
      <c r="G65" s="2">
        <f>G10*'Output-Calculation-sheet'!G54/10^9</f>
        <v>0.57687183960745592</v>
      </c>
      <c r="H65" s="2">
        <f>H10*'Output-Calculation-sheet'!H54/10^9</f>
        <v>1.5333374673760474</v>
      </c>
      <c r="I65" s="2">
        <f>I10*'Output-Calculation-sheet'!I54/10^9</f>
        <v>0.56744996772434708</v>
      </c>
      <c r="J65" s="2">
        <f>J10*'Output-Calculation-sheet'!J54/10^9</f>
        <v>0.52333623526934414</v>
      </c>
      <c r="K65" s="2">
        <f>K10*'Output-Calculation-sheet'!K54/10^9</f>
        <v>0.6674257808781292</v>
      </c>
      <c r="L65" s="2">
        <f>L10*'Output-Calculation-sheet'!L54/10^9</f>
        <v>0.55513575959513228</v>
      </c>
      <c r="M65" s="2">
        <f>M10*'Output-Calculation-sheet'!M54/10^9</f>
        <v>1.0625434242724583</v>
      </c>
      <c r="N65" s="2">
        <f>N10*'Output-Calculation-sheet'!N54/10^9</f>
        <v>0.95526689145293142</v>
      </c>
      <c r="O65" s="2">
        <f>O10*'Output-Calculation-sheet'!O54/10^9</f>
        <v>1.0112417646367995</v>
      </c>
      <c r="P65" s="2">
        <f>P10*'Output-Calculation-sheet'!P54/10^9</f>
        <v>0.64459749896838447</v>
      </c>
      <c r="Q65" s="2">
        <f>Q10*'Output-Calculation-sheet'!Q54/10^9</f>
        <v>0.6687374064915006</v>
      </c>
      <c r="R65" s="2">
        <f>R10*'Output-Calculation-sheet'!R54/10^9</f>
        <v>0.49972319002297022</v>
      </c>
      <c r="S65" s="2">
        <f>S10*'Output-Calculation-sheet'!S54/10^9</f>
        <v>0.52846518736267423</v>
      </c>
      <c r="T65" s="2">
        <f>T10*'Output-Calculation-sheet'!T54/10^9</f>
        <v>0.14999463723649442</v>
      </c>
      <c r="U65" s="2">
        <f>U10*'Output-Calculation-sheet'!U54/10^9</f>
        <v>0.16217048894025204</v>
      </c>
      <c r="V65" s="2">
        <f>V10*'Output-Calculation-sheet'!V54/10^9</f>
        <v>0.11318056779873524</v>
      </c>
      <c r="W65" s="2">
        <f>W10*'Output-Calculation-sheet'!W54/10^9</f>
        <v>7.0796866378599638E-2</v>
      </c>
      <c r="X65" s="2">
        <f>X10*'Output-Calculation-sheet'!X54/10^9</f>
        <v>0.13138150539373136</v>
      </c>
      <c r="Y65" s="2">
        <f>Y10*'Output-Calculation-sheet'!Y54/10^9</f>
        <v>6.2455626923896716E-2</v>
      </c>
      <c r="AA65" s="2">
        <f t="shared" si="4"/>
        <v>28.821268498615748</v>
      </c>
    </row>
    <row r="66" spans="1:27" x14ac:dyDescent="0.25">
      <c r="A66" s="2">
        <v>2034</v>
      </c>
      <c r="B66" s="2">
        <f>B11*'Output-Calculation-sheet'!B55/10^9</f>
        <v>9.7263602907536573</v>
      </c>
      <c r="C66" s="2">
        <f>C11*'Output-Calculation-sheet'!C55/10^9</f>
        <v>6.1938165423206666</v>
      </c>
      <c r="D66" s="2">
        <f>D11*'Output-Calculation-sheet'!D55/10^9</f>
        <v>1.8252491679586167</v>
      </c>
      <c r="E66" s="2">
        <f>E11*'Output-Calculation-sheet'!E55/10^9</f>
        <v>2.2492756401286633</v>
      </c>
      <c r="F66" s="2">
        <f>F11*'Output-Calculation-sheet'!F55/10^9</f>
        <v>0.90076541309536318</v>
      </c>
      <c r="G66" s="2">
        <f>G11*'Output-Calculation-sheet'!G55/10^9</f>
        <v>0.64885811392810688</v>
      </c>
      <c r="H66" s="2">
        <f>H11*'Output-Calculation-sheet'!H55/10^9</f>
        <v>1.7098193138055806</v>
      </c>
      <c r="I66" s="2">
        <f>I11*'Output-Calculation-sheet'!I55/10^9</f>
        <v>0.63779230918926999</v>
      </c>
      <c r="J66" s="2">
        <f>J11*'Output-Calculation-sheet'!J55/10^9</f>
        <v>0.56309400882316385</v>
      </c>
      <c r="K66" s="2">
        <f>K11*'Output-Calculation-sheet'!K55/10^9</f>
        <v>0.75203736478402183</v>
      </c>
      <c r="L66" s="2">
        <f>L11*'Output-Calculation-sheet'!L55/10^9</f>
        <v>0.65960078468132766</v>
      </c>
      <c r="M66" s="2">
        <f>M11*'Output-Calculation-sheet'!M55/10^9</f>
        <v>1.1868484885753126</v>
      </c>
      <c r="N66" s="2">
        <f>N11*'Output-Calculation-sheet'!N55/10^9</f>
        <v>1.0629714091977329</v>
      </c>
      <c r="O66" s="2">
        <f>O11*'Output-Calculation-sheet'!O55/10^9</f>
        <v>1.1023131658784595</v>
      </c>
      <c r="P66" s="2">
        <f>P11*'Output-Calculation-sheet'!P55/10^9</f>
        <v>0.74679136844212146</v>
      </c>
      <c r="Q66" s="2">
        <f>Q11*'Output-Calculation-sheet'!Q55/10^9</f>
        <v>0.77543250958127519</v>
      </c>
      <c r="R66" s="2">
        <f>R11*'Output-Calculation-sheet'!R55/10^9</f>
        <v>0.56519126426120259</v>
      </c>
      <c r="S66" s="2">
        <f>S11*'Output-Calculation-sheet'!S55/10^9</f>
        <v>0.59857385829713294</v>
      </c>
      <c r="T66" s="2">
        <f>T11*'Output-Calculation-sheet'!T55/10^9</f>
        <v>0.16639394646854988</v>
      </c>
      <c r="U66" s="2">
        <f>U11*'Output-Calculation-sheet'!U55/10^9</f>
        <v>0.19233881984326726</v>
      </c>
      <c r="V66" s="2">
        <f>V11*'Output-Calculation-sheet'!V55/10^9</f>
        <v>0.12427786976514982</v>
      </c>
      <c r="W66" s="2">
        <f>W11*'Output-Calculation-sheet'!W55/10^9</f>
        <v>7.5717833146135935E-2</v>
      </c>
      <c r="X66" s="2">
        <f>X11*'Output-Calculation-sheet'!X55/10^9</f>
        <v>0.14981087947643848</v>
      </c>
      <c r="Y66" s="2">
        <f>Y11*'Output-Calculation-sheet'!Y55/10^9</f>
        <v>7.8517208596871918E-2</v>
      </c>
      <c r="AA66" s="2">
        <f t="shared" si="4"/>
        <v>32.691847570998085</v>
      </c>
    </row>
    <row r="67" spans="1:27" x14ac:dyDescent="0.25">
      <c r="A67" s="2">
        <v>2035</v>
      </c>
      <c r="B67" s="2">
        <f>B12*'Output-Calculation-sheet'!B56/10^9</f>
        <v>10.839176634040152</v>
      </c>
      <c r="C67" s="2">
        <f>C12*'Output-Calculation-sheet'!C56/10^9</f>
        <v>6.6099963345814761</v>
      </c>
      <c r="D67" s="2">
        <f>D12*'Output-Calculation-sheet'!D56/10^9</f>
        <v>2.2076518482810701</v>
      </c>
      <c r="E67" s="2">
        <f>E12*'Output-Calculation-sheet'!E56/10^9</f>
        <v>2.9831696584340923</v>
      </c>
      <c r="F67" s="2">
        <f>F12*'Output-Calculation-sheet'!F56/10^9</f>
        <v>1.1839024678808685</v>
      </c>
      <c r="G67" s="2">
        <f>G12*'Output-Calculation-sheet'!G56/10^9</f>
        <v>0.85865628008599448</v>
      </c>
      <c r="H67" s="2">
        <f>H12*'Output-Calculation-sheet'!H56/10^9</f>
        <v>1.87029322087281</v>
      </c>
      <c r="I67" s="2">
        <f>I12*'Output-Calculation-sheet'!I56/10^9</f>
        <v>0.8113002121612396</v>
      </c>
      <c r="J67" s="2">
        <f>J12*'Output-Calculation-sheet'!J56/10^9</f>
        <v>0.6705653116599869</v>
      </c>
      <c r="K67" s="2">
        <f>K12*'Output-Calculation-sheet'!K56/10^9</f>
        <v>0.90551186059987465</v>
      </c>
      <c r="L67" s="2">
        <f>L12*'Output-Calculation-sheet'!L56/10^9</f>
        <v>0.78091788616252844</v>
      </c>
      <c r="M67" s="2">
        <f>M12*'Output-Calculation-sheet'!M56/10^9</f>
        <v>1.3106273042869179</v>
      </c>
      <c r="N67" s="2">
        <f>N12*'Output-Calculation-sheet'!N56/10^9</f>
        <v>1.1473566095416012</v>
      </c>
      <c r="O67" s="2">
        <f>O12*'Output-Calculation-sheet'!O56/10^9</f>
        <v>1.1610508253455574</v>
      </c>
      <c r="P67" s="2">
        <f>P12*'Output-Calculation-sheet'!P56/10^9</f>
        <v>0.91494613782949097</v>
      </c>
      <c r="Q67" s="2">
        <f>Q12*'Output-Calculation-sheet'!Q56/10^9</f>
        <v>0.85696596696341343</v>
      </c>
      <c r="R67" s="2">
        <f>R12*'Output-Calculation-sheet'!R56/10^9</f>
        <v>0.67352854950590613</v>
      </c>
      <c r="S67" s="2">
        <f>S12*'Output-Calculation-sheet'!S56/10^9</f>
        <v>0.65296499765582372</v>
      </c>
      <c r="T67" s="2">
        <f>T12*'Output-Calculation-sheet'!T56/10^9</f>
        <v>0.2070470200697799</v>
      </c>
      <c r="U67" s="2">
        <f>U12*'Output-Calculation-sheet'!U56/10^9</f>
        <v>0.22332738830127211</v>
      </c>
      <c r="V67" s="2">
        <f>V12*'Output-Calculation-sheet'!V56/10^9</f>
        <v>0.14092432481356476</v>
      </c>
      <c r="W67" s="2">
        <f>W12*'Output-Calculation-sheet'!W56/10^9</f>
        <v>0.1095661637912394</v>
      </c>
      <c r="X67" s="2">
        <f>X12*'Output-Calculation-sheet'!X56/10^9</f>
        <v>0.1643876807579146</v>
      </c>
      <c r="Y67" s="2">
        <f>Y12*'Output-Calculation-sheet'!Y56/10^9</f>
        <v>0.10287505331155498</v>
      </c>
      <c r="AA67" s="2">
        <f t="shared" si="4"/>
        <v>37.386709736934129</v>
      </c>
    </row>
    <row r="68" spans="1:27" x14ac:dyDescent="0.25">
      <c r="B68" s="2">
        <f>SUM(B60:B67)</f>
        <v>55.264423477333558</v>
      </c>
      <c r="C68" s="2">
        <f t="shared" ref="C68:Y68" si="5">SUM(C60:C67)</f>
        <v>33.619248260810338</v>
      </c>
      <c r="D68" s="2">
        <f t="shared" si="5"/>
        <v>13.511843045533785</v>
      </c>
      <c r="E68" s="2">
        <f t="shared" si="5"/>
        <v>14.266110830947756</v>
      </c>
      <c r="F68" s="2">
        <f t="shared" si="5"/>
        <v>6.6909482375192955</v>
      </c>
      <c r="G68" s="2">
        <f t="shared" si="5"/>
        <v>4.8980209126484882</v>
      </c>
      <c r="H68" s="2">
        <f t="shared" si="5"/>
        <v>9.453862455235658</v>
      </c>
      <c r="I68" s="2">
        <f t="shared" si="5"/>
        <v>4.6155549976619756</v>
      </c>
      <c r="J68" s="2">
        <f t="shared" si="5"/>
        <v>4.4233623444231753</v>
      </c>
      <c r="K68" s="2">
        <f t="shared" si="5"/>
        <v>4.9695804112969775</v>
      </c>
      <c r="L68" s="2">
        <f t="shared" si="5"/>
        <v>4.1475895565816474</v>
      </c>
      <c r="M68" s="2">
        <f t="shared" si="5"/>
        <v>6.5638024586167099</v>
      </c>
      <c r="N68" s="2">
        <f t="shared" si="5"/>
        <v>6.0007699840237052</v>
      </c>
      <c r="O68" s="2">
        <f t="shared" si="5"/>
        <v>6.1834168702788324</v>
      </c>
      <c r="P68" s="2">
        <f t="shared" si="5"/>
        <v>4.3839069688256753</v>
      </c>
      <c r="Q68" s="2">
        <f t="shared" si="5"/>
        <v>4.4180631282922418</v>
      </c>
      <c r="R68" s="2">
        <f t="shared" si="5"/>
        <v>3.5337279436968494</v>
      </c>
      <c r="S68" s="2">
        <f t="shared" si="5"/>
        <v>3.3600731437913183</v>
      </c>
      <c r="T68" s="2">
        <f t="shared" si="5"/>
        <v>1.1429922351279649</v>
      </c>
      <c r="U68" s="2">
        <f t="shared" si="5"/>
        <v>1.1452634886534838</v>
      </c>
      <c r="V68" s="2">
        <f t="shared" si="5"/>
        <v>0.81234162014815814</v>
      </c>
      <c r="W68" s="2">
        <f t="shared" si="5"/>
        <v>0.59890126819488643</v>
      </c>
      <c r="X68" s="2">
        <f t="shared" si="5"/>
        <v>0.81082112366141579</v>
      </c>
      <c r="Y68" s="2">
        <f t="shared" si="5"/>
        <v>0.46522458801540556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1748.6461386724777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1168.3933555877884</v>
      </c>
      <c r="N74" s="2">
        <f>N8/'Output-Calculation-sheet'!N7*'Output-Calculation-sheet'!N61</f>
        <v>48.96753212261742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143.86172986319636</v>
      </c>
      <c r="Y74" s="2">
        <f>Y8/'Output-Calculation-sheet'!Y7*'Output-Calculation-sheet'!Y61</f>
        <v>0</v>
      </c>
      <c r="AA74" s="2">
        <f t="shared" si="6"/>
        <v>3.1098687562460796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231.02133969180036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3084.2261384095691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2095.1738473257255</v>
      </c>
      <c r="N75" s="2">
        <f>N9/'Output-Calculation-sheet'!N8*'Output-Calculation-sheet'!N62</f>
        <v>810.33239950862571</v>
      </c>
      <c r="O75" s="2">
        <f>O9/'Output-Calculation-sheet'!O8*'Output-Calculation-sheet'!O62</f>
        <v>0</v>
      </c>
      <c r="P75" s="2">
        <f>P9/'Output-Calculation-sheet'!P8*'Output-Calculation-sheet'!P62</f>
        <v>54.250476808424992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268.03903811125269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253.28673499348494</v>
      </c>
      <c r="Y75" s="2">
        <f>Y9/'Output-Calculation-sheet'!Y8*'Output-Calculation-sheet'!Y62</f>
        <v>0</v>
      </c>
      <c r="AA75" s="2">
        <f t="shared" si="6"/>
        <v>6.7963299748488826</v>
      </c>
    </row>
    <row r="76" spans="1:27" x14ac:dyDescent="0.25">
      <c r="A76" s="2">
        <v>2033</v>
      </c>
      <c r="B76" s="2">
        <f>B10/'Output-Calculation-sheet'!B9*'Output-Calculation-sheet'!B63</f>
        <v>6956.1862394219843</v>
      </c>
      <c r="C76" s="2">
        <f>C10/'Output-Calculation-sheet'!C9*'Output-Calculation-sheet'!C63</f>
        <v>1745.3752816370616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4541.1311454950528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3091.9376925993347</v>
      </c>
      <c r="N76" s="2">
        <f>N10/'Output-Calculation-sheet'!N9*'Output-Calculation-sheet'!N63</f>
        <v>1770.0704004547454</v>
      </c>
      <c r="O76" s="2">
        <f>O10/'Output-Calculation-sheet'!O9*'Output-Calculation-sheet'!O63</f>
        <v>0</v>
      </c>
      <c r="P76" s="2">
        <f>P10/'Output-Calculation-sheet'!P9*'Output-Calculation-sheet'!P63</f>
        <v>606.69029346929926</v>
      </c>
      <c r="Q76" s="2">
        <f>Q10/'Output-Calculation-sheet'!Q9*'Output-Calculation-sheet'!Q63</f>
        <v>270.13364276993258</v>
      </c>
      <c r="R76" s="2">
        <f>R10/'Output-Calculation-sheet'!R9*'Output-Calculation-sheet'!R63</f>
        <v>465.6594780309909</v>
      </c>
      <c r="S76" s="2">
        <f>S10/'Output-Calculation-sheet'!S9*'Output-Calculation-sheet'!S63</f>
        <v>784.67106028999513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163.54469256645098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364.14572096711214</v>
      </c>
      <c r="Y76" s="2">
        <f>Y10/'Output-Calculation-sheet'!Y9*'Output-Calculation-sheet'!Y63</f>
        <v>6.9083112091330845</v>
      </c>
      <c r="AA76" s="2">
        <f t="shared" si="6"/>
        <v>20.929963379678263</v>
      </c>
    </row>
    <row r="77" spans="1:27" x14ac:dyDescent="0.25">
      <c r="A77" s="2">
        <v>2034</v>
      </c>
      <c r="B77" s="2">
        <f>B11/'Output-Calculation-sheet'!B10*'Output-Calculation-sheet'!B64</f>
        <v>14294.232538685364</v>
      </c>
      <c r="C77" s="2">
        <f>C11/'Output-Calculation-sheet'!C10*'Output-Calculation-sheet'!C64</f>
        <v>3893.4572830935531</v>
      </c>
      <c r="D77" s="2">
        <f>D11/'Output-Calculation-sheet'!D10*'Output-Calculation-sheet'!D64</f>
        <v>2129.5449014736114</v>
      </c>
      <c r="E77" s="2">
        <f>E11/'Output-Calculation-sheet'!E10*'Output-Calculation-sheet'!E64</f>
        <v>2641.4443263329372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1136.6056035091246</v>
      </c>
      <c r="H77" s="2">
        <f>H11/'Output-Calculation-sheet'!H10*'Output-Calculation-sheet'!H64</f>
        <v>5600.4710809613916</v>
      </c>
      <c r="I77" s="2">
        <f>I11/'Output-Calculation-sheet'!I10*'Output-Calculation-sheet'!I64</f>
        <v>663.2697591458317</v>
      </c>
      <c r="J77" s="2">
        <f>J11/'Output-Calculation-sheet'!J10*'Output-Calculation-sheet'!J64</f>
        <v>455.2688243726173</v>
      </c>
      <c r="K77" s="2">
        <f>K11/'Output-Calculation-sheet'!K10*'Output-Calculation-sheet'!K64</f>
        <v>1028.1475442347671</v>
      </c>
      <c r="L77" s="2">
        <f>L11/'Output-Calculation-sheet'!L10*'Output-Calculation-sheet'!L64</f>
        <v>252.08619919574454</v>
      </c>
      <c r="M77" s="2">
        <f>M11/'Output-Calculation-sheet'!M10*'Output-Calculation-sheet'!M64</f>
        <v>3837.7557639079246</v>
      </c>
      <c r="N77" s="2">
        <f>N11/'Output-Calculation-sheet'!N10*'Output-Calculation-sheet'!N64</f>
        <v>2598.32366036238</v>
      </c>
      <c r="O77" s="2">
        <f>O11/'Output-Calculation-sheet'!O10*'Output-Calculation-sheet'!O64</f>
        <v>0</v>
      </c>
      <c r="P77" s="2">
        <f>P11/'Output-Calculation-sheet'!P10*'Output-Calculation-sheet'!P64</f>
        <v>1263.2990476052407</v>
      </c>
      <c r="Q77" s="2">
        <f>Q11/'Output-Calculation-sheet'!Q10*'Output-Calculation-sheet'!Q64</f>
        <v>515.50380109784328</v>
      </c>
      <c r="R77" s="2">
        <f>R11/'Output-Calculation-sheet'!R10*'Output-Calculation-sheet'!R64</f>
        <v>1072.9923657934294</v>
      </c>
      <c r="S77" s="2">
        <f>S11/'Output-Calculation-sheet'!S10*'Output-Calculation-sheet'!S64</f>
        <v>1197.7490578493459</v>
      </c>
      <c r="T77" s="2">
        <f>T11/'Output-Calculation-sheet'!T10*'Output-Calculation-sheet'!T64</f>
        <v>297.28589141730936</v>
      </c>
      <c r="U77" s="2">
        <f>U11/'Output-Calculation-sheet'!U10*'Output-Calculation-sheet'!U64</f>
        <v>317.46276552474427</v>
      </c>
      <c r="V77" s="2">
        <f>V11/'Output-Calculation-sheet'!V10*'Output-Calculation-sheet'!V64</f>
        <v>153.79078361461151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392.91408194633379</v>
      </c>
      <c r="Y77" s="2">
        <f>Y11/'Output-Calculation-sheet'!Y10*'Output-Calculation-sheet'!Y64</f>
        <v>98.195748255702895</v>
      </c>
      <c r="AA77" s="2">
        <f t="shared" si="6"/>
        <v>44.037897154538058</v>
      </c>
    </row>
    <row r="78" spans="1:27" x14ac:dyDescent="0.25">
      <c r="A78" s="2">
        <v>2035</v>
      </c>
      <c r="B78" s="2">
        <f>B12/'Output-Calculation-sheet'!B11*'Output-Calculation-sheet'!B65</f>
        <v>17533.728644140421</v>
      </c>
      <c r="C78" s="2">
        <f>C12/'Output-Calculation-sheet'!C11*'Output-Calculation-sheet'!C65</f>
        <v>7542.8194083672497</v>
      </c>
      <c r="D78" s="2">
        <f>D12/'Output-Calculation-sheet'!D11*'Output-Calculation-sheet'!D65</f>
        <v>1916.7878517555507</v>
      </c>
      <c r="E78" s="2">
        <f>E12/'Output-Calculation-sheet'!E11*'Output-Calculation-sheet'!E65</f>
        <v>3543.4890338059045</v>
      </c>
      <c r="F78" s="2">
        <f>F12/'Output-Calculation-sheet'!F11*'Output-Calculation-sheet'!F65</f>
        <v>770.73528095276276</v>
      </c>
      <c r="G78" s="2">
        <f>G12/'Output-Calculation-sheet'!G11*'Output-Calculation-sheet'!G65</f>
        <v>1465.1139763828833</v>
      </c>
      <c r="H78" s="2">
        <f>H12/'Output-Calculation-sheet'!H11*'Output-Calculation-sheet'!H65</f>
        <v>5662.4724921570951</v>
      </c>
      <c r="I78" s="2">
        <f>I12/'Output-Calculation-sheet'!I11*'Output-Calculation-sheet'!I65</f>
        <v>963.7548116787616</v>
      </c>
      <c r="J78" s="2">
        <f>J12/'Output-Calculation-sheet'!J11*'Output-Calculation-sheet'!J65</f>
        <v>392.96669930139143</v>
      </c>
      <c r="K78" s="2">
        <f>K12/'Output-Calculation-sheet'!K11*'Output-Calculation-sheet'!K65</f>
        <v>1193.9099871503122</v>
      </c>
      <c r="L78" s="2">
        <f>L12/'Output-Calculation-sheet'!L11*'Output-Calculation-sheet'!L65</f>
        <v>382.17796061175591</v>
      </c>
      <c r="M78" s="2">
        <f>M12/'Output-Calculation-sheet'!M11*'Output-Calculation-sheet'!M65</f>
        <v>3943.7736635909623</v>
      </c>
      <c r="N78" s="2">
        <f>N12/'Output-Calculation-sheet'!N11*'Output-Calculation-sheet'!N65</f>
        <v>2733.1079148098233</v>
      </c>
      <c r="O78" s="2">
        <f>O12/'Output-Calculation-sheet'!O11*'Output-Calculation-sheet'!O65</f>
        <v>0</v>
      </c>
      <c r="P78" s="2">
        <f>P12/'Output-Calculation-sheet'!P11*'Output-Calculation-sheet'!P65</f>
        <v>1574.5725926174669</v>
      </c>
      <c r="Q78" s="2">
        <f>Q12/'Output-Calculation-sheet'!Q11*'Output-Calculation-sheet'!Q65</f>
        <v>636.61149976791842</v>
      </c>
      <c r="R78" s="2">
        <f>R12/'Output-Calculation-sheet'!R11*'Output-Calculation-sheet'!R65</f>
        <v>1239.5989238124946</v>
      </c>
      <c r="S78" s="2">
        <f>S12/'Output-Calculation-sheet'!S11*'Output-Calculation-sheet'!S65</f>
        <v>1290.9543588834649</v>
      </c>
      <c r="T78" s="2">
        <f>T12/'Output-Calculation-sheet'!T11*'Output-Calculation-sheet'!T65</f>
        <v>457.95101653185753</v>
      </c>
      <c r="U78" s="2">
        <f>U12/'Output-Calculation-sheet'!U11*'Output-Calculation-sheet'!U65</f>
        <v>330.69791582240549</v>
      </c>
      <c r="V78" s="2">
        <f>V12/'Output-Calculation-sheet'!V11*'Output-Calculation-sheet'!V65</f>
        <v>166.57723605127006</v>
      </c>
      <c r="W78" s="2">
        <f>W12/'Output-Calculation-sheet'!W11*'Output-Calculation-sheet'!W65</f>
        <v>181.29665222162635</v>
      </c>
      <c r="X78" s="2">
        <f>X12/'Output-Calculation-sheet'!X11*'Output-Calculation-sheet'!X65</f>
        <v>398.45729268771851</v>
      </c>
      <c r="Y78" s="2">
        <f>Y12/'Output-Calculation-sheet'!Y11*'Output-Calculation-sheet'!Y65</f>
        <v>152.99763246071404</v>
      </c>
      <c r="AA78" s="2">
        <f t="shared" si="6"/>
        <v>54.474552845561796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1390.5319120261922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270.14294203071864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1.6606748540569107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2162.4462373647457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396.76595534637522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2.5592121927111213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2956.0847921688082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524.34968451210148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3.4804344766809101</v>
      </c>
    </row>
    <row r="88" spans="1:27" x14ac:dyDescent="0.25">
      <c r="A88" s="2">
        <v>2034</v>
      </c>
      <c r="B88" s="2">
        <f>B11/'Output-Calculation-sheet'!B10*'Output-Calculation-sheet'!B73</f>
        <v>279.22240420927403</v>
      </c>
      <c r="C88" s="2">
        <f>C11/'Output-Calculation-sheet'!C10*'Output-Calculation-sheet'!C73</f>
        <v>3445.6546975878136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40.795377988093058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29.60147947343172</v>
      </c>
      <c r="M88" s="2">
        <f>M11/'Output-Calculation-sheet'!M10*'Output-Calculation-sheet'!M73</f>
        <v>28.071212112115894</v>
      </c>
      <c r="N88" s="2">
        <f>N11/'Output-Calculation-sheet'!N10*'Output-Calculation-sheet'!N73</f>
        <v>27.589497126318037</v>
      </c>
      <c r="O88" s="2">
        <f>O11/'Output-Calculation-sheet'!O10*'Output-Calculation-sheet'!O73</f>
        <v>643.65193440478879</v>
      </c>
      <c r="P88" s="2">
        <f>P11/'Output-Calculation-sheet'!P10*'Output-Calculation-sheet'!P73</f>
        <v>0</v>
      </c>
      <c r="Q88" s="2">
        <f>Q11/'Output-Calculation-sheet'!Q10*'Output-Calculation-sheet'!Q73</f>
        <v>48.345099981041294</v>
      </c>
      <c r="R88" s="2">
        <f>R11/'Output-Calculation-sheet'!R10*'Output-Calculation-sheet'!R73</f>
        <v>0</v>
      </c>
      <c r="S88" s="2">
        <f>S11/'Output-Calculation-sheet'!S10*'Output-Calculation-sheet'!S73</f>
        <v>15.815209256732063</v>
      </c>
      <c r="T88" s="2">
        <f>T11/'Output-Calculation-sheet'!T10*'Output-Calculation-sheet'!T73</f>
        <v>0</v>
      </c>
      <c r="U88" s="2">
        <f>U11/'Output-Calculation-sheet'!U10*'Output-Calculation-sheet'!U73</f>
        <v>7.7125204199199331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15.397405849406846</v>
      </c>
      <c r="Y88" s="2">
        <f>Y11/'Output-Calculation-sheet'!Y10*'Output-Calculation-sheet'!Y73</f>
        <v>0</v>
      </c>
      <c r="AA88" s="2">
        <f t="shared" si="7"/>
        <v>4.5818568384089362</v>
      </c>
    </row>
    <row r="89" spans="1:27" x14ac:dyDescent="0.25">
      <c r="A89" s="2">
        <v>2035</v>
      </c>
      <c r="B89" s="2">
        <f>B12/'Output-Calculation-sheet'!B11*'Output-Calculation-sheet'!B74</f>
        <v>838.62675465812003</v>
      </c>
      <c r="C89" s="2">
        <f>C12/'Output-Calculation-sheet'!C11*'Output-Calculation-sheet'!C74</f>
        <v>3582.2786587028504</v>
      </c>
      <c r="D89" s="2">
        <f>D12/'Output-Calculation-sheet'!D11*'Output-Calculation-sheet'!D74</f>
        <v>235.0589063407383</v>
      </c>
      <c r="E89" s="2">
        <f>E12/'Output-Calculation-sheet'!E11*'Output-Calculation-sheet'!E74</f>
        <v>280.213699064705</v>
      </c>
      <c r="F89" s="2">
        <f>F12/'Output-Calculation-sheet'!F11*'Output-Calculation-sheet'!F74</f>
        <v>117.49013429157969</v>
      </c>
      <c r="G89" s="2">
        <f>G12/'Output-Calculation-sheet'!G11*'Output-Calculation-sheet'!G74</f>
        <v>84.320680060020337</v>
      </c>
      <c r="H89" s="2">
        <f>H12/'Output-Calculation-sheet'!H11*'Output-Calculation-sheet'!H74</f>
        <v>245.05265287784141</v>
      </c>
      <c r="I89" s="2">
        <f>I12/'Output-Calculation-sheet'!I11*'Output-Calculation-sheet'!I74</f>
        <v>75.841417405371757</v>
      </c>
      <c r="J89" s="2">
        <f>J12/'Output-Calculation-sheet'!J11*'Output-Calculation-sheet'!J74</f>
        <v>75.058103199578156</v>
      </c>
      <c r="K89" s="2">
        <f>K12/'Output-Calculation-sheet'!K11*'Output-Calculation-sheet'!K74</f>
        <v>74.540175260680044</v>
      </c>
      <c r="L89" s="2">
        <f>L12/'Output-Calculation-sheet'!L11*'Output-Calculation-sheet'!L74</f>
        <v>59.270775529118467</v>
      </c>
      <c r="M89" s="2">
        <f>M12/'Output-Calculation-sheet'!M11*'Output-Calculation-sheet'!M74</f>
        <v>168.62020495504041</v>
      </c>
      <c r="N89" s="2">
        <f>N12/'Output-Calculation-sheet'!N11*'Output-Calculation-sheet'!N74</f>
        <v>110.48440282202418</v>
      </c>
      <c r="O89" s="2">
        <f>O12/'Output-Calculation-sheet'!O11*'Output-Calculation-sheet'!O74</f>
        <v>721.71594126059324</v>
      </c>
      <c r="P89" s="2">
        <f>P12/'Output-Calculation-sheet'!P11*'Output-Calculation-sheet'!P74</f>
        <v>76.550760494796378</v>
      </c>
      <c r="Q89" s="2">
        <f>Q12/'Output-Calculation-sheet'!Q11*'Output-Calculation-sheet'!Q74</f>
        <v>96.800957921070236</v>
      </c>
      <c r="R89" s="2">
        <f>R12/'Output-Calculation-sheet'!R11*'Output-Calculation-sheet'!R74</f>
        <v>47.998099737183253</v>
      </c>
      <c r="S89" s="2">
        <f>S12/'Output-Calculation-sheet'!S11*'Output-Calculation-sheet'!S74</f>
        <v>63.333301880612495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23.164065177034637</v>
      </c>
      <c r="V89" s="2">
        <f>V12/'Output-Calculation-sheet'!V11*'Output-Calculation-sheet'!V74</f>
        <v>11.907730077294307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33.913095638176955</v>
      </c>
      <c r="Y89" s="2">
        <f>Y12/'Output-Calculation-sheet'!Y11*'Output-Calculation-sheet'!Y74</f>
        <v>8.925481718661004</v>
      </c>
      <c r="AA89" s="2">
        <f t="shared" si="7"/>
        <v>7.0452004036911164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14112354481.855667</v>
      </c>
      <c r="C96" s="2">
        <f>C8/'Output-Calculation-sheet'!C7*'Output-Calculation-sheet'!C79</f>
        <v>4774273659.5493755</v>
      </c>
      <c r="D96" s="2">
        <f>D8/'Output-Calculation-sheet'!D7*'Output-Calculation-sheet'!D79</f>
        <v>4984027277.8936272</v>
      </c>
      <c r="E96" s="2">
        <f>E8/'Output-Calculation-sheet'!E7*'Output-Calculation-sheet'!E79</f>
        <v>8861176135.4798603</v>
      </c>
      <c r="F96" s="2">
        <f>F8/'Output-Calculation-sheet'!F7*'Output-Calculation-sheet'!F79</f>
        <v>3667553482.6925845</v>
      </c>
      <c r="G96" s="2">
        <f>G8/'Output-Calculation-sheet'!G7*'Output-Calculation-sheet'!G79</f>
        <v>2856722589.3393426</v>
      </c>
      <c r="H96" s="2">
        <f>H8/'Output-Calculation-sheet'!H7*'Output-Calculation-sheet'!H79</f>
        <v>2445193202.2047858</v>
      </c>
      <c r="I96" s="2">
        <f>I8/'Output-Calculation-sheet'!I7*'Output-Calculation-sheet'!I79</f>
        <v>1990010989.5102499</v>
      </c>
      <c r="J96" s="2">
        <f>J8/'Output-Calculation-sheet'!J7*'Output-Calculation-sheet'!J79</f>
        <v>1345696832.0142365</v>
      </c>
      <c r="K96" s="2">
        <f>K8/'Output-Calculation-sheet'!K7*'Output-Calculation-sheet'!K79</f>
        <v>1925290738.6033506</v>
      </c>
      <c r="L96" s="2">
        <f>L8/'Output-Calculation-sheet'!L7*'Output-Calculation-sheet'!L79</f>
        <v>1358483469.907068</v>
      </c>
      <c r="M96" s="2">
        <f>M8/'Output-Calculation-sheet'!M7*'Output-Calculation-sheet'!M79</f>
        <v>1825289435.0378733</v>
      </c>
      <c r="N96" s="2">
        <f>N8/'Output-Calculation-sheet'!N7*'Output-Calculation-sheet'!N79</f>
        <v>1358160709.7096322</v>
      </c>
      <c r="O96" s="2">
        <f>O8/'Output-Calculation-sheet'!O7*'Output-Calculation-sheet'!O79</f>
        <v>686596756.0811162</v>
      </c>
      <c r="P96" s="2">
        <f>P8/'Output-Calculation-sheet'!P7*'Output-Calculation-sheet'!P79</f>
        <v>2296522145.9805717</v>
      </c>
      <c r="Q96" s="2">
        <f>Q8/'Output-Calculation-sheet'!Q7*'Output-Calculation-sheet'!Q79</f>
        <v>1070277548.0252635</v>
      </c>
      <c r="R96" s="2">
        <f>R8/'Output-Calculation-sheet'!R7*'Output-Calculation-sheet'!R79</f>
        <v>1335298469.135644</v>
      </c>
      <c r="S96" s="2">
        <f>S8/'Output-Calculation-sheet'!S7*'Output-Calculation-sheet'!S79</f>
        <v>778056790.5822494</v>
      </c>
      <c r="T96" s="2">
        <f>T8/'Output-Calculation-sheet'!T7*'Output-Calculation-sheet'!T79</f>
        <v>594256269.12534869</v>
      </c>
      <c r="U96" s="2">
        <f>U8/'Output-Calculation-sheet'!U7*'Output-Calculation-sheet'!U79</f>
        <v>373296515.35189128</v>
      </c>
      <c r="V96" s="2">
        <f>V8/'Output-Calculation-sheet'!V7*'Output-Calculation-sheet'!V79</f>
        <v>193685698.62767628</v>
      </c>
      <c r="W96" s="2">
        <f>W8/'Output-Calculation-sheet'!W7*'Output-Calculation-sheet'!W79</f>
        <v>572325536.80594981</v>
      </c>
      <c r="X96" s="2">
        <f>X8/'Output-Calculation-sheet'!X7*'Output-Calculation-sheet'!X79</f>
        <v>201156229.65698856</v>
      </c>
      <c r="Y96" s="2">
        <f>Y8/'Output-Calculation-sheet'!Y7*'Output-Calculation-sheet'!Y79</f>
        <v>314605569.42262805</v>
      </c>
      <c r="AA96" s="2">
        <f t="shared" si="8"/>
        <v>59.920310532592971</v>
      </c>
    </row>
    <row r="97" spans="1:27" x14ac:dyDescent="0.25">
      <c r="A97" s="2">
        <v>2032</v>
      </c>
      <c r="B97" s="2">
        <f>B9/'Output-Calculation-sheet'!B8*'Output-Calculation-sheet'!B80</f>
        <v>19801635162.741455</v>
      </c>
      <c r="C97" s="2">
        <f>C9/'Output-Calculation-sheet'!C8*'Output-Calculation-sheet'!C80</f>
        <v>6744543671.6434631</v>
      </c>
      <c r="D97" s="2">
        <f>D9/'Output-Calculation-sheet'!D8*'Output-Calculation-sheet'!D80</f>
        <v>6720281234.4464922</v>
      </c>
      <c r="E97" s="2">
        <f>E9/'Output-Calculation-sheet'!E8*'Output-Calculation-sheet'!E80</f>
        <v>12290389012.4652</v>
      </c>
      <c r="F97" s="2">
        <f>F9/'Output-Calculation-sheet'!F8*'Output-Calculation-sheet'!F80</f>
        <v>5077160696.5535908</v>
      </c>
      <c r="G97" s="2">
        <f>G9/'Output-Calculation-sheet'!G8*'Output-Calculation-sheet'!G80</f>
        <v>3843131706.3877196</v>
      </c>
      <c r="H97" s="2">
        <f>H9/'Output-Calculation-sheet'!H8*'Output-Calculation-sheet'!H80</f>
        <v>3381179657.2697115</v>
      </c>
      <c r="I97" s="2">
        <f>I9/'Output-Calculation-sheet'!I8*'Output-Calculation-sheet'!I80</f>
        <v>2781334049.7402058</v>
      </c>
      <c r="J97" s="2">
        <f>J9/'Output-Calculation-sheet'!J8*'Output-Calculation-sheet'!J80</f>
        <v>1828470419.386117</v>
      </c>
      <c r="K97" s="2">
        <f>K9/'Output-Calculation-sheet'!K8*'Output-Calculation-sheet'!K80</f>
        <v>2636125356.9182324</v>
      </c>
      <c r="L97" s="2">
        <f>L9/'Output-Calculation-sheet'!L8*'Output-Calculation-sheet'!L80</f>
        <v>1918662581.3283474</v>
      </c>
      <c r="M97" s="2">
        <f>M9/'Output-Calculation-sheet'!M8*'Output-Calculation-sheet'!M80</f>
        <v>2531460624.5826116</v>
      </c>
      <c r="N97" s="2">
        <f>N9/'Output-Calculation-sheet'!N8*'Output-Calculation-sheet'!N80</f>
        <v>1849570446.4410388</v>
      </c>
      <c r="O97" s="2">
        <f>O9/'Output-Calculation-sheet'!O8*'Output-Calculation-sheet'!O80</f>
        <v>956846612.70677948</v>
      </c>
      <c r="P97" s="2">
        <f>P9/'Output-Calculation-sheet'!P8*'Output-Calculation-sheet'!P80</f>
        <v>3130622191.4155154</v>
      </c>
      <c r="Q97" s="2">
        <f>Q9/'Output-Calculation-sheet'!Q8*'Output-Calculation-sheet'!Q80</f>
        <v>1464385010.498934</v>
      </c>
      <c r="R97" s="2">
        <f>R9/'Output-Calculation-sheet'!R8*'Output-Calculation-sheet'!R80</f>
        <v>1850246728.6950834</v>
      </c>
      <c r="S97" s="2">
        <f>S9/'Output-Calculation-sheet'!S8*'Output-Calculation-sheet'!S80</f>
        <v>1073877847.3576541</v>
      </c>
      <c r="T97" s="2">
        <f>T9/'Output-Calculation-sheet'!T8*'Output-Calculation-sheet'!T80</f>
        <v>808667786.34727609</v>
      </c>
      <c r="U97" s="2">
        <f>U9/'Output-Calculation-sheet'!U8*'Output-Calculation-sheet'!U80</f>
        <v>516975516.17283732</v>
      </c>
      <c r="V97" s="2">
        <f>V9/'Output-Calculation-sheet'!V8*'Output-Calculation-sheet'!V80</f>
        <v>271071151.28061926</v>
      </c>
      <c r="W97" s="2">
        <f>W9/'Output-Calculation-sheet'!W8*'Output-Calculation-sheet'!W80</f>
        <v>785027291.76230752</v>
      </c>
      <c r="X97" s="2">
        <f>X9/'Output-Calculation-sheet'!X8*'Output-Calculation-sheet'!X80</f>
        <v>281900554.08358788</v>
      </c>
      <c r="Y97" s="2">
        <f>Y9/'Output-Calculation-sheet'!Y8*'Output-Calculation-sheet'!Y80</f>
        <v>431501814.22368032</v>
      </c>
      <c r="AA97" s="2">
        <f t="shared" si="8"/>
        <v>82.975067124448458</v>
      </c>
    </row>
    <row r="98" spans="1:27" x14ac:dyDescent="0.25">
      <c r="A98" s="2">
        <v>2033</v>
      </c>
      <c r="B98" s="2">
        <f>B10/'Output-Calculation-sheet'!B9*'Output-Calculation-sheet'!B81</f>
        <v>25410105076.459743</v>
      </c>
      <c r="C98" s="2">
        <f>C10/'Output-Calculation-sheet'!C9*'Output-Calculation-sheet'!C81</f>
        <v>8711844074.3900013</v>
      </c>
      <c r="D98" s="2">
        <f>D10/'Output-Calculation-sheet'!D9*'Output-Calculation-sheet'!D81</f>
        <v>8291022144.73141</v>
      </c>
      <c r="E98" s="2">
        <f>E10/'Output-Calculation-sheet'!E9*'Output-Calculation-sheet'!E81</f>
        <v>15595934323.082481</v>
      </c>
      <c r="F98" s="2">
        <f>F10/'Output-Calculation-sheet'!F9*'Output-Calculation-sheet'!F81</f>
        <v>6432140285.4577513</v>
      </c>
      <c r="G98" s="2">
        <f>G10/'Output-Calculation-sheet'!G9*'Output-Calculation-sheet'!G81</f>
        <v>4722674196.1017704</v>
      </c>
      <c r="H98" s="2">
        <f>H10/'Output-Calculation-sheet'!H9*'Output-Calculation-sheet'!H81</f>
        <v>4278781407.0779409</v>
      </c>
      <c r="I98" s="2">
        <f>I10/'Output-Calculation-sheet'!I9*'Output-Calculation-sheet'!I81</f>
        <v>3556930556.9569182</v>
      </c>
      <c r="J98" s="2">
        <f>J10/'Output-Calculation-sheet'!J9*'Output-Calculation-sheet'!J81</f>
        <v>2274391049.3428693</v>
      </c>
      <c r="K98" s="2">
        <f>K10/'Output-Calculation-sheet'!K9*'Output-Calculation-sheet'!K81</f>
        <v>3303643194.3498034</v>
      </c>
      <c r="L98" s="2">
        <f>L10/'Output-Calculation-sheet'!L9*'Output-Calculation-sheet'!L81</f>
        <v>2477781847.5343189</v>
      </c>
      <c r="M98" s="2">
        <f>M10/'Output-Calculation-sheet'!M9*'Output-Calculation-sheet'!M81</f>
        <v>3213185186.7575898</v>
      </c>
      <c r="N98" s="2">
        <f>N10/'Output-Calculation-sheet'!N9*'Output-Calculation-sheet'!N81</f>
        <v>2305209662.1296096</v>
      </c>
      <c r="O98" s="2">
        <f>O10/'Output-Calculation-sheet'!O9*'Output-Calculation-sheet'!O81</f>
        <v>1220738750.2029495</v>
      </c>
      <c r="P98" s="2">
        <f>P10/'Output-Calculation-sheet'!P9*'Output-Calculation-sheet'!P81</f>
        <v>3901126853.9357796</v>
      </c>
      <c r="Q98" s="2">
        <f>Q10/'Output-Calculation-sheet'!Q9*'Output-Calculation-sheet'!Q81</f>
        <v>1834210950.8572404</v>
      </c>
      <c r="R98" s="2">
        <f>R10/'Output-Calculation-sheet'!R9*'Output-Calculation-sheet'!R81</f>
        <v>2346233300.6542506</v>
      </c>
      <c r="S98" s="2">
        <f>S10/'Output-Calculation-sheet'!S9*'Output-Calculation-sheet'!S81</f>
        <v>1356540568.3307698</v>
      </c>
      <c r="T98" s="2">
        <f>T10/'Output-Calculation-sheet'!T9*'Output-Calculation-sheet'!T81</f>
        <v>1006608909.2341151</v>
      </c>
      <c r="U98" s="2">
        <f>U10/'Output-Calculation-sheet'!U9*'Output-Calculation-sheet'!U81</f>
        <v>654965041.38780653</v>
      </c>
      <c r="V98" s="2">
        <f>V10/'Output-Calculation-sheet'!V9*'Output-Calculation-sheet'!V81</f>
        <v>346880515.37725931</v>
      </c>
      <c r="W98" s="2">
        <f>W10/'Output-Calculation-sheet'!W9*'Output-Calculation-sheet'!W81</f>
        <v>983525934.97950447</v>
      </c>
      <c r="X98" s="2">
        <f>X10/'Output-Calculation-sheet'!X9*'Output-Calculation-sheet'!X81</f>
        <v>361416024.26686901</v>
      </c>
      <c r="Y98" s="2">
        <f>Y10/'Output-Calculation-sheet'!Y9*'Output-Calculation-sheet'!Y81</f>
        <v>540803467.60577905</v>
      </c>
      <c r="AA98" s="2">
        <f t="shared" si="8"/>
        <v>105.12669332120453</v>
      </c>
    </row>
    <row r="99" spans="1:27" x14ac:dyDescent="0.25">
      <c r="A99" s="2">
        <v>2034</v>
      </c>
      <c r="B99" s="2">
        <f>B11/'Output-Calculation-sheet'!B10*'Output-Calculation-sheet'!B82</f>
        <v>30557318093.931164</v>
      </c>
      <c r="C99" s="2">
        <f>C11/'Output-Calculation-sheet'!C10*'Output-Calculation-sheet'!C82</f>
        <v>10543528441.380217</v>
      </c>
      <c r="D99" s="2">
        <f>D11/'Output-Calculation-sheet'!D10*'Output-Calculation-sheet'!D82</f>
        <v>9591645154.7544098</v>
      </c>
      <c r="E99" s="2">
        <f>E11/'Output-Calculation-sheet'!E10*'Output-Calculation-sheet'!E82</f>
        <v>18554196470.674091</v>
      </c>
      <c r="F99" s="2">
        <f>F11/'Output-Calculation-sheet'!F10*'Output-Calculation-sheet'!F82</f>
        <v>7641522790.4933271</v>
      </c>
      <c r="G99" s="2">
        <f>G11/'Output-Calculation-sheet'!G10*'Output-Calculation-sheet'!G82</f>
        <v>5432578931.0250797</v>
      </c>
      <c r="H99" s="2">
        <f>H11/'Output-Calculation-sheet'!H10*'Output-Calculation-sheet'!H82</f>
        <v>5077731346.0353632</v>
      </c>
      <c r="I99" s="2">
        <f>I11/'Output-Calculation-sheet'!I10*'Output-Calculation-sheet'!I82</f>
        <v>4264940834.6816101</v>
      </c>
      <c r="J99" s="2">
        <f>J11/'Output-Calculation-sheet'!J10*'Output-Calculation-sheet'!J82</f>
        <v>2654071050.257443</v>
      </c>
      <c r="K99" s="2">
        <f>K11/'Output-Calculation-sheet'!K10*'Output-Calculation-sheet'!K82</f>
        <v>3883254231.8487706</v>
      </c>
      <c r="L99" s="2">
        <f>L11/'Output-Calculation-sheet'!L10*'Output-Calculation-sheet'!L82</f>
        <v>2998156246.9870582</v>
      </c>
      <c r="M99" s="2">
        <f>M11/'Output-Calculation-sheet'!M10*'Output-Calculation-sheet'!M82</f>
        <v>3824960905.4272223</v>
      </c>
      <c r="N99" s="2">
        <f>N11/'Output-Calculation-sheet'!N10*'Output-Calculation-sheet'!N82</f>
        <v>2694688531.8201551</v>
      </c>
      <c r="O99" s="2">
        <f>O11/'Output-Calculation-sheet'!O10*'Output-Calculation-sheet'!O82</f>
        <v>1460925888.5859842</v>
      </c>
      <c r="P99" s="2">
        <f>P11/'Output-Calculation-sheet'!P10*'Output-Calculation-sheet'!P82</f>
        <v>4554036954.3064604</v>
      </c>
      <c r="Q99" s="2">
        <f>Q11/'Output-Calculation-sheet'!Q10*'Output-Calculation-sheet'!Q82</f>
        <v>2155256464.9208083</v>
      </c>
      <c r="R99" s="2">
        <f>R11/'Output-Calculation-sheet'!R10*'Output-Calculation-sheet'!R82</f>
        <v>2789969526.6284704</v>
      </c>
      <c r="S99" s="2">
        <f>S11/'Output-Calculation-sheet'!S10*'Output-Calculation-sheet'!S82</f>
        <v>1607100445.1250446</v>
      </c>
      <c r="T99" s="2">
        <f>T11/'Output-Calculation-sheet'!T10*'Output-Calculation-sheet'!T82</f>
        <v>1174602533.2546966</v>
      </c>
      <c r="U99" s="2">
        <f>U11/'Output-Calculation-sheet'!U10*'Output-Calculation-sheet'!U82</f>
        <v>777845475.69898283</v>
      </c>
      <c r="V99" s="2">
        <f>V11/'Output-Calculation-sheet'!V10*'Output-Calculation-sheet'!V82</f>
        <v>415904278.13270384</v>
      </c>
      <c r="W99" s="2">
        <f>W11/'Output-Calculation-sheet'!W10*'Output-Calculation-sheet'!W82</f>
        <v>1153317124.8247907</v>
      </c>
      <c r="X99" s="2">
        <f>X11/'Output-Calculation-sheet'!X10*'Output-Calculation-sheet'!X82</f>
        <v>434370981.29962778</v>
      </c>
      <c r="Y99" s="2">
        <f>Y11/'Output-Calculation-sheet'!Y10*'Output-Calculation-sheet'!Y82</f>
        <v>634690208.4416765</v>
      </c>
      <c r="AA99" s="2">
        <f t="shared" si="8"/>
        <v>124.87661291053517</v>
      </c>
    </row>
    <row r="100" spans="1:27" x14ac:dyDescent="0.25">
      <c r="A100" s="2">
        <v>2035</v>
      </c>
      <c r="B100" s="2">
        <f>B12/'Output-Calculation-sheet'!B11*'Output-Calculation-sheet'!B83</f>
        <v>34953851317.249817</v>
      </c>
      <c r="C100" s="2">
        <f>C12/'Output-Calculation-sheet'!C11*'Output-Calculation-sheet'!C83</f>
        <v>12135409443.953939</v>
      </c>
      <c r="D100" s="2">
        <f>D12/'Output-Calculation-sheet'!D11*'Output-Calculation-sheet'!D83</f>
        <v>10562317892.872618</v>
      </c>
      <c r="E100" s="2">
        <f>E12/'Output-Calculation-sheet'!E11*'Output-Calculation-sheet'!E83</f>
        <v>21005724906.183929</v>
      </c>
      <c r="F100" s="2">
        <f>F12/'Output-Calculation-sheet'!F11*'Output-Calculation-sheet'!F83</f>
        <v>8640917667.5950909</v>
      </c>
      <c r="G100" s="2">
        <f>G12/'Output-Calculation-sheet'!G11*'Output-Calculation-sheet'!G83</f>
        <v>5937992986.8807249</v>
      </c>
      <c r="H100" s="2">
        <f>H12/'Output-Calculation-sheet'!H11*'Output-Calculation-sheet'!H83</f>
        <v>5735657466.9390621</v>
      </c>
      <c r="I100" s="2">
        <f>I12/'Output-Calculation-sheet'!I11*'Output-Calculation-sheet'!I83</f>
        <v>4866592072.0678949</v>
      </c>
      <c r="J100" s="2">
        <f>J12/'Output-Calculation-sheet'!J11*'Output-Calculation-sheet'!J83</f>
        <v>2949364256.237052</v>
      </c>
      <c r="K100" s="2">
        <f>K12/'Output-Calculation-sheet'!K11*'Output-Calculation-sheet'!K83</f>
        <v>4345669855.6450682</v>
      </c>
      <c r="L100" s="2">
        <f>L12/'Output-Calculation-sheet'!L11*'Output-Calculation-sheet'!L83</f>
        <v>3450214077.8642917</v>
      </c>
      <c r="M100" s="2">
        <f>M12/'Output-Calculation-sheet'!M11*'Output-Calculation-sheet'!M83</f>
        <v>4334233420.5216036</v>
      </c>
      <c r="N100" s="2">
        <f>N12/'Output-Calculation-sheet'!N11*'Output-Calculation-sheet'!N83</f>
        <v>2998947198.5499659</v>
      </c>
      <c r="O100" s="2">
        <f>O12/'Output-Calculation-sheet'!O11*'Output-Calculation-sheet'!O83</f>
        <v>1664606114.5672815</v>
      </c>
      <c r="P100" s="2">
        <f>P12/'Output-Calculation-sheet'!P11*'Output-Calculation-sheet'!P83</f>
        <v>5055527049.2170954</v>
      </c>
      <c r="Q100" s="2">
        <f>Q12/'Output-Calculation-sheet'!Q11*'Output-Calculation-sheet'!Q83</f>
        <v>2411509577.7704134</v>
      </c>
      <c r="R100" s="2">
        <f>R12/'Output-Calculation-sheet'!R11*'Output-Calculation-sheet'!R83</f>
        <v>3157737383.9896016</v>
      </c>
      <c r="S100" s="2">
        <f>S12/'Output-Calculation-sheet'!S11*'Output-Calculation-sheet'!S83</f>
        <v>1812379016.5990944</v>
      </c>
      <c r="T100" s="2">
        <f>T12/'Output-Calculation-sheet'!T11*'Output-Calculation-sheet'!T83</f>
        <v>1304284946.9193914</v>
      </c>
      <c r="U100" s="2">
        <f>U12/'Output-Calculation-sheet'!U11*'Output-Calculation-sheet'!U83</f>
        <v>878940377.61942589</v>
      </c>
      <c r="V100" s="2">
        <f>V12/'Output-Calculation-sheet'!V11*'Output-Calculation-sheet'!V83</f>
        <v>474239401.44973695</v>
      </c>
      <c r="W100" s="2">
        <f>W12/'Output-Calculation-sheet'!W11*'Output-Calculation-sheet'!W83</f>
        <v>1284831046.1388676</v>
      </c>
      <c r="X100" s="2">
        <f>X12/'Output-Calculation-sheet'!X11*'Output-Calculation-sheet'!X83</f>
        <v>496727886.52020276</v>
      </c>
      <c r="Y100" s="2">
        <f>Y12/'Output-Calculation-sheet'!Y11*'Output-Calculation-sheet'!Y83</f>
        <v>708018597.58970082</v>
      </c>
      <c r="AA100" s="2">
        <f t="shared" si="8"/>
        <v>141.16569396094187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1286.9931981545024</v>
      </c>
      <c r="C19" s="2">
        <f>C8/'Output-Calculation-sheet'!C7*'Output-Calculation-sheet'!C25</f>
        <v>11994.474453008064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5774.6818959077427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4012.1461850152764</v>
      </c>
      <c r="N19" s="2">
        <f>N8/'Output-Calculation-sheet'!N7*'Output-Calculation-sheet'!N25</f>
        <v>1373.6345119500234</v>
      </c>
      <c r="O19" s="2">
        <f>O8/'Output-Calculation-sheet'!O7*'Output-Calculation-sheet'!O25</f>
        <v>2127.7267838109678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490.13447830018333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448.94532332939644</v>
      </c>
      <c r="Y19" s="2">
        <f>Y8/'Output-Calculation-sheet'!Y7*'Output-Calculation-sheet'!Y25</f>
        <v>0</v>
      </c>
      <c r="AA19" s="2">
        <f t="shared" si="0"/>
        <v>27.50873682947616</v>
      </c>
    </row>
    <row r="20" spans="1:27" x14ac:dyDescent="0.25">
      <c r="A20" s="2">
        <v>2032</v>
      </c>
      <c r="B20" s="2">
        <f>B9/'Output-Calculation-sheet'!B8*'Output-Calculation-sheet'!B26</f>
        <v>7509.4264849270749</v>
      </c>
      <c r="C20" s="2">
        <f>C9/'Output-Calculation-sheet'!C8*'Output-Calculation-sheet'!C26</f>
        <v>15263.295782444387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8169.7300989022242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5681.9286324435298</v>
      </c>
      <c r="N20" s="2">
        <f>N9/'Output-Calculation-sheet'!N8*'Output-Calculation-sheet'!N26</f>
        <v>2561.8711424527323</v>
      </c>
      <c r="O20" s="2">
        <f>O9/'Output-Calculation-sheet'!O8*'Output-Calculation-sheet'!O26</f>
        <v>2657.7318618261479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926.29705737830795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635.0520340187602</v>
      </c>
      <c r="Y20" s="2">
        <f>Y9/'Output-Calculation-sheet'!Y8*'Output-Calculation-sheet'!Y26</f>
        <v>0</v>
      </c>
      <c r="AA20" s="2">
        <f t="shared" si="0"/>
        <v>43.405333094393171</v>
      </c>
    </row>
    <row r="21" spans="1:27" x14ac:dyDescent="0.25">
      <c r="A21" s="2">
        <v>2033</v>
      </c>
      <c r="B21" s="2">
        <f>B10/'Output-Calculation-sheet'!B9*'Output-Calculation-sheet'!B27</f>
        <v>18355.023405472388</v>
      </c>
      <c r="C21" s="2">
        <f>C10/'Output-Calculation-sheet'!C9*'Output-Calculation-sheet'!C27</f>
        <v>18711.937099495892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10611.506807902586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7370.431785679747</v>
      </c>
      <c r="N21" s="2">
        <f>N10/'Output-Calculation-sheet'!N9*'Output-Calculation-sheet'!N27</f>
        <v>4010.5465008732763</v>
      </c>
      <c r="O21" s="2">
        <f>O10/'Output-Calculation-sheet'!O9*'Output-Calculation-sheet'!O27</f>
        <v>3111.2473011427364</v>
      </c>
      <c r="P21" s="2">
        <f>P10/'Output-Calculation-sheet'!P9*'Output-Calculation-sheet'!P27</f>
        <v>0</v>
      </c>
      <c r="Q21" s="2">
        <f>Q10/'Output-Calculation-sheet'!Q9*'Output-Calculation-sheet'!Q27</f>
        <v>273.88859664437928</v>
      </c>
      <c r="R21" s="2">
        <f>R10/'Output-Calculation-sheet'!R9*'Output-Calculation-sheet'!R27</f>
        <v>0</v>
      </c>
      <c r="S21" s="2">
        <f>S10/'Output-Calculation-sheet'!S9*'Output-Calculation-sheet'!S27</f>
        <v>1754.992525492466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866.64751205719665</v>
      </c>
      <c r="Y21" s="2">
        <f>Y10/'Output-Calculation-sheet'!Y9*'Output-Calculation-sheet'!Y27</f>
        <v>0</v>
      </c>
      <c r="AA21" s="2">
        <f t="shared" si="0"/>
        <v>65.066221534760672</v>
      </c>
    </row>
    <row r="22" spans="1:27" x14ac:dyDescent="0.25">
      <c r="A22" s="2">
        <v>2034</v>
      </c>
      <c r="B22" s="2">
        <f>B11/'Output-Calculation-sheet'!B10*'Output-Calculation-sheet'!B28</f>
        <v>31724.63448162251</v>
      </c>
      <c r="C22" s="2">
        <f>C11/'Output-Calculation-sheet'!C10*'Output-Calculation-sheet'!C28</f>
        <v>22652.04188331214</v>
      </c>
      <c r="D22" s="2">
        <f>D11/'Output-Calculation-sheet'!D10*'Output-Calculation-sheet'!D28</f>
        <v>0</v>
      </c>
      <c r="E22" s="2">
        <f>E11/'Output-Calculation-sheet'!E10*'Output-Calculation-sheet'!E28</f>
        <v>1834.9006623094381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13336.722870568126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911.15654815329435</v>
      </c>
      <c r="M22" s="2">
        <f>M11/'Output-Calculation-sheet'!M10*'Output-Calculation-sheet'!M28</f>
        <v>9265.5838731654476</v>
      </c>
      <c r="N22" s="2">
        <f>N11/'Output-Calculation-sheet'!N10*'Output-Calculation-sheet'!N28</f>
        <v>5379.505153157299</v>
      </c>
      <c r="O22" s="2">
        <f>O11/'Output-Calculation-sheet'!O10*'Output-Calculation-sheet'!O28</f>
        <v>3486.3939456368339</v>
      </c>
      <c r="P22" s="2">
        <f>P11/'Output-Calculation-sheet'!P10*'Output-Calculation-sheet'!P28</f>
        <v>0</v>
      </c>
      <c r="Q22" s="2">
        <f>Q11/'Output-Calculation-sheet'!Q10*'Output-Calculation-sheet'!Q28</f>
        <v>804.26157482291103</v>
      </c>
      <c r="R22" s="2">
        <f>R11/'Output-Calculation-sheet'!R10*'Output-Calculation-sheet'!R28</f>
        <v>0</v>
      </c>
      <c r="S22" s="2">
        <f>S11/'Output-Calculation-sheet'!S10*'Output-Calculation-sheet'!S28</f>
        <v>2512.6964821787633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964.95582489365461</v>
      </c>
      <c r="Y22" s="2">
        <f>Y11/'Output-Calculation-sheet'!Y10*'Output-Calculation-sheet'!Y28</f>
        <v>101.59641606742937</v>
      </c>
      <c r="AA22" s="2">
        <f t="shared" si="0"/>
        <v>92.974449715887872</v>
      </c>
    </row>
    <row r="23" spans="1:27" x14ac:dyDescent="0.25">
      <c r="A23" s="2">
        <v>2035</v>
      </c>
      <c r="B23" s="2">
        <f>B12/'Output-Calculation-sheet'!B11*'Output-Calculation-sheet'!B29</f>
        <v>37874.161499326518</v>
      </c>
      <c r="C23" s="2">
        <f>C12/'Output-Calculation-sheet'!C11*'Output-Calculation-sheet'!C29</f>
        <v>27625.972402773106</v>
      </c>
      <c r="D23" s="2">
        <f>D12/'Output-Calculation-sheet'!D11*'Output-Calculation-sheet'!D29</f>
        <v>0</v>
      </c>
      <c r="E23" s="2">
        <f>E12/'Output-Calculation-sheet'!E11*'Output-Calculation-sheet'!E29</f>
        <v>4817.9408242236723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13867.513605822392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1140.3700228839036</v>
      </c>
      <c r="M23" s="2">
        <f>M12/'Output-Calculation-sheet'!M11*'Output-Calculation-sheet'!M29</f>
        <v>9777.4891105302067</v>
      </c>
      <c r="N23" s="2">
        <f>N12/'Output-Calculation-sheet'!N11*'Output-Calculation-sheet'!N29</f>
        <v>5761.245148756273</v>
      </c>
      <c r="O23" s="2">
        <f>O12/'Output-Calculation-sheet'!O11*'Output-Calculation-sheet'!O29</f>
        <v>3811.5690137592492</v>
      </c>
      <c r="P23" s="2">
        <f>P12/'Output-Calculation-sheet'!P11*'Output-Calculation-sheet'!P29</f>
        <v>812.66651042980379</v>
      </c>
      <c r="Q23" s="2">
        <f>Q12/'Output-Calculation-sheet'!Q11*'Output-Calculation-sheet'!Q29</f>
        <v>1230.9123233008281</v>
      </c>
      <c r="R23" s="2">
        <f>R12/'Output-Calculation-sheet'!R11*'Output-Calculation-sheet'!R29</f>
        <v>0</v>
      </c>
      <c r="S23" s="2">
        <f>S12/'Output-Calculation-sheet'!S11*'Output-Calculation-sheet'!S29</f>
        <v>2817.4321207509097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1015.7184632210161</v>
      </c>
      <c r="Y23" s="2">
        <f>Y12/'Output-Calculation-sheet'!Y11*'Output-Calculation-sheet'!Y29</f>
        <v>257.91873651807168</v>
      </c>
      <c r="AA23" s="2">
        <f t="shared" si="0"/>
        <v>110.81090978229594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22431.873368781777</v>
      </c>
      <c r="C30" s="2">
        <f>C8/'Output-Calculation-sheet'!C7*'Output-Calculation-sheet'!C16</f>
        <v>0</v>
      </c>
      <c r="D30" s="2">
        <f>D8/'Output-Calculation-sheet'!D7*'Output-Calculation-sheet'!D16</f>
        <v>3777.2309336745325</v>
      </c>
      <c r="E30" s="2">
        <f>E8/'Output-Calculation-sheet'!E7*'Output-Calculation-sheet'!E16</f>
        <v>4064.0870791769262</v>
      </c>
      <c r="F30" s="2">
        <f>F8/'Output-Calculation-sheet'!F7*'Output-Calculation-sheet'!F16</f>
        <v>2050.3535575582846</v>
      </c>
      <c r="G30" s="2">
        <f>G8/'Output-Calculation-sheet'!G7*'Output-Calculation-sheet'!G16</f>
        <v>1342.7380563963677</v>
      </c>
      <c r="H30" s="2">
        <f>H8/'Output-Calculation-sheet'!H7*'Output-Calculation-sheet'!H16</f>
        <v>0</v>
      </c>
      <c r="I30" s="2">
        <f>I8/'Output-Calculation-sheet'!I7*'Output-Calculation-sheet'!I16</f>
        <v>1308.9685550601573</v>
      </c>
      <c r="J30" s="2">
        <f>J8/'Output-Calculation-sheet'!J7*'Output-Calculation-sheet'!J16</f>
        <v>1165.2337074643019</v>
      </c>
      <c r="K30" s="2">
        <f>K8/'Output-Calculation-sheet'!K7*'Output-Calculation-sheet'!K16</f>
        <v>1555.8097220123432</v>
      </c>
      <c r="L30" s="2">
        <f>L8/'Output-Calculation-sheet'!L7*'Output-Calculation-sheet'!L16</f>
        <v>1314.1534010648643</v>
      </c>
      <c r="M30" s="2">
        <f>M8/'Output-Calculation-sheet'!M7*'Output-Calculation-sheet'!M16</f>
        <v>0</v>
      </c>
      <c r="N30" s="2">
        <f>N8/'Output-Calculation-sheet'!N7*'Output-Calculation-sheet'!N16</f>
        <v>1866.6441904022327</v>
      </c>
      <c r="O30" s="2">
        <f>O8/'Output-Calculation-sheet'!O7*'Output-Calculation-sheet'!O16</f>
        <v>0</v>
      </c>
      <c r="P30" s="2">
        <f>P8/'Output-Calculation-sheet'!P7*'Output-Calculation-sheet'!P16</f>
        <v>1677.6785488463913</v>
      </c>
      <c r="Q30" s="2">
        <f>Q8/'Output-Calculation-sheet'!Q7*'Output-Calculation-sheet'!Q16</f>
        <v>1844.8923338904979</v>
      </c>
      <c r="R30" s="2">
        <f>R8/'Output-Calculation-sheet'!R7*'Output-Calculation-sheet'!R16</f>
        <v>1170.5922044643</v>
      </c>
      <c r="S30" s="2">
        <f>S8/'Output-Calculation-sheet'!S7*'Output-Calculation-sheet'!S16</f>
        <v>1177.2725018713925</v>
      </c>
      <c r="T30" s="2">
        <f>T8/'Output-Calculation-sheet'!T7*'Output-Calculation-sheet'!T16</f>
        <v>351.39495340608119</v>
      </c>
      <c r="U30" s="2">
        <f>U8/'Output-Calculation-sheet'!U7*'Output-Calculation-sheet'!U16</f>
        <v>350.7668438374377</v>
      </c>
      <c r="V30" s="2">
        <f>V8/'Output-Calculation-sheet'!V7*'Output-Calculation-sheet'!V16</f>
        <v>272.99516701694625</v>
      </c>
      <c r="W30" s="2">
        <f>W8/'Output-Calculation-sheet'!W7*'Output-Calculation-sheet'!W16</f>
        <v>165.58533117443622</v>
      </c>
      <c r="X30" s="2">
        <f>X8/'Output-Calculation-sheet'!X7*'Output-Calculation-sheet'!X16</f>
        <v>0</v>
      </c>
      <c r="Y30" s="2">
        <f>Y8/'Output-Calculation-sheet'!Y7*'Output-Calculation-sheet'!Y16</f>
        <v>140.14915788214643</v>
      </c>
      <c r="AA30" s="2">
        <f t="shared" si="1"/>
        <v>48.028419613981413</v>
      </c>
    </row>
    <row r="31" spans="1:27" x14ac:dyDescent="0.25">
      <c r="A31" s="2">
        <v>2032</v>
      </c>
      <c r="B31" s="2">
        <f>B9/'Output-Calculation-sheet'!B8*'Output-Calculation-sheet'!B17</f>
        <v>31797.392757760212</v>
      </c>
      <c r="C31" s="2">
        <f>C9/'Output-Calculation-sheet'!C8*'Output-Calculation-sheet'!C17</f>
        <v>0</v>
      </c>
      <c r="D31" s="2">
        <f>D9/'Output-Calculation-sheet'!D8*'Output-Calculation-sheet'!D17</f>
        <v>5332.8402537808279</v>
      </c>
      <c r="E31" s="2">
        <f>E9/'Output-Calculation-sheet'!E8*'Output-Calculation-sheet'!E17</f>
        <v>6268.025101885034</v>
      </c>
      <c r="F31" s="2">
        <f>F9/'Output-Calculation-sheet'!F8*'Output-Calculation-sheet'!F17</f>
        <v>2894.8387085084601</v>
      </c>
      <c r="G31" s="2">
        <f>G9/'Output-Calculation-sheet'!G8*'Output-Calculation-sheet'!G17</f>
        <v>1895.7579655177644</v>
      </c>
      <c r="H31" s="2">
        <f>H9/'Output-Calculation-sheet'!H8*'Output-Calculation-sheet'!H17</f>
        <v>0</v>
      </c>
      <c r="I31" s="2">
        <f>I9/'Output-Calculation-sheet'!I8*'Output-Calculation-sheet'!I17</f>
        <v>1848.0888183747356</v>
      </c>
      <c r="J31" s="2">
        <f>J9/'Output-Calculation-sheet'!J8*'Output-Calculation-sheet'!J17</f>
        <v>1645.155267037587</v>
      </c>
      <c r="K31" s="2">
        <f>K9/'Output-Calculation-sheet'!K8*'Output-Calculation-sheet'!K17</f>
        <v>2342.2642877689314</v>
      </c>
      <c r="L31" s="2">
        <f>L9/'Output-Calculation-sheet'!L8*'Output-Calculation-sheet'!L17</f>
        <v>1997.5396778157665</v>
      </c>
      <c r="M31" s="2">
        <f>M9/'Output-Calculation-sheet'!M8*'Output-Calculation-sheet'!M17</f>
        <v>0</v>
      </c>
      <c r="N31" s="2">
        <f>N9/'Output-Calculation-sheet'!N8*'Output-Calculation-sheet'!N17</f>
        <v>2171.5299300667734</v>
      </c>
      <c r="O31" s="2">
        <f>O9/'Output-Calculation-sheet'!O8*'Output-Calculation-sheet'!O17</f>
        <v>0</v>
      </c>
      <c r="P31" s="2">
        <f>P9/'Output-Calculation-sheet'!P8*'Output-Calculation-sheet'!P17</f>
        <v>2695.2056886887676</v>
      </c>
      <c r="Q31" s="2">
        <f>Q9/'Output-Calculation-sheet'!Q8*'Output-Calculation-sheet'!Q17</f>
        <v>2873.3368914193325</v>
      </c>
      <c r="R31" s="2">
        <f>R9/'Output-Calculation-sheet'!R8*'Output-Calculation-sheet'!R17</f>
        <v>1879.8888484606662</v>
      </c>
      <c r="S31" s="2">
        <f>S9/'Output-Calculation-sheet'!S8*'Output-Calculation-sheet'!S17</f>
        <v>1623.3149551842264</v>
      </c>
      <c r="T31" s="2">
        <f>T9/'Output-Calculation-sheet'!T8*'Output-Calculation-sheet'!T17</f>
        <v>510.12157363504321</v>
      </c>
      <c r="U31" s="2">
        <f>U9/'Output-Calculation-sheet'!U8*'Output-Calculation-sheet'!U17</f>
        <v>586.29231566099486</v>
      </c>
      <c r="V31" s="2">
        <f>V9/'Output-Calculation-sheet'!V8*'Output-Calculation-sheet'!V17</f>
        <v>419.93336677354148</v>
      </c>
      <c r="W31" s="2">
        <f>W9/'Output-Calculation-sheet'!W8*'Output-Calculation-sheet'!W17</f>
        <v>233.78681330717083</v>
      </c>
      <c r="X31" s="2">
        <f>X9/'Output-Calculation-sheet'!X8*'Output-Calculation-sheet'!X17</f>
        <v>0</v>
      </c>
      <c r="Y31" s="2">
        <f>Y9/'Output-Calculation-sheet'!Y8*'Output-Calculation-sheet'!Y17</f>
        <v>225.88871216521812</v>
      </c>
      <c r="AA31" s="2">
        <f t="shared" si="1"/>
        <v>69.241201933811055</v>
      </c>
    </row>
    <row r="32" spans="1:27" x14ac:dyDescent="0.25">
      <c r="A32" s="2">
        <v>2033</v>
      </c>
      <c r="B32" s="2">
        <f>B10/'Output-Calculation-sheet'!B9*'Output-Calculation-sheet'!B18</f>
        <v>37201.928039889332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2281.9776790671058</v>
      </c>
      <c r="O32" s="2">
        <f>O10/'Output-Calculation-sheet'!O9*'Output-Calculation-sheet'!O18</f>
        <v>0</v>
      </c>
      <c r="P32" s="2">
        <f>P10/'Output-Calculation-sheet'!P9*'Output-Calculation-sheet'!P18</f>
        <v>3651.721522890331</v>
      </c>
      <c r="Q32" s="2">
        <f>Q10/'Output-Calculation-sheet'!Q9*'Output-Calculation-sheet'!Q18</f>
        <v>3979.1020070629015</v>
      </c>
      <c r="R32" s="2">
        <f>R10/'Output-Calculation-sheet'!R9*'Output-Calculation-sheet'!R18</f>
        <v>2621.7700738168219</v>
      </c>
      <c r="S32" s="2">
        <f>S10/'Output-Calculation-sheet'!S9*'Output-Calculation-sheet'!S18</f>
        <v>1715.9101427188307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847.63526251591338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89.445268596168702</v>
      </c>
    </row>
    <row r="33" spans="1:27" x14ac:dyDescent="0.25">
      <c r="A33" s="2">
        <v>2034</v>
      </c>
      <c r="B33" s="2">
        <f>B11/'Output-Calculation-sheet'!B10*'Output-Calculation-sheet'!B19</f>
        <v>36355.46724784714</v>
      </c>
      <c r="C33" s="2">
        <f>C11/'Output-Calculation-sheet'!C10*'Output-Calculation-sheet'!C19</f>
        <v>0</v>
      </c>
      <c r="D33" s="2">
        <f>D11/'Output-Calculation-sheet'!D10*'Output-Calculation-sheet'!D19</f>
        <v>11005.823029713472</v>
      </c>
      <c r="E33" s="2">
        <f>E11/'Output-Calculation-sheet'!E10*'Output-Calculation-sheet'!E19</f>
        <v>13647.820079460609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3739.6646771254364</v>
      </c>
      <c r="H33" s="2">
        <f>H11/'Output-Calculation-sheet'!H10*'Output-Calculation-sheet'!H19</f>
        <v>0</v>
      </c>
      <c r="I33" s="2">
        <f>I11/'Output-Calculation-sheet'!I10*'Output-Calculation-sheet'!I19</f>
        <v>4086.6482364998137</v>
      </c>
      <c r="J33" s="2">
        <f>J11/'Output-Calculation-sheet'!J10*'Output-Calculation-sheet'!J19</f>
        <v>3457.4144307118727</v>
      </c>
      <c r="K33" s="2">
        <f>K11/'Output-Calculation-sheet'!K10*'Output-Calculation-sheet'!K19</f>
        <v>4787.1194913825893</v>
      </c>
      <c r="L33" s="2">
        <f>L11/'Output-Calculation-sheet'!L10*'Output-Calculation-sheet'!L19</f>
        <v>3781.5227428756616</v>
      </c>
      <c r="M33" s="2">
        <f>M11/'Output-Calculation-sheet'!M10*'Output-Calculation-sheet'!M19</f>
        <v>0</v>
      </c>
      <c r="N33" s="2">
        <f>N11/'Output-Calculation-sheet'!N10*'Output-Calculation-sheet'!N19</f>
        <v>2261.7645749423564</v>
      </c>
      <c r="O33" s="2">
        <f>O11/'Output-Calculation-sheet'!O10*'Output-Calculation-sheet'!O19</f>
        <v>0</v>
      </c>
      <c r="P33" s="2">
        <f>P11/'Output-Calculation-sheet'!P10*'Output-Calculation-sheet'!P19</f>
        <v>4844.3756738092998</v>
      </c>
      <c r="Q33" s="2">
        <f>Q11/'Output-Calculation-sheet'!Q10*'Output-Calculation-sheet'!Q19</f>
        <v>4000.5968472428158</v>
      </c>
      <c r="R33" s="2">
        <f>R11/'Output-Calculation-sheet'!R10*'Output-Calculation-sheet'!R19</f>
        <v>3458.9642019408298</v>
      </c>
      <c r="S33" s="2">
        <f>S11/'Output-Calculation-sheet'!S10*'Output-Calculation-sheet'!S19</f>
        <v>1699.1136735522603</v>
      </c>
      <c r="T33" s="2">
        <f>T11/'Output-Calculation-sheet'!T10*'Output-Calculation-sheet'!T19</f>
        <v>1014.8868131897109</v>
      </c>
      <c r="U33" s="2">
        <f>U11/'Output-Calculation-sheet'!U10*'Output-Calculation-sheet'!U19</f>
        <v>1092.49128079308</v>
      </c>
      <c r="V33" s="2">
        <f>V11/'Output-Calculation-sheet'!V10*'Output-Calculation-sheet'!V19</f>
        <v>796.05985294878781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0</v>
      </c>
      <c r="Y33" s="2">
        <f>Y11/'Output-Calculation-sheet'!Y10*'Output-Calculation-sheet'!Y19</f>
        <v>446.69230448681856</v>
      </c>
      <c r="AA33" s="2">
        <f t="shared" si="1"/>
        <v>107.21727028010602</v>
      </c>
    </row>
    <row r="34" spans="1:27" x14ac:dyDescent="0.25">
      <c r="A34" s="2">
        <v>2035</v>
      </c>
      <c r="B34" s="2">
        <f>B12/'Output-Calculation-sheet'!B11*'Output-Calculation-sheet'!B20</f>
        <v>35960.167325395414</v>
      </c>
      <c r="C34" s="2">
        <f>C12/'Output-Calculation-sheet'!C11*'Output-Calculation-sheet'!C20</f>
        <v>0</v>
      </c>
      <c r="D34" s="2">
        <f>D12/'Output-Calculation-sheet'!D11*'Output-Calculation-sheet'!D20</f>
        <v>11032.318460481671</v>
      </c>
      <c r="E34" s="2">
        <f>E12/'Output-Calculation-sheet'!E11*'Output-Calculation-sheet'!E20</f>
        <v>13004.344709888617</v>
      </c>
      <c r="F34" s="2">
        <f>F12/'Output-Calculation-sheet'!F11*'Output-Calculation-sheet'!F20</f>
        <v>7441.5806892433529</v>
      </c>
      <c r="G34" s="2">
        <f>G12/'Output-Calculation-sheet'!G11*'Output-Calculation-sheet'!G20</f>
        <v>3985.2143325074012</v>
      </c>
      <c r="H34" s="2">
        <f>H12/'Output-Calculation-sheet'!H11*'Output-Calculation-sheet'!H20</f>
        <v>0</v>
      </c>
      <c r="I34" s="2">
        <f>I12/'Output-Calculation-sheet'!I11*'Output-Calculation-sheet'!I20</f>
        <v>4432.6051216994638</v>
      </c>
      <c r="J34" s="2">
        <f>J12/'Output-Calculation-sheet'!J11*'Output-Calculation-sheet'!J20</f>
        <v>3455.1958010783783</v>
      </c>
      <c r="K34" s="2">
        <f>K12/'Output-Calculation-sheet'!K11*'Output-Calculation-sheet'!K20</f>
        <v>5107.2169722055951</v>
      </c>
      <c r="L34" s="2">
        <f>L12/'Output-Calculation-sheet'!L11*'Output-Calculation-sheet'!L20</f>
        <v>3903.177850046673</v>
      </c>
      <c r="M34" s="2">
        <f>M12/'Output-Calculation-sheet'!M11*'Output-Calculation-sheet'!M20</f>
        <v>0</v>
      </c>
      <c r="N34" s="2">
        <f>N12/'Output-Calculation-sheet'!N11*'Output-Calculation-sheet'!N20</f>
        <v>2265.0265489175249</v>
      </c>
      <c r="O34" s="2">
        <f>O12/'Output-Calculation-sheet'!O11*'Output-Calculation-sheet'!O20</f>
        <v>0</v>
      </c>
      <c r="P34" s="2">
        <f>P12/'Output-Calculation-sheet'!P11*'Output-Calculation-sheet'!P20</f>
        <v>4855.8276341031024</v>
      </c>
      <c r="Q34" s="2">
        <f>Q12/'Output-Calculation-sheet'!Q11*'Output-Calculation-sheet'!Q20</f>
        <v>4000.2801218190584</v>
      </c>
      <c r="R34" s="2">
        <f>R12/'Output-Calculation-sheet'!R11*'Output-Calculation-sheet'!R20</f>
        <v>3755.0483678509795</v>
      </c>
      <c r="S34" s="2">
        <f>S12/'Output-Calculation-sheet'!S11*'Output-Calculation-sheet'!S20</f>
        <v>1602.2034081932179</v>
      </c>
      <c r="T34" s="2">
        <f>T12/'Output-Calculation-sheet'!T11*'Output-Calculation-sheet'!T20</f>
        <v>1200.4395727957892</v>
      </c>
      <c r="U34" s="2">
        <f>U12/'Output-Calculation-sheet'!U11*'Output-Calculation-sheet'!U20</f>
        <v>1119.8805927238434</v>
      </c>
      <c r="V34" s="2">
        <f>V12/'Output-Calculation-sheet'!V11*'Output-Calculation-sheet'!V20</f>
        <v>831.6438514143623</v>
      </c>
      <c r="W34" s="2">
        <f>W12/'Output-Calculation-sheet'!W11*'Output-Calculation-sheet'!W20</f>
        <v>662.28434808472559</v>
      </c>
      <c r="X34" s="2">
        <f>X12/'Output-Calculation-sheet'!X11*'Output-Calculation-sheet'!X20</f>
        <v>25.96057497823772</v>
      </c>
      <c r="Y34" s="2">
        <f>Y12/'Output-Calculation-sheet'!Y11*'Output-Calculation-sheet'!Y20</f>
        <v>387.52409324762016</v>
      </c>
      <c r="AA34" s="2">
        <f t="shared" si="1"/>
        <v>109.02794037667503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2.4454878700198863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0.47509250395050545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2.9205803739703917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4.1432233967743324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0.80491684384589868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4.9481402406202308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5.9639640157755833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0.86897832303575062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6.8329423388113337</v>
      </c>
    </row>
    <row r="44" spans="1:27" x14ac:dyDescent="0.25">
      <c r="A44" s="2">
        <v>2034</v>
      </c>
      <c r="B44" s="2">
        <f>B11/'Output-Calculation-sheet'!B10*'Output-Calculation-sheet'!B37*0.0114</f>
        <v>3.2859139508876352</v>
      </c>
      <c r="C44" s="2">
        <f>C11/'Output-Calculation-sheet'!C10*'Output-Calculation-sheet'!C37*0.0114</f>
        <v>6.2382721939789434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0.48008361665112048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0.34835282879292895</v>
      </c>
      <c r="M44" s="2">
        <f>M11/'Output-Calculation-sheet'!M10*'Output-Calculation-sheet'!M37*0.0114</f>
        <v>0.33034450712771263</v>
      </c>
      <c r="N44" s="2">
        <f>N11/'Output-Calculation-sheet'!N10*'Output-Calculation-sheet'!N37*0.0114</f>
        <v>0.32467564256554632</v>
      </c>
      <c r="O44" s="2">
        <f>O11/'Output-Calculation-sheet'!O10*'Output-Calculation-sheet'!O37*0.0114</f>
        <v>1.2119284635577314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0.28446470643111244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0.18611478144122764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9.0761622499771266E-2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3.6239606797543934E-2</v>
      </c>
      <c r="Y44" s="2">
        <f>Y11/'Output-Calculation-sheet'!Y10*'Output-Calculation-sheet'!Y37*0.0114</f>
        <v>0</v>
      </c>
      <c r="AA44" s="2">
        <f t="shared" si="2"/>
        <v>12.817151920731275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6.3768702527800887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1.2388543377792951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7.4089511766656652E-2</v>
      </c>
      <c r="Y45" s="2">
        <f>Y12/'Output-Calculation-sheet'!Y11*'Output-Calculation-sheet'!Y38*0.0114</f>
        <v>3.574887652351446E-2</v>
      </c>
      <c r="AA45" s="2">
        <f t="shared" si="2"/>
        <v>19.11126783979126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8188.3218229203321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5588.9282463108548</v>
      </c>
      <c r="N52" s="2">
        <f>N8/'Output-Calculation-sheet'!N7*'Output-Calculation-sheet'!N43</f>
        <v>178.63478543492346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720.29044985646715</v>
      </c>
      <c r="Y52" s="2">
        <f>Y8/'Output-Calculation-sheet'!Y7*'Output-Calculation-sheet'!Y43</f>
        <v>0</v>
      </c>
      <c r="AA52" s="2">
        <f t="shared" si="3"/>
        <v>14.67617530452258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848.02818062632525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16334.239208103229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11162.571718767491</v>
      </c>
      <c r="N53" s="2">
        <f>N9/'Output-Calculation-sheet'!N8*'Output-Calculation-sheet'!N44</f>
        <v>3984.8750763701955</v>
      </c>
      <c r="O53" s="2">
        <f>O9/'Output-Calculation-sheet'!O8*'Output-Calculation-sheet'!O44</f>
        <v>0</v>
      </c>
      <c r="P53" s="2">
        <f>P9/'Output-Calculation-sheet'!P8*'Output-Calculation-sheet'!P44</f>
        <v>186.39526880460369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1228.8749961317317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1399.0968571487253</v>
      </c>
      <c r="Y53" s="2">
        <f>Y9/'Output-Calculation-sheet'!Y8*'Output-Calculation-sheet'!Y44</f>
        <v>0</v>
      </c>
      <c r="AA53" s="2">
        <f t="shared" si="3"/>
        <v>35.144081305952298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7062.5889660500325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0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1025.799987432132</v>
      </c>
      <c r="R54" s="2">
        <f>R10/'Output-Calculation-sheet'!R9*'Output-Calculation-sheet'!R45</f>
        <v>1750.6540710548882</v>
      </c>
      <c r="S54" s="2">
        <f>S10/'Output-Calculation-sheet'!S9*'Output-Calculation-sheet'!S45</f>
        <v>4198.5467117044645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624.13989858664809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108.03196788865198</v>
      </c>
    </row>
    <row r="55" spans="1:27" x14ac:dyDescent="0.25">
      <c r="A55" s="2">
        <v>2034</v>
      </c>
      <c r="B55" s="2">
        <f>B11/'Output-Calculation-sheet'!B10*'Output-Calculation-sheet'!B46</f>
        <v>86471.419760200923</v>
      </c>
      <c r="C55" s="2">
        <f>C11/'Output-Calculation-sheet'!C10*'Output-Calculation-sheet'!C46</f>
        <v>17784.5479214312</v>
      </c>
      <c r="D55" s="2">
        <f>D11/'Output-Calculation-sheet'!D10*'Output-Calculation-sheet'!D46</f>
        <v>9573.6530131401742</v>
      </c>
      <c r="E55" s="2">
        <f>E11/'Output-Calculation-sheet'!E10*'Output-Calculation-sheet'!E46</f>
        <v>11846.146413188162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31079.09728846727</v>
      </c>
      <c r="I55" s="2">
        <f>I11/'Output-Calculation-sheet'!I10*'Output-Calculation-sheet'!I46</f>
        <v>2306.9189314033988</v>
      </c>
      <c r="J55" s="2">
        <f>J11/'Output-Calculation-sheet'!J10*'Output-Calculation-sheet'!J46</f>
        <v>1663.9486554737207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886.16070482411749</v>
      </c>
      <c r="M55" s="2">
        <f>M11/'Output-Calculation-sheet'!M10*'Output-Calculation-sheet'!M46</f>
        <v>21559.325728334927</v>
      </c>
      <c r="N55" s="2">
        <f>N11/'Output-Calculation-sheet'!N10*'Output-Calculation-sheet'!N46</f>
        <v>15322.411903531922</v>
      </c>
      <c r="O55" s="2">
        <f>O11/'Output-Calculation-sheet'!O10*'Output-Calculation-sheet'!O46</f>
        <v>0</v>
      </c>
      <c r="P55" s="2">
        <f>P11/'Output-Calculation-sheet'!P10*'Output-Calculation-sheet'!P46</f>
        <v>6235.6319977667199</v>
      </c>
      <c r="Q55" s="2">
        <f>Q11/'Output-Calculation-sheet'!Q10*'Output-Calculation-sheet'!Q46</f>
        <v>2295.6800869879248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6922.1638009719745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1496.7706166628943</v>
      </c>
      <c r="V55" s="2">
        <f>V11/'Output-Calculation-sheet'!V10*'Output-Calculation-sheet'!V46</f>
        <v>773.52331262616372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2199.8077108684565</v>
      </c>
      <c r="Y55" s="2">
        <f>Y11/'Output-Calculation-sheet'!Y10*'Output-Calculation-sheet'!Y46</f>
        <v>585.93258858865295</v>
      </c>
      <c r="AA55" s="2">
        <f t="shared" si="3"/>
        <v>234.53687317754813</v>
      </c>
    </row>
    <row r="56" spans="1:27" x14ac:dyDescent="0.25">
      <c r="A56" s="2">
        <v>2035</v>
      </c>
      <c r="B56" s="2">
        <f>B12/'Output-Calculation-sheet'!B11*'Output-Calculation-sheet'!B47</f>
        <v>106955.03157896987</v>
      </c>
      <c r="C56" s="2">
        <f>C12/'Output-Calculation-sheet'!C11*'Output-Calculation-sheet'!C47</f>
        <v>39016.37720450975</v>
      </c>
      <c r="D56" s="2">
        <f>D12/'Output-Calculation-sheet'!D11*'Output-Calculation-sheet'!D47</f>
        <v>8547.5754426692183</v>
      </c>
      <c r="E56" s="2">
        <f>E12/'Output-Calculation-sheet'!E11*'Output-Calculation-sheet'!E47</f>
        <v>21462.076498442122</v>
      </c>
      <c r="F56" s="2">
        <f>F12/'Output-Calculation-sheet'!F11*'Output-Calculation-sheet'!F47</f>
        <v>2600.5657071508758</v>
      </c>
      <c r="G56" s="2">
        <f>G12/'Output-Calculation-sheet'!G11*'Output-Calculation-sheet'!G47</f>
        <v>6843.4005776712993</v>
      </c>
      <c r="H56" s="2">
        <f>H12/'Output-Calculation-sheet'!H11*'Output-Calculation-sheet'!H47</f>
        <v>32157.0274432755</v>
      </c>
      <c r="I56" s="2">
        <f>I12/'Output-Calculation-sheet'!I11*'Output-Calculation-sheet'!I47</f>
        <v>3876.9956700557073</v>
      </c>
      <c r="J56" s="2">
        <f>J12/'Output-Calculation-sheet'!J11*'Output-Calculation-sheet'!J47</f>
        <v>1344.9113010642923</v>
      </c>
      <c r="K56" s="2">
        <f>K12/'Output-Calculation-sheet'!K11*'Output-Calculation-sheet'!K47</f>
        <v>5696.0730787617204</v>
      </c>
      <c r="L56" s="2">
        <f>L12/'Output-Calculation-sheet'!L11*'Output-Calculation-sheet'!L47</f>
        <v>1468.0998979824551</v>
      </c>
      <c r="M56" s="2">
        <f>M12/'Output-Calculation-sheet'!M11*'Output-Calculation-sheet'!M47</f>
        <v>22393.774175995164</v>
      </c>
      <c r="N56" s="2">
        <f>N12/'Output-Calculation-sheet'!N11*'Output-Calculation-sheet'!N47</f>
        <v>16419.775755960512</v>
      </c>
      <c r="O56" s="2">
        <f>O12/'Output-Calculation-sheet'!O11*'Output-Calculation-sheet'!O47</f>
        <v>0</v>
      </c>
      <c r="P56" s="2">
        <f>P12/'Output-Calculation-sheet'!P11*'Output-Calculation-sheet'!P47</f>
        <v>8633.3713876081219</v>
      </c>
      <c r="Q56" s="2">
        <f>Q12/'Output-Calculation-sheet'!Q11*'Output-Calculation-sheet'!Q47</f>
        <v>3060.8922808317839</v>
      </c>
      <c r="R56" s="2">
        <f>R12/'Output-Calculation-sheet'!R11*'Output-Calculation-sheet'!R47</f>
        <v>5919.1186009722542</v>
      </c>
      <c r="S56" s="2">
        <f>S12/'Output-Calculation-sheet'!S11*'Output-Calculation-sheet'!S47</f>
        <v>7793.5648983004476</v>
      </c>
      <c r="T56" s="2">
        <f>T12/'Output-Calculation-sheet'!T11*'Output-Calculation-sheet'!T47</f>
        <v>2133.7155042911263</v>
      </c>
      <c r="U56" s="2">
        <f>U12/'Output-Calculation-sheet'!U11*'Output-Calculation-sheet'!U47</f>
        <v>1611.4092421682581</v>
      </c>
      <c r="V56" s="2">
        <f>V12/'Output-Calculation-sheet'!V11*'Output-Calculation-sheet'!V47</f>
        <v>897.39193009706844</v>
      </c>
      <c r="W56" s="2">
        <f>W12/'Output-Calculation-sheet'!W11*'Output-Calculation-sheet'!W47</f>
        <v>869.45334350943654</v>
      </c>
      <c r="X56" s="2">
        <f>X12/'Output-Calculation-sheet'!X11*'Output-Calculation-sheet'!X47</f>
        <v>2281.1770728154811</v>
      </c>
      <c r="Y56" s="2">
        <f>Y12/'Output-Calculation-sheet'!Y11*'Output-Calculation-sheet'!Y47</f>
        <v>1009.7489684711978</v>
      </c>
      <c r="AA56" s="2">
        <f t="shared" si="3"/>
        <v>302.99152756157366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6.2590287013696493</v>
      </c>
      <c r="C63" s="2">
        <f>C8*'Output-Calculation-sheet'!C52/10^9</f>
        <v>3.9151011188663172</v>
      </c>
      <c r="D63" s="2">
        <f>D8*'Output-Calculation-sheet'!D52/10^9</f>
        <v>1.7876382055242488</v>
      </c>
      <c r="E63" s="2">
        <f>E8*'Output-Calculation-sheet'!E52/10^9</f>
        <v>1.6420676727903476</v>
      </c>
      <c r="F63" s="2">
        <f>F8*'Output-Calculation-sheet'!F52/10^9</f>
        <v>0.865399012276729</v>
      </c>
      <c r="G63" s="2">
        <f>G8*'Output-Calculation-sheet'!G52/10^9</f>
        <v>0.63998916162045494</v>
      </c>
      <c r="H63" s="2">
        <f>H8*'Output-Calculation-sheet'!H52/10^9</f>
        <v>1.104238353223032</v>
      </c>
      <c r="I63" s="2">
        <f>I8*'Output-Calculation-sheet'!I52/10^9</f>
        <v>0.59329824096107275</v>
      </c>
      <c r="J63" s="2">
        <f>J8*'Output-Calculation-sheet'!J52/10^9</f>
        <v>0.60317033633225881</v>
      </c>
      <c r="K63" s="2">
        <f>K8*'Output-Calculation-sheet'!K52/10^9</f>
        <v>0.60700866616804372</v>
      </c>
      <c r="L63" s="2">
        <f>L8*'Output-Calculation-sheet'!L52/10^9</f>
        <v>0.49483151474965825</v>
      </c>
      <c r="M63" s="2">
        <f>M8*'Output-Calculation-sheet'!M52/10^9</f>
        <v>0.76452395787314098</v>
      </c>
      <c r="N63" s="2">
        <f>N8*'Output-Calculation-sheet'!N52/10^9</f>
        <v>0.68595577839672606</v>
      </c>
      <c r="O63" s="2">
        <f>O8*'Output-Calculation-sheet'!O52/10^9</f>
        <v>0.74182148555056027</v>
      </c>
      <c r="P63" s="2">
        <f>P8*'Output-Calculation-sheet'!P52/10^9</f>
        <v>0.4886594213274309</v>
      </c>
      <c r="Q63" s="2">
        <f>Q8*'Output-Calculation-sheet'!Q52/10^9</f>
        <v>0.50394710078904437</v>
      </c>
      <c r="R63" s="2">
        <f>R8*'Output-Calculation-sheet'!R52/10^9</f>
        <v>0.41272717334183545</v>
      </c>
      <c r="S63" s="2">
        <f>S8*'Output-Calculation-sheet'!S52/10^9</f>
        <v>0.37950958760572617</v>
      </c>
      <c r="T63" s="2">
        <f>T8*'Output-Calculation-sheet'!T52/10^9</f>
        <v>0.1423013941450193</v>
      </c>
      <c r="U63" s="2">
        <f>U8*'Output-Calculation-sheet'!U52/10^9</f>
        <v>0.12927428513068551</v>
      </c>
      <c r="V63" s="2">
        <f>V8*'Output-Calculation-sheet'!V52/10^9</f>
        <v>9.9889484208812163E-2</v>
      </c>
      <c r="W63" s="2">
        <f>W8*'Output-Calculation-sheet'!W52/10^9</f>
        <v>7.8039379154680358E-2</v>
      </c>
      <c r="X63" s="2">
        <f>X8*'Output-Calculation-sheet'!X52/10^9</f>
        <v>9.3608295143726095E-2</v>
      </c>
      <c r="Y63" s="2">
        <f>Y8*'Output-Calculation-sheet'!Y52/10^9</f>
        <v>5.0728713822464973E-2</v>
      </c>
      <c r="AA63" s="2">
        <f t="shared" si="4"/>
        <v>23.082757040371664</v>
      </c>
    </row>
    <row r="64" spans="1:27" x14ac:dyDescent="0.25">
      <c r="A64" s="2">
        <v>2032</v>
      </c>
      <c r="B64" s="2">
        <f>B9*'Output-Calculation-sheet'!B53/10^9</f>
        <v>7.3169744084395392</v>
      </c>
      <c r="C64" s="2">
        <f>C9*'Output-Calculation-sheet'!C53/10^9</f>
        <v>4.8451252606711801</v>
      </c>
      <c r="D64" s="2">
        <f>D9*'Output-Calculation-sheet'!D53/10^9</f>
        <v>1.7629373240676156</v>
      </c>
      <c r="E64" s="2">
        <f>E9*'Output-Calculation-sheet'!E53/10^9</f>
        <v>1.7211660094730932</v>
      </c>
      <c r="F64" s="2">
        <f>F9*'Output-Calculation-sheet'!F53/10^9</f>
        <v>0.86804091323883115</v>
      </c>
      <c r="G64" s="2">
        <f>G9*'Output-Calculation-sheet'!G53/10^9</f>
        <v>0.63051804777737375</v>
      </c>
      <c r="H64" s="2">
        <f>H9*'Output-Calculation-sheet'!H53/10^9</f>
        <v>1.3536926193763035</v>
      </c>
      <c r="I64" s="2">
        <f>I9*'Output-Calculation-sheet'!I53/10^9</f>
        <v>0.58874443409320742</v>
      </c>
      <c r="J64" s="2">
        <f>J9*'Output-Calculation-sheet'!J53/10^9</f>
        <v>0.58764626162043154</v>
      </c>
      <c r="K64" s="2">
        <f>K9*'Output-Calculation-sheet'!K53/10^9</f>
        <v>0.6338242328489716</v>
      </c>
      <c r="L64" s="2">
        <f>L9*'Output-Calculation-sheet'!L53/10^9</f>
        <v>0.52247350123796443</v>
      </c>
      <c r="M64" s="2">
        <f>M9*'Output-Calculation-sheet'!M53/10^9</f>
        <v>0.93782405415863013</v>
      </c>
      <c r="N64" s="2">
        <f>N9*'Output-Calculation-sheet'!N53/10^9</f>
        <v>0.83332582928865595</v>
      </c>
      <c r="O64" s="2">
        <f>O9*'Output-Calculation-sheet'!O53/10^9</f>
        <v>0.89659365881597808</v>
      </c>
      <c r="P64" s="2">
        <f>P9*'Output-Calculation-sheet'!P53/10^9</f>
        <v>0.56688115569732711</v>
      </c>
      <c r="Q64" s="2">
        <f>Q9*'Output-Calculation-sheet'!Q53/10^9</f>
        <v>0.58007397048482134</v>
      </c>
      <c r="R64" s="2">
        <f>R9*'Output-Calculation-sheet'!R53/10^9</f>
        <v>0.45352266910470657</v>
      </c>
      <c r="S64" s="2">
        <f>S9*'Output-Calculation-sheet'!S53/10^9</f>
        <v>0.45900209337814513</v>
      </c>
      <c r="T64" s="2">
        <f>T9*'Output-Calculation-sheet'!T53/10^9</f>
        <v>0.14532852765840565</v>
      </c>
      <c r="U64" s="2">
        <f>U9*'Output-Calculation-sheet'!U53/10^9</f>
        <v>0.14335951573497266</v>
      </c>
      <c r="V64" s="2">
        <f>V9*'Output-Calculation-sheet'!V53/10^9</f>
        <v>0.10666353191143527</v>
      </c>
      <c r="W64" s="2">
        <f>W9*'Output-Calculation-sheet'!W53/10^9</f>
        <v>7.7006656312574542E-2</v>
      </c>
      <c r="X64" s="2">
        <f>X9*'Output-Calculation-sheet'!X53/10^9</f>
        <v>0.11508603946600045</v>
      </c>
      <c r="Y64" s="2">
        <f>Y9*'Output-Calculation-sheet'!Y53/10^9</f>
        <v>5.5509014087711805E-2</v>
      </c>
      <c r="AA64" s="2">
        <f t="shared" si="4"/>
        <v>26.201319728943883</v>
      </c>
    </row>
    <row r="65" spans="1:27" x14ac:dyDescent="0.25">
      <c r="A65" s="2">
        <v>2033</v>
      </c>
      <c r="B65" s="2">
        <f>B10*'Output-Calculation-sheet'!B54/10^9</f>
        <v>8.6014037798996767</v>
      </c>
      <c r="C65" s="2">
        <f>C10*'Output-Calculation-sheet'!C54/10^9</f>
        <v>5.6808572213717934</v>
      </c>
      <c r="D65" s="2">
        <f>D10*'Output-Calculation-sheet'!D54/10^9</f>
        <v>1.6522794226297441</v>
      </c>
      <c r="E65" s="2">
        <f>E10*'Output-Calculation-sheet'!E54/10^9</f>
        <v>1.874959661115458</v>
      </c>
      <c r="F65" s="2">
        <f>F10*'Output-Calculation-sheet'!F54/10^9</f>
        <v>0.85056308244127066</v>
      </c>
      <c r="G65" s="2">
        <f>G10*'Output-Calculation-sheet'!G54/10^9</f>
        <v>0.58703022084335954</v>
      </c>
      <c r="H65" s="2">
        <f>H10*'Output-Calculation-sheet'!H54/10^9</f>
        <v>1.5603386580867957</v>
      </c>
      <c r="I65" s="2">
        <f>I10*'Output-Calculation-sheet'!I54/10^9</f>
        <v>0.57744243521655059</v>
      </c>
      <c r="J65" s="2">
        <f>J10*'Output-Calculation-sheet'!J54/10^9</f>
        <v>0.53255188531051478</v>
      </c>
      <c r="K65" s="2">
        <f>K10*'Output-Calculation-sheet'!K54/10^9</f>
        <v>0.67917876492644824</v>
      </c>
      <c r="L65" s="2">
        <f>L10*'Output-Calculation-sheet'!L54/10^9</f>
        <v>0.56491138096622862</v>
      </c>
      <c r="M65" s="2">
        <f>M10*'Output-Calculation-sheet'!M54/10^9</f>
        <v>1.0812542027198984</v>
      </c>
      <c r="N65" s="2">
        <f>N10*'Output-Calculation-sheet'!N54/10^9</f>
        <v>0.97208859187085916</v>
      </c>
      <c r="O65" s="2">
        <f>O10*'Output-Calculation-sheet'!O54/10^9</f>
        <v>1.0290491503705856</v>
      </c>
      <c r="P65" s="2">
        <f>P10*'Output-Calculation-sheet'!P54/10^9</f>
        <v>0.65594849010479828</v>
      </c>
      <c r="Q65" s="2">
        <f>Q10*'Output-Calculation-sheet'!Q54/10^9</f>
        <v>0.68051348751232632</v>
      </c>
      <c r="R65" s="2">
        <f>R10*'Output-Calculation-sheet'!R54/10^9</f>
        <v>0.50852302792133186</v>
      </c>
      <c r="S65" s="2">
        <f>S10*'Output-Calculation-sheet'!S54/10^9</f>
        <v>0.5377711552996538</v>
      </c>
      <c r="T65" s="2">
        <f>T10*'Output-Calculation-sheet'!T54/10^9</f>
        <v>0.15263595651015879</v>
      </c>
      <c r="U65" s="2">
        <f>U10*'Output-Calculation-sheet'!U54/10^9</f>
        <v>0.16502621795796418</v>
      </c>
      <c r="V65" s="2">
        <f>V10*'Output-Calculation-sheet'!V54/10^9</f>
        <v>0.11517361248779125</v>
      </c>
      <c r="W65" s="2">
        <f>W10*'Output-Calculation-sheet'!W54/10^9</f>
        <v>7.2043558467904154E-2</v>
      </c>
      <c r="X65" s="2">
        <f>X10*'Output-Calculation-sheet'!X54/10^9</f>
        <v>0.13369505812330237</v>
      </c>
      <c r="Y65" s="2">
        <f>Y10*'Output-Calculation-sheet'!Y54/10^9</f>
        <v>6.355543458490516E-2</v>
      </c>
      <c r="AA65" s="2">
        <f t="shared" si="4"/>
        <v>29.328794456739317</v>
      </c>
    </row>
    <row r="66" spans="1:27" x14ac:dyDescent="0.25">
      <c r="A66" s="2">
        <v>2034</v>
      </c>
      <c r="B66" s="2">
        <f>B11*'Output-Calculation-sheet'!B55/10^9</f>
        <v>10.04040949391189</v>
      </c>
      <c r="C66" s="2">
        <f>C11*'Output-Calculation-sheet'!C55/10^9</f>
        <v>6.3938053450666672</v>
      </c>
      <c r="D66" s="2">
        <f>D11*'Output-Calculation-sheet'!D55/10^9</f>
        <v>1.8841836542029269</v>
      </c>
      <c r="E66" s="2">
        <f>E11*'Output-Calculation-sheet'!E55/10^9</f>
        <v>2.3219012885058006</v>
      </c>
      <c r="F66" s="2">
        <f>F11*'Output-Calculation-sheet'!F55/10^9</f>
        <v>0.92984974184308788</v>
      </c>
      <c r="G66" s="2">
        <f>G11*'Output-Calculation-sheet'!G55/10^9</f>
        <v>0.66980874371668186</v>
      </c>
      <c r="H66" s="2">
        <f>H11*'Output-Calculation-sheet'!H55/10^9</f>
        <v>1.7650267477267427</v>
      </c>
      <c r="I66" s="2">
        <f>I11*'Output-Calculation-sheet'!I55/10^9</f>
        <v>0.65838564117510556</v>
      </c>
      <c r="J66" s="2">
        <f>J11*'Output-Calculation-sheet'!J55/10^9</f>
        <v>0.5812754476643921</v>
      </c>
      <c r="K66" s="2">
        <f>K11*'Output-Calculation-sheet'!K55/10^9</f>
        <v>0.77631949377117848</v>
      </c>
      <c r="L66" s="2">
        <f>L11*'Output-Calculation-sheet'!L55/10^9</f>
        <v>0.68089827877360787</v>
      </c>
      <c r="M66" s="2">
        <f>M11*'Output-Calculation-sheet'!M55/10^9</f>
        <v>1.2251699994966143</v>
      </c>
      <c r="N66" s="2">
        <f>N11*'Output-Calculation-sheet'!N55/10^9</f>
        <v>1.097293119895195</v>
      </c>
      <c r="O66" s="2">
        <f>O11*'Output-Calculation-sheet'!O55/10^9</f>
        <v>1.1379051613450528</v>
      </c>
      <c r="P66" s="2">
        <f>P11*'Output-Calculation-sheet'!P55/10^9</f>
        <v>0.77090411228193667</v>
      </c>
      <c r="Q66" s="2">
        <f>Q11*'Output-Calculation-sheet'!Q55/10^9</f>
        <v>0.80047003178456966</v>
      </c>
      <c r="R66" s="2">
        <f>R11*'Output-Calculation-sheet'!R55/10^9</f>
        <v>0.58344042025246923</v>
      </c>
      <c r="S66" s="2">
        <f>S11*'Output-Calculation-sheet'!S55/10^9</f>
        <v>0.61790088686796107</v>
      </c>
      <c r="T66" s="2">
        <f>T11*'Output-Calculation-sheet'!T55/10^9</f>
        <v>0.17176655088959716</v>
      </c>
      <c r="U66" s="2">
        <f>U11*'Output-Calculation-sheet'!U55/10^9</f>
        <v>0.19854914429172468</v>
      </c>
      <c r="V66" s="2">
        <f>V11*'Output-Calculation-sheet'!V55/10^9</f>
        <v>0.12829061089371471</v>
      </c>
      <c r="W66" s="2">
        <f>W11*'Output-Calculation-sheet'!W55/10^9</f>
        <v>7.8162645434964831E-2</v>
      </c>
      <c r="X66" s="2">
        <f>X11*'Output-Calculation-sheet'!X55/10^9</f>
        <v>0.15464804218865422</v>
      </c>
      <c r="Y66" s="2">
        <f>Y11*'Output-Calculation-sheet'!Y55/10^9</f>
        <v>8.1052408410259208E-2</v>
      </c>
      <c r="AA66" s="2">
        <f t="shared" si="4"/>
        <v>33.747417010390805</v>
      </c>
    </row>
    <row r="67" spans="1:27" x14ac:dyDescent="0.25">
      <c r="A67" s="2">
        <v>2035</v>
      </c>
      <c r="B67" s="2">
        <f>B12*'Output-Calculation-sheet'!B56/10^9</f>
        <v>11.42466383330563</v>
      </c>
      <c r="C67" s="2">
        <f>C12*'Output-Calculation-sheet'!C56/10^9</f>
        <v>6.9670408197626976</v>
      </c>
      <c r="D67" s="2">
        <f>D12*'Output-Calculation-sheet'!D56/10^9</f>
        <v>2.3269000108715865</v>
      </c>
      <c r="E67" s="2">
        <f>E12*'Output-Calculation-sheet'!E56/10^9</f>
        <v>3.1443080647190453</v>
      </c>
      <c r="F67" s="2">
        <f>F12*'Output-Calculation-sheet'!F56/10^9</f>
        <v>1.2478519507176189</v>
      </c>
      <c r="G67" s="2">
        <f>G12*'Output-Calculation-sheet'!G56/10^9</f>
        <v>0.90503731782833052</v>
      </c>
      <c r="H67" s="2">
        <f>H12*'Output-Calculation-sheet'!H56/10^9</f>
        <v>1.9713186748039799</v>
      </c>
      <c r="I67" s="2">
        <f>I12*'Output-Calculation-sheet'!I56/10^9</f>
        <v>0.85512327225327933</v>
      </c>
      <c r="J67" s="2">
        <f>J12*'Output-Calculation-sheet'!J56/10^9</f>
        <v>0.70678645829352482</v>
      </c>
      <c r="K67" s="2">
        <f>K12*'Output-Calculation-sheet'!K56/10^9</f>
        <v>0.95442384174605521</v>
      </c>
      <c r="L67" s="2">
        <f>L12*'Output-Calculation-sheet'!L56/10^9</f>
        <v>0.82309981948297417</v>
      </c>
      <c r="M67" s="2">
        <f>M12*'Output-Calculation-sheet'!M56/10^9</f>
        <v>1.3814219352423682</v>
      </c>
      <c r="N67" s="2">
        <f>N12*'Output-Calculation-sheet'!N56/10^9</f>
        <v>1.209332037247945</v>
      </c>
      <c r="O67" s="2">
        <f>O12*'Output-Calculation-sheet'!O56/10^9</f>
        <v>1.2237659575818576</v>
      </c>
      <c r="P67" s="2">
        <f>P12*'Output-Calculation-sheet'!P56/10^9</f>
        <v>0.96436771935757837</v>
      </c>
      <c r="Q67" s="2">
        <f>Q12*'Output-Calculation-sheet'!Q56/10^9</f>
        <v>0.90325570102748731</v>
      </c>
      <c r="R67" s="2">
        <f>R12*'Output-Calculation-sheet'!R56/10^9</f>
        <v>0.70990975791219135</v>
      </c>
      <c r="S67" s="2">
        <f>S12*'Output-Calculation-sheet'!S56/10^9</f>
        <v>0.68823544859536145</v>
      </c>
      <c r="T67" s="2">
        <f>T12*'Output-Calculation-sheet'!T56/10^9</f>
        <v>0.2182308381760574</v>
      </c>
      <c r="U67" s="2">
        <f>U12*'Output-Calculation-sheet'!U56/10^9</f>
        <v>0.23539060412572432</v>
      </c>
      <c r="V67" s="2">
        <f>V12*'Output-Calculation-sheet'!V56/10^9</f>
        <v>0.1485364701848611</v>
      </c>
      <c r="W67" s="2">
        <f>W12*'Output-Calculation-sheet'!W56/10^9</f>
        <v>0.11548447184527881</v>
      </c>
      <c r="X67" s="2">
        <f>X12*'Output-Calculation-sheet'!X56/10^9</f>
        <v>0.17326721894151037</v>
      </c>
      <c r="Y67" s="2">
        <f>Y12*'Output-Calculation-sheet'!Y56/10^9</f>
        <v>0.10843193543196548</v>
      </c>
      <c r="AA67" s="2">
        <f t="shared" si="4"/>
        <v>39.406184159454909</v>
      </c>
    </row>
    <row r="68" spans="1:27" x14ac:dyDescent="0.25">
      <c r="B68" s="2">
        <f>SUM(B60:B67)</f>
        <v>56.391036039998468</v>
      </c>
      <c r="C68" s="2">
        <f t="shared" ref="C68:Y68" si="5">SUM(C60:C67)</f>
        <v>34.325760533085742</v>
      </c>
      <c r="D68" s="2">
        <f t="shared" si="5"/>
        <v>13.738233865485295</v>
      </c>
      <c r="E68" s="2">
        <f t="shared" si="5"/>
        <v>14.551188535464593</v>
      </c>
      <c r="F68" s="2">
        <f t="shared" si="5"/>
        <v>6.8083187518605559</v>
      </c>
      <c r="G68" s="2">
        <f t="shared" si="5"/>
        <v>4.9825284002609216</v>
      </c>
      <c r="H68" s="2">
        <f t="shared" si="5"/>
        <v>9.6514225220317336</v>
      </c>
      <c r="I68" s="2">
        <f t="shared" si="5"/>
        <v>4.6965046023327108</v>
      </c>
      <c r="J68" s="2">
        <f t="shared" si="5"/>
        <v>4.4935392432919476</v>
      </c>
      <c r="K68" s="2">
        <f t="shared" si="5"/>
        <v>5.0614820577382167</v>
      </c>
      <c r="L68" s="2">
        <f t="shared" si="5"/>
        <v>4.2265621854899713</v>
      </c>
      <c r="M68" s="2">
        <f t="shared" si="5"/>
        <v>6.7015529543995918</v>
      </c>
      <c r="N68" s="2">
        <f t="shared" si="5"/>
        <v>6.122724812017653</v>
      </c>
      <c r="O68" s="2">
        <f t="shared" si="5"/>
        <v>6.3090486072940415</v>
      </c>
      <c r="P68" s="2">
        <f t="shared" si="5"/>
        <v>4.4748635188448853</v>
      </c>
      <c r="Q68" s="2">
        <f t="shared" si="5"/>
        <v>4.5073897336633868</v>
      </c>
      <c r="R68" s="2">
        <f t="shared" si="5"/>
        <v>3.6020750848734857</v>
      </c>
      <c r="S68" s="2">
        <f t="shared" si="5"/>
        <v>3.4288481289750994</v>
      </c>
      <c r="T68" s="2">
        <f t="shared" si="5"/>
        <v>1.1637931378956374</v>
      </c>
      <c r="U68" s="2">
        <f t="shared" si="5"/>
        <v>1.1679437494478473</v>
      </c>
      <c r="V68" s="2">
        <f t="shared" si="5"/>
        <v>0.82712369905109062</v>
      </c>
      <c r="W68" s="2">
        <f t="shared" si="5"/>
        <v>0.6093677967912362</v>
      </c>
      <c r="X68" s="2">
        <f t="shared" si="5"/>
        <v>0.82806858004320572</v>
      </c>
      <c r="Y68" s="2">
        <f t="shared" si="5"/>
        <v>0.47501887149224631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1753.4564800396374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1171.6074826585548</v>
      </c>
      <c r="N74" s="2">
        <f>N8/'Output-Calculation-sheet'!N7*'Output-Calculation-sheet'!N61</f>
        <v>49.102236646424579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144.25747833111529</v>
      </c>
      <c r="Y74" s="2">
        <f>Y8/'Output-Calculation-sheet'!Y7*'Output-Calculation-sheet'!Y61</f>
        <v>0</v>
      </c>
      <c r="AA74" s="2">
        <f t="shared" si="6"/>
        <v>3.1184236776757315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232.96545590634622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3110.1808578004593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2112.8053849763705</v>
      </c>
      <c r="N75" s="2">
        <f>N9/'Output-Calculation-sheet'!N8*'Output-Calculation-sheet'!N62</f>
        <v>817.15159793920452</v>
      </c>
      <c r="O75" s="2">
        <f>O9/'Output-Calculation-sheet'!O8*'Output-Calculation-sheet'!O62</f>
        <v>0</v>
      </c>
      <c r="P75" s="2">
        <f>P9/'Output-Calculation-sheet'!P8*'Output-Calculation-sheet'!P62</f>
        <v>54.707011394151181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270.29466973739835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255.41822141412104</v>
      </c>
      <c r="Y75" s="2">
        <f>Y9/'Output-Calculation-sheet'!Y8*'Output-Calculation-sheet'!Y62</f>
        <v>0</v>
      </c>
      <c r="AA75" s="2">
        <f t="shared" si="6"/>
        <v>6.8535231991680501</v>
      </c>
    </row>
    <row r="76" spans="1:27" x14ac:dyDescent="0.25">
      <c r="A76" s="2">
        <v>2033</v>
      </c>
      <c r="B76" s="2">
        <f>B10/'Output-Calculation-sheet'!B9*'Output-Calculation-sheet'!B63</f>
        <v>7078.6806773825556</v>
      </c>
      <c r="C76" s="2">
        <f>C10/'Output-Calculation-sheet'!C9*'Output-Calculation-sheet'!C63</f>
        <v>1776.1103362770266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4621.097852570867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3146.3849366535046</v>
      </c>
      <c r="N76" s="2">
        <f>N10/'Output-Calculation-sheet'!N9*'Output-Calculation-sheet'!N63</f>
        <v>1801.2403219306202</v>
      </c>
      <c r="O76" s="2">
        <f>O10/'Output-Calculation-sheet'!O9*'Output-Calculation-sheet'!O63</f>
        <v>0</v>
      </c>
      <c r="P76" s="2">
        <f>P10/'Output-Calculation-sheet'!P9*'Output-Calculation-sheet'!P63</f>
        <v>617.37376052391778</v>
      </c>
      <c r="Q76" s="2">
        <f>Q10/'Output-Calculation-sheet'!Q9*'Output-Calculation-sheet'!Q63</f>
        <v>274.89054081815016</v>
      </c>
      <c r="R76" s="2">
        <f>R10/'Output-Calculation-sheet'!R9*'Output-Calculation-sheet'!R63</f>
        <v>473.85947355715422</v>
      </c>
      <c r="S76" s="2">
        <f>S10/'Output-Calculation-sheet'!S9*'Output-Calculation-sheet'!S63</f>
        <v>798.4886662605528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166.42462051947635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370.55811762964316</v>
      </c>
      <c r="Y76" s="2">
        <f>Y10/'Output-Calculation-sheet'!Y9*'Output-Calculation-sheet'!Y63</f>
        <v>7.0299625953515461</v>
      </c>
      <c r="AA76" s="2">
        <f t="shared" si="6"/>
        <v>21.298527994322917</v>
      </c>
    </row>
    <row r="77" spans="1:27" x14ac:dyDescent="0.25">
      <c r="A77" s="2">
        <v>2034</v>
      </c>
      <c r="B77" s="2">
        <f>B11/'Output-Calculation-sheet'!B10*'Output-Calculation-sheet'!B64</f>
        <v>14755.771305946551</v>
      </c>
      <c r="C77" s="2">
        <f>C11/'Output-Calculation-sheet'!C10*'Output-Calculation-sheet'!C64</f>
        <v>4019.1710260286709</v>
      </c>
      <c r="D77" s="2">
        <f>D11/'Output-Calculation-sheet'!D10*'Output-Calculation-sheet'!D64</f>
        <v>2198.3046285868704</v>
      </c>
      <c r="E77" s="2">
        <f>E11/'Output-Calculation-sheet'!E10*'Output-Calculation-sheet'!E64</f>
        <v>2726.7324979689697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1173.3048490045396</v>
      </c>
      <c r="H77" s="2">
        <f>H11/'Output-Calculation-sheet'!H10*'Output-Calculation-sheet'!H64</f>
        <v>5781.3016720262385</v>
      </c>
      <c r="I77" s="2">
        <f>I11/'Output-Calculation-sheet'!I10*'Output-Calculation-sheet'!I64</f>
        <v>684.68571877635441</v>
      </c>
      <c r="J77" s="2">
        <f>J11/'Output-Calculation-sheet'!J10*'Output-Calculation-sheet'!J64</f>
        <v>469.96875397042646</v>
      </c>
      <c r="K77" s="2">
        <f>K11/'Output-Calculation-sheet'!K10*'Output-Calculation-sheet'!K64</f>
        <v>1061.344845932811</v>
      </c>
      <c r="L77" s="2">
        <f>L11/'Output-Calculation-sheet'!L10*'Output-Calculation-sheet'!L64</f>
        <v>260.22567456145464</v>
      </c>
      <c r="M77" s="2">
        <f>M11/'Output-Calculation-sheet'!M10*'Output-Calculation-sheet'!M64</f>
        <v>3961.670990523266</v>
      </c>
      <c r="N77" s="2">
        <f>N11/'Output-Calculation-sheet'!N10*'Output-Calculation-sheet'!N64</f>
        <v>2682.2195320647384</v>
      </c>
      <c r="O77" s="2">
        <f>O11/'Output-Calculation-sheet'!O10*'Output-Calculation-sheet'!O64</f>
        <v>0</v>
      </c>
      <c r="P77" s="2">
        <f>P11/'Output-Calculation-sheet'!P10*'Output-Calculation-sheet'!P64</f>
        <v>1304.0890294063606</v>
      </c>
      <c r="Q77" s="2">
        <f>Q11/'Output-Calculation-sheet'!Q10*'Output-Calculation-sheet'!Q64</f>
        <v>532.14862538157058</v>
      </c>
      <c r="R77" s="2">
        <f>R11/'Output-Calculation-sheet'!R10*'Output-Calculation-sheet'!R64</f>
        <v>1107.6376377552992</v>
      </c>
      <c r="S77" s="2">
        <f>S11/'Output-Calculation-sheet'!S10*'Output-Calculation-sheet'!S64</f>
        <v>1236.4225313745555</v>
      </c>
      <c r="T77" s="2">
        <f>T11/'Output-Calculation-sheet'!T10*'Output-Calculation-sheet'!T64</f>
        <v>306.8847952743406</v>
      </c>
      <c r="U77" s="2">
        <f>U11/'Output-Calculation-sheet'!U10*'Output-Calculation-sheet'!U64</f>
        <v>327.71314959084071</v>
      </c>
      <c r="V77" s="2">
        <f>V11/'Output-Calculation-sheet'!V10*'Output-Calculation-sheet'!V64</f>
        <v>158.7564513056555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405.60067288644103</v>
      </c>
      <c r="Y77" s="2">
        <f>Y11/'Output-Calculation-sheet'!Y10*'Output-Calculation-sheet'!Y64</f>
        <v>101.36633782583696</v>
      </c>
      <c r="AA77" s="2">
        <f t="shared" si="6"/>
        <v>45.459813071357843</v>
      </c>
    </row>
    <row r="78" spans="1:27" x14ac:dyDescent="0.25">
      <c r="A78" s="2">
        <v>2035</v>
      </c>
      <c r="B78" s="2">
        <f>B12/'Output-Calculation-sheet'!B11*'Output-Calculation-sheet'!B65</f>
        <v>18480.827674181066</v>
      </c>
      <c r="C78" s="2">
        <f>C12/'Output-Calculation-sheet'!C11*'Output-Calculation-sheet'!C65</f>
        <v>7950.2511127368598</v>
      </c>
      <c r="D78" s="2">
        <f>D12/'Output-Calculation-sheet'!D11*'Output-Calculation-sheet'!D65</f>
        <v>2020.3247520940911</v>
      </c>
      <c r="E78" s="2">
        <f>E12/'Output-Calculation-sheet'!E11*'Output-Calculation-sheet'!E65</f>
        <v>3734.8935601899025</v>
      </c>
      <c r="F78" s="2">
        <f>F12/'Output-Calculation-sheet'!F11*'Output-Calculation-sheet'!F65</f>
        <v>812.36719232903533</v>
      </c>
      <c r="G78" s="2">
        <f>G12/'Output-Calculation-sheet'!G11*'Output-Calculation-sheet'!G65</f>
        <v>1544.2533342510085</v>
      </c>
      <c r="H78" s="2">
        <f>H12/'Output-Calculation-sheet'!H11*'Output-Calculation-sheet'!H65</f>
        <v>5968.3356838260315</v>
      </c>
      <c r="I78" s="2">
        <f>I12/'Output-Calculation-sheet'!I11*'Output-Calculation-sheet'!I65</f>
        <v>1015.8128345821216</v>
      </c>
      <c r="J78" s="2">
        <f>J12/'Output-Calculation-sheet'!J11*'Output-Calculation-sheet'!J65</f>
        <v>414.19312451306484</v>
      </c>
      <c r="K78" s="2">
        <f>K12/'Output-Calculation-sheet'!K11*'Output-Calculation-sheet'!K65</f>
        <v>1258.4000345176066</v>
      </c>
      <c r="L78" s="2">
        <f>L12/'Output-Calculation-sheet'!L11*'Output-Calculation-sheet'!L65</f>
        <v>402.82162307195193</v>
      </c>
      <c r="M78" s="2">
        <f>M12/'Output-Calculation-sheet'!M11*'Output-Calculation-sheet'!M65</f>
        <v>4156.7998993274832</v>
      </c>
      <c r="N78" s="2">
        <f>N12/'Output-Calculation-sheet'!N11*'Output-Calculation-sheet'!N65</f>
        <v>2880.7390266884627</v>
      </c>
      <c r="O78" s="2">
        <f>O12/'Output-Calculation-sheet'!O11*'Output-Calculation-sheet'!O65</f>
        <v>0</v>
      </c>
      <c r="P78" s="2">
        <f>P12/'Output-Calculation-sheet'!P11*'Output-Calculation-sheet'!P65</f>
        <v>1659.6244492683313</v>
      </c>
      <c r="Q78" s="2">
        <f>Q12/'Output-Calculation-sheet'!Q11*'Output-Calculation-sheet'!Q65</f>
        <v>670.99860282967427</v>
      </c>
      <c r="R78" s="2">
        <f>R12/'Output-Calculation-sheet'!R11*'Output-Calculation-sheet'!R65</f>
        <v>1306.556897339397</v>
      </c>
      <c r="S78" s="2">
        <f>S12/'Output-Calculation-sheet'!S11*'Output-Calculation-sheet'!S65</f>
        <v>1360.6863392249008</v>
      </c>
      <c r="T78" s="2">
        <f>T12/'Output-Calculation-sheet'!T11*'Output-Calculation-sheet'!T65</f>
        <v>482.68762403652511</v>
      </c>
      <c r="U78" s="2">
        <f>U12/'Output-Calculation-sheet'!U11*'Output-Calculation-sheet'!U65</f>
        <v>348.56084056981985</v>
      </c>
      <c r="V78" s="2">
        <f>V12/'Output-Calculation-sheet'!V11*'Output-Calculation-sheet'!V65</f>
        <v>175.57504489689359</v>
      </c>
      <c r="W78" s="2">
        <f>W12/'Output-Calculation-sheet'!W11*'Output-Calculation-sheet'!W65</f>
        <v>191.08954265318334</v>
      </c>
      <c r="X78" s="2">
        <f>X12/'Output-Calculation-sheet'!X11*'Output-Calculation-sheet'!X65</f>
        <v>419.98029689728094</v>
      </c>
      <c r="Y78" s="2">
        <f>Y12/'Output-Calculation-sheet'!Y11*'Output-Calculation-sheet'!Y65</f>
        <v>161.26192765102903</v>
      </c>
      <c r="AA78" s="2">
        <f t="shared" si="6"/>
        <v>57.417041417675726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1394.3571188709877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270.8860768138847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1.6652431956848726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2180.6438930391223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400.10486390000807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2.5807487569391308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3008.139744799088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533.58318081142579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3.5417229256105136</v>
      </c>
    </row>
    <row r="88" spans="1:27" x14ac:dyDescent="0.25">
      <c r="A88" s="2">
        <v>2034</v>
      </c>
      <c r="B88" s="2">
        <f>B11/'Output-Calculation-sheet'!B10*'Output-Calculation-sheet'!B73</f>
        <v>288.23806586733639</v>
      </c>
      <c r="C88" s="2">
        <f>C11/'Output-Calculation-sheet'!C10*'Output-Calculation-sheet'!C73</f>
        <v>3556.9095842862398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42.112597951852671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30.557265683590259</v>
      </c>
      <c r="M88" s="2">
        <f>M11/'Output-Calculation-sheet'!M10*'Output-Calculation-sheet'!M73</f>
        <v>28.977588344536194</v>
      </c>
      <c r="N88" s="2">
        <f>N11/'Output-Calculation-sheet'!N10*'Output-Calculation-sheet'!N73</f>
        <v>28.480319523293534</v>
      </c>
      <c r="O88" s="2">
        <f>O11/'Output-Calculation-sheet'!O10*'Output-Calculation-sheet'!O73</f>
        <v>664.43446466980879</v>
      </c>
      <c r="P88" s="2">
        <f>P11/'Output-Calculation-sheet'!P10*'Output-Calculation-sheet'!P73</f>
        <v>0</v>
      </c>
      <c r="Q88" s="2">
        <f>Q11/'Output-Calculation-sheet'!Q10*'Output-Calculation-sheet'!Q73</f>
        <v>49.906088847563588</v>
      </c>
      <c r="R88" s="2">
        <f>R11/'Output-Calculation-sheet'!R10*'Output-Calculation-sheet'!R73</f>
        <v>0</v>
      </c>
      <c r="S88" s="2">
        <f>S11/'Output-Calculation-sheet'!S10*'Output-Calculation-sheet'!S73</f>
        <v>16.325858021160318</v>
      </c>
      <c r="T88" s="2">
        <f>T11/'Output-Calculation-sheet'!T10*'Output-Calculation-sheet'!T73</f>
        <v>0</v>
      </c>
      <c r="U88" s="2">
        <f>U11/'Output-Calculation-sheet'!U10*'Output-Calculation-sheet'!U73</f>
        <v>7.9615458333132683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15.894564384887691</v>
      </c>
      <c r="Y88" s="2">
        <f>Y11/'Output-Calculation-sheet'!Y10*'Output-Calculation-sheet'!Y73</f>
        <v>0</v>
      </c>
      <c r="AA88" s="2">
        <f t="shared" si="7"/>
        <v>4.7297979434135833</v>
      </c>
    </row>
    <row r="89" spans="1:27" x14ac:dyDescent="0.25">
      <c r="A89" s="2">
        <v>2035</v>
      </c>
      <c r="B89" s="2">
        <f>B12/'Output-Calculation-sheet'!B11*'Output-Calculation-sheet'!B74</f>
        <v>883.92588081793281</v>
      </c>
      <c r="C89" s="2">
        <f>C12/'Output-Calculation-sheet'!C11*'Output-Calculation-sheet'!C74</f>
        <v>3775.778439146105</v>
      </c>
      <c r="D89" s="2">
        <f>D12/'Output-Calculation-sheet'!D11*'Output-Calculation-sheet'!D74</f>
        <v>247.75580993244111</v>
      </c>
      <c r="E89" s="2">
        <f>E12/'Output-Calculation-sheet'!E11*'Output-Calculation-sheet'!E74</f>
        <v>295.34967658406589</v>
      </c>
      <c r="F89" s="2">
        <f>F12/'Output-Calculation-sheet'!F11*'Output-Calculation-sheet'!F74</f>
        <v>123.83646224527979</v>
      </c>
      <c r="G89" s="2">
        <f>G12/'Output-Calculation-sheet'!G11*'Output-Calculation-sheet'!G74</f>
        <v>88.875332177549339</v>
      </c>
      <c r="H89" s="2">
        <f>H12/'Output-Calculation-sheet'!H11*'Output-Calculation-sheet'!H74</f>
        <v>258.28937705442172</v>
      </c>
      <c r="I89" s="2">
        <f>I12/'Output-Calculation-sheet'!I11*'Output-Calculation-sheet'!I74</f>
        <v>79.938055052694992</v>
      </c>
      <c r="J89" s="2">
        <f>J12/'Output-Calculation-sheet'!J11*'Output-Calculation-sheet'!J74</f>
        <v>79.112429474370131</v>
      </c>
      <c r="K89" s="2">
        <f>K12/'Output-Calculation-sheet'!K11*'Output-Calculation-sheet'!K74</f>
        <v>78.566525224299596</v>
      </c>
      <c r="L89" s="2">
        <f>L12/'Output-Calculation-sheet'!L11*'Output-Calculation-sheet'!L74</f>
        <v>62.472336084359789</v>
      </c>
      <c r="M89" s="2">
        <f>M12/'Output-Calculation-sheet'!M11*'Output-Calculation-sheet'!M74</f>
        <v>177.7283664761521</v>
      </c>
      <c r="N89" s="2">
        <f>N12/'Output-Calculation-sheet'!N11*'Output-Calculation-sheet'!N74</f>
        <v>116.45231032596109</v>
      </c>
      <c r="O89" s="2">
        <f>O12/'Output-Calculation-sheet'!O11*'Output-Calculation-sheet'!O74</f>
        <v>760.70003196974255</v>
      </c>
      <c r="P89" s="2">
        <f>P12/'Output-Calculation-sheet'!P11*'Output-Calculation-sheet'!P74</f>
        <v>80.685713902879641</v>
      </c>
      <c r="Q89" s="2">
        <f>Q12/'Output-Calculation-sheet'!Q11*'Output-Calculation-sheet'!Q74</f>
        <v>102.02974269439279</v>
      </c>
      <c r="R89" s="2">
        <f>R12/'Output-Calculation-sheet'!R11*'Output-Calculation-sheet'!R74</f>
        <v>50.59075727326713</v>
      </c>
      <c r="S89" s="2">
        <f>S12/'Output-Calculation-sheet'!S11*'Output-Calculation-sheet'!S74</f>
        <v>66.75430319743424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24.415291548003911</v>
      </c>
      <c r="V89" s="2">
        <f>V12/'Output-Calculation-sheet'!V11*'Output-Calculation-sheet'!V74</f>
        <v>12.550936085273685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35.744939887422071</v>
      </c>
      <c r="Y89" s="2">
        <f>Y12/'Output-Calculation-sheet'!Y11*'Output-Calculation-sheet'!Y74</f>
        <v>9.4075990851353826</v>
      </c>
      <c r="AA89" s="2">
        <f t="shared" si="7"/>
        <v>7.4257528009707272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14151176082.779236</v>
      </c>
      <c r="C96" s="2">
        <f>C8/'Output-Calculation-sheet'!C7*'Output-Calculation-sheet'!C79</f>
        <v>4787407183.5796318</v>
      </c>
      <c r="D96" s="2">
        <f>D8/'Output-Calculation-sheet'!D7*'Output-Calculation-sheet'!D79</f>
        <v>4997737812.0375462</v>
      </c>
      <c r="E96" s="2">
        <f>E8/'Output-Calculation-sheet'!E7*'Output-Calculation-sheet'!E79</f>
        <v>8885552297.8053856</v>
      </c>
      <c r="F96" s="2">
        <f>F8/'Output-Calculation-sheet'!F7*'Output-Calculation-sheet'!F79</f>
        <v>3677642536.0715933</v>
      </c>
      <c r="G96" s="2">
        <f>G8/'Output-Calculation-sheet'!G7*'Output-Calculation-sheet'!G79</f>
        <v>2864581132.3241625</v>
      </c>
      <c r="H96" s="2">
        <f>H8/'Output-Calculation-sheet'!H7*'Output-Calculation-sheet'!H79</f>
        <v>2451919671.1862078</v>
      </c>
      <c r="I96" s="2">
        <f>I8/'Output-Calculation-sheet'!I7*'Output-Calculation-sheet'!I79</f>
        <v>1995485300.1624954</v>
      </c>
      <c r="J96" s="2">
        <f>J8/'Output-Calculation-sheet'!J7*'Output-Calculation-sheet'!J79</f>
        <v>1349398702.2757676</v>
      </c>
      <c r="K96" s="2">
        <f>K8/'Output-Calculation-sheet'!K7*'Output-Calculation-sheet'!K79</f>
        <v>1930587010.6614261</v>
      </c>
      <c r="L96" s="2">
        <f>L8/'Output-Calculation-sheet'!L7*'Output-Calculation-sheet'!L79</f>
        <v>1362220514.8628054</v>
      </c>
      <c r="M96" s="2">
        <f>M8/'Output-Calculation-sheet'!M7*'Output-Calculation-sheet'!M79</f>
        <v>1830310614.0415723</v>
      </c>
      <c r="N96" s="2">
        <f>N8/'Output-Calculation-sheet'!N7*'Output-Calculation-sheet'!N79</f>
        <v>1361896866.7860579</v>
      </c>
      <c r="O96" s="2">
        <f>O8/'Output-Calculation-sheet'!O7*'Output-Calculation-sheet'!O79</f>
        <v>688485511.44750595</v>
      </c>
      <c r="P96" s="2">
        <f>P8/'Output-Calculation-sheet'!P7*'Output-Calculation-sheet'!P79</f>
        <v>2302839636.5437536</v>
      </c>
      <c r="Q96" s="2">
        <f>Q8/'Output-Calculation-sheet'!Q7*'Output-Calculation-sheet'!Q79</f>
        <v>1073221768.8425845</v>
      </c>
      <c r="R96" s="2">
        <f>R8/'Output-Calculation-sheet'!R7*'Output-Calculation-sheet'!R79</f>
        <v>1338971734.5960093</v>
      </c>
      <c r="S96" s="2">
        <f>S8/'Output-Calculation-sheet'!S7*'Output-Calculation-sheet'!S79</f>
        <v>780197142.87135124</v>
      </c>
      <c r="T96" s="2">
        <f>T8/'Output-Calculation-sheet'!T7*'Output-Calculation-sheet'!T79</f>
        <v>595891005.53704929</v>
      </c>
      <c r="U96" s="2">
        <f>U8/'Output-Calculation-sheet'!U7*'Output-Calculation-sheet'!U79</f>
        <v>374323414.75154728</v>
      </c>
      <c r="V96" s="2">
        <f>V8/'Output-Calculation-sheet'!V7*'Output-Calculation-sheet'!V79</f>
        <v>194218507.58640769</v>
      </c>
      <c r="W96" s="2">
        <f>W8/'Output-Calculation-sheet'!W7*'Output-Calculation-sheet'!W79</f>
        <v>573899944.08269536</v>
      </c>
      <c r="X96" s="2">
        <f>X8/'Output-Calculation-sheet'!X7*'Output-Calculation-sheet'!X79</f>
        <v>201709589.25981554</v>
      </c>
      <c r="Y96" s="2">
        <f>Y8/'Output-Calculation-sheet'!Y7*'Output-Calculation-sheet'!Y79</f>
        <v>315471016.21112537</v>
      </c>
      <c r="AA96" s="2">
        <f t="shared" si="8"/>
        <v>60.08514499630374</v>
      </c>
    </row>
    <row r="97" spans="1:27" x14ac:dyDescent="0.25">
      <c r="A97" s="2">
        <v>2032</v>
      </c>
      <c r="B97" s="2">
        <f>B9/'Output-Calculation-sheet'!B8*'Output-Calculation-sheet'!B80</f>
        <v>19968272063.236294</v>
      </c>
      <c r="C97" s="2">
        <f>C9/'Output-Calculation-sheet'!C8*'Output-Calculation-sheet'!C80</f>
        <v>6801301098.1619282</v>
      </c>
      <c r="D97" s="2">
        <f>D9/'Output-Calculation-sheet'!D8*'Output-Calculation-sheet'!D80</f>
        <v>6776834485.0320244</v>
      </c>
      <c r="E97" s="2">
        <f>E9/'Output-Calculation-sheet'!E8*'Output-Calculation-sheet'!E80</f>
        <v>12393816447.325052</v>
      </c>
      <c r="F97" s="2">
        <f>F9/'Output-Calculation-sheet'!F8*'Output-Calculation-sheet'!F80</f>
        <v>5119886578.2716742</v>
      </c>
      <c r="G97" s="2">
        <f>G9/'Output-Calculation-sheet'!G8*'Output-Calculation-sheet'!G80</f>
        <v>3875472851.4741054</v>
      </c>
      <c r="H97" s="2">
        <f>H9/'Output-Calculation-sheet'!H8*'Output-Calculation-sheet'!H80</f>
        <v>3409633332.6087952</v>
      </c>
      <c r="I97" s="2">
        <f>I9/'Output-Calculation-sheet'!I8*'Output-Calculation-sheet'!I80</f>
        <v>2804739838.2763739</v>
      </c>
      <c r="J97" s="2">
        <f>J9/'Output-Calculation-sheet'!J8*'Output-Calculation-sheet'!J80</f>
        <v>1843857564.9843912</v>
      </c>
      <c r="K97" s="2">
        <f>K9/'Output-Calculation-sheet'!K8*'Output-Calculation-sheet'!K80</f>
        <v>2658309169.2742572</v>
      </c>
      <c r="L97" s="2">
        <f>L9/'Output-Calculation-sheet'!L8*'Output-Calculation-sheet'!L80</f>
        <v>1934808721.9384711</v>
      </c>
      <c r="M97" s="2">
        <f>M9/'Output-Calculation-sheet'!M8*'Output-Calculation-sheet'!M80</f>
        <v>2552763650.7588992</v>
      </c>
      <c r="N97" s="2">
        <f>N9/'Output-Calculation-sheet'!N8*'Output-Calculation-sheet'!N80</f>
        <v>1865135155.3102188</v>
      </c>
      <c r="O97" s="2">
        <f>O9/'Output-Calculation-sheet'!O8*'Output-Calculation-sheet'!O80</f>
        <v>964898773.67631686</v>
      </c>
      <c r="P97" s="2">
        <f>P9/'Output-Calculation-sheet'!P8*'Output-Calculation-sheet'!P80</f>
        <v>3156967347.9801326</v>
      </c>
      <c r="Q97" s="2">
        <f>Q9/'Output-Calculation-sheet'!Q8*'Output-Calculation-sheet'!Q80</f>
        <v>1476708264.4764535</v>
      </c>
      <c r="R97" s="2">
        <f>R9/'Output-Calculation-sheet'!R8*'Output-Calculation-sheet'!R80</f>
        <v>1865817128.6891503</v>
      </c>
      <c r="S97" s="2">
        <f>S9/'Output-Calculation-sheet'!S8*'Output-Calculation-sheet'!S80</f>
        <v>1082914862.4588339</v>
      </c>
      <c r="T97" s="2">
        <f>T9/'Output-Calculation-sheet'!T8*'Output-Calculation-sheet'!T80</f>
        <v>815472976.5418961</v>
      </c>
      <c r="U97" s="2">
        <f>U9/'Output-Calculation-sheet'!U8*'Output-Calculation-sheet'!U80</f>
        <v>521326025.45849746</v>
      </c>
      <c r="V97" s="2">
        <f>V9/'Output-Calculation-sheet'!V8*'Output-Calculation-sheet'!V80</f>
        <v>273352299.07936078</v>
      </c>
      <c r="W97" s="2">
        <f>W9/'Output-Calculation-sheet'!W8*'Output-Calculation-sheet'!W80</f>
        <v>791633539.86394274</v>
      </c>
      <c r="X97" s="2">
        <f>X9/'Output-Calculation-sheet'!X8*'Output-Calculation-sheet'!X80</f>
        <v>284272834.66517627</v>
      </c>
      <c r="Y97" s="2">
        <f>Y9/'Output-Calculation-sheet'!Y8*'Output-Calculation-sheet'!Y80</f>
        <v>435133035.8015542</v>
      </c>
      <c r="AA97" s="2">
        <f t="shared" si="8"/>
        <v>83.673328045343808</v>
      </c>
    </row>
    <row r="98" spans="1:27" x14ac:dyDescent="0.25">
      <c r="A98" s="2">
        <v>2033</v>
      </c>
      <c r="B98" s="2">
        <f>B10/'Output-Calculation-sheet'!B9*'Output-Calculation-sheet'!B81</f>
        <v>25857562409.074036</v>
      </c>
      <c r="C98" s="2">
        <f>C10/'Output-Calculation-sheet'!C9*'Output-Calculation-sheet'!C81</f>
        <v>8865254636.839407</v>
      </c>
      <c r="D98" s="2">
        <f>D10/'Output-Calculation-sheet'!D9*'Output-Calculation-sheet'!D81</f>
        <v>8437022275.0875969</v>
      </c>
      <c r="E98" s="2">
        <f>E10/'Output-Calculation-sheet'!E9*'Output-Calculation-sheet'!E81</f>
        <v>15870569754.570684</v>
      </c>
      <c r="F98" s="2">
        <f>F10/'Output-Calculation-sheet'!F9*'Output-Calculation-sheet'!F81</f>
        <v>6545406575.6392183</v>
      </c>
      <c r="G98" s="2">
        <f>G10/'Output-Calculation-sheet'!G9*'Output-Calculation-sheet'!G81</f>
        <v>4805837771.8617039</v>
      </c>
      <c r="H98" s="2">
        <f>H10/'Output-Calculation-sheet'!H9*'Output-Calculation-sheet'!H81</f>
        <v>4354128286.1833096</v>
      </c>
      <c r="I98" s="2">
        <f>I10/'Output-Calculation-sheet'!I9*'Output-Calculation-sheet'!I81</f>
        <v>3619566057.8539472</v>
      </c>
      <c r="J98" s="2">
        <f>J10/'Output-Calculation-sheet'!J9*'Output-Calculation-sheet'!J81</f>
        <v>2314441767.3229218</v>
      </c>
      <c r="K98" s="2">
        <f>K10/'Output-Calculation-sheet'!K9*'Output-Calculation-sheet'!K81</f>
        <v>3361818450.5010495</v>
      </c>
      <c r="L98" s="2">
        <f>L10/'Output-Calculation-sheet'!L9*'Output-Calculation-sheet'!L81</f>
        <v>2521414160.4650092</v>
      </c>
      <c r="M98" s="2">
        <f>M10/'Output-Calculation-sheet'!M9*'Output-Calculation-sheet'!M81</f>
        <v>3269767529.4333105</v>
      </c>
      <c r="N98" s="2">
        <f>N10/'Output-Calculation-sheet'!N9*'Output-Calculation-sheet'!N81</f>
        <v>2345803078.1516776</v>
      </c>
      <c r="O98" s="2">
        <f>O10/'Output-Calculation-sheet'!O9*'Output-Calculation-sheet'!O81</f>
        <v>1242235257.3343093</v>
      </c>
      <c r="P98" s="2">
        <f>P10/'Output-Calculation-sheet'!P9*'Output-Calculation-sheet'!P81</f>
        <v>3969823453.6152997</v>
      </c>
      <c r="Q98" s="2">
        <f>Q10/'Output-Calculation-sheet'!Q9*'Output-Calculation-sheet'!Q81</f>
        <v>1866510350.5272889</v>
      </c>
      <c r="R98" s="2">
        <f>R10/'Output-Calculation-sheet'!R9*'Output-Calculation-sheet'!R81</f>
        <v>2387549119.3508906</v>
      </c>
      <c r="S98" s="2">
        <f>S10/'Output-Calculation-sheet'!S9*'Output-Calculation-sheet'!S81</f>
        <v>1380428467.3560553</v>
      </c>
      <c r="T98" s="2">
        <f>T10/'Output-Calculation-sheet'!T9*'Output-Calculation-sheet'!T81</f>
        <v>1024334713.0494229</v>
      </c>
      <c r="U98" s="2">
        <f>U10/'Output-Calculation-sheet'!U9*'Output-Calculation-sheet'!U81</f>
        <v>666498598.98204482</v>
      </c>
      <c r="V98" s="2">
        <f>V10/'Output-Calculation-sheet'!V9*'Output-Calculation-sheet'!V81</f>
        <v>352988881.70158327</v>
      </c>
      <c r="W98" s="2">
        <f>W10/'Output-Calculation-sheet'!W9*'Output-Calculation-sheet'!W81</f>
        <v>1000845260.8972317</v>
      </c>
      <c r="X98" s="2">
        <f>X10/'Output-Calculation-sheet'!X9*'Output-Calculation-sheet'!X81</f>
        <v>367780352.54083329</v>
      </c>
      <c r="Y98" s="2">
        <f>Y10/'Output-Calculation-sheet'!Y9*'Output-Calculation-sheet'!Y81</f>
        <v>550326705.5599432</v>
      </c>
      <c r="AA98" s="2">
        <f t="shared" si="8"/>
        <v>106.97791391389873</v>
      </c>
    </row>
    <row r="99" spans="1:27" x14ac:dyDescent="0.25">
      <c r="A99" s="2">
        <v>2034</v>
      </c>
      <c r="B99" s="2">
        <f>B11/'Output-Calculation-sheet'!B10*'Output-Calculation-sheet'!B82</f>
        <v>31543966861.936867</v>
      </c>
      <c r="C99" s="2">
        <f>C11/'Output-Calculation-sheet'!C10*'Output-Calculation-sheet'!C82</f>
        <v>10883962746.352383</v>
      </c>
      <c r="D99" s="2">
        <f>D11/'Output-Calculation-sheet'!D10*'Output-Calculation-sheet'!D82</f>
        <v>9901344613.5222206</v>
      </c>
      <c r="E99" s="2">
        <f>E11/'Output-Calculation-sheet'!E10*'Output-Calculation-sheet'!E82</f>
        <v>19153282916.443104</v>
      </c>
      <c r="F99" s="2">
        <f>F11/'Output-Calculation-sheet'!F10*'Output-Calculation-sheet'!F82</f>
        <v>7888255799.7106886</v>
      </c>
      <c r="G99" s="2">
        <f>G11/'Output-Calculation-sheet'!G10*'Output-Calculation-sheet'!G82</f>
        <v>5607988542.9849138</v>
      </c>
      <c r="H99" s="2">
        <f>H11/'Output-Calculation-sheet'!H10*'Output-Calculation-sheet'!H82</f>
        <v>5241683475.6505842</v>
      </c>
      <c r="I99" s="2">
        <f>I11/'Output-Calculation-sheet'!I10*'Output-Calculation-sheet'!I82</f>
        <v>4402649209.7170334</v>
      </c>
      <c r="J99" s="2">
        <f>J11/'Output-Calculation-sheet'!J10*'Output-Calculation-sheet'!J82</f>
        <v>2739766919.3741832</v>
      </c>
      <c r="K99" s="2">
        <f>K11/'Output-Calculation-sheet'!K10*'Output-Calculation-sheet'!K82</f>
        <v>4008638533.9635386</v>
      </c>
      <c r="L99" s="2">
        <f>L11/'Output-Calculation-sheet'!L10*'Output-Calculation-sheet'!L82</f>
        <v>3094962097.4967556</v>
      </c>
      <c r="M99" s="2">
        <f>M11/'Output-Calculation-sheet'!M10*'Output-Calculation-sheet'!M82</f>
        <v>3948463005.755826</v>
      </c>
      <c r="N99" s="2">
        <f>N11/'Output-Calculation-sheet'!N10*'Output-Calculation-sheet'!N82</f>
        <v>2781695876.8988934</v>
      </c>
      <c r="O99" s="2">
        <f>O11/'Output-Calculation-sheet'!O10*'Output-Calculation-sheet'!O82</f>
        <v>1508096936.8988681</v>
      </c>
      <c r="P99" s="2">
        <f>P11/'Output-Calculation-sheet'!P10*'Output-Calculation-sheet'!P82</f>
        <v>4701079798.0732784</v>
      </c>
      <c r="Q99" s="2">
        <f>Q11/'Output-Calculation-sheet'!Q10*'Output-Calculation-sheet'!Q82</f>
        <v>2224846378.8430243</v>
      </c>
      <c r="R99" s="2">
        <f>R11/'Output-Calculation-sheet'!R10*'Output-Calculation-sheet'!R82</f>
        <v>2880053348.3748608</v>
      </c>
      <c r="S99" s="2">
        <f>S11/'Output-Calculation-sheet'!S10*'Output-Calculation-sheet'!S82</f>
        <v>1658991244.8794565</v>
      </c>
      <c r="T99" s="2">
        <f>T11/'Output-Calculation-sheet'!T10*'Output-Calculation-sheet'!T82</f>
        <v>1212528641.1274388</v>
      </c>
      <c r="U99" s="2">
        <f>U11/'Output-Calculation-sheet'!U10*'Output-Calculation-sheet'!U82</f>
        <v>802960908.86422634</v>
      </c>
      <c r="V99" s="2">
        <f>V11/'Output-Calculation-sheet'!V10*'Output-Calculation-sheet'!V82</f>
        <v>429333187.12159282</v>
      </c>
      <c r="W99" s="2">
        <f>W11/'Output-Calculation-sheet'!W10*'Output-Calculation-sheet'!W82</f>
        <v>1190555959.6214299</v>
      </c>
      <c r="X99" s="2">
        <f>X11/'Output-Calculation-sheet'!X10*'Output-Calculation-sheet'!X82</f>
        <v>448396151.71017575</v>
      </c>
      <c r="Y99" s="2">
        <f>Y11/'Output-Calculation-sheet'!Y10*'Output-Calculation-sheet'!Y82</f>
        <v>655183378.36906719</v>
      </c>
      <c r="AA99" s="2">
        <f t="shared" si="8"/>
        <v>128.90868653369037</v>
      </c>
    </row>
    <row r="100" spans="1:27" x14ac:dyDescent="0.25">
      <c r="A100" s="2">
        <v>2035</v>
      </c>
      <c r="B100" s="2">
        <f>B12/'Output-Calculation-sheet'!B11*'Output-Calculation-sheet'!B83</f>
        <v>36841912855.707329</v>
      </c>
      <c r="C100" s="2">
        <f>C12/'Output-Calculation-sheet'!C11*'Output-Calculation-sheet'!C83</f>
        <v>12790913743.511799</v>
      </c>
      <c r="D100" s="2">
        <f>D12/'Output-Calculation-sheet'!D11*'Output-Calculation-sheet'!D83</f>
        <v>11132850335.477957</v>
      </c>
      <c r="E100" s="2">
        <f>E12/'Output-Calculation-sheet'!E11*'Output-Calculation-sheet'!E83</f>
        <v>22140366720.695869</v>
      </c>
      <c r="F100" s="2">
        <f>F12/'Output-Calculation-sheet'!F11*'Output-Calculation-sheet'!F83</f>
        <v>9107664068.6451225</v>
      </c>
      <c r="G100" s="2">
        <f>G12/'Output-Calculation-sheet'!G11*'Output-Calculation-sheet'!G83</f>
        <v>6258738648.7079</v>
      </c>
      <c r="H100" s="2">
        <f>H12/'Output-Calculation-sheet'!H11*'Output-Calculation-sheet'!H83</f>
        <v>6045473806.2833338</v>
      </c>
      <c r="I100" s="2">
        <f>I12/'Output-Calculation-sheet'!I11*'Output-Calculation-sheet'!I83</f>
        <v>5129465116.6213322</v>
      </c>
      <c r="J100" s="2">
        <f>J12/'Output-Calculation-sheet'!J11*'Output-Calculation-sheet'!J83</f>
        <v>3108676635.4241319</v>
      </c>
      <c r="K100" s="2">
        <f>K12/'Output-Calculation-sheet'!K11*'Output-Calculation-sheet'!K83</f>
        <v>4580404850.6190996</v>
      </c>
      <c r="L100" s="2">
        <f>L12/'Output-Calculation-sheet'!L11*'Output-Calculation-sheet'!L83</f>
        <v>3636580279.4234719</v>
      </c>
      <c r="M100" s="2">
        <f>M12/'Output-Calculation-sheet'!M11*'Output-Calculation-sheet'!M83</f>
        <v>4568350666.8791027</v>
      </c>
      <c r="N100" s="2">
        <f>N12/'Output-Calculation-sheet'!N11*'Output-Calculation-sheet'!N83</f>
        <v>3160937841.8715158</v>
      </c>
      <c r="O100" s="2">
        <f>O12/'Output-Calculation-sheet'!O11*'Output-Calculation-sheet'!O83</f>
        <v>1754521207.272521</v>
      </c>
      <c r="P100" s="2">
        <f>P12/'Output-Calculation-sheet'!P11*'Output-Calculation-sheet'!P83</f>
        <v>5328605574.7170258</v>
      </c>
      <c r="Q100" s="2">
        <f>Q12/'Output-Calculation-sheet'!Q11*'Output-Calculation-sheet'!Q83</f>
        <v>2541769286.266778</v>
      </c>
      <c r="R100" s="2">
        <f>R12/'Output-Calculation-sheet'!R11*'Output-Calculation-sheet'!R83</f>
        <v>3328305212.0995164</v>
      </c>
      <c r="S100" s="2">
        <f>S12/'Output-Calculation-sheet'!S11*'Output-Calculation-sheet'!S83</f>
        <v>1910276186.3069568</v>
      </c>
      <c r="T100" s="2">
        <f>T12/'Output-Calculation-sheet'!T11*'Output-Calculation-sheet'!T83</f>
        <v>1374736990.132504</v>
      </c>
      <c r="U100" s="2">
        <f>U12/'Output-Calculation-sheet'!U11*'Output-Calculation-sheet'!U83</f>
        <v>926417077.86966681</v>
      </c>
      <c r="V100" s="2">
        <f>V12/'Output-Calculation-sheet'!V11*'Output-Calculation-sheet'!V83</f>
        <v>499855839.70060515</v>
      </c>
      <c r="W100" s="2">
        <f>W12/'Output-Calculation-sheet'!W11*'Output-Calculation-sheet'!W83</f>
        <v>1354232270.6166344</v>
      </c>
      <c r="X100" s="2">
        <f>X12/'Output-Calculation-sheet'!X11*'Output-Calculation-sheet'!X83</f>
        <v>523559059.11706185</v>
      </c>
      <c r="Y100" s="2">
        <f>Y12/'Output-Calculation-sheet'!Y11*'Output-Calculation-sheet'!Y83</f>
        <v>746262814.81454301</v>
      </c>
      <c r="AA100" s="2">
        <f t="shared" si="8"/>
        <v>148.7908770887818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1245.2060664341511</v>
      </c>
      <c r="C19" s="2">
        <f>C8/'Output-Calculation-sheet'!C7*'Output-Calculation-sheet'!C25</f>
        <v>11605.028195947063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5587.1848731002792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3881.8765912404606</v>
      </c>
      <c r="N19" s="2">
        <f>N8/'Output-Calculation-sheet'!N7*'Output-Calculation-sheet'!N25</f>
        <v>1329.0342402712099</v>
      </c>
      <c r="O19" s="2">
        <f>O8/'Output-Calculation-sheet'!O7*'Output-Calculation-sheet'!O25</f>
        <v>2058.6420368927056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474.22039729743619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434.36860498457344</v>
      </c>
      <c r="Y19" s="2">
        <f>Y8/'Output-Calculation-sheet'!Y7*'Output-Calculation-sheet'!Y25</f>
        <v>0</v>
      </c>
      <c r="AA19" s="2">
        <f t="shared" si="0"/>
        <v>26.615561006167876</v>
      </c>
    </row>
    <row r="20" spans="1:27" x14ac:dyDescent="0.25">
      <c r="A20" s="2">
        <v>2032</v>
      </c>
      <c r="B20" s="2">
        <f>B9/'Output-Calculation-sheet'!B8*'Output-Calculation-sheet'!B26</f>
        <v>6641.5939850749764</v>
      </c>
      <c r="C20" s="2">
        <f>C9/'Output-Calculation-sheet'!C8*'Output-Calculation-sheet'!C26</f>
        <v>13499.381565899615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7225.589117020555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5025.2922915762047</v>
      </c>
      <c r="N20" s="2">
        <f>N9/'Output-Calculation-sheet'!N8*'Output-Calculation-sheet'!N26</f>
        <v>2265.8065838188249</v>
      </c>
      <c r="O20" s="2">
        <f>O9/'Output-Calculation-sheet'!O8*'Output-Calculation-sheet'!O26</f>
        <v>2350.5890873127146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819.24884370662619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561.66176975225903</v>
      </c>
      <c r="Y20" s="2">
        <f>Y9/'Output-Calculation-sheet'!Y8*'Output-Calculation-sheet'!Y26</f>
        <v>0</v>
      </c>
      <c r="AA20" s="2">
        <f t="shared" si="0"/>
        <v>38.389163244161779</v>
      </c>
    </row>
    <row r="21" spans="1:27" x14ac:dyDescent="0.25">
      <c r="A21" s="2">
        <v>2033</v>
      </c>
      <c r="B21" s="2">
        <f>B10/'Output-Calculation-sheet'!B9*'Output-Calculation-sheet'!B27</f>
        <v>13988.005813630834</v>
      </c>
      <c r="C21" s="2">
        <f>C10/'Output-Calculation-sheet'!C9*'Output-Calculation-sheet'!C27</f>
        <v>14260.002787793055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8086.8226447518646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5616.8625007756809</v>
      </c>
      <c r="N21" s="2">
        <f>N10/'Output-Calculation-sheet'!N9*'Output-Calculation-sheet'!N27</f>
        <v>3056.3593699001563</v>
      </c>
      <c r="O21" s="2">
        <f>O10/'Output-Calculation-sheet'!O9*'Output-Calculation-sheet'!O27</f>
        <v>2371.0209665574548</v>
      </c>
      <c r="P21" s="2">
        <f>P10/'Output-Calculation-sheet'!P9*'Output-Calculation-sheet'!P27</f>
        <v>0</v>
      </c>
      <c r="Q21" s="2">
        <f>Q10/'Output-Calculation-sheet'!Q9*'Output-Calculation-sheet'!Q27</f>
        <v>208.72516463294423</v>
      </c>
      <c r="R21" s="2">
        <f>R10/'Output-Calculation-sheet'!R9*'Output-Calculation-sheet'!R27</f>
        <v>0</v>
      </c>
      <c r="S21" s="2">
        <f>S10/'Output-Calculation-sheet'!S9*'Output-Calculation-sheet'!S27</f>
        <v>1337.4456194999054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660.45518816448362</v>
      </c>
      <c r="Y21" s="2">
        <f>Y10/'Output-Calculation-sheet'!Y9*'Output-Calculation-sheet'!Y27</f>
        <v>0</v>
      </c>
      <c r="AA21" s="2">
        <f t="shared" si="0"/>
        <v>49.58570005570639</v>
      </c>
    </row>
    <row r="22" spans="1:27" x14ac:dyDescent="0.25">
      <c r="A22" s="2">
        <v>2034</v>
      </c>
      <c r="B22" s="2">
        <f>B11/'Output-Calculation-sheet'!B10*'Output-Calculation-sheet'!B28</f>
        <v>19468.961177384674</v>
      </c>
      <c r="C22" s="2">
        <f>C11/'Output-Calculation-sheet'!C10*'Output-Calculation-sheet'!C28</f>
        <v>13901.238933742969</v>
      </c>
      <c r="D22" s="2">
        <f>D11/'Output-Calculation-sheet'!D10*'Output-Calculation-sheet'!D28</f>
        <v>0</v>
      </c>
      <c r="E22" s="2">
        <f>E11/'Output-Calculation-sheet'!E10*'Output-Calculation-sheet'!E28</f>
        <v>1126.05268248414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8184.5589096082649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559.16393529426932</v>
      </c>
      <c r="M22" s="2">
        <f>M11/'Output-Calculation-sheet'!M10*'Output-Calculation-sheet'!M28</f>
        <v>5686.1582697495505</v>
      </c>
      <c r="N22" s="2">
        <f>N11/'Output-Calculation-sheet'!N10*'Output-Calculation-sheet'!N28</f>
        <v>3301.3265146058766</v>
      </c>
      <c r="O22" s="2">
        <f>O11/'Output-Calculation-sheet'!O10*'Output-Calculation-sheet'!O28</f>
        <v>2139.5508407194429</v>
      </c>
      <c r="P22" s="2">
        <f>P11/'Output-Calculation-sheet'!P10*'Output-Calculation-sheet'!P28</f>
        <v>0</v>
      </c>
      <c r="Q22" s="2">
        <f>Q11/'Output-Calculation-sheet'!Q10*'Output-Calculation-sheet'!Q28</f>
        <v>493.56399632468521</v>
      </c>
      <c r="R22" s="2">
        <f>R11/'Output-Calculation-sheet'!R10*'Output-Calculation-sheet'!R28</f>
        <v>0</v>
      </c>
      <c r="S22" s="2">
        <f>S11/'Output-Calculation-sheet'!S10*'Output-Calculation-sheet'!S28</f>
        <v>1542.0064269117929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592.1797933914271</v>
      </c>
      <c r="Y22" s="2">
        <f>Y11/'Output-Calculation-sheet'!Y10*'Output-Calculation-sheet'!Y28</f>
        <v>62.348289034630412</v>
      </c>
      <c r="AA22" s="2">
        <f t="shared" si="0"/>
        <v>57.057109769251717</v>
      </c>
    </row>
    <row r="23" spans="1:27" x14ac:dyDescent="0.25">
      <c r="A23" s="2">
        <v>2035</v>
      </c>
      <c r="B23" s="2">
        <f>B12/'Output-Calculation-sheet'!B11*'Output-Calculation-sheet'!B29</f>
        <v>17194.163118934262</v>
      </c>
      <c r="C23" s="2">
        <f>C12/'Output-Calculation-sheet'!C11*'Output-Calculation-sheet'!C29</f>
        <v>12541.676356872053</v>
      </c>
      <c r="D23" s="2">
        <f>D12/'Output-Calculation-sheet'!D11*'Output-Calculation-sheet'!D29</f>
        <v>0</v>
      </c>
      <c r="E23" s="2">
        <f>E12/'Output-Calculation-sheet'!E11*'Output-Calculation-sheet'!E29</f>
        <v>2187.2552988545376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6295.5926033317055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517.70672704549008</v>
      </c>
      <c r="M23" s="2">
        <f>M12/'Output-Calculation-sheet'!M11*'Output-Calculation-sheet'!M29</f>
        <v>4438.7977450814142</v>
      </c>
      <c r="N23" s="2">
        <f>N12/'Output-Calculation-sheet'!N11*'Output-Calculation-sheet'!N29</f>
        <v>2615.4978733362991</v>
      </c>
      <c r="O23" s="2">
        <f>O12/'Output-Calculation-sheet'!O11*'Output-Calculation-sheet'!O29</f>
        <v>1730.3812617163105</v>
      </c>
      <c r="P23" s="2">
        <f>P12/'Output-Calculation-sheet'!P11*'Output-Calculation-sheet'!P29</f>
        <v>368.9354427522735</v>
      </c>
      <c r="Q23" s="2">
        <f>Q12/'Output-Calculation-sheet'!Q11*'Output-Calculation-sheet'!Q29</f>
        <v>558.81124318269428</v>
      </c>
      <c r="R23" s="2">
        <f>R12/'Output-Calculation-sheet'!R11*'Output-Calculation-sheet'!R29</f>
        <v>0</v>
      </c>
      <c r="S23" s="2">
        <f>S12/'Output-Calculation-sheet'!S11*'Output-Calculation-sheet'!S29</f>
        <v>1279.0616489708286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461.11724321199665</v>
      </c>
      <c r="Y23" s="2">
        <f>Y12/'Output-Calculation-sheet'!Y11*'Output-Calculation-sheet'!Y29</f>
        <v>117.09029722545831</v>
      </c>
      <c r="AA23" s="2">
        <f t="shared" si="0"/>
        <v>50.306086860515329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21703.537237293542</v>
      </c>
      <c r="C30" s="2">
        <f>C8/'Output-Calculation-sheet'!C7*'Output-Calculation-sheet'!C16</f>
        <v>0</v>
      </c>
      <c r="D30" s="2">
        <f>D8/'Output-Calculation-sheet'!D7*'Output-Calculation-sheet'!D16</f>
        <v>3654.5887574843405</v>
      </c>
      <c r="E30" s="2">
        <f>E8/'Output-Calculation-sheet'!E7*'Output-Calculation-sheet'!E16</f>
        <v>3932.1310266165328</v>
      </c>
      <c r="F30" s="2">
        <f>F8/'Output-Calculation-sheet'!F7*'Output-Calculation-sheet'!F16</f>
        <v>1983.7810268674946</v>
      </c>
      <c r="G30" s="2">
        <f>G8/'Output-Calculation-sheet'!G7*'Output-Calculation-sheet'!G16</f>
        <v>1299.1409557209163</v>
      </c>
      <c r="H30" s="2">
        <f>H8/'Output-Calculation-sheet'!H7*'Output-Calculation-sheet'!H16</f>
        <v>0</v>
      </c>
      <c r="I30" s="2">
        <f>I8/'Output-Calculation-sheet'!I7*'Output-Calculation-sheet'!I16</f>
        <v>1266.4679097525275</v>
      </c>
      <c r="J30" s="2">
        <f>J8/'Output-Calculation-sheet'!J7*'Output-Calculation-sheet'!J16</f>
        <v>1127.3999609545099</v>
      </c>
      <c r="K30" s="2">
        <f>K8/'Output-Calculation-sheet'!K7*'Output-Calculation-sheet'!K16</f>
        <v>1505.2944388867145</v>
      </c>
      <c r="L30" s="2">
        <f>L8/'Output-Calculation-sheet'!L7*'Output-Calculation-sheet'!L16</f>
        <v>1271.4844100012049</v>
      </c>
      <c r="M30" s="2">
        <f>M8/'Output-Calculation-sheet'!M7*'Output-Calculation-sheet'!M16</f>
        <v>0</v>
      </c>
      <c r="N30" s="2">
        <f>N8/'Output-Calculation-sheet'!N7*'Output-Calculation-sheet'!N16</f>
        <v>1806.0364834064092</v>
      </c>
      <c r="O30" s="2">
        <f>O8/'Output-Calculation-sheet'!O7*'Output-Calculation-sheet'!O16</f>
        <v>0</v>
      </c>
      <c r="P30" s="2">
        <f>P8/'Output-Calculation-sheet'!P7*'Output-Calculation-sheet'!P16</f>
        <v>1623.2063304962246</v>
      </c>
      <c r="Q30" s="2">
        <f>Q8/'Output-Calculation-sheet'!Q7*'Output-Calculation-sheet'!Q16</f>
        <v>1784.9908836911525</v>
      </c>
      <c r="R30" s="2">
        <f>R8/'Output-Calculation-sheet'!R7*'Output-Calculation-sheet'!R16</f>
        <v>1132.5844739581023</v>
      </c>
      <c r="S30" s="2">
        <f>S8/'Output-Calculation-sheet'!S7*'Output-Calculation-sheet'!S16</f>
        <v>1139.0478700885742</v>
      </c>
      <c r="T30" s="2">
        <f>T8/'Output-Calculation-sheet'!T7*'Output-Calculation-sheet'!T16</f>
        <v>339.98557904038717</v>
      </c>
      <c r="U30" s="2">
        <f>U8/'Output-Calculation-sheet'!U7*'Output-Calculation-sheet'!U16</f>
        <v>339.37786343910676</v>
      </c>
      <c r="V30" s="2">
        <f>V8/'Output-Calculation-sheet'!V7*'Output-Calculation-sheet'!V16</f>
        <v>264.13134006004032</v>
      </c>
      <c r="W30" s="2">
        <f>W8/'Output-Calculation-sheet'!W7*'Output-Calculation-sheet'!W16</f>
        <v>160.20897327707809</v>
      </c>
      <c r="X30" s="2">
        <f>X8/'Output-Calculation-sheet'!X7*'Output-Calculation-sheet'!X16</f>
        <v>0</v>
      </c>
      <c r="Y30" s="2">
        <f>Y8/'Output-Calculation-sheet'!Y7*'Output-Calculation-sheet'!Y16</f>
        <v>135.59868214589898</v>
      </c>
      <c r="AA30" s="2">
        <f t="shared" si="1"/>
        <v>46.468994203180742</v>
      </c>
    </row>
    <row r="31" spans="1:27" x14ac:dyDescent="0.25">
      <c r="A31" s="2">
        <v>2032</v>
      </c>
      <c r="B31" s="2">
        <f>B9/'Output-Calculation-sheet'!B8*'Output-Calculation-sheet'!B17</f>
        <v>28122.703232383756</v>
      </c>
      <c r="C31" s="2">
        <f>C9/'Output-Calculation-sheet'!C8*'Output-Calculation-sheet'!C17</f>
        <v>0</v>
      </c>
      <c r="D31" s="2">
        <f>D9/'Output-Calculation-sheet'!D8*'Output-Calculation-sheet'!D17</f>
        <v>4716.5465730263959</v>
      </c>
      <c r="E31" s="2">
        <f>E9/'Output-Calculation-sheet'!E8*'Output-Calculation-sheet'!E17</f>
        <v>5543.6560832625137</v>
      </c>
      <c r="F31" s="2">
        <f>F9/'Output-Calculation-sheet'!F8*'Output-Calculation-sheet'!F17</f>
        <v>2560.2945035527182</v>
      </c>
      <c r="G31" s="2">
        <f>G9/'Output-Calculation-sheet'!G8*'Output-Calculation-sheet'!G17</f>
        <v>1676.6732754109948</v>
      </c>
      <c r="H31" s="2">
        <f>H9/'Output-Calculation-sheet'!H8*'Output-Calculation-sheet'!H17</f>
        <v>0</v>
      </c>
      <c r="I31" s="2">
        <f>I9/'Output-Calculation-sheet'!I8*'Output-Calculation-sheet'!I17</f>
        <v>1634.5130489843473</v>
      </c>
      <c r="J31" s="2">
        <f>J9/'Output-Calculation-sheet'!J8*'Output-Calculation-sheet'!J17</f>
        <v>1455.0316656009397</v>
      </c>
      <c r="K31" s="2">
        <f>K9/'Output-Calculation-sheet'!K8*'Output-Calculation-sheet'!K17</f>
        <v>2071.5787598862325</v>
      </c>
      <c r="L31" s="2">
        <f>L9/'Output-Calculation-sheet'!L8*'Output-Calculation-sheet'!L17</f>
        <v>1766.6925078445104</v>
      </c>
      <c r="M31" s="2">
        <f>M9/'Output-Calculation-sheet'!M8*'Output-Calculation-sheet'!M17</f>
        <v>0</v>
      </c>
      <c r="N31" s="2">
        <f>N9/'Output-Calculation-sheet'!N8*'Output-Calculation-sheet'!N17</f>
        <v>1920.5754461929221</v>
      </c>
      <c r="O31" s="2">
        <f>O9/'Output-Calculation-sheet'!O8*'Output-Calculation-sheet'!O17</f>
        <v>0</v>
      </c>
      <c r="P31" s="2">
        <f>P9/'Output-Calculation-sheet'!P8*'Output-Calculation-sheet'!P17</f>
        <v>2383.7322232882889</v>
      </c>
      <c r="Q31" s="2">
        <f>Q9/'Output-Calculation-sheet'!Q8*'Output-Calculation-sheet'!Q17</f>
        <v>2541.2775600705536</v>
      </c>
      <c r="R31" s="2">
        <f>R9/'Output-Calculation-sheet'!R8*'Output-Calculation-sheet'!R17</f>
        <v>1662.6380847600949</v>
      </c>
      <c r="S31" s="2">
        <f>S9/'Output-Calculation-sheet'!S8*'Output-Calculation-sheet'!S17</f>
        <v>1435.7153457556633</v>
      </c>
      <c r="T31" s="2">
        <f>T9/'Output-Calculation-sheet'!T8*'Output-Calculation-sheet'!T17</f>
        <v>451.16899165494476</v>
      </c>
      <c r="U31" s="2">
        <f>U9/'Output-Calculation-sheet'!U8*'Output-Calculation-sheet'!U17</f>
        <v>518.53700479066026</v>
      </c>
      <c r="V31" s="2">
        <f>V9/'Output-Calculation-sheet'!V8*'Output-Calculation-sheet'!V17</f>
        <v>371.40345251312772</v>
      </c>
      <c r="W31" s="2">
        <f>W9/'Output-Calculation-sheet'!W8*'Output-Calculation-sheet'!W17</f>
        <v>206.76906501013983</v>
      </c>
      <c r="X31" s="2">
        <f>X9/'Output-Calculation-sheet'!X8*'Output-Calculation-sheet'!X17</f>
        <v>0</v>
      </c>
      <c r="Y31" s="2">
        <f>Y9/'Output-Calculation-sheet'!Y8*'Output-Calculation-sheet'!Y17</f>
        <v>199.78371384608005</v>
      </c>
      <c r="AA31" s="2">
        <f t="shared" si="1"/>
        <v>61.23929053783489</v>
      </c>
    </row>
    <row r="32" spans="1:27" x14ac:dyDescent="0.25">
      <c r="A32" s="2">
        <v>2033</v>
      </c>
      <c r="B32" s="2">
        <f>B10/'Output-Calculation-sheet'!B9*'Output-Calculation-sheet'!B18</f>
        <v>28350.864730856243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1739.0507402921492</v>
      </c>
      <c r="O32" s="2">
        <f>O10/'Output-Calculation-sheet'!O9*'Output-Calculation-sheet'!O18</f>
        <v>0</v>
      </c>
      <c r="P32" s="2">
        <f>P10/'Output-Calculation-sheet'!P9*'Output-Calculation-sheet'!P18</f>
        <v>2782.9058434609065</v>
      </c>
      <c r="Q32" s="2">
        <f>Q10/'Output-Calculation-sheet'!Q9*'Output-Calculation-sheet'!Q18</f>
        <v>3032.3961336508869</v>
      </c>
      <c r="R32" s="2">
        <f>R10/'Output-Calculation-sheet'!R9*'Output-Calculation-sheet'!R18</f>
        <v>1997.9999057707123</v>
      </c>
      <c r="S32" s="2">
        <f>S10/'Output-Calculation-sheet'!S9*'Output-Calculation-sheet'!S18</f>
        <v>1307.661696844423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645.9663231143644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68.164496960105069</v>
      </c>
    </row>
    <row r="33" spans="1:27" x14ac:dyDescent="0.25">
      <c r="A33" s="2">
        <v>2034</v>
      </c>
      <c r="B33" s="2">
        <f>B11/'Output-Calculation-sheet'!B10*'Output-Calculation-sheet'!B19</f>
        <v>22310.837997015635</v>
      </c>
      <c r="C33" s="2">
        <f>C11/'Output-Calculation-sheet'!C10*'Output-Calculation-sheet'!C19</f>
        <v>0</v>
      </c>
      <c r="D33" s="2">
        <f>D11/'Output-Calculation-sheet'!D10*'Output-Calculation-sheet'!D19</f>
        <v>6754.118519940127</v>
      </c>
      <c r="E33" s="2">
        <f>E11/'Output-Calculation-sheet'!E10*'Output-Calculation-sheet'!E19</f>
        <v>8375.4748833077902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2294.979520018358</v>
      </c>
      <c r="H33" s="2">
        <f>H11/'Output-Calculation-sheet'!H10*'Output-Calculation-sheet'!H19</f>
        <v>0</v>
      </c>
      <c r="I33" s="2">
        <f>I11/'Output-Calculation-sheet'!I10*'Output-Calculation-sheet'!I19</f>
        <v>2507.9184413655466</v>
      </c>
      <c r="J33" s="2">
        <f>J11/'Output-Calculation-sheet'!J10*'Output-Calculation-sheet'!J19</f>
        <v>2121.7665207349105</v>
      </c>
      <c r="K33" s="2">
        <f>K11/'Output-Calculation-sheet'!K10*'Output-Calculation-sheet'!K19</f>
        <v>2937.7877807612958</v>
      </c>
      <c r="L33" s="2">
        <f>L11/'Output-Calculation-sheet'!L10*'Output-Calculation-sheet'!L19</f>
        <v>2320.6672251839964</v>
      </c>
      <c r="M33" s="2">
        <f>M11/'Output-Calculation-sheet'!M10*'Output-Calculation-sheet'!M19</f>
        <v>0</v>
      </c>
      <c r="N33" s="2">
        <f>N11/'Output-Calculation-sheet'!N10*'Output-Calculation-sheet'!N19</f>
        <v>1388.0130511021293</v>
      </c>
      <c r="O33" s="2">
        <f>O11/'Output-Calculation-sheet'!O10*'Output-Calculation-sheet'!O19</f>
        <v>0</v>
      </c>
      <c r="P33" s="2">
        <f>P11/'Output-Calculation-sheet'!P10*'Output-Calculation-sheet'!P19</f>
        <v>2972.9250931699426</v>
      </c>
      <c r="Q33" s="2">
        <f>Q11/'Output-Calculation-sheet'!Q10*'Output-Calculation-sheet'!Q19</f>
        <v>2455.1099162531459</v>
      </c>
      <c r="R33" s="2">
        <f>R11/'Output-Calculation-sheet'!R10*'Output-Calculation-sheet'!R19</f>
        <v>2122.7175935016548</v>
      </c>
      <c r="S33" s="2">
        <f>S11/'Output-Calculation-sheet'!S10*'Output-Calculation-sheet'!S19</f>
        <v>1042.7221207391697</v>
      </c>
      <c r="T33" s="2">
        <f>T11/'Output-Calculation-sheet'!T10*'Output-Calculation-sheet'!T19</f>
        <v>622.82173737497362</v>
      </c>
      <c r="U33" s="2">
        <f>U11/'Output-Calculation-sheet'!U10*'Output-Calculation-sheet'!U19</f>
        <v>670.44650568670397</v>
      </c>
      <c r="V33" s="2">
        <f>V11/'Output-Calculation-sheet'!V10*'Output-Calculation-sheet'!V19</f>
        <v>488.53071517380181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0</v>
      </c>
      <c r="Y33" s="2">
        <f>Y11/'Output-Calculation-sheet'!Y10*'Output-Calculation-sheet'!Y19</f>
        <v>274.1287733142571</v>
      </c>
      <c r="AA33" s="2">
        <f t="shared" si="1"/>
        <v>65.797728066425492</v>
      </c>
    </row>
    <row r="34" spans="1:27" x14ac:dyDescent="0.25">
      <c r="A34" s="2">
        <v>2035</v>
      </c>
      <c r="B34" s="2">
        <f>B12/'Output-Calculation-sheet'!B11*'Output-Calculation-sheet'!B20</f>
        <v>16325.245452312221</v>
      </c>
      <c r="C34" s="2">
        <f>C12/'Output-Calculation-sheet'!C11*'Output-Calculation-sheet'!C20</f>
        <v>0</v>
      </c>
      <c r="D34" s="2">
        <f>D12/'Output-Calculation-sheet'!D11*'Output-Calculation-sheet'!D20</f>
        <v>5008.4668724065277</v>
      </c>
      <c r="E34" s="2">
        <f>E12/'Output-Calculation-sheet'!E11*'Output-Calculation-sheet'!E20</f>
        <v>5903.7300192283028</v>
      </c>
      <c r="F34" s="2">
        <f>F12/'Output-Calculation-sheet'!F11*'Output-Calculation-sheet'!F20</f>
        <v>3378.3388771745281</v>
      </c>
      <c r="G34" s="2">
        <f>G12/'Output-Calculation-sheet'!G11*'Output-Calculation-sheet'!G20</f>
        <v>1809.2129986366951</v>
      </c>
      <c r="H34" s="2">
        <f>H12/'Output-Calculation-sheet'!H11*'Output-Calculation-sheet'!H20</f>
        <v>0</v>
      </c>
      <c r="I34" s="2">
        <f>I12/'Output-Calculation-sheet'!I11*'Output-Calculation-sheet'!I20</f>
        <v>2012.3200748795273</v>
      </c>
      <c r="J34" s="2">
        <f>J12/'Output-Calculation-sheet'!J11*'Output-Calculation-sheet'!J20</f>
        <v>1568.5944680954801</v>
      </c>
      <c r="K34" s="2">
        <f>K12/'Output-Calculation-sheet'!K11*'Output-Calculation-sheet'!K20</f>
        <v>2318.5812761941697</v>
      </c>
      <c r="L34" s="2">
        <f>L12/'Output-Calculation-sheet'!L11*'Output-Calculation-sheet'!L20</f>
        <v>1771.9699652520897</v>
      </c>
      <c r="M34" s="2">
        <f>M12/'Output-Calculation-sheet'!M11*'Output-Calculation-sheet'!M20</f>
        <v>0</v>
      </c>
      <c r="N34" s="2">
        <f>N12/'Output-Calculation-sheet'!N11*'Output-Calculation-sheet'!N20</f>
        <v>1028.2798195148739</v>
      </c>
      <c r="O34" s="2">
        <f>O12/'Output-Calculation-sheet'!O11*'Output-Calculation-sheet'!O20</f>
        <v>0</v>
      </c>
      <c r="P34" s="2">
        <f>P12/'Output-Calculation-sheet'!P11*'Output-Calculation-sheet'!P20</f>
        <v>2204.4552041021966</v>
      </c>
      <c r="Q34" s="2">
        <f>Q12/'Output-Calculation-sheet'!Q11*'Output-Calculation-sheet'!Q20</f>
        <v>1816.052586067422</v>
      </c>
      <c r="R34" s="2">
        <f>R12/'Output-Calculation-sheet'!R11*'Output-Calculation-sheet'!R20</f>
        <v>1704.7219423581359</v>
      </c>
      <c r="S34" s="2">
        <f>S12/'Output-Calculation-sheet'!S11*'Output-Calculation-sheet'!S20</f>
        <v>727.37047262885233</v>
      </c>
      <c r="T34" s="2">
        <f>T12/'Output-Calculation-sheet'!T11*'Output-Calculation-sheet'!T20</f>
        <v>544.97718264842899</v>
      </c>
      <c r="U34" s="2">
        <f>U12/'Output-Calculation-sheet'!U11*'Output-Calculation-sheet'!U20</f>
        <v>508.40490779881571</v>
      </c>
      <c r="V34" s="2">
        <f>V12/'Output-Calculation-sheet'!V11*'Output-Calculation-sheet'!V20</f>
        <v>377.5508017076906</v>
      </c>
      <c r="W34" s="2">
        <f>W12/'Output-Calculation-sheet'!W11*'Output-Calculation-sheet'!W20</f>
        <v>300.66474507398141</v>
      </c>
      <c r="X34" s="2">
        <f>X12/'Output-Calculation-sheet'!X11*'Output-Calculation-sheet'!X20</f>
        <v>11.785616979139727</v>
      </c>
      <c r="Y34" s="2">
        <f>Y12/'Output-Calculation-sheet'!Y11*'Output-Calculation-sheet'!Y20</f>
        <v>175.9287125586967</v>
      </c>
      <c r="AA34" s="2">
        <f t="shared" si="1"/>
        <v>49.496651995617775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2.3660858002252838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0.45966681788596414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2.825752618111248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3.6644086796870137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0.71189602552242959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4.376304705209443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4.5450208088583448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0.66223145381112769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5.2072522626694724</v>
      </c>
    </row>
    <row r="44" spans="1:27" x14ac:dyDescent="0.25">
      <c r="A44" s="2">
        <v>2034</v>
      </c>
      <c r="B44" s="2">
        <f>B11/'Output-Calculation-sheet'!B10*'Output-Calculation-sheet'!B37*0.0114</f>
        <v>2.0165190927295509</v>
      </c>
      <c r="C44" s="2">
        <f>C11/'Output-Calculation-sheet'!C10*'Output-Calculation-sheet'!C37*0.0114</f>
        <v>3.8283397474252889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0.2946205511018094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0.21377922269617916</v>
      </c>
      <c r="M44" s="2">
        <f>M11/'Output-Calculation-sheet'!M10*'Output-Calculation-sheet'!M37*0.0114</f>
        <v>0.2027277694296947</v>
      </c>
      <c r="N44" s="2">
        <f>N11/'Output-Calculation-sheet'!N10*'Output-Calculation-sheet'!N37*0.0114</f>
        <v>0.19924886712288956</v>
      </c>
      <c r="O44" s="2">
        <f>O11/'Output-Calculation-sheet'!O10*'Output-Calculation-sheet'!O37*0.0114</f>
        <v>0.74374342186483056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0.17457198219420469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0.11421601899040627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5.5699128885727582E-2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2.2239736071152497E-2</v>
      </c>
      <c r="Y44" s="2">
        <f>Y11/'Output-Calculation-sheet'!Y10*'Output-Calculation-sheet'!Y37*0.0114</f>
        <v>0</v>
      </c>
      <c r="AA44" s="2">
        <f t="shared" si="2"/>
        <v>7.8657055385117349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2.8949801916150708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0.56241676966908605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3.363525686874274E-2</v>
      </c>
      <c r="Y45" s="2">
        <f>Y12/'Output-Calculation-sheet'!Y11*'Output-Calculation-sheet'!Y38*0.0114</f>
        <v>1.6229323367987363E-2</v>
      </c>
      <c r="AA45" s="2">
        <f t="shared" si="2"/>
        <v>8.676159250492093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7922.4567949826151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5407.462422607141</v>
      </c>
      <c r="N52" s="2">
        <f>N8/'Output-Calculation-sheet'!N7*'Output-Calculation-sheet'!N43</f>
        <v>172.83472734641936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696.90347939832964</v>
      </c>
      <c r="Y52" s="2">
        <f>Y8/'Output-Calculation-sheet'!Y7*'Output-Calculation-sheet'!Y43</f>
        <v>0</v>
      </c>
      <c r="AA52" s="2">
        <f t="shared" si="3"/>
        <v>14.199657424334504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750.02516835699112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14446.560611927709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9872.5607520284757</v>
      </c>
      <c r="N53" s="2">
        <f>N9/'Output-Calculation-sheet'!N8*'Output-Calculation-sheet'!N44</f>
        <v>3524.3600016083633</v>
      </c>
      <c r="O53" s="2">
        <f>O9/'Output-Calculation-sheet'!O8*'Output-Calculation-sheet'!O44</f>
        <v>0</v>
      </c>
      <c r="P53" s="2">
        <f>P9/'Output-Calculation-sheet'!P8*'Output-Calculation-sheet'!P44</f>
        <v>164.85435986675233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1086.8591361936481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1237.4091802653177</v>
      </c>
      <c r="Y53" s="2">
        <f>Y9/'Output-Calculation-sheet'!Y8*'Output-Calculation-sheet'!Y44</f>
        <v>0</v>
      </c>
      <c r="AA53" s="2">
        <f t="shared" si="3"/>
        <v>31.082629210247259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5382.2614841743552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0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781.74218963649525</v>
      </c>
      <c r="R54" s="2">
        <f>R10/'Output-Calculation-sheet'!R9*'Output-Calculation-sheet'!R45</f>
        <v>1334.1393678785143</v>
      </c>
      <c r="S54" s="2">
        <f>S10/'Output-Calculation-sheet'!S9*'Output-Calculation-sheet'!S45</f>
        <v>3199.630668660061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475.64485956177435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82.329058454586715</v>
      </c>
    </row>
    <row r="55" spans="1:27" x14ac:dyDescent="0.25">
      <c r="A55" s="2">
        <v>2034</v>
      </c>
      <c r="B55" s="2">
        <f>B11/'Output-Calculation-sheet'!B10*'Output-Calculation-sheet'!B46</f>
        <v>53066.291913935544</v>
      </c>
      <c r="C55" s="2">
        <f>C11/'Output-Calculation-sheet'!C10*'Output-Calculation-sheet'!C46</f>
        <v>10914.126472922972</v>
      </c>
      <c r="D55" s="2">
        <f>D11/'Output-Calculation-sheet'!D10*'Output-Calculation-sheet'!D46</f>
        <v>5875.2159602201118</v>
      </c>
      <c r="E55" s="2">
        <f>E11/'Output-Calculation-sheet'!E10*'Output-Calculation-sheet'!E46</f>
        <v>7269.8131401191067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19072.804097643449</v>
      </c>
      <c r="I55" s="2">
        <f>I11/'Output-Calculation-sheet'!I10*'Output-Calculation-sheet'!I46</f>
        <v>1415.7236434318556</v>
      </c>
      <c r="J55" s="2">
        <f>J11/'Output-Calculation-sheet'!J10*'Output-Calculation-sheet'!J46</f>
        <v>1021.1418446237832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543.82433843764875</v>
      </c>
      <c r="M55" s="2">
        <f>M11/'Output-Calculation-sheet'!M10*'Output-Calculation-sheet'!M46</f>
        <v>13230.65442593797</v>
      </c>
      <c r="N55" s="2">
        <f>N11/'Output-Calculation-sheet'!N10*'Output-Calculation-sheet'!N46</f>
        <v>9403.1482905363664</v>
      </c>
      <c r="O55" s="2">
        <f>O11/'Output-Calculation-sheet'!O10*'Output-Calculation-sheet'!O46</f>
        <v>0</v>
      </c>
      <c r="P55" s="2">
        <f>P11/'Output-Calculation-sheet'!P10*'Output-Calculation-sheet'!P46</f>
        <v>3826.7194962105364</v>
      </c>
      <c r="Q55" s="2">
        <f>Q11/'Output-Calculation-sheet'!Q10*'Output-Calculation-sheet'!Q46</f>
        <v>1408.8265229707747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4248.0343905203736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918.54703776463032</v>
      </c>
      <c r="V55" s="2">
        <f>V11/'Output-Calculation-sheet'!V10*'Output-Calculation-sheet'!V46</f>
        <v>474.70035792042194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1349.9909965997831</v>
      </c>
      <c r="Y55" s="2">
        <f>Y11/'Output-Calculation-sheet'!Y10*'Output-Calculation-sheet'!Y46</f>
        <v>359.57857375488879</v>
      </c>
      <c r="AA55" s="2">
        <f t="shared" si="3"/>
        <v>143.93197441578047</v>
      </c>
    </row>
    <row r="56" spans="1:27" x14ac:dyDescent="0.25">
      <c r="A56" s="2">
        <v>2035</v>
      </c>
      <c r="B56" s="2">
        <f>B12/'Output-Calculation-sheet'!B11*'Output-Calculation-sheet'!B47</f>
        <v>48555.590052924992</v>
      </c>
      <c r="C56" s="2">
        <f>C12/'Output-Calculation-sheet'!C11*'Output-Calculation-sheet'!C47</f>
        <v>17712.70775132905</v>
      </c>
      <c r="D56" s="2">
        <f>D12/'Output-Calculation-sheet'!D11*'Output-Calculation-sheet'!D47</f>
        <v>3880.4398728474744</v>
      </c>
      <c r="E56" s="2">
        <f>E12/'Output-Calculation-sheet'!E11*'Output-Calculation-sheet'!E47</f>
        <v>9743.3825483323617</v>
      </c>
      <c r="F56" s="2">
        <f>F12/'Output-Calculation-sheet'!F11*'Output-Calculation-sheet'!F47</f>
        <v>1180.6083408883894</v>
      </c>
      <c r="G56" s="2">
        <f>G12/'Output-Calculation-sheet'!G11*'Output-Calculation-sheet'!G47</f>
        <v>3106.776260189461</v>
      </c>
      <c r="H56" s="2">
        <f>H12/'Output-Calculation-sheet'!H11*'Output-Calculation-sheet'!H47</f>
        <v>14598.690859190549</v>
      </c>
      <c r="I56" s="2">
        <f>I12/'Output-Calculation-sheet'!I11*'Output-Calculation-sheet'!I47</f>
        <v>1760.0837437292193</v>
      </c>
      <c r="J56" s="2">
        <f>J12/'Output-Calculation-sheet'!J11*'Output-Calculation-sheet'!J47</f>
        <v>610.56465346193227</v>
      </c>
      <c r="K56" s="2">
        <f>K12/'Output-Calculation-sheet'!K11*'Output-Calculation-sheet'!K47</f>
        <v>2585.9109687574387</v>
      </c>
      <c r="L56" s="2">
        <f>L12/'Output-Calculation-sheet'!L11*'Output-Calculation-sheet'!L47</f>
        <v>666.48997948772956</v>
      </c>
      <c r="M56" s="2">
        <f>M12/'Output-Calculation-sheet'!M11*'Output-Calculation-sheet'!M47</f>
        <v>10166.355921502987</v>
      </c>
      <c r="N56" s="2">
        <f>N12/'Output-Calculation-sheet'!N11*'Output-Calculation-sheet'!N47</f>
        <v>7454.272030004613</v>
      </c>
      <c r="O56" s="2">
        <f>O12/'Output-Calculation-sheet'!O11*'Output-Calculation-sheet'!O47</f>
        <v>0</v>
      </c>
      <c r="P56" s="2">
        <f>P12/'Output-Calculation-sheet'!P11*'Output-Calculation-sheet'!P47</f>
        <v>3919.3896320982194</v>
      </c>
      <c r="Q56" s="2">
        <f>Q12/'Output-Calculation-sheet'!Q11*'Output-Calculation-sheet'!Q47</f>
        <v>1389.5880220884703</v>
      </c>
      <c r="R56" s="2">
        <f>R12/'Output-Calculation-sheet'!R11*'Output-Calculation-sheet'!R47</f>
        <v>2687.1694769333621</v>
      </c>
      <c r="S56" s="2">
        <f>S12/'Output-Calculation-sheet'!S11*'Output-Calculation-sheet'!S47</f>
        <v>3538.1331449875429</v>
      </c>
      <c r="T56" s="2">
        <f>T12/'Output-Calculation-sheet'!T11*'Output-Calculation-sheet'!T47</f>
        <v>968.66705368072871</v>
      </c>
      <c r="U56" s="2">
        <f>U12/'Output-Calculation-sheet'!U11*'Output-Calculation-sheet'!U47</f>
        <v>731.54974960150503</v>
      </c>
      <c r="V56" s="2">
        <f>V12/'Output-Calculation-sheet'!V11*'Output-Calculation-sheet'!V47</f>
        <v>407.39920349071298</v>
      </c>
      <c r="W56" s="2">
        <f>W12/'Output-Calculation-sheet'!W11*'Output-Calculation-sheet'!W47</f>
        <v>394.71560612292024</v>
      </c>
      <c r="X56" s="2">
        <f>X12/'Output-Calculation-sheet'!X11*'Output-Calculation-sheet'!X47</f>
        <v>1035.611856221816</v>
      </c>
      <c r="Y56" s="2">
        <f>Y12/'Output-Calculation-sheet'!Y11*'Output-Calculation-sheet'!Y47</f>
        <v>458.40720390280097</v>
      </c>
      <c r="AA56" s="2">
        <f t="shared" si="3"/>
        <v>137.55250393177423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6.0558055163826268</v>
      </c>
      <c r="C63" s="2">
        <f>C8*'Output-Calculation-sheet'!C52/10^9</f>
        <v>3.7879824624607057</v>
      </c>
      <c r="D63" s="2">
        <f>D8*'Output-Calculation-sheet'!D52/10^9</f>
        <v>1.7295957284779899</v>
      </c>
      <c r="E63" s="2">
        <f>E8*'Output-Calculation-sheet'!E52/10^9</f>
        <v>1.5887516970454751</v>
      </c>
      <c r="F63" s="2">
        <f>F8*'Output-Calculation-sheet'!F52/10^9</f>
        <v>0.83730054014142552</v>
      </c>
      <c r="G63" s="2">
        <f>G8*'Output-Calculation-sheet'!G52/10^9</f>
        <v>0.61920947806456672</v>
      </c>
      <c r="H63" s="2">
        <f>H8*'Output-Calculation-sheet'!H52/10^9</f>
        <v>1.0683850530012733</v>
      </c>
      <c r="I63" s="2">
        <f>I8*'Output-Calculation-sheet'!I52/10^9</f>
        <v>0.5740345558226867</v>
      </c>
      <c r="J63" s="2">
        <f>J8*'Output-Calculation-sheet'!J52/10^9</f>
        <v>0.58358611605023469</v>
      </c>
      <c r="K63" s="2">
        <f>K8*'Output-Calculation-sheet'!K52/10^9</f>
        <v>0.58729981990146563</v>
      </c>
      <c r="L63" s="2">
        <f>L8*'Output-Calculation-sheet'!L52/10^9</f>
        <v>0.47876492658440939</v>
      </c>
      <c r="M63" s="2">
        <f>M8*'Output-Calculation-sheet'!M52/10^9</f>
        <v>0.73970077825042013</v>
      </c>
      <c r="N63" s="2">
        <f>N8*'Output-Calculation-sheet'!N52/10^9</f>
        <v>0.66368361370517726</v>
      </c>
      <c r="O63" s="2">
        <f>O8*'Output-Calculation-sheet'!O52/10^9</f>
        <v>0.71773542808410373</v>
      </c>
      <c r="P63" s="2">
        <f>P8*'Output-Calculation-sheet'!P52/10^9</f>
        <v>0.47279323366250708</v>
      </c>
      <c r="Q63" s="2">
        <f>Q8*'Output-Calculation-sheet'!Q52/10^9</f>
        <v>0.48758454043444588</v>
      </c>
      <c r="R63" s="2">
        <f>R8*'Output-Calculation-sheet'!R52/10^9</f>
        <v>0.39932641506142302</v>
      </c>
      <c r="S63" s="2">
        <f>S8*'Output-Calculation-sheet'!S52/10^9</f>
        <v>0.36718736465291085</v>
      </c>
      <c r="T63" s="2">
        <f>T8*'Output-Calculation-sheet'!T52/10^9</f>
        <v>0.13768103786834715</v>
      </c>
      <c r="U63" s="2">
        <f>U8*'Output-Calculation-sheet'!U52/10^9</f>
        <v>0.12507690352171008</v>
      </c>
      <c r="V63" s="2">
        <f>V8*'Output-Calculation-sheet'!V52/10^9</f>
        <v>9.6646191983105714E-2</v>
      </c>
      <c r="W63" s="2">
        <f>W8*'Output-Calculation-sheet'!W52/10^9</f>
        <v>7.5505533738257608E-2</v>
      </c>
      <c r="X63" s="2">
        <f>X8*'Output-Calculation-sheet'!X52/10^9</f>
        <v>9.0568945623544075E-2</v>
      </c>
      <c r="Y63" s="2">
        <f>Y8*'Output-Calculation-sheet'!Y52/10^9</f>
        <v>4.9081613084447806E-2</v>
      </c>
      <c r="AA63" s="2">
        <f t="shared" si="4"/>
        <v>22.333287493603269</v>
      </c>
    </row>
    <row r="64" spans="1:27" x14ac:dyDescent="0.25">
      <c r="A64" s="2">
        <v>2032</v>
      </c>
      <c r="B64" s="2">
        <f>B9*'Output-Calculation-sheet'!B53/10^9</f>
        <v>6.4713827770445906</v>
      </c>
      <c r="C64" s="2">
        <f>C9*'Output-Calculation-sheet'!C53/10^9</f>
        <v>4.2851947286252754</v>
      </c>
      <c r="D64" s="2">
        <f>D9*'Output-Calculation-sheet'!D53/10^9</f>
        <v>1.559202150935679</v>
      </c>
      <c r="E64" s="2">
        <f>E9*'Output-Calculation-sheet'!E53/10^9</f>
        <v>1.5222581696187958</v>
      </c>
      <c r="F64" s="2">
        <f>F9*'Output-Calculation-sheet'!F53/10^9</f>
        <v>0.76772511452610581</v>
      </c>
      <c r="G64" s="2">
        <f>G9*'Output-Calculation-sheet'!G53/10^9</f>
        <v>0.55765175702896419</v>
      </c>
      <c r="H64" s="2">
        <f>H9*'Output-Calculation-sheet'!H53/10^9</f>
        <v>1.197252117260371</v>
      </c>
      <c r="I64" s="2">
        <f>I9*'Output-Calculation-sheet'!I53/10^9</f>
        <v>0.52070574231845479</v>
      </c>
      <c r="J64" s="2">
        <f>J9*'Output-Calculation-sheet'!J53/10^9</f>
        <v>0.51973448097054709</v>
      </c>
      <c r="K64" s="2">
        <f>K9*'Output-Calculation-sheet'!K53/10^9</f>
        <v>0.56057586034486229</v>
      </c>
      <c r="L64" s="2">
        <f>L9*'Output-Calculation-sheet'!L53/10^9</f>
        <v>0.4620934594869831</v>
      </c>
      <c r="M64" s="2">
        <f>M9*'Output-Calculation-sheet'!M53/10^9</f>
        <v>0.82944371446484344</v>
      </c>
      <c r="N64" s="2">
        <f>N9*'Output-Calculation-sheet'!N53/10^9</f>
        <v>0.73702190527069267</v>
      </c>
      <c r="O64" s="2">
        <f>O9*'Output-Calculation-sheet'!O53/10^9</f>
        <v>0.79297814066108308</v>
      </c>
      <c r="P64" s="2">
        <f>P9*'Output-Calculation-sheet'!P53/10^9</f>
        <v>0.50136911007635765</v>
      </c>
      <c r="Q64" s="2">
        <f>Q9*'Output-Calculation-sheet'!Q53/10^9</f>
        <v>0.51303728733526066</v>
      </c>
      <c r="R64" s="2">
        <f>R9*'Output-Calculation-sheet'!R53/10^9</f>
        <v>0.40111098194607586</v>
      </c>
      <c r="S64" s="2">
        <f>S9*'Output-Calculation-sheet'!S53/10^9</f>
        <v>0.40595717244666724</v>
      </c>
      <c r="T64" s="2">
        <f>T9*'Output-Calculation-sheet'!T53/10^9</f>
        <v>0.12853352743957819</v>
      </c>
      <c r="U64" s="2">
        <f>U9*'Output-Calculation-sheet'!U53/10^9</f>
        <v>0.12679206585480038</v>
      </c>
      <c r="V64" s="2">
        <f>V9*'Output-Calculation-sheet'!V53/10^9</f>
        <v>9.4336880904523662E-2</v>
      </c>
      <c r="W64" s="2">
        <f>W9*'Output-Calculation-sheet'!W53/10^9</f>
        <v>6.8107324361308758E-2</v>
      </c>
      <c r="X64" s="2">
        <f>X9*'Output-Calculation-sheet'!X53/10^9</f>
        <v>0.10178603506109332</v>
      </c>
      <c r="Y64" s="2">
        <f>Y9*'Output-Calculation-sheet'!Y53/10^9</f>
        <v>4.9094073272090769E-2</v>
      </c>
      <c r="AA64" s="2">
        <f t="shared" si="4"/>
        <v>23.173344577255012</v>
      </c>
    </row>
    <row r="65" spans="1:27" x14ac:dyDescent="0.25">
      <c r="A65" s="2">
        <v>2033</v>
      </c>
      <c r="B65" s="2">
        <f>B10*'Output-Calculation-sheet'!B54/10^9</f>
        <v>6.5549622803941316</v>
      </c>
      <c r="C65" s="2">
        <f>C10*'Output-Calculation-sheet'!C54/10^9</f>
        <v>4.3292706352672869</v>
      </c>
      <c r="D65" s="2">
        <f>D10*'Output-Calculation-sheet'!D54/10^9</f>
        <v>1.2591699644794132</v>
      </c>
      <c r="E65" s="2">
        <f>E10*'Output-Calculation-sheet'!E54/10^9</f>
        <v>1.4288702368086874</v>
      </c>
      <c r="F65" s="2">
        <f>F10*'Output-Calculation-sheet'!F54/10^9</f>
        <v>0.64819755765067955</v>
      </c>
      <c r="G65" s="2">
        <f>G10*'Output-Calculation-sheet'!G54/10^9</f>
        <v>0.44736429698508351</v>
      </c>
      <c r="H65" s="2">
        <f>H10*'Output-Calculation-sheet'!H54/10^9</f>
        <v>1.1891036986661538</v>
      </c>
      <c r="I65" s="2">
        <f>I10*'Output-Calculation-sheet'!I54/10^9</f>
        <v>0.44005763231214912</v>
      </c>
      <c r="J65" s="2">
        <f>J10*'Output-Calculation-sheet'!J54/10^9</f>
        <v>0.40584741861797846</v>
      </c>
      <c r="K65" s="2">
        <f>K10*'Output-Calculation-sheet'!K54/10^9</f>
        <v>0.51758890753870257</v>
      </c>
      <c r="L65" s="2">
        <f>L10*'Output-Calculation-sheet'!L54/10^9</f>
        <v>0.43050795995094859</v>
      </c>
      <c r="M65" s="2">
        <f>M10*'Output-Calculation-sheet'!M54/10^9</f>
        <v>0.82400276695639896</v>
      </c>
      <c r="N65" s="2">
        <f>N10*'Output-Calculation-sheet'!N54/10^9</f>
        <v>0.74080978128307895</v>
      </c>
      <c r="O65" s="2">
        <f>O10*'Output-Calculation-sheet'!O54/10^9</f>
        <v>0.78421831342389225</v>
      </c>
      <c r="P65" s="2">
        <f>P10*'Output-Calculation-sheet'!P54/10^9</f>
        <v>0.49988556758215419</v>
      </c>
      <c r="Q65" s="2">
        <f>Q10*'Output-Calculation-sheet'!Q54/10^9</f>
        <v>0.51860607362334421</v>
      </c>
      <c r="R65" s="2">
        <f>R10*'Output-Calculation-sheet'!R54/10^9</f>
        <v>0.38753549444170154</v>
      </c>
      <c r="S65" s="2">
        <f>S10*'Output-Calculation-sheet'!S54/10^9</f>
        <v>0.40982492261447112</v>
      </c>
      <c r="T65" s="2">
        <f>T10*'Output-Calculation-sheet'!T54/10^9</f>
        <v>0.11632088937552934</v>
      </c>
      <c r="U65" s="2">
        <f>U10*'Output-Calculation-sheet'!U54/10^9</f>
        <v>0.12576326628432885</v>
      </c>
      <c r="V65" s="2">
        <f>V10*'Output-Calculation-sheet'!V54/10^9</f>
        <v>8.7771566696873249E-2</v>
      </c>
      <c r="W65" s="2">
        <f>W10*'Output-Calculation-sheet'!W54/10^9</f>
        <v>5.4902992626162814E-2</v>
      </c>
      <c r="X65" s="2">
        <f>X10*'Output-Calculation-sheet'!X54/10^9</f>
        <v>0.1018863996504033</v>
      </c>
      <c r="Y65" s="2">
        <f>Y10*'Output-Calculation-sheet'!Y54/10^9</f>
        <v>4.8434358748702888E-2</v>
      </c>
      <c r="AA65" s="2">
        <f t="shared" si="4"/>
        <v>22.350902981978255</v>
      </c>
    </row>
    <row r="66" spans="1:27" x14ac:dyDescent="0.25">
      <c r="A66" s="2">
        <v>2034</v>
      </c>
      <c r="B66" s="2">
        <f>B11*'Output-Calculation-sheet'!B55/10^9</f>
        <v>6.1616578358137062</v>
      </c>
      <c r="C66" s="2">
        <f>C11*'Output-Calculation-sheet'!C55/10^9</f>
        <v>3.9237882507666688</v>
      </c>
      <c r="D66" s="2">
        <f>D11*'Output-Calculation-sheet'!D55/10^9</f>
        <v>1.1562969602057795</v>
      </c>
      <c r="E66" s="2">
        <f>E11*'Output-Calculation-sheet'!E55/10^9</f>
        <v>1.4249181048823523</v>
      </c>
      <c r="F66" s="2">
        <f>F11*'Output-Calculation-sheet'!F55/10^9</f>
        <v>0.57063568487230598</v>
      </c>
      <c r="G66" s="2">
        <f>G11*'Output-Calculation-sheet'!G55/10^9</f>
        <v>0.41105218833165702</v>
      </c>
      <c r="H66" s="2">
        <f>H11*'Output-Calculation-sheet'!H55/10^9</f>
        <v>1.083172045636758</v>
      </c>
      <c r="I66" s="2">
        <f>I11*'Output-Calculation-sheet'!I55/10^9</f>
        <v>0.40404199125480622</v>
      </c>
      <c r="J66" s="2">
        <f>J11*'Output-Calculation-sheet'!J55/10^9</f>
        <v>0.3567205519893562</v>
      </c>
      <c r="K66" s="2">
        <f>K11*'Output-Calculation-sheet'!K55/10^9</f>
        <v>0.4764163348905826</v>
      </c>
      <c r="L66" s="2">
        <f>L11*'Output-Calculation-sheet'!L55/10^9</f>
        <v>0.41785767974318483</v>
      </c>
      <c r="M66" s="2">
        <f>M11*'Output-Calculation-sheet'!M55/10^9</f>
        <v>0.75186956589565923</v>
      </c>
      <c r="N66" s="2">
        <f>N11*'Output-Calculation-sheet'!N55/10^9</f>
        <v>0.6733933266851706</v>
      </c>
      <c r="O66" s="2">
        <f>O11*'Output-Calculation-sheet'!O55/10^9</f>
        <v>0.6983163642943081</v>
      </c>
      <c r="P66" s="2">
        <f>P11*'Output-Calculation-sheet'!P55/10^9</f>
        <v>0.47309299157402368</v>
      </c>
      <c r="Q66" s="2">
        <f>Q11*'Output-Calculation-sheet'!Q55/10^9</f>
        <v>0.49123717978536108</v>
      </c>
      <c r="R66" s="2">
        <f>R11*'Output-Calculation-sheet'!R55/10^9</f>
        <v>0.35804916516193003</v>
      </c>
      <c r="S66" s="2">
        <f>S11*'Output-Calculation-sheet'!S55/10^9</f>
        <v>0.37919706797166036</v>
      </c>
      <c r="T66" s="2">
        <f>T11*'Output-Calculation-sheet'!T55/10^9</f>
        <v>0.10541071206919719</v>
      </c>
      <c r="U66" s="2">
        <f>U11*'Output-Calculation-sheet'!U55/10^9</f>
        <v>0.12184681227006015</v>
      </c>
      <c r="V66" s="2">
        <f>V11*'Output-Calculation-sheet'!V55/10^9</f>
        <v>7.8730140275045782E-2</v>
      </c>
      <c r="W66" s="2">
        <f>W11*'Output-Calculation-sheet'!W55/10^9</f>
        <v>4.7967314182186471E-2</v>
      </c>
      <c r="X66" s="2">
        <f>X11*'Output-Calculation-sheet'!X55/10^9</f>
        <v>9.4905324481313641E-2</v>
      </c>
      <c r="Y66" s="2">
        <f>Y11*'Output-Calculation-sheet'!Y55/10^9</f>
        <v>4.9740721003010219E-2</v>
      </c>
      <c r="AA66" s="2">
        <f t="shared" si="4"/>
        <v>20.71031431403609</v>
      </c>
    </row>
    <row r="67" spans="1:27" x14ac:dyDescent="0.25">
      <c r="A67" s="2">
        <v>2035</v>
      </c>
      <c r="B67" s="2">
        <f>B12*'Output-Calculation-sheet'!B56/10^9</f>
        <v>5.1865843559952847</v>
      </c>
      <c r="C67" s="2">
        <f>C12*'Output-Calculation-sheet'!C56/10^9</f>
        <v>3.1629066247025288</v>
      </c>
      <c r="D67" s="2">
        <f>D12*'Output-Calculation-sheet'!D56/10^9</f>
        <v>1.0563692175492099</v>
      </c>
      <c r="E67" s="2">
        <f>E12*'Output-Calculation-sheet'!E56/10^9</f>
        <v>1.4274572326022623</v>
      </c>
      <c r="F67" s="2">
        <f>F12*'Output-Calculation-sheet'!F56/10^9</f>
        <v>0.56650151817355987</v>
      </c>
      <c r="G67" s="2">
        <f>G12*'Output-Calculation-sheet'!G56/10^9</f>
        <v>0.41087006696477713</v>
      </c>
      <c r="H67" s="2">
        <f>H12*'Output-Calculation-sheet'!H56/10^9</f>
        <v>0.894941921145467</v>
      </c>
      <c r="I67" s="2">
        <f>I12*'Output-Calculation-sheet'!I56/10^9</f>
        <v>0.38821002097118829</v>
      </c>
      <c r="J67" s="2">
        <f>J12*'Output-Calculation-sheet'!J56/10^9</f>
        <v>0.32086787332225941</v>
      </c>
      <c r="K67" s="2">
        <f>K12*'Output-Calculation-sheet'!K56/10^9</f>
        <v>0.43329062796211054</v>
      </c>
      <c r="L67" s="2">
        <f>L12*'Output-Calculation-sheet'!L56/10^9</f>
        <v>0.37367197052289247</v>
      </c>
      <c r="M67" s="2">
        <f>M12*'Output-Calculation-sheet'!M56/10^9</f>
        <v>0.62713980060135432</v>
      </c>
      <c r="N67" s="2">
        <f>N12*'Output-Calculation-sheet'!N56/10^9</f>
        <v>0.54901419570078158</v>
      </c>
      <c r="O67" s="2">
        <f>O12*'Output-Calculation-sheet'!O56/10^9</f>
        <v>0.55556692639744421</v>
      </c>
      <c r="P67" s="2">
        <f>P12*'Output-Calculation-sheet'!P56/10^9</f>
        <v>0.43780496298416216</v>
      </c>
      <c r="Q67" s="2">
        <f>Q12*'Output-Calculation-sheet'!Q56/10^9</f>
        <v>0.41006124615722794</v>
      </c>
      <c r="R67" s="2">
        <f>R12*'Output-Calculation-sheet'!R56/10^9</f>
        <v>0.3222857931120775</v>
      </c>
      <c r="S67" s="2">
        <f>S12*'Output-Calculation-sheet'!S56/10^9</f>
        <v>0.31244606082149096</v>
      </c>
      <c r="T67" s="2">
        <f>T12*'Output-Calculation-sheet'!T56/10^9</f>
        <v>9.907273139888792E-2</v>
      </c>
      <c r="U67" s="2">
        <f>U12*'Output-Calculation-sheet'!U56/10^9</f>
        <v>0.10686294517897524</v>
      </c>
      <c r="V67" s="2">
        <f>V12*'Output-Calculation-sheet'!V56/10^9</f>
        <v>6.7432787852336556E-2</v>
      </c>
      <c r="W67" s="2">
        <f>W12*'Output-Calculation-sheet'!W56/10^9</f>
        <v>5.2427796893853462E-2</v>
      </c>
      <c r="X67" s="2">
        <f>X12*'Output-Calculation-sheet'!X56/10^9</f>
        <v>7.8660086658219566E-2</v>
      </c>
      <c r="Y67" s="2">
        <f>Y12*'Output-Calculation-sheet'!Y56/10^9</f>
        <v>4.9226076863830119E-2</v>
      </c>
      <c r="AA67" s="2">
        <f t="shared" si="4"/>
        <v>17.889672840532178</v>
      </c>
    </row>
    <row r="68" spans="1:27" x14ac:dyDescent="0.25">
      <c r="B68" s="2">
        <f>SUM(B60:B67)</f>
        <v>43.178948588702433</v>
      </c>
      <c r="C68" s="2">
        <f t="shared" ref="C68:Y68" si="5">SUM(C60:C67)</f>
        <v>26.012973469169552</v>
      </c>
      <c r="D68" s="2">
        <f t="shared" si="5"/>
        <v>11.084929269837243</v>
      </c>
      <c r="E68" s="2">
        <f t="shared" si="5"/>
        <v>11.239041279818423</v>
      </c>
      <c r="F68" s="2">
        <f t="shared" si="5"/>
        <v>5.4369744667070945</v>
      </c>
      <c r="G68" s="2">
        <f t="shared" si="5"/>
        <v>3.9962926958497693</v>
      </c>
      <c r="H68" s="2">
        <f t="shared" si="5"/>
        <v>7.3296623045249039</v>
      </c>
      <c r="I68" s="2">
        <f t="shared" si="5"/>
        <v>3.7505605213127802</v>
      </c>
      <c r="J68" s="2">
        <f t="shared" si="5"/>
        <v>3.6688652950212015</v>
      </c>
      <c r="K68" s="2">
        <f t="shared" si="5"/>
        <v>3.9858986089152442</v>
      </c>
      <c r="L68" s="2">
        <f t="shared" si="5"/>
        <v>3.3032436865679569</v>
      </c>
      <c r="M68" s="2">
        <f t="shared" si="5"/>
        <v>5.0835154310776156</v>
      </c>
      <c r="N68" s="2">
        <f t="shared" si="5"/>
        <v>4.6886522779631727</v>
      </c>
      <c r="O68" s="2">
        <f t="shared" si="5"/>
        <v>4.8287283664908385</v>
      </c>
      <c r="P68" s="2">
        <f t="shared" si="5"/>
        <v>3.4130484859550188</v>
      </c>
      <c r="Q68" s="2">
        <f t="shared" si="5"/>
        <v>3.4596557694007775</v>
      </c>
      <c r="R68" s="2">
        <f t="shared" si="5"/>
        <v>2.8022598860641601</v>
      </c>
      <c r="S68" s="2">
        <f t="shared" si="5"/>
        <v>2.6210415457354528</v>
      </c>
      <c r="T68" s="2">
        <f t="shared" si="5"/>
        <v>0.92054876866793889</v>
      </c>
      <c r="U68" s="2">
        <f t="shared" si="5"/>
        <v>0.90268597531665062</v>
      </c>
      <c r="V68" s="2">
        <f t="shared" si="5"/>
        <v>0.65348755707636097</v>
      </c>
      <c r="W68" s="2">
        <f t="shared" si="5"/>
        <v>0.48754204737760265</v>
      </c>
      <c r="X68" s="2">
        <f t="shared" si="5"/>
        <v>0.62557071765458616</v>
      </c>
      <c r="Y68" s="2">
        <f t="shared" si="5"/>
        <v>0.36131820812702148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1696.5238427868617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1133.5667872822262</v>
      </c>
      <c r="N74" s="2">
        <f>N8/'Output-Calculation-sheet'!N7*'Output-Calculation-sheet'!N61</f>
        <v>47.507945679347017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139.57361033763087</v>
      </c>
      <c r="Y74" s="2">
        <f>Y8/'Output-Calculation-sheet'!Y7*'Output-Calculation-sheet'!Y61</f>
        <v>0</v>
      </c>
      <c r="AA74" s="2">
        <f t="shared" si="6"/>
        <v>3.0171721860860652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206.04262839292772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2750.7504759683998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1868.6374471684239</v>
      </c>
      <c r="N75" s="2">
        <f>N9/'Output-Calculation-sheet'!N8*'Output-Calculation-sheet'!N62</f>
        <v>722.71686108930999</v>
      </c>
      <c r="O75" s="2">
        <f>O9/'Output-Calculation-sheet'!O8*'Output-Calculation-sheet'!O62</f>
        <v>0</v>
      </c>
      <c r="P75" s="2">
        <f>P9/'Output-Calculation-sheet'!P8*'Output-Calculation-sheet'!P62</f>
        <v>48.384754620891805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239.05786365031113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225.90062322702778</v>
      </c>
      <c r="Y75" s="2">
        <f>Y9/'Output-Calculation-sheet'!Y8*'Output-Calculation-sheet'!Y62</f>
        <v>0</v>
      </c>
      <c r="AA75" s="2">
        <f t="shared" si="6"/>
        <v>6.061490654117291</v>
      </c>
    </row>
    <row r="76" spans="1:27" x14ac:dyDescent="0.25">
      <c r="A76" s="2">
        <v>2033</v>
      </c>
      <c r="B76" s="2">
        <f>B10/'Output-Calculation-sheet'!B9*'Output-Calculation-sheet'!B63</f>
        <v>5394.5246639425441</v>
      </c>
      <c r="C76" s="2">
        <f>C10/'Output-Calculation-sheet'!C9*'Output-Calculation-sheet'!C63</f>
        <v>1353.5390917608843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3521.6486625588523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2397.7986741606674</v>
      </c>
      <c r="N76" s="2">
        <f>N10/'Output-Calculation-sheet'!N9*'Output-Calculation-sheet'!N63</f>
        <v>1372.6901643394203</v>
      </c>
      <c r="O76" s="2">
        <f>O10/'Output-Calculation-sheet'!O9*'Output-Calculation-sheet'!O63</f>
        <v>0</v>
      </c>
      <c r="P76" s="2">
        <f>P10/'Output-Calculation-sheet'!P9*'Output-Calculation-sheet'!P63</f>
        <v>470.48851753667611</v>
      </c>
      <c r="Q76" s="2">
        <f>Q10/'Output-Calculation-sheet'!Q9*'Output-Calculation-sheet'!Q63</f>
        <v>209.48872677165895</v>
      </c>
      <c r="R76" s="2">
        <f>R10/'Output-Calculation-sheet'!R9*'Output-Calculation-sheet'!R63</f>
        <v>361.11907484603569</v>
      </c>
      <c r="S76" s="2">
        <f>S10/'Output-Calculation-sheet'!S9*'Output-Calculation-sheet'!S63</f>
        <v>608.51265939769542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126.82896163802678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282.39512362300621</v>
      </c>
      <c r="Y76" s="2">
        <f>Y10/'Output-Calculation-sheet'!Y9*'Output-Calculation-sheet'!Y63</f>
        <v>5.357397562569548</v>
      </c>
      <c r="AA76" s="2">
        <f t="shared" si="6"/>
        <v>16.231193326484384</v>
      </c>
    </row>
    <row r="77" spans="1:27" x14ac:dyDescent="0.25">
      <c r="A77" s="2">
        <v>2034</v>
      </c>
      <c r="B77" s="2">
        <f>B11/'Output-Calculation-sheet'!B10*'Output-Calculation-sheet'!B64</f>
        <v>9055.4089398336746</v>
      </c>
      <c r="C77" s="2">
        <f>C11/'Output-Calculation-sheet'!C10*'Output-Calculation-sheet'!C64</f>
        <v>2466.5086280615692</v>
      </c>
      <c r="D77" s="2">
        <f>D11/'Output-Calculation-sheet'!D10*'Output-Calculation-sheet'!D64</f>
        <v>1349.0685761821876</v>
      </c>
      <c r="E77" s="2">
        <f>E11/'Output-Calculation-sheet'!E10*'Output-Calculation-sheet'!E64</f>
        <v>1673.3573140085541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720.04065382499834</v>
      </c>
      <c r="H77" s="2">
        <f>H11/'Output-Calculation-sheet'!H10*'Output-Calculation-sheet'!H64</f>
        <v>3547.9033768735617</v>
      </c>
      <c r="I77" s="2">
        <f>I11/'Output-Calculation-sheet'!I10*'Output-Calculation-sheet'!I64</f>
        <v>420.18197830737671</v>
      </c>
      <c r="J77" s="2">
        <f>J11/'Output-Calculation-sheet'!J10*'Output-Calculation-sheet'!J64</f>
        <v>288.41320239432201</v>
      </c>
      <c r="K77" s="2">
        <f>K11/'Output-Calculation-sheet'!K10*'Output-Calculation-sheet'!K64</f>
        <v>651.33237747004034</v>
      </c>
      <c r="L77" s="2">
        <f>L11/'Output-Calculation-sheet'!L10*'Output-Calculation-sheet'!L64</f>
        <v>159.6968298667247</v>
      </c>
      <c r="M77" s="2">
        <f>M11/'Output-Calculation-sheet'!M10*'Output-Calculation-sheet'!M64</f>
        <v>2431.2216664544485</v>
      </c>
      <c r="N77" s="2">
        <f>N11/'Output-Calculation-sheet'!N10*'Output-Calculation-sheet'!N64</f>
        <v>1646.0403340262712</v>
      </c>
      <c r="O77" s="2">
        <f>O11/'Output-Calculation-sheet'!O10*'Output-Calculation-sheet'!O64</f>
        <v>0</v>
      </c>
      <c r="P77" s="2">
        <f>P11/'Output-Calculation-sheet'!P10*'Output-Calculation-sheet'!P64</f>
        <v>800.30106257246928</v>
      </c>
      <c r="Q77" s="2">
        <f>Q11/'Output-Calculation-sheet'!Q10*'Output-Calculation-sheet'!Q64</f>
        <v>326.57211335733416</v>
      </c>
      <c r="R77" s="2">
        <f>R11/'Output-Calculation-sheet'!R10*'Output-Calculation-sheet'!R64</f>
        <v>679.74161154039234</v>
      </c>
      <c r="S77" s="2">
        <f>S11/'Output-Calculation-sheet'!S10*'Output-Calculation-sheet'!S64</f>
        <v>758.77508615959891</v>
      </c>
      <c r="T77" s="2">
        <f>T11/'Output-Calculation-sheet'!T10*'Output-Calculation-sheet'!T64</f>
        <v>188.33087481549481</v>
      </c>
      <c r="U77" s="2">
        <f>U11/'Output-Calculation-sheet'!U10*'Output-Calculation-sheet'!U64</f>
        <v>201.11294238546654</v>
      </c>
      <c r="V77" s="2">
        <f>V11/'Output-Calculation-sheet'!V10*'Output-Calculation-sheet'!V64</f>
        <v>97.426597268429461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248.91141798722967</v>
      </c>
      <c r="Y77" s="2">
        <f>Y11/'Output-Calculation-sheet'!Y10*'Output-Calculation-sheet'!Y64</f>
        <v>62.207093259595759</v>
      </c>
      <c r="AA77" s="2">
        <f t="shared" si="6"/>
        <v>27.898046747555959</v>
      </c>
    </row>
    <row r="78" spans="1:27" x14ac:dyDescent="0.25">
      <c r="A78" s="2">
        <v>2035</v>
      </c>
      <c r="B78" s="2">
        <f>B12/'Output-Calculation-sheet'!B11*'Output-Calculation-sheet'!B65</f>
        <v>8389.9511704948054</v>
      </c>
      <c r="C78" s="2">
        <f>C12/'Output-Calculation-sheet'!C11*'Output-Calculation-sheet'!C65</f>
        <v>3609.2657647699202</v>
      </c>
      <c r="D78" s="2">
        <f>D12/'Output-Calculation-sheet'!D11*'Output-Calculation-sheet'!D65</f>
        <v>917.18976646767339</v>
      </c>
      <c r="E78" s="2">
        <f>E12/'Output-Calculation-sheet'!E11*'Output-Calculation-sheet'!E65</f>
        <v>1695.5720354866276</v>
      </c>
      <c r="F78" s="2">
        <f>F12/'Output-Calculation-sheet'!F11*'Output-Calculation-sheet'!F65</f>
        <v>368.79955791561116</v>
      </c>
      <c r="G78" s="2">
        <f>G12/'Output-Calculation-sheet'!G11*'Output-Calculation-sheet'!G65</f>
        <v>701.06221959638935</v>
      </c>
      <c r="H78" s="2">
        <f>H12/'Output-Calculation-sheet'!H11*'Output-Calculation-sheet'!H65</f>
        <v>2709.5131148470618</v>
      </c>
      <c r="I78" s="2">
        <f>I12/'Output-Calculation-sheet'!I11*'Output-Calculation-sheet'!I65</f>
        <v>461.16008605028975</v>
      </c>
      <c r="J78" s="2">
        <f>J12/'Output-Calculation-sheet'!J11*'Output-Calculation-sheet'!J65</f>
        <v>188.03595548234978</v>
      </c>
      <c r="K78" s="2">
        <f>K12/'Output-Calculation-sheet'!K11*'Output-Calculation-sheet'!K65</f>
        <v>571.29015153914338</v>
      </c>
      <c r="L78" s="2">
        <f>L12/'Output-Calculation-sheet'!L11*'Output-Calculation-sheet'!L65</f>
        <v>182.87350586114385</v>
      </c>
      <c r="M78" s="2">
        <f>M12/'Output-Calculation-sheet'!M11*'Output-Calculation-sheet'!M65</f>
        <v>1887.1096465878779</v>
      </c>
      <c r="N78" s="2">
        <f>N12/'Output-Calculation-sheet'!N11*'Output-Calculation-sheet'!N65</f>
        <v>1307.8018038456673</v>
      </c>
      <c r="O78" s="2">
        <f>O12/'Output-Calculation-sheet'!O11*'Output-Calculation-sheet'!O65</f>
        <v>0</v>
      </c>
      <c r="P78" s="2">
        <f>P12/'Output-Calculation-sheet'!P11*'Output-Calculation-sheet'!P65</f>
        <v>753.43855460400255</v>
      </c>
      <c r="Q78" s="2">
        <f>Q12/'Output-Calculation-sheet'!Q11*'Output-Calculation-sheet'!Q65</f>
        <v>304.62085424216087</v>
      </c>
      <c r="R78" s="2">
        <f>R12/'Output-Calculation-sheet'!R11*'Output-Calculation-sheet'!R65</f>
        <v>593.15246932718821</v>
      </c>
      <c r="S78" s="2">
        <f>S12/'Output-Calculation-sheet'!S11*'Output-Calculation-sheet'!S65</f>
        <v>617.72622664542689</v>
      </c>
      <c r="T78" s="2">
        <f>T12/'Output-Calculation-sheet'!T11*'Output-Calculation-sheet'!T65</f>
        <v>219.13118111730103</v>
      </c>
      <c r="U78" s="2">
        <f>U12/'Output-Calculation-sheet'!U11*'Output-Calculation-sheet'!U65</f>
        <v>158.24012235193365</v>
      </c>
      <c r="V78" s="2">
        <f>V12/'Output-Calculation-sheet'!V11*'Output-Calculation-sheet'!V65</f>
        <v>79.707796610231952</v>
      </c>
      <c r="W78" s="2">
        <f>W12/'Output-Calculation-sheet'!W11*'Output-Calculation-sheet'!W65</f>
        <v>86.751089308203063</v>
      </c>
      <c r="X78" s="2">
        <f>X12/'Output-Calculation-sheet'!X11*'Output-Calculation-sheet'!X65</f>
        <v>190.66322383714552</v>
      </c>
      <c r="Y78" s="2">
        <f>Y12/'Output-Calculation-sheet'!Y11*'Output-Calculation-sheet'!Y65</f>
        <v>73.209908263048263</v>
      </c>
      <c r="AA78" s="2">
        <f t="shared" si="6"/>
        <v>26.066266205251203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1349.0840089003809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262.09072949638306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1.6111747383967641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1928.6361472036915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353.8664454351258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2.2825025926388172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2292.4447062224108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406.63334883139419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2.6990780550538047</v>
      </c>
    </row>
    <row r="88" spans="1:27" x14ac:dyDescent="0.25">
      <c r="A88" s="2">
        <v>2034</v>
      </c>
      <c r="B88" s="2">
        <f>B11/'Output-Calculation-sheet'!B10*'Output-Calculation-sheet'!B73</f>
        <v>176.88763971311849</v>
      </c>
      <c r="C88" s="2">
        <f>C11/'Output-Calculation-sheet'!C10*'Output-Calculation-sheet'!C73</f>
        <v>2182.8252945845943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25.843907991386789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18.75256339440168</v>
      </c>
      <c r="M88" s="2">
        <f>M11/'Output-Calculation-sheet'!M10*'Output-Calculation-sheet'!M73</f>
        <v>17.783137669271465</v>
      </c>
      <c r="N88" s="2">
        <f>N11/'Output-Calculation-sheet'!N10*'Output-Calculation-sheet'!N73</f>
        <v>17.47797080025347</v>
      </c>
      <c r="O88" s="2">
        <f>O11/'Output-Calculation-sheet'!O10*'Output-Calculation-sheet'!O73</f>
        <v>407.75406900484131</v>
      </c>
      <c r="P88" s="2">
        <f>P11/'Output-Calculation-sheet'!P10*'Output-Calculation-sheet'!P73</f>
        <v>0</v>
      </c>
      <c r="Q88" s="2">
        <f>Q11/'Output-Calculation-sheet'!Q10*'Output-Calculation-sheet'!Q73</f>
        <v>30.626663542842927</v>
      </c>
      <c r="R88" s="2">
        <f>R11/'Output-Calculation-sheet'!R10*'Output-Calculation-sheet'!R73</f>
        <v>0</v>
      </c>
      <c r="S88" s="2">
        <f>S11/'Output-Calculation-sheet'!S10*'Output-Calculation-sheet'!S73</f>
        <v>10.018949034246164</v>
      </c>
      <c r="T88" s="2">
        <f>T11/'Output-Calculation-sheet'!T10*'Output-Calculation-sheet'!T73</f>
        <v>0</v>
      </c>
      <c r="U88" s="2">
        <f>U11/'Output-Calculation-sheet'!U10*'Output-Calculation-sheet'!U73</f>
        <v>4.8858884987480335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9.7542702066458311</v>
      </c>
      <c r="Y88" s="2">
        <f>Y11/'Output-Calculation-sheet'!Y10*'Output-Calculation-sheet'!Y73</f>
        <v>0</v>
      </c>
      <c r="AA88" s="2">
        <f t="shared" si="7"/>
        <v>2.9026103544403505</v>
      </c>
    </row>
    <row r="89" spans="1:27" x14ac:dyDescent="0.25">
      <c r="A89" s="2">
        <v>2035</v>
      </c>
      <c r="B89" s="2">
        <f>B12/'Output-Calculation-sheet'!B11*'Output-Calculation-sheet'!B74</f>
        <v>401.28586820599168</v>
      </c>
      <c r="C89" s="2">
        <f>C12/'Output-Calculation-sheet'!C11*'Output-Calculation-sheet'!C74</f>
        <v>1714.1330081931339</v>
      </c>
      <c r="D89" s="2">
        <f>D12/'Output-Calculation-sheet'!D11*'Output-Calculation-sheet'!D74</f>
        <v>112.47651805354998</v>
      </c>
      <c r="E89" s="2">
        <f>E12/'Output-Calculation-sheet'!E11*'Output-Calculation-sheet'!E74</f>
        <v>134.08324607796828</v>
      </c>
      <c r="F89" s="2">
        <f>F12/'Output-Calculation-sheet'!F11*'Output-Calculation-sheet'!F74</f>
        <v>56.219444804209019</v>
      </c>
      <c r="G89" s="2">
        <f>G12/'Output-Calculation-sheet'!G11*'Output-Calculation-sheet'!G74</f>
        <v>40.34774363882417</v>
      </c>
      <c r="H89" s="2">
        <f>H12/'Output-Calculation-sheet'!H11*'Output-Calculation-sheet'!H74</f>
        <v>117.25856111799638</v>
      </c>
      <c r="I89" s="2">
        <f>I12/'Output-Calculation-sheet'!I11*'Output-Calculation-sheet'!I74</f>
        <v>36.290386468643696</v>
      </c>
      <c r="J89" s="2">
        <f>J12/'Output-Calculation-sheet'!J11*'Output-Calculation-sheet'!J74</f>
        <v>35.915567850701898</v>
      </c>
      <c r="K89" s="2">
        <f>K12/'Output-Calculation-sheet'!K11*'Output-Calculation-sheet'!K74</f>
        <v>35.667737500102604</v>
      </c>
      <c r="L89" s="2">
        <f>L12/'Output-Calculation-sheet'!L11*'Output-Calculation-sheet'!L74</f>
        <v>28.361275722882109</v>
      </c>
      <c r="M89" s="2">
        <f>M12/'Output-Calculation-sheet'!M11*'Output-Calculation-sheet'!M74</f>
        <v>80.685364456372923</v>
      </c>
      <c r="N89" s="2">
        <f>N12/'Output-Calculation-sheet'!N11*'Output-Calculation-sheet'!N74</f>
        <v>52.86717751776321</v>
      </c>
      <c r="O89" s="2">
        <f>O12/'Output-Calculation-sheet'!O11*'Output-Calculation-sheet'!O74</f>
        <v>345.34363049856159</v>
      </c>
      <c r="P89" s="2">
        <f>P12/'Output-Calculation-sheet'!P11*'Output-Calculation-sheet'!P74</f>
        <v>36.629809645777755</v>
      </c>
      <c r="Q89" s="2">
        <f>Q12/'Output-Calculation-sheet'!Q11*'Output-Calculation-sheet'!Q74</f>
        <v>46.319600736282347</v>
      </c>
      <c r="R89" s="2">
        <f>R12/'Output-Calculation-sheet'!R11*'Output-Calculation-sheet'!R74</f>
        <v>22.967260486609934</v>
      </c>
      <c r="S89" s="2">
        <f>S12/'Output-Calculation-sheet'!S11*'Output-Calculation-sheet'!S74</f>
        <v>30.305208950642765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11.08408711517432</v>
      </c>
      <c r="V89" s="2">
        <f>V12/'Output-Calculation-sheet'!V11*'Output-Calculation-sheet'!V74</f>
        <v>5.6978909579120698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16.227536208603954</v>
      </c>
      <c r="Y89" s="2">
        <f>Y12/'Output-Calculation-sheet'!Y11*'Output-Calculation-sheet'!Y74</f>
        <v>4.2708745705229907</v>
      </c>
      <c r="AA89" s="2">
        <f t="shared" si="7"/>
        <v>3.3711533110256222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13691704300.164585</v>
      </c>
      <c r="C96" s="2">
        <f>C8/'Output-Calculation-sheet'!C7*'Output-Calculation-sheet'!C79</f>
        <v>4631965791.2971668</v>
      </c>
      <c r="D96" s="2">
        <f>D8/'Output-Calculation-sheet'!D7*'Output-Calculation-sheet'!D79</f>
        <v>4835467235.5070229</v>
      </c>
      <c r="E96" s="2">
        <f>E8/'Output-Calculation-sheet'!E7*'Output-Calculation-sheet'!E79</f>
        <v>8597049029.2497349</v>
      </c>
      <c r="F96" s="2">
        <f>F8/'Output-Calculation-sheet'!F7*'Output-Calculation-sheet'!F79</f>
        <v>3558233876.184689</v>
      </c>
      <c r="G96" s="2">
        <f>G8/'Output-Calculation-sheet'!G7*'Output-Calculation-sheet'!G79</f>
        <v>2771571604.9453769</v>
      </c>
      <c r="H96" s="2">
        <f>H8/'Output-Calculation-sheet'!H7*'Output-Calculation-sheet'!H79</f>
        <v>2372308768.4910727</v>
      </c>
      <c r="I96" s="2">
        <f>I8/'Output-Calculation-sheet'!I7*'Output-Calculation-sheet'!I79</f>
        <v>1930694276.2445085</v>
      </c>
      <c r="J96" s="2">
        <f>J8/'Output-Calculation-sheet'!J7*'Output-Calculation-sheet'!J79</f>
        <v>1305585338.3853245</v>
      </c>
      <c r="K96" s="2">
        <f>K8/'Output-Calculation-sheet'!K7*'Output-Calculation-sheet'!K79</f>
        <v>1867903156.6769674</v>
      </c>
      <c r="L96" s="2">
        <f>L8/'Output-Calculation-sheet'!L7*'Output-Calculation-sheet'!L79</f>
        <v>1317990842.0344157</v>
      </c>
      <c r="M96" s="2">
        <f>M8/'Output-Calculation-sheet'!M7*'Output-Calculation-sheet'!M79</f>
        <v>1770882614.8666067</v>
      </c>
      <c r="N96" s="2">
        <f>N8/'Output-Calculation-sheet'!N7*'Output-Calculation-sheet'!N79</f>
        <v>1317677702.4240952</v>
      </c>
      <c r="O96" s="2">
        <f>O8/'Output-Calculation-sheet'!O7*'Output-Calculation-sheet'!O79</f>
        <v>666131209.34578133</v>
      </c>
      <c r="P96" s="2">
        <f>P8/'Output-Calculation-sheet'!P7*'Output-Calculation-sheet'!P79</f>
        <v>2228069184.4845757</v>
      </c>
      <c r="Q96" s="2">
        <f>Q8/'Output-Calculation-sheet'!Q7*'Output-Calculation-sheet'!Q79</f>
        <v>1038375540.0636898</v>
      </c>
      <c r="R96" s="2">
        <f>R8/'Output-Calculation-sheet'!R7*'Output-Calculation-sheet'!R79</f>
        <v>1295496921.8902211</v>
      </c>
      <c r="S96" s="2">
        <f>S8/'Output-Calculation-sheet'!S7*'Output-Calculation-sheet'!S79</f>
        <v>754865073.65470183</v>
      </c>
      <c r="T96" s="2">
        <f>T8/'Output-Calculation-sheet'!T7*'Output-Calculation-sheet'!T79</f>
        <v>576543136.43016076</v>
      </c>
      <c r="U96" s="2">
        <f>U8/'Output-Calculation-sheet'!U7*'Output-Calculation-sheet'!U79</f>
        <v>362169580.635979</v>
      </c>
      <c r="V96" s="2">
        <f>V8/'Output-Calculation-sheet'!V7*'Output-Calculation-sheet'!V79</f>
        <v>187912464.65573713</v>
      </c>
      <c r="W96" s="2">
        <f>W8/'Output-Calculation-sheet'!W7*'Output-Calculation-sheet'!W79</f>
        <v>555266098.47102118</v>
      </c>
      <c r="X96" s="2">
        <f>X8/'Output-Calculation-sheet'!X7*'Output-Calculation-sheet'!X79</f>
        <v>195160319.85594884</v>
      </c>
      <c r="Y96" s="2">
        <f>Y8/'Output-Calculation-sheet'!Y7*'Output-Calculation-sheet'!Y79</f>
        <v>305228049.17192835</v>
      </c>
      <c r="AA96" s="2">
        <f t="shared" si="8"/>
        <v>58.134252115131311</v>
      </c>
    </row>
    <row r="97" spans="1:27" x14ac:dyDescent="0.25">
      <c r="A97" s="2">
        <v>2032</v>
      </c>
      <c r="B97" s="2">
        <f>B9/'Output-Calculation-sheet'!B8*'Output-Calculation-sheet'!B80</f>
        <v>17660623736.543411</v>
      </c>
      <c r="C97" s="2">
        <f>C9/'Output-Calculation-sheet'!C8*'Output-Calculation-sheet'!C80</f>
        <v>6015303639.3530598</v>
      </c>
      <c r="D97" s="2">
        <f>D9/'Output-Calculation-sheet'!D8*'Output-Calculation-sheet'!D80</f>
        <v>5993664528.7066088</v>
      </c>
      <c r="E97" s="2">
        <f>E9/'Output-Calculation-sheet'!E8*'Output-Calculation-sheet'!E80</f>
        <v>10961515760.744112</v>
      </c>
      <c r="F97" s="2">
        <f>F9/'Output-Calculation-sheet'!F8*'Output-Calculation-sheet'!F80</f>
        <v>4528203048.6307459</v>
      </c>
      <c r="G97" s="2">
        <f>G9/'Output-Calculation-sheet'!G8*'Output-Calculation-sheet'!G80</f>
        <v>3427600926.8265352</v>
      </c>
      <c r="H97" s="2">
        <f>H9/'Output-Calculation-sheet'!H8*'Output-Calculation-sheet'!H80</f>
        <v>3015596501.0936022</v>
      </c>
      <c r="I97" s="2">
        <f>I9/'Output-Calculation-sheet'!I8*'Output-Calculation-sheet'!I80</f>
        <v>2480607976.7857828</v>
      </c>
      <c r="J97" s="2">
        <f>J9/'Output-Calculation-sheet'!J8*'Output-Calculation-sheet'!J80</f>
        <v>1630770783.5632734</v>
      </c>
      <c r="K97" s="2">
        <f>K9/'Output-Calculation-sheet'!K8*'Output-Calculation-sheet'!K80</f>
        <v>2351099677.7929063</v>
      </c>
      <c r="L97" s="2">
        <f>L9/'Output-Calculation-sheet'!L8*'Output-Calculation-sheet'!L80</f>
        <v>1711211101.8984084</v>
      </c>
      <c r="M97" s="2">
        <f>M9/'Output-Calculation-sheet'!M8*'Output-Calculation-sheet'!M80</f>
        <v>2257751606.2284198</v>
      </c>
      <c r="N97" s="2">
        <f>N9/'Output-Calculation-sheet'!N8*'Output-Calculation-sheet'!N80</f>
        <v>1649589413.2160914</v>
      </c>
      <c r="O97" s="2">
        <f>O9/'Output-Calculation-sheet'!O8*'Output-Calculation-sheet'!O80</f>
        <v>853389523.72966456</v>
      </c>
      <c r="P97" s="2">
        <f>P9/'Output-Calculation-sheet'!P8*'Output-Calculation-sheet'!P80</f>
        <v>2792130050.345191</v>
      </c>
      <c r="Q97" s="2">
        <f>Q9/'Output-Calculation-sheet'!Q8*'Output-Calculation-sheet'!Q80</f>
        <v>1306051367.1374688</v>
      </c>
      <c r="R97" s="2">
        <f>R9/'Output-Calculation-sheet'!R8*'Output-Calculation-sheet'!R80</f>
        <v>1650192573.8303654</v>
      </c>
      <c r="S97" s="2">
        <f>S9/'Output-Calculation-sheet'!S8*'Output-Calculation-sheet'!S80</f>
        <v>957766994.76201499</v>
      </c>
      <c r="T97" s="2">
        <f>T9/'Output-Calculation-sheet'!T8*'Output-Calculation-sheet'!T80</f>
        <v>721232230.83186495</v>
      </c>
      <c r="U97" s="2">
        <f>U9/'Output-Calculation-sheet'!U8*'Output-Calculation-sheet'!U80</f>
        <v>461078592.60597378</v>
      </c>
      <c r="V97" s="2">
        <f>V9/'Output-Calculation-sheet'!V8*'Output-Calculation-sheet'!V80</f>
        <v>241762135.76575533</v>
      </c>
      <c r="W97" s="2">
        <f>W9/'Output-Calculation-sheet'!W8*'Output-Calculation-sheet'!W80</f>
        <v>700147816.52064228</v>
      </c>
      <c r="X97" s="2">
        <f>X9/'Output-Calculation-sheet'!X8*'Output-Calculation-sheet'!X80</f>
        <v>251420631.47193626</v>
      </c>
      <c r="Y97" s="2">
        <f>Y9/'Output-Calculation-sheet'!Y8*'Output-Calculation-sheet'!Y80</f>
        <v>384846560.39815825</v>
      </c>
      <c r="AA97" s="2">
        <f t="shared" si="8"/>
        <v>74.003557178782003</v>
      </c>
    </row>
    <row r="98" spans="1:27" x14ac:dyDescent="0.25">
      <c r="A98" s="2">
        <v>2033</v>
      </c>
      <c r="B98" s="2">
        <f>B10/'Output-Calculation-sheet'!B9*'Output-Calculation-sheet'!B81</f>
        <v>19705544651.967773</v>
      </c>
      <c r="C98" s="2">
        <f>C10/'Output-Calculation-sheet'!C9*'Output-Calculation-sheet'!C81</f>
        <v>6756037879.1157351</v>
      </c>
      <c r="D98" s="2">
        <f>D10/'Output-Calculation-sheet'!D9*'Output-Calculation-sheet'!D81</f>
        <v>6429690337.4403992</v>
      </c>
      <c r="E98" s="2">
        <f>E10/'Output-Calculation-sheet'!E9*'Output-Calculation-sheet'!E81</f>
        <v>12094652079.080534</v>
      </c>
      <c r="F98" s="2">
        <f>F10/'Output-Calculation-sheet'!F9*'Output-Calculation-sheet'!F81</f>
        <v>4988126858.2486219</v>
      </c>
      <c r="G98" s="2">
        <f>G10/'Output-Calculation-sheet'!G9*'Output-Calculation-sheet'!G81</f>
        <v>3662435356.6406198</v>
      </c>
      <c r="H98" s="2">
        <f>H10/'Output-Calculation-sheet'!H9*'Output-Calculation-sheet'!H81</f>
        <v>3318196356.1140523</v>
      </c>
      <c r="I98" s="2">
        <f>I10/'Output-Calculation-sheet'!I9*'Output-Calculation-sheet'!I81</f>
        <v>2758400789.8887687</v>
      </c>
      <c r="J98" s="2">
        <f>J10/'Output-Calculation-sheet'!J9*'Output-Calculation-sheet'!J81</f>
        <v>1763790989.6083765</v>
      </c>
      <c r="K98" s="2">
        <f>K10/'Output-Calculation-sheet'!K9*'Output-Calculation-sheet'!K81</f>
        <v>2561976358.7966857</v>
      </c>
      <c r="L98" s="2">
        <f>L10/'Output-Calculation-sheet'!L9*'Output-Calculation-sheet'!L81</f>
        <v>1921520618.9625647</v>
      </c>
      <c r="M98" s="2">
        <f>M10/'Output-Calculation-sheet'!M9*'Output-Calculation-sheet'!M81</f>
        <v>2491826144.8415394</v>
      </c>
      <c r="N98" s="2">
        <f>N10/'Output-Calculation-sheet'!N9*'Output-Calculation-sheet'!N81</f>
        <v>1787690833.727613</v>
      </c>
      <c r="O98" s="2">
        <f>O10/'Output-Calculation-sheet'!O9*'Output-Calculation-sheet'!O81</f>
        <v>946683293.04929674</v>
      </c>
      <c r="P98" s="2">
        <f>P10/'Output-Calculation-sheet'!P9*'Output-Calculation-sheet'!P81</f>
        <v>3025325128.7984257</v>
      </c>
      <c r="Q98" s="2">
        <f>Q10/'Output-Calculation-sheet'!Q9*'Output-Calculation-sheet'!Q81</f>
        <v>1422431181.7872026</v>
      </c>
      <c r="R98" s="2">
        <f>R10/'Output-Calculation-sheet'!R9*'Output-Calculation-sheet'!R81</f>
        <v>1819504678.5858307</v>
      </c>
      <c r="S98" s="2">
        <f>S10/'Output-Calculation-sheet'!S9*'Output-Calculation-sheet'!S81</f>
        <v>1051997646.6453902</v>
      </c>
      <c r="T98" s="2">
        <f>T10/'Output-Calculation-sheet'!T9*'Output-Calculation-sheet'!T81</f>
        <v>780625532.57040906</v>
      </c>
      <c r="U98" s="2">
        <f>U10/'Output-Calculation-sheet'!U9*'Output-Calculation-sheet'!U81</f>
        <v>507925600.0598771</v>
      </c>
      <c r="V98" s="2">
        <f>V10/'Output-Calculation-sheet'!V9*'Output-Calculation-sheet'!V81</f>
        <v>269005951.14014888</v>
      </c>
      <c r="W98" s="2">
        <f>W10/'Output-Calculation-sheet'!W9*'Output-Calculation-sheet'!W81</f>
        <v>762724678.6185751</v>
      </c>
      <c r="X98" s="2">
        <f>X10/'Output-Calculation-sheet'!X9*'Output-Calculation-sheet'!X81</f>
        <v>280278242.95481879</v>
      </c>
      <c r="Y98" s="2">
        <f>Y10/'Output-Calculation-sheet'!Y9*'Output-Calculation-sheet'!Y81</f>
        <v>419393262.90772855</v>
      </c>
      <c r="AA98" s="2">
        <f t="shared" si="8"/>
        <v>81.525784451550976</v>
      </c>
    </row>
    <row r="99" spans="1:27" x14ac:dyDescent="0.25">
      <c r="A99" s="2">
        <v>2034</v>
      </c>
      <c r="B99" s="2">
        <f>B11/'Output-Calculation-sheet'!B10*'Output-Calculation-sheet'!B82</f>
        <v>19358088004.812492</v>
      </c>
      <c r="C99" s="2">
        <f>C11/'Output-Calculation-sheet'!C10*'Output-Calculation-sheet'!C82</f>
        <v>6679334581.067749</v>
      </c>
      <c r="D99" s="2">
        <f>D11/'Output-Calculation-sheet'!D10*'Output-Calculation-sheet'!D82</f>
        <v>6076315678.1597719</v>
      </c>
      <c r="E99" s="2">
        <f>E11/'Output-Calculation-sheet'!E10*'Output-Calculation-sheet'!E82</f>
        <v>11754099853.717991</v>
      </c>
      <c r="F99" s="2">
        <f>F11/'Output-Calculation-sheet'!F10*'Output-Calculation-sheet'!F82</f>
        <v>4840911437.7916832</v>
      </c>
      <c r="G99" s="2">
        <f>G11/'Output-Calculation-sheet'!G10*'Output-Calculation-sheet'!G82</f>
        <v>3441543551.5841236</v>
      </c>
      <c r="H99" s="2">
        <f>H11/'Output-Calculation-sheet'!H10*'Output-Calculation-sheet'!H82</f>
        <v>3216747293.0443282</v>
      </c>
      <c r="I99" s="2">
        <f>I11/'Output-Calculation-sheet'!I10*'Output-Calculation-sheet'!I82</f>
        <v>2701843786.1365228</v>
      </c>
      <c r="J99" s="2">
        <f>J11/'Output-Calculation-sheet'!J10*'Output-Calculation-sheet'!J82</f>
        <v>1681356354.7683384</v>
      </c>
      <c r="K99" s="2">
        <f>K11/'Output-Calculation-sheet'!K10*'Output-Calculation-sheet'!K82</f>
        <v>2460044986.0853019</v>
      </c>
      <c r="L99" s="2">
        <f>L11/'Output-Calculation-sheet'!L10*'Output-Calculation-sheet'!L82</f>
        <v>1899334630.8385797</v>
      </c>
      <c r="M99" s="2">
        <f>M11/'Output-Calculation-sheet'!M10*'Output-Calculation-sheet'!M82</f>
        <v>2423116112.3047943</v>
      </c>
      <c r="N99" s="2">
        <f>N11/'Output-Calculation-sheet'!N10*'Output-Calculation-sheet'!N82</f>
        <v>1707087565.2171047</v>
      </c>
      <c r="O99" s="2">
        <f>O11/'Output-Calculation-sheet'!O10*'Output-Calculation-sheet'!O82</f>
        <v>925497840.90420735</v>
      </c>
      <c r="P99" s="2">
        <f>P11/'Output-Calculation-sheet'!P10*'Output-Calculation-sheet'!P82</f>
        <v>2884986433.2871938</v>
      </c>
      <c r="Q99" s="2">
        <f>Q11/'Output-Calculation-sheet'!Q10*'Output-Calculation-sheet'!Q82</f>
        <v>1365356874.3378758</v>
      </c>
      <c r="R99" s="2">
        <f>R11/'Output-Calculation-sheet'!R10*'Output-Calculation-sheet'!R82</f>
        <v>1767448159.5930803</v>
      </c>
      <c r="S99" s="2">
        <f>S11/'Output-Calculation-sheet'!S10*'Output-Calculation-sheet'!S82</f>
        <v>1018099551.5926062</v>
      </c>
      <c r="T99" s="2">
        <f>T11/'Output-Calculation-sheet'!T10*'Output-Calculation-sheet'!T82</f>
        <v>744111742.38278449</v>
      </c>
      <c r="U99" s="2">
        <f>U11/'Output-Calculation-sheet'!U10*'Output-Calculation-sheet'!U82</f>
        <v>492765795.95238304</v>
      </c>
      <c r="V99" s="2">
        <f>V11/'Output-Calculation-sheet'!V10*'Output-Calculation-sheet'!V82</f>
        <v>263475727.57930878</v>
      </c>
      <c r="W99" s="2">
        <f>W11/'Output-Calculation-sheet'!W10*'Output-Calculation-sheet'!W82</f>
        <v>730627417.34032166</v>
      </c>
      <c r="X99" s="2">
        <f>X11/'Output-Calculation-sheet'!X10*'Output-Calculation-sheet'!X82</f>
        <v>275174400.34781533</v>
      </c>
      <c r="Y99" s="2">
        <f>Y11/'Output-Calculation-sheet'!Y10*'Output-Calculation-sheet'!Y82</f>
        <v>402076807.69101572</v>
      </c>
      <c r="AA99" s="2">
        <f t="shared" si="8"/>
        <v>79.10944458653735</v>
      </c>
    </row>
    <row r="100" spans="1:27" x14ac:dyDescent="0.25">
      <c r="A100" s="2">
        <v>2035</v>
      </c>
      <c r="B100" s="2">
        <f>B12/'Output-Calculation-sheet'!B11*'Output-Calculation-sheet'!B83</f>
        <v>16725541482.043306</v>
      </c>
      <c r="C100" s="2">
        <f>C12/'Output-Calculation-sheet'!C11*'Output-Calculation-sheet'!C83</f>
        <v>5806836340.127841</v>
      </c>
      <c r="D100" s="2">
        <f>D12/'Output-Calculation-sheet'!D11*'Output-Calculation-sheet'!D83</f>
        <v>5054106469.1371164</v>
      </c>
      <c r="E100" s="2">
        <f>E12/'Output-Calculation-sheet'!E11*'Output-Calculation-sheet'!E83</f>
        <v>10051313661.833488</v>
      </c>
      <c r="F100" s="2">
        <f>F12/'Output-Calculation-sheet'!F11*'Output-Calculation-sheet'!F83</f>
        <v>4134709665.6258759</v>
      </c>
      <c r="G100" s="2">
        <f>G12/'Output-Calculation-sheet'!G11*'Output-Calculation-sheet'!G83</f>
        <v>2841350646.0486383</v>
      </c>
      <c r="H100" s="2">
        <f>H12/'Output-Calculation-sheet'!H11*'Output-Calculation-sheet'!H83</f>
        <v>2744532384.1249514</v>
      </c>
      <c r="I100" s="2">
        <f>I12/'Output-Calculation-sheet'!I11*'Output-Calculation-sheet'!I83</f>
        <v>2328681518.9199286</v>
      </c>
      <c r="J100" s="2">
        <f>J12/'Output-Calculation-sheet'!J11*'Output-Calculation-sheet'!J83</f>
        <v>1411281228.0861385</v>
      </c>
      <c r="K100" s="2">
        <f>K12/'Output-Calculation-sheet'!K11*'Output-Calculation-sheet'!K83</f>
        <v>2079418395.9347317</v>
      </c>
      <c r="L100" s="2">
        <f>L12/'Output-Calculation-sheet'!L11*'Output-Calculation-sheet'!L83</f>
        <v>1650939639.1684766</v>
      </c>
      <c r="M100" s="2">
        <f>M12/'Output-Calculation-sheet'!M11*'Output-Calculation-sheet'!M83</f>
        <v>2073946021.2791295</v>
      </c>
      <c r="N100" s="2">
        <f>N12/'Output-Calculation-sheet'!N11*'Output-Calculation-sheet'!N83</f>
        <v>1435006841.3505955</v>
      </c>
      <c r="O100" s="2">
        <f>O12/'Output-Calculation-sheet'!O11*'Output-Calculation-sheet'!O83</f>
        <v>796519913.29259253</v>
      </c>
      <c r="P100" s="2">
        <f>P12/'Output-Calculation-sheet'!P11*'Output-Calculation-sheet'!P83</f>
        <v>2419087573.7216315</v>
      </c>
      <c r="Q100" s="2">
        <f>Q12/'Output-Calculation-sheet'!Q11*'Output-Calculation-sheet'!Q83</f>
        <v>1153915862.1252971</v>
      </c>
      <c r="R100" s="2">
        <f>R12/'Output-Calculation-sheet'!R11*'Output-Calculation-sheet'!R83</f>
        <v>1510988506.7014837</v>
      </c>
      <c r="S100" s="2">
        <f>S12/'Output-Calculation-sheet'!S11*'Output-Calculation-sheet'!S83</f>
        <v>867229769.56629241</v>
      </c>
      <c r="T100" s="2">
        <f>T12/'Output-Calculation-sheet'!T11*'Output-Calculation-sheet'!T83</f>
        <v>624104960.16898799</v>
      </c>
      <c r="U100" s="2">
        <f>U12/'Output-Calculation-sheet'!U11*'Output-Calculation-sheet'!U83</f>
        <v>420576079.37645638</v>
      </c>
      <c r="V100" s="2">
        <f>V12/'Output-Calculation-sheet'!V11*'Output-Calculation-sheet'!V83</f>
        <v>226925230.91017851</v>
      </c>
      <c r="W100" s="2">
        <f>W12/'Output-Calculation-sheet'!W11*'Output-Calculation-sheet'!W83</f>
        <v>614796199.83986151</v>
      </c>
      <c r="X100" s="2">
        <f>X12/'Output-Calculation-sheet'!X11*'Output-Calculation-sheet'!X83</f>
        <v>237686050.55493009</v>
      </c>
      <c r="Y100" s="2">
        <f>Y12/'Output-Calculation-sheet'!Y11*'Output-Calculation-sheet'!Y83</f>
        <v>338789403.10650718</v>
      </c>
      <c r="AA100" s="2">
        <f t="shared" si="8"/>
        <v>67.548283843044445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1259.365531279843</v>
      </c>
      <c r="C19" s="2">
        <f>C8/'Output-Calculation-sheet'!C7*'Output-Calculation-sheet'!C25</f>
        <v>11736.99108402095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5650.7177693249132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3926.0181165756089</v>
      </c>
      <c r="N19" s="2">
        <f>N8/'Output-Calculation-sheet'!N7*'Output-Calculation-sheet'!N25</f>
        <v>1344.1469305408059</v>
      </c>
      <c r="O19" s="2">
        <f>O8/'Output-Calculation-sheet'!O7*'Output-Calculation-sheet'!O25</f>
        <v>2082.0512302278457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479.61284375721914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439.307889459764</v>
      </c>
      <c r="Y19" s="2">
        <f>Y8/'Output-Calculation-sheet'!Y7*'Output-Calculation-sheet'!Y25</f>
        <v>0</v>
      </c>
      <c r="AA19" s="2">
        <f t="shared" si="0"/>
        <v>26.918211395186947</v>
      </c>
    </row>
    <row r="20" spans="1:27" x14ac:dyDescent="0.25">
      <c r="A20" s="2">
        <v>2032</v>
      </c>
      <c r="B20" s="2">
        <f>B9/'Output-Calculation-sheet'!B8*'Output-Calculation-sheet'!B26</f>
        <v>6958.2953931066086</v>
      </c>
      <c r="C20" s="2">
        <f>C9/'Output-Calculation-sheet'!C8*'Output-Calculation-sheet'!C26</f>
        <v>14143.093475884491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7570.1380690282895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5264.921083713929</v>
      </c>
      <c r="N20" s="2">
        <f>N9/'Output-Calculation-sheet'!N8*'Output-Calculation-sheet'!N26</f>
        <v>2373.8505469149318</v>
      </c>
      <c r="O20" s="2">
        <f>O9/'Output-Calculation-sheet'!O8*'Output-Calculation-sheet'!O26</f>
        <v>2462.6758657771356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858.31435462361833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588.44435744398038</v>
      </c>
      <c r="Y20" s="2">
        <f>Y9/'Output-Calculation-sheet'!Y8*'Output-Calculation-sheet'!Y26</f>
        <v>0</v>
      </c>
      <c r="AA20" s="2">
        <f t="shared" si="0"/>
        <v>40.219733146492985</v>
      </c>
    </row>
    <row r="21" spans="1:27" x14ac:dyDescent="0.25">
      <c r="A21" s="2">
        <v>2033</v>
      </c>
      <c r="B21" s="2">
        <f>B10/'Output-Calculation-sheet'!B9*'Output-Calculation-sheet'!B27</f>
        <v>15623.372268254479</v>
      </c>
      <c r="C21" s="2">
        <f>C10/'Output-Calculation-sheet'!C9*'Output-Calculation-sheet'!C27</f>
        <v>15927.168966639761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9032.2696694328824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6273.5414181558081</v>
      </c>
      <c r="N21" s="2">
        <f>N10/'Output-Calculation-sheet'!N9*'Output-Calculation-sheet'!N27</f>
        <v>3413.6846136413856</v>
      </c>
      <c r="O21" s="2">
        <f>O10/'Output-Calculation-sheet'!O9*'Output-Calculation-sheet'!O27</f>
        <v>2648.221891662798</v>
      </c>
      <c r="P21" s="2">
        <f>P10/'Output-Calculation-sheet'!P9*'Output-Calculation-sheet'!P27</f>
        <v>0</v>
      </c>
      <c r="Q21" s="2">
        <f>Q10/'Output-Calculation-sheet'!Q9*'Output-Calculation-sheet'!Q27</f>
        <v>233.12765180834188</v>
      </c>
      <c r="R21" s="2">
        <f>R10/'Output-Calculation-sheet'!R9*'Output-Calculation-sheet'!R27</f>
        <v>0</v>
      </c>
      <c r="S21" s="2">
        <f>S10/'Output-Calculation-sheet'!S9*'Output-Calculation-sheet'!S27</f>
        <v>1493.8091305074659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737.67035906853323</v>
      </c>
      <c r="Y21" s="2">
        <f>Y10/'Output-Calculation-sheet'!Y9*'Output-Calculation-sheet'!Y27</f>
        <v>0</v>
      </c>
      <c r="AA21" s="2">
        <f t="shared" si="0"/>
        <v>55.382865969171455</v>
      </c>
    </row>
    <row r="22" spans="1:27" x14ac:dyDescent="0.25">
      <c r="A22" s="2">
        <v>2034</v>
      </c>
      <c r="B22" s="2">
        <f>B11/'Output-Calculation-sheet'!B10*'Output-Calculation-sheet'!B28</f>
        <v>23985.648960607519</v>
      </c>
      <c r="C22" s="2">
        <f>C11/'Output-Calculation-sheet'!C10*'Output-Calculation-sheet'!C28</f>
        <v>17126.246960192442</v>
      </c>
      <c r="D22" s="2">
        <f>D11/'Output-Calculation-sheet'!D10*'Output-Calculation-sheet'!D28</f>
        <v>0</v>
      </c>
      <c r="E22" s="2">
        <f>E11/'Output-Calculation-sheet'!E10*'Output-Calculation-sheet'!E28</f>
        <v>1387.2904726210588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10083.32982508149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688.88677424554123</v>
      </c>
      <c r="M22" s="2">
        <f>M11/'Output-Calculation-sheet'!M10*'Output-Calculation-sheet'!M28</f>
        <v>7005.3145080537561</v>
      </c>
      <c r="N22" s="2">
        <f>N11/'Output-Calculation-sheet'!N10*'Output-Calculation-sheet'!N28</f>
        <v>4067.2154082706729</v>
      </c>
      <c r="O22" s="2">
        <f>O11/'Output-Calculation-sheet'!O10*'Output-Calculation-sheet'!O28</f>
        <v>2635.9144142976324</v>
      </c>
      <c r="P22" s="2">
        <f>P11/'Output-Calculation-sheet'!P10*'Output-Calculation-sheet'!P28</f>
        <v>0</v>
      </c>
      <c r="Q22" s="2">
        <f>Q11/'Output-Calculation-sheet'!Q10*'Output-Calculation-sheet'!Q28</f>
        <v>608.06802415272864</v>
      </c>
      <c r="R22" s="2">
        <f>R11/'Output-Calculation-sheet'!R10*'Output-Calculation-sheet'!R28</f>
        <v>0</v>
      </c>
      <c r="S22" s="2">
        <f>S11/'Output-Calculation-sheet'!S10*'Output-Calculation-sheet'!S28</f>
        <v>1899.7431097592546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729.56212282919068</v>
      </c>
      <c r="Y22" s="2">
        <f>Y11/'Output-Calculation-sheet'!Y10*'Output-Calculation-sheet'!Y28</f>
        <v>76.812735946912525</v>
      </c>
      <c r="AA22" s="2">
        <f t="shared" si="0"/>
        <v>70.294033316058176</v>
      </c>
    </row>
    <row r="23" spans="1:27" x14ac:dyDescent="0.25">
      <c r="A23" s="2">
        <v>2035</v>
      </c>
      <c r="B23" s="2">
        <f>B12/'Output-Calculation-sheet'!B11*'Output-Calculation-sheet'!B29</f>
        <v>24496.548777575921</v>
      </c>
      <c r="C23" s="2">
        <f>C12/'Output-Calculation-sheet'!C11*'Output-Calculation-sheet'!C29</f>
        <v>17868.144236131317</v>
      </c>
      <c r="D23" s="2">
        <f>D12/'Output-Calculation-sheet'!D11*'Output-Calculation-sheet'!D29</f>
        <v>0</v>
      </c>
      <c r="E23" s="2">
        <f>E12/'Output-Calculation-sheet'!E11*'Output-Calculation-sheet'!E29</f>
        <v>3116.1857513378413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8969.3397826052624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737.57751417302438</v>
      </c>
      <c r="M23" s="2">
        <f>M12/'Output-Calculation-sheet'!M11*'Output-Calculation-sheet'!M29</f>
        <v>6323.9614934466526</v>
      </c>
      <c r="N23" s="2">
        <f>N12/'Output-Calculation-sheet'!N11*'Output-Calculation-sheet'!N29</f>
        <v>3726.303559448842</v>
      </c>
      <c r="O23" s="2">
        <f>O12/'Output-Calculation-sheet'!O11*'Output-Calculation-sheet'!O29</f>
        <v>2465.2766574465472</v>
      </c>
      <c r="P23" s="2">
        <f>P12/'Output-Calculation-sheet'!P11*'Output-Calculation-sheet'!P29</f>
        <v>525.62285274619467</v>
      </c>
      <c r="Q23" s="2">
        <f>Q12/'Output-Calculation-sheet'!Q11*'Output-Calculation-sheet'!Q29</f>
        <v>796.13917707971495</v>
      </c>
      <c r="R23" s="2">
        <f>R12/'Output-Calculation-sheet'!R11*'Output-Calculation-sheet'!R29</f>
        <v>0</v>
      </c>
      <c r="S23" s="2">
        <f>S12/'Output-Calculation-sheet'!S11*'Output-Calculation-sheet'!S29</f>
        <v>1822.2809599286077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656.95439565099082</v>
      </c>
      <c r="Y23" s="2">
        <f>Y12/'Output-Calculation-sheet'!Y11*'Output-Calculation-sheet'!Y29</f>
        <v>166.81871385794361</v>
      </c>
      <c r="AA23" s="2">
        <f t="shared" si="0"/>
        <v>71.671153871428842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21950.332109903386</v>
      </c>
      <c r="C30" s="2">
        <f>C8/'Output-Calculation-sheet'!C7*'Output-Calculation-sheet'!C16</f>
        <v>0</v>
      </c>
      <c r="D30" s="2">
        <f>D8/'Output-Calculation-sheet'!D7*'Output-Calculation-sheet'!D16</f>
        <v>3696.1457514887516</v>
      </c>
      <c r="E30" s="2">
        <f>E8/'Output-Calculation-sheet'!E7*'Output-Calculation-sheet'!E16</f>
        <v>3976.8440042841335</v>
      </c>
      <c r="F30" s="2">
        <f>F8/'Output-Calculation-sheet'!F7*'Output-Calculation-sheet'!F16</f>
        <v>2006.3389620307237</v>
      </c>
      <c r="G30" s="2">
        <f>G8/'Output-Calculation-sheet'!G7*'Output-Calculation-sheet'!G16</f>
        <v>1313.9137240104303</v>
      </c>
      <c r="H30" s="2">
        <f>H8/'Output-Calculation-sheet'!H7*'Output-Calculation-sheet'!H16</f>
        <v>0</v>
      </c>
      <c r="I30" s="2">
        <f>I8/'Output-Calculation-sheet'!I7*'Output-Calculation-sheet'!I16</f>
        <v>1280.869146888876</v>
      </c>
      <c r="J30" s="2">
        <f>J8/'Output-Calculation-sheet'!J7*'Output-Calculation-sheet'!J16</f>
        <v>1140.2198311306033</v>
      </c>
      <c r="K30" s="2">
        <f>K8/'Output-Calculation-sheet'!K7*'Output-Calculation-sheet'!K16</f>
        <v>1522.4114159593273</v>
      </c>
      <c r="L30" s="2">
        <f>L8/'Output-Calculation-sheet'!L7*'Output-Calculation-sheet'!L16</f>
        <v>1285.9426906750323</v>
      </c>
      <c r="M30" s="2">
        <f>M8/'Output-Calculation-sheet'!M7*'Output-Calculation-sheet'!M16</f>
        <v>0</v>
      </c>
      <c r="N30" s="2">
        <f>N8/'Output-Calculation-sheet'!N7*'Output-Calculation-sheet'!N16</f>
        <v>1826.5732530111873</v>
      </c>
      <c r="O30" s="2">
        <f>O8/'Output-Calculation-sheet'!O7*'Output-Calculation-sheet'!O16</f>
        <v>0</v>
      </c>
      <c r="P30" s="2">
        <f>P8/'Output-Calculation-sheet'!P7*'Output-Calculation-sheet'!P16</f>
        <v>1641.6641051517749</v>
      </c>
      <c r="Q30" s="2">
        <f>Q8/'Output-Calculation-sheet'!Q7*'Output-Calculation-sheet'!Q16</f>
        <v>1805.2883399506482</v>
      </c>
      <c r="R30" s="2">
        <f>R8/'Output-Calculation-sheet'!R7*'Output-Calculation-sheet'!R16</f>
        <v>1145.4632981752941</v>
      </c>
      <c r="S30" s="2">
        <f>S8/'Output-Calculation-sheet'!S7*'Output-Calculation-sheet'!S16</f>
        <v>1152.0001907596945</v>
      </c>
      <c r="T30" s="2">
        <f>T8/'Output-Calculation-sheet'!T7*'Output-Calculation-sheet'!T16</f>
        <v>343.85161694706892</v>
      </c>
      <c r="U30" s="2">
        <f>U8/'Output-Calculation-sheet'!U7*'Output-Calculation-sheet'!U16</f>
        <v>343.23699090106425</v>
      </c>
      <c r="V30" s="2">
        <f>V8/'Output-Calculation-sheet'!V7*'Output-Calculation-sheet'!V16</f>
        <v>267.13482560756557</v>
      </c>
      <c r="W30" s="2">
        <f>W8/'Output-Calculation-sheet'!W7*'Output-Calculation-sheet'!W16</f>
        <v>162.03073867497511</v>
      </c>
      <c r="X30" s="2">
        <f>X8/'Output-Calculation-sheet'!X7*'Output-Calculation-sheet'!X16</f>
        <v>0</v>
      </c>
      <c r="Y30" s="2">
        <f>Y8/'Output-Calculation-sheet'!Y7*'Output-Calculation-sheet'!Y16</f>
        <v>137.14059944354372</v>
      </c>
      <c r="AA30" s="2">
        <f t="shared" si="1"/>
        <v>46.997401594994081</v>
      </c>
    </row>
    <row r="31" spans="1:27" x14ac:dyDescent="0.25">
      <c r="A31" s="2">
        <v>2032</v>
      </c>
      <c r="B31" s="2">
        <f>B9/'Output-Calculation-sheet'!B8*'Output-Calculation-sheet'!B17</f>
        <v>29463.72162817344</v>
      </c>
      <c r="C31" s="2">
        <f>C9/'Output-Calculation-sheet'!C8*'Output-Calculation-sheet'!C17</f>
        <v>0</v>
      </c>
      <c r="D31" s="2">
        <f>D9/'Output-Calculation-sheet'!D8*'Output-Calculation-sheet'!D17</f>
        <v>4941.4529650884469</v>
      </c>
      <c r="E31" s="2">
        <f>E9/'Output-Calculation-sheet'!E8*'Output-Calculation-sheet'!E17</f>
        <v>5808.0028185730052</v>
      </c>
      <c r="F31" s="2">
        <f>F9/'Output-Calculation-sheet'!F8*'Output-Calculation-sheet'!F17</f>
        <v>2682.3809900306542</v>
      </c>
      <c r="G31" s="2">
        <f>G9/'Output-Calculation-sheet'!G8*'Output-Calculation-sheet'!G17</f>
        <v>1756.6246829081938</v>
      </c>
      <c r="H31" s="2">
        <f>H9/'Output-Calculation-sheet'!H8*'Output-Calculation-sheet'!H17</f>
        <v>0</v>
      </c>
      <c r="I31" s="2">
        <f>I9/'Output-Calculation-sheet'!I8*'Output-Calculation-sheet'!I17</f>
        <v>1712.4540651353932</v>
      </c>
      <c r="J31" s="2">
        <f>J9/'Output-Calculation-sheet'!J8*'Output-Calculation-sheet'!J17</f>
        <v>1524.41419308786</v>
      </c>
      <c r="K31" s="2">
        <f>K9/'Output-Calculation-sheet'!K8*'Output-Calculation-sheet'!K17</f>
        <v>2170.3610569641205</v>
      </c>
      <c r="L31" s="2">
        <f>L9/'Output-Calculation-sheet'!L8*'Output-Calculation-sheet'!L17</f>
        <v>1850.9364417631803</v>
      </c>
      <c r="M31" s="2">
        <f>M9/'Output-Calculation-sheet'!M8*'Output-Calculation-sheet'!M17</f>
        <v>0</v>
      </c>
      <c r="N31" s="2">
        <f>N9/'Output-Calculation-sheet'!N8*'Output-Calculation-sheet'!N17</f>
        <v>2012.1572184914307</v>
      </c>
      <c r="O31" s="2">
        <f>O9/'Output-Calculation-sheet'!O8*'Output-Calculation-sheet'!O17</f>
        <v>0</v>
      </c>
      <c r="P31" s="2">
        <f>P9/'Output-Calculation-sheet'!P8*'Output-Calculation-sheet'!P17</f>
        <v>2497.3994172152679</v>
      </c>
      <c r="Q31" s="2">
        <f>Q9/'Output-Calculation-sheet'!Q8*'Output-Calculation-sheet'!Q17</f>
        <v>2662.4572321917562</v>
      </c>
      <c r="R31" s="2">
        <f>R9/'Output-Calculation-sheet'!R8*'Output-Calculation-sheet'!R17</f>
        <v>1741.9202305332074</v>
      </c>
      <c r="S31" s="2">
        <f>S9/'Output-Calculation-sheet'!S8*'Output-Calculation-sheet'!S17</f>
        <v>1504.1767832592552</v>
      </c>
      <c r="T31" s="2">
        <f>T9/'Output-Calculation-sheet'!T8*'Output-Calculation-sheet'!T17</f>
        <v>472.68278115162684</v>
      </c>
      <c r="U31" s="2">
        <f>U9/'Output-Calculation-sheet'!U8*'Output-Calculation-sheet'!U17</f>
        <v>543.26320755203756</v>
      </c>
      <c r="V31" s="2">
        <f>V9/'Output-Calculation-sheet'!V8*'Output-Calculation-sheet'!V17</f>
        <v>389.11365831960171</v>
      </c>
      <c r="W31" s="2">
        <f>W9/'Output-Calculation-sheet'!W8*'Output-Calculation-sheet'!W17</f>
        <v>216.62875444211224</v>
      </c>
      <c r="X31" s="2">
        <f>X9/'Output-Calculation-sheet'!X8*'Output-Calculation-sheet'!X17</f>
        <v>0</v>
      </c>
      <c r="Y31" s="2">
        <f>Y9/'Output-Calculation-sheet'!Y8*'Output-Calculation-sheet'!Y17</f>
        <v>209.31030996427501</v>
      </c>
      <c r="AA31" s="2">
        <f t="shared" si="1"/>
        <v>64.159458434844865</v>
      </c>
    </row>
    <row r="32" spans="1:27" x14ac:dyDescent="0.25">
      <c r="A32" s="2">
        <v>2033</v>
      </c>
      <c r="B32" s="2">
        <f>B10/'Output-Calculation-sheet'!B9*'Output-Calculation-sheet'!B18</f>
        <v>31665.422485417275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1942.3667298230393</v>
      </c>
      <c r="O32" s="2">
        <f>O10/'Output-Calculation-sheet'!O9*'Output-Calculation-sheet'!O18</f>
        <v>0</v>
      </c>
      <c r="P32" s="2">
        <f>P10/'Output-Calculation-sheet'!P9*'Output-Calculation-sheet'!P18</f>
        <v>3108.2610744644007</v>
      </c>
      <c r="Q32" s="2">
        <f>Q10/'Output-Calculation-sheet'!Q9*'Output-Calculation-sheet'!Q18</f>
        <v>3386.9197862841047</v>
      </c>
      <c r="R32" s="2">
        <f>R10/'Output-Calculation-sheet'!R9*'Output-Calculation-sheet'!R18</f>
        <v>2231.5901734452218</v>
      </c>
      <c r="S32" s="2">
        <f>S10/'Output-Calculation-sheet'!S9*'Output-Calculation-sheet'!S18</f>
        <v>1460.5431083556837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721.48757108299117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76.133748132150188</v>
      </c>
    </row>
    <row r="33" spans="1:27" x14ac:dyDescent="0.25">
      <c r="A33" s="2">
        <v>2034</v>
      </c>
      <c r="B33" s="2">
        <f>B11/'Output-Calculation-sheet'!B10*'Output-Calculation-sheet'!B19</f>
        <v>27486.824969121844</v>
      </c>
      <c r="C33" s="2">
        <f>C11/'Output-Calculation-sheet'!C10*'Output-Calculation-sheet'!C19</f>
        <v>0</v>
      </c>
      <c r="D33" s="2">
        <f>D11/'Output-Calculation-sheet'!D10*'Output-Calculation-sheet'!D19</f>
        <v>8321.0354359227367</v>
      </c>
      <c r="E33" s="2">
        <f>E11/'Output-Calculation-sheet'!E10*'Output-Calculation-sheet'!E19</f>
        <v>10318.537214135649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2827.4016593595402</v>
      </c>
      <c r="H33" s="2">
        <f>H11/'Output-Calculation-sheet'!H10*'Output-Calculation-sheet'!H19</f>
        <v>0</v>
      </c>
      <c r="I33" s="2">
        <f>I11/'Output-Calculation-sheet'!I10*'Output-Calculation-sheet'!I19</f>
        <v>3089.7411941168934</v>
      </c>
      <c r="J33" s="2">
        <f>J11/'Output-Calculation-sheet'!J10*'Output-Calculation-sheet'!J19</f>
        <v>2614.0042336636689</v>
      </c>
      <c r="K33" s="2">
        <f>K11/'Output-Calculation-sheet'!K10*'Output-Calculation-sheet'!K19</f>
        <v>3619.3377647676011</v>
      </c>
      <c r="L33" s="2">
        <f>L11/'Output-Calculation-sheet'!L10*'Output-Calculation-sheet'!L19</f>
        <v>2859.0487653911805</v>
      </c>
      <c r="M33" s="2">
        <f>M11/'Output-Calculation-sheet'!M10*'Output-Calculation-sheet'!M19</f>
        <v>0</v>
      </c>
      <c r="N33" s="2">
        <f>N11/'Output-Calculation-sheet'!N10*'Output-Calculation-sheet'!N19</f>
        <v>1710.0241503974139</v>
      </c>
      <c r="O33" s="2">
        <f>O11/'Output-Calculation-sheet'!O10*'Output-Calculation-sheet'!O19</f>
        <v>0</v>
      </c>
      <c r="P33" s="2">
        <f>P11/'Output-Calculation-sheet'!P10*'Output-Calculation-sheet'!P19</f>
        <v>3662.6267329449065</v>
      </c>
      <c r="Q33" s="2">
        <f>Q11/'Output-Calculation-sheet'!Q10*'Output-Calculation-sheet'!Q19</f>
        <v>3024.6813928294564</v>
      </c>
      <c r="R33" s="2">
        <f>R11/'Output-Calculation-sheet'!R10*'Output-Calculation-sheet'!R19</f>
        <v>2615.1759498796132</v>
      </c>
      <c r="S33" s="2">
        <f>S11/'Output-Calculation-sheet'!S10*'Output-Calculation-sheet'!S19</f>
        <v>1284.6276965492234</v>
      </c>
      <c r="T33" s="2">
        <f>T11/'Output-Calculation-sheet'!T10*'Output-Calculation-sheet'!T19</f>
        <v>767.31282278506148</v>
      </c>
      <c r="U33" s="2">
        <f>U11/'Output-Calculation-sheet'!U10*'Output-Calculation-sheet'!U19</f>
        <v>825.98626530454976</v>
      </c>
      <c r="V33" s="2">
        <f>V11/'Output-Calculation-sheet'!V10*'Output-Calculation-sheet'!V19</f>
        <v>601.86705052577588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0</v>
      </c>
      <c r="Y33" s="2">
        <f>Y11/'Output-Calculation-sheet'!Y10*'Output-Calculation-sheet'!Y19</f>
        <v>337.72508285421458</v>
      </c>
      <c r="AA33" s="2">
        <f t="shared" si="1"/>
        <v>81.062425130317109</v>
      </c>
    </row>
    <row r="34" spans="1:27" x14ac:dyDescent="0.25">
      <c r="A34" s="2">
        <v>2035</v>
      </c>
      <c r="B34" s="2">
        <f>B12/'Output-Calculation-sheet'!B11*'Output-Calculation-sheet'!B20</f>
        <v>23258.600535671398</v>
      </c>
      <c r="C34" s="2">
        <f>C12/'Output-Calculation-sheet'!C11*'Output-Calculation-sheet'!C20</f>
        <v>0</v>
      </c>
      <c r="D34" s="2">
        <f>D12/'Output-Calculation-sheet'!D11*'Output-Calculation-sheet'!D20</f>
        <v>7135.5699135872946</v>
      </c>
      <c r="E34" s="2">
        <f>E12/'Output-Calculation-sheet'!E11*'Output-Calculation-sheet'!E20</f>
        <v>8411.0525987978017</v>
      </c>
      <c r="F34" s="2">
        <f>F12/'Output-Calculation-sheet'!F11*'Output-Calculation-sheet'!F20</f>
        <v>4813.124228230331</v>
      </c>
      <c r="G34" s="2">
        <f>G12/'Output-Calculation-sheet'!G11*'Output-Calculation-sheet'!G20</f>
        <v>2577.5883457406226</v>
      </c>
      <c r="H34" s="2">
        <f>H12/'Output-Calculation-sheet'!H11*'Output-Calculation-sheet'!H20</f>
        <v>0</v>
      </c>
      <c r="I34" s="2">
        <f>I12/'Output-Calculation-sheet'!I11*'Output-Calculation-sheet'!I20</f>
        <v>2866.9552876404828</v>
      </c>
      <c r="J34" s="2">
        <f>J12/'Output-Calculation-sheet'!J11*'Output-Calculation-sheet'!J20</f>
        <v>2234.7787812727443</v>
      </c>
      <c r="K34" s="2">
        <f>K12/'Output-Calculation-sheet'!K11*'Output-Calculation-sheet'!K20</f>
        <v>3303.2860590068153</v>
      </c>
      <c r="L34" s="2">
        <f>L12/'Output-Calculation-sheet'!L11*'Output-Calculation-sheet'!L20</f>
        <v>2524.5281428322178</v>
      </c>
      <c r="M34" s="2">
        <f>M12/'Output-Calculation-sheet'!M11*'Output-Calculation-sheet'!M20</f>
        <v>0</v>
      </c>
      <c r="N34" s="2">
        <f>N12/'Output-Calculation-sheet'!N11*'Output-Calculation-sheet'!N20</f>
        <v>1464.991728966706</v>
      </c>
      <c r="O34" s="2">
        <f>O12/'Output-Calculation-sheet'!O11*'Output-Calculation-sheet'!O20</f>
        <v>0</v>
      </c>
      <c r="P34" s="2">
        <f>P12/'Output-Calculation-sheet'!P11*'Output-Calculation-sheet'!P20</f>
        <v>3140.6904809344205</v>
      </c>
      <c r="Q34" s="2">
        <f>Q12/'Output-Calculation-sheet'!Q11*'Output-Calculation-sheet'!Q20</f>
        <v>2587.3327157315525</v>
      </c>
      <c r="R34" s="2">
        <f>R12/'Output-Calculation-sheet'!R11*'Output-Calculation-sheet'!R20</f>
        <v>2428.7197884725206</v>
      </c>
      <c r="S34" s="2">
        <f>S12/'Output-Calculation-sheet'!S11*'Output-Calculation-sheet'!S20</f>
        <v>1036.2857522562308</v>
      </c>
      <c r="T34" s="2">
        <f>T12/'Output-Calculation-sheet'!T11*'Output-Calculation-sheet'!T20</f>
        <v>776.42977125836467</v>
      </c>
      <c r="U34" s="2">
        <f>U12/'Output-Calculation-sheet'!U11*'Output-Calculation-sheet'!U20</f>
        <v>724.32519899372778</v>
      </c>
      <c r="V34" s="2">
        <f>V12/'Output-Calculation-sheet'!V11*'Output-Calculation-sheet'!V20</f>
        <v>537.89716696712321</v>
      </c>
      <c r="W34" s="2">
        <f>W12/'Output-Calculation-sheet'!W11*'Output-Calculation-sheet'!W20</f>
        <v>428.35749215916081</v>
      </c>
      <c r="X34" s="2">
        <f>X12/'Output-Calculation-sheet'!X11*'Output-Calculation-sheet'!X20</f>
        <v>16.790985359758412</v>
      </c>
      <c r="Y34" s="2">
        <f>Y12/'Output-Calculation-sheet'!Y11*'Output-Calculation-sheet'!Y20</f>
        <v>250.64588830290043</v>
      </c>
      <c r="AA34" s="2">
        <f t="shared" si="1"/>
        <v>70.517950862182175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2.3929909925571207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0.46489377294507822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2.8578847655021988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3.839144351736246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0.74584246581398139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4.5849868175502273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5.0763885152636696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0.73965429157575224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5.8160428068394214</v>
      </c>
    </row>
    <row r="44" spans="1:27" x14ac:dyDescent="0.25">
      <c r="A44" s="2">
        <v>2034</v>
      </c>
      <c r="B44" s="2">
        <f>B11/'Output-Calculation-sheet'!B10*'Output-Calculation-sheet'!B37*0.0114</f>
        <v>2.4843400035518042</v>
      </c>
      <c r="C44" s="2">
        <f>C11/'Output-Calculation-sheet'!C10*'Output-Calculation-sheet'!C37*0.0114</f>
        <v>4.7164927007173283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0.36297083603605074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0.26337478121936986</v>
      </c>
      <c r="M44" s="2">
        <f>M11/'Output-Calculation-sheet'!M10*'Output-Calculation-sheet'!M37*0.0114</f>
        <v>0.24975945392279225</v>
      </c>
      <c r="N44" s="2">
        <f>N11/'Output-Calculation-sheet'!N10*'Output-Calculation-sheet'!N37*0.0114</f>
        <v>0.24547346615287435</v>
      </c>
      <c r="O44" s="2">
        <f>O11/'Output-Calculation-sheet'!O10*'Output-Calculation-sheet'!O37*0.0114</f>
        <v>0.91628764735187829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0.21507168487918793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0.14071348297536534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6.8621008624568158E-2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2.7399227802604439E-2</v>
      </c>
      <c r="Y44" s="2">
        <f>Y11/'Output-Calculation-sheet'!Y10*'Output-Calculation-sheet'!Y37*0.0114</f>
        <v>0</v>
      </c>
      <c r="AA44" s="2">
        <f t="shared" si="2"/>
        <v>9.6905042932338219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4.1244824178689239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0.80127597581960108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4.7920198548315411E-2</v>
      </c>
      <c r="Y45" s="2">
        <f>Y12/'Output-Calculation-sheet'!Y11*'Output-Calculation-sheet'!Y38*0.0114</f>
        <v>2.3121940204996562E-2</v>
      </c>
      <c r="AA45" s="2">
        <f t="shared" si="2"/>
        <v>12.360936488246457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8012.5444933194112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5468.9516621324246</v>
      </c>
      <c r="N52" s="2">
        <f>N8/'Output-Calculation-sheet'!N7*'Output-Calculation-sheet'!N43</f>
        <v>174.80006249209887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704.82809571957762</v>
      </c>
      <c r="Y52" s="2">
        <f>Y8/'Output-Calculation-sheet'!Y7*'Output-Calculation-sheet'!Y43</f>
        <v>0</v>
      </c>
      <c r="AA52" s="2">
        <f t="shared" si="3"/>
        <v>14.361124313663513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785.78977959513804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15135.438326719272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10343.329350360666</v>
      </c>
      <c r="N53" s="2">
        <f>N9/'Output-Calculation-sheet'!N8*'Output-Calculation-sheet'!N44</f>
        <v>3692.4175157274135</v>
      </c>
      <c r="O53" s="2">
        <f>O9/'Output-Calculation-sheet'!O8*'Output-Calculation-sheet'!O44</f>
        <v>0</v>
      </c>
      <c r="P53" s="2">
        <f>P9/'Output-Calculation-sheet'!P8*'Output-Calculation-sheet'!P44</f>
        <v>172.71536552402068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1138.6855229824346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1296.4144778763957</v>
      </c>
      <c r="Y53" s="2">
        <f>Y9/'Output-Calculation-sheet'!Y8*'Output-Calculation-sheet'!Y44</f>
        <v>0</v>
      </c>
      <c r="AA53" s="2">
        <f t="shared" si="3"/>
        <v>32.564790338785343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6011.5127154438187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0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873.13727269041897</v>
      </c>
      <c r="R54" s="2">
        <f>R10/'Output-Calculation-sheet'!R9*'Output-Calculation-sheet'!R45</f>
        <v>1490.1163382265831</v>
      </c>
      <c r="S54" s="2">
        <f>S10/'Output-Calculation-sheet'!S9*'Output-Calculation-sheet'!S45</f>
        <v>3573.7060538456121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531.25347582954191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91.954317568089493</v>
      </c>
    </row>
    <row r="55" spans="1:27" x14ac:dyDescent="0.25">
      <c r="A55" s="2">
        <v>2034</v>
      </c>
      <c r="B55" s="2">
        <f>B11/'Output-Calculation-sheet'!B10*'Output-Calculation-sheet'!B46</f>
        <v>65377.368514521157</v>
      </c>
      <c r="C55" s="2">
        <f>C11/'Output-Calculation-sheet'!C10*'Output-Calculation-sheet'!C46</f>
        <v>13446.14147134326</v>
      </c>
      <c r="D55" s="2">
        <f>D11/'Output-Calculation-sheet'!D10*'Output-Calculation-sheet'!D46</f>
        <v>7238.2325027846482</v>
      </c>
      <c r="E55" s="2">
        <f>E11/'Output-Calculation-sheet'!E10*'Output-Calculation-sheet'!E46</f>
        <v>8956.3682622501692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23497.585701281176</v>
      </c>
      <c r="I55" s="2">
        <f>I11/'Output-Calculation-sheet'!I10*'Output-Calculation-sheet'!I46</f>
        <v>1744.1634418601445</v>
      </c>
      <c r="J55" s="2">
        <f>J11/'Output-Calculation-sheet'!J10*'Output-Calculation-sheet'!J46</f>
        <v>1258.0409196451785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669.98847854050223</v>
      </c>
      <c r="M55" s="2">
        <f>M11/'Output-Calculation-sheet'!M10*'Output-Calculation-sheet'!M46</f>
        <v>16300.090677066442</v>
      </c>
      <c r="N55" s="2">
        <f>N11/'Output-Calculation-sheet'!N10*'Output-Calculation-sheet'!N46</f>
        <v>11584.624981600562</v>
      </c>
      <c r="O55" s="2">
        <f>O11/'Output-Calculation-sheet'!O10*'Output-Calculation-sheet'!O46</f>
        <v>0</v>
      </c>
      <c r="P55" s="2">
        <f>P11/'Output-Calculation-sheet'!P10*'Output-Calculation-sheet'!P46</f>
        <v>4714.4965604758954</v>
      </c>
      <c r="Q55" s="2">
        <f>Q11/'Output-Calculation-sheet'!Q10*'Output-Calculation-sheet'!Q46</f>
        <v>1735.6662288495868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5233.5541036451668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1131.6447036332293</v>
      </c>
      <c r="V55" s="2">
        <f>V11/'Output-Calculation-sheet'!V10*'Output-Calculation-sheet'!V46</f>
        <v>584.82812939090286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1663.1811964387957</v>
      </c>
      <c r="Y55" s="2">
        <f>Y11/'Output-Calculation-sheet'!Y10*'Output-Calculation-sheet'!Y46</f>
        <v>442.9987488936618</v>
      </c>
      <c r="AA55" s="2">
        <f t="shared" si="3"/>
        <v>177.3233703169679</v>
      </c>
    </row>
    <row r="56" spans="1:27" x14ac:dyDescent="0.25">
      <c r="A56" s="2">
        <v>2035</v>
      </c>
      <c r="B56" s="2">
        <f>B12/'Output-Calculation-sheet'!B11*'Output-Calculation-sheet'!B47</f>
        <v>69177.218567016942</v>
      </c>
      <c r="C56" s="2">
        <f>C12/'Output-Calculation-sheet'!C11*'Output-Calculation-sheet'!C47</f>
        <v>25235.320056698019</v>
      </c>
      <c r="D56" s="2">
        <f>D12/'Output-Calculation-sheet'!D11*'Output-Calculation-sheet'!D47</f>
        <v>5528.4682346057998</v>
      </c>
      <c r="E56" s="2">
        <f>E12/'Output-Calculation-sheet'!E11*'Output-Calculation-sheet'!E47</f>
        <v>13881.411046459794</v>
      </c>
      <c r="F56" s="2">
        <f>F12/'Output-Calculation-sheet'!F11*'Output-Calculation-sheet'!F47</f>
        <v>1682.0143911475229</v>
      </c>
      <c r="G56" s="2">
        <f>G12/'Output-Calculation-sheet'!G11*'Output-Calculation-sheet'!G47</f>
        <v>4426.2285795659718</v>
      </c>
      <c r="H56" s="2">
        <f>H12/'Output-Calculation-sheet'!H11*'Output-Calculation-sheet'!H47</f>
        <v>20798.775738442509</v>
      </c>
      <c r="I56" s="2">
        <f>I12/'Output-Calculation-sheet'!I11*'Output-Calculation-sheet'!I47</f>
        <v>2507.5938260351741</v>
      </c>
      <c r="J56" s="2">
        <f>J12/'Output-Calculation-sheet'!J11*'Output-Calculation-sheet'!J47</f>
        <v>869.87233469499711</v>
      </c>
      <c r="K56" s="2">
        <f>K12/'Output-Calculation-sheet'!K11*'Output-Calculation-sheet'!K47</f>
        <v>3684.1510541957405</v>
      </c>
      <c r="L56" s="2">
        <f>L12/'Output-Calculation-sheet'!L11*'Output-Calculation-sheet'!L47</f>
        <v>949.5492266388776</v>
      </c>
      <c r="M56" s="2">
        <f>M12/'Output-Calculation-sheet'!M11*'Output-Calculation-sheet'!M47</f>
        <v>14484.021815929586</v>
      </c>
      <c r="N56" s="2">
        <f>N12/'Output-Calculation-sheet'!N11*'Output-Calculation-sheet'!N47</f>
        <v>10620.112018318816</v>
      </c>
      <c r="O56" s="2">
        <f>O12/'Output-Calculation-sheet'!O11*'Output-Calculation-sheet'!O47</f>
        <v>0</v>
      </c>
      <c r="P56" s="2">
        <f>P12/'Output-Calculation-sheet'!P11*'Output-Calculation-sheet'!P47</f>
        <v>5583.9600122957536</v>
      </c>
      <c r="Q56" s="2">
        <f>Q12/'Output-Calculation-sheet'!Q11*'Output-Calculation-sheet'!Q47</f>
        <v>1979.7480417258801</v>
      </c>
      <c r="R56" s="2">
        <f>R12/'Output-Calculation-sheet'!R11*'Output-Calculation-sheet'!R47</f>
        <v>3828.4141955605319</v>
      </c>
      <c r="S56" s="2">
        <f>S12/'Output-Calculation-sheet'!S11*'Output-Calculation-sheet'!S47</f>
        <v>5040.7833500370789</v>
      </c>
      <c r="T56" s="2">
        <f>T12/'Output-Calculation-sheet'!T11*'Output-Calculation-sheet'!T47</f>
        <v>1380.0613362560391</v>
      </c>
      <c r="U56" s="2">
        <f>U12/'Output-Calculation-sheet'!U11*'Output-Calculation-sheet'!U47</f>
        <v>1042.2399741341683</v>
      </c>
      <c r="V56" s="2">
        <f>V12/'Output-Calculation-sheet'!V11*'Output-Calculation-sheet'!V47</f>
        <v>580.42222766084853</v>
      </c>
      <c r="W56" s="2">
        <f>W12/'Output-Calculation-sheet'!W11*'Output-Calculation-sheet'!W47</f>
        <v>562.35188835755798</v>
      </c>
      <c r="X56" s="2">
        <f>X12/'Output-Calculation-sheet'!X11*'Output-Calculation-sheet'!X47</f>
        <v>1475.4376921455007</v>
      </c>
      <c r="Y56" s="2">
        <f>Y12/'Output-Calculation-sheet'!Y11*'Output-Calculation-sheet'!Y47</f>
        <v>653.09339877270986</v>
      </c>
      <c r="AA56" s="2">
        <f t="shared" si="3"/>
        <v>195.97124900669581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6.1246671832448172</v>
      </c>
      <c r="C63" s="2">
        <f>C8*'Output-Calculation-sheet'!C52/10^9</f>
        <v>3.8310563005659959</v>
      </c>
      <c r="D63" s="2">
        <f>D8*'Output-Calculation-sheet'!D52/10^9</f>
        <v>1.7492632763440028</v>
      </c>
      <c r="E63" s="2">
        <f>E8*'Output-Calculation-sheet'!E52/10^9</f>
        <v>1.6068176817922963</v>
      </c>
      <c r="F63" s="2">
        <f>F8*'Output-Calculation-sheet'!F52/10^9</f>
        <v>0.84682163699679347</v>
      </c>
      <c r="G63" s="2">
        <f>G8*'Output-Calculation-sheet'!G52/10^9</f>
        <v>0.62625062175404633</v>
      </c>
      <c r="H63" s="2">
        <f>H8*'Output-Calculation-sheet'!H52/10^9</f>
        <v>1.080533853916575</v>
      </c>
      <c r="I63" s="2">
        <f>I8*'Output-Calculation-sheet'!I52/10^9</f>
        <v>0.58056200724818408</v>
      </c>
      <c r="J63" s="2">
        <f>J8*'Output-Calculation-sheet'!J52/10^9</f>
        <v>0.59022218000574556</v>
      </c>
      <c r="K63" s="2">
        <f>K8*'Output-Calculation-sheet'!K52/10^9</f>
        <v>0.59397811305947268</v>
      </c>
      <c r="L63" s="2">
        <f>L8*'Output-Calculation-sheet'!L52/10^9</f>
        <v>0.48420904971395301</v>
      </c>
      <c r="M63" s="2">
        <f>M8*'Output-Calculation-sheet'!M52/10^9</f>
        <v>0.74811205044728724</v>
      </c>
      <c r="N63" s="2">
        <f>N8*'Output-Calculation-sheet'!N52/10^9</f>
        <v>0.67123048088663206</v>
      </c>
      <c r="O63" s="2">
        <f>O8*'Output-Calculation-sheet'!O52/10^9</f>
        <v>0.72589692828588748</v>
      </c>
      <c r="P63" s="2">
        <f>P8*'Output-Calculation-sheet'!P52/10^9</f>
        <v>0.47816945158481128</v>
      </c>
      <c r="Q63" s="2">
        <f>Q8*'Output-Calculation-sheet'!Q52/10^9</f>
        <v>0.4931289529985084</v>
      </c>
      <c r="R63" s="2">
        <f>R8*'Output-Calculation-sheet'!R52/10^9</f>
        <v>0.40386722841628425</v>
      </c>
      <c r="S63" s="2">
        <f>S8*'Output-Calculation-sheet'!S52/10^9</f>
        <v>0.37136271901532075</v>
      </c>
      <c r="T63" s="2">
        <f>T8*'Output-Calculation-sheet'!T52/10^9</f>
        <v>0.13924663401196205</v>
      </c>
      <c r="U63" s="2">
        <f>U8*'Output-Calculation-sheet'!U52/10^9</f>
        <v>0.12649917575934483</v>
      </c>
      <c r="V63" s="2">
        <f>V8*'Output-Calculation-sheet'!V52/10^9</f>
        <v>9.7745173424606063E-2</v>
      </c>
      <c r="W63" s="2">
        <f>W8*'Output-Calculation-sheet'!W52/10^9</f>
        <v>7.6364120906631777E-2</v>
      </c>
      <c r="X63" s="2">
        <f>X8*'Output-Calculation-sheet'!X52/10^9</f>
        <v>9.1598821590451587E-2</v>
      </c>
      <c r="Y63" s="2">
        <f>Y8*'Output-Calculation-sheet'!Y52/10^9</f>
        <v>4.9639729041133791E-2</v>
      </c>
      <c r="AA63" s="2">
        <f t="shared" si="4"/>
        <v>22.587243371010739</v>
      </c>
    </row>
    <row r="64" spans="1:27" x14ac:dyDescent="0.25">
      <c r="A64" s="2">
        <v>2032</v>
      </c>
      <c r="B64" s="2">
        <f>B9*'Output-Calculation-sheet'!B53/10^9</f>
        <v>6.7799677405348788</v>
      </c>
      <c r="C64" s="2">
        <f>C9*'Output-Calculation-sheet'!C53/10^9</f>
        <v>4.4895323029026404</v>
      </c>
      <c r="D64" s="2">
        <f>D9*'Output-Calculation-sheet'!D53/10^9</f>
        <v>1.6335520009441185</v>
      </c>
      <c r="E64" s="2">
        <f>E9*'Output-Calculation-sheet'!E53/10^9</f>
        <v>1.5948463625720701</v>
      </c>
      <c r="F64" s="2">
        <f>F9*'Output-Calculation-sheet'!F53/10^9</f>
        <v>0.80433373969922672</v>
      </c>
      <c r="G64" s="2">
        <f>G9*'Output-Calculation-sheet'!G53/10^9</f>
        <v>0.5842431290759853</v>
      </c>
      <c r="H64" s="2">
        <f>H9*'Output-Calculation-sheet'!H53/10^9</f>
        <v>1.2543425434678881</v>
      </c>
      <c r="I64" s="2">
        <f>I9*'Output-Calculation-sheet'!I53/10^9</f>
        <v>0.54553536034885441</v>
      </c>
      <c r="J64" s="2">
        <f>J9*'Output-Calculation-sheet'!J53/10^9</f>
        <v>0.54451778484245694</v>
      </c>
      <c r="K64" s="2">
        <f>K9*'Output-Calculation-sheet'!K53/10^9</f>
        <v>0.58730666693718336</v>
      </c>
      <c r="L64" s="2">
        <f>L9*'Output-Calculation-sheet'!L53/10^9</f>
        <v>0.48412817729578089</v>
      </c>
      <c r="M64" s="2">
        <f>M9*'Output-Calculation-sheet'!M53/10^9</f>
        <v>0.86899536318717019</v>
      </c>
      <c r="N64" s="2">
        <f>N9*'Output-Calculation-sheet'!N53/10^9</f>
        <v>0.77216646178437276</v>
      </c>
      <c r="O64" s="2">
        <f>O9*'Output-Calculation-sheet'!O53/10^9</f>
        <v>0.83079094497432915</v>
      </c>
      <c r="P64" s="2">
        <f>P9*'Output-Calculation-sheet'!P53/10^9</f>
        <v>0.52527666953596475</v>
      </c>
      <c r="Q64" s="2">
        <f>Q9*'Output-Calculation-sheet'!Q53/10^9</f>
        <v>0.53750123855494258</v>
      </c>
      <c r="R64" s="2">
        <f>R9*'Output-Calculation-sheet'!R53/10^9</f>
        <v>0.42023777786957572</v>
      </c>
      <c r="S64" s="2">
        <f>S9*'Output-Calculation-sheet'!S53/10^9</f>
        <v>0.42531505677433268</v>
      </c>
      <c r="T64" s="2">
        <f>T9*'Output-Calculation-sheet'!T53/10^9</f>
        <v>0.13466259061490377</v>
      </c>
      <c r="U64" s="2">
        <f>U9*'Output-Calculation-sheet'!U53/10^9</f>
        <v>0.13283808822137258</v>
      </c>
      <c r="V64" s="2">
        <f>V9*'Output-Calculation-sheet'!V53/10^9</f>
        <v>9.8835292442313219E-2</v>
      </c>
      <c r="W64" s="2">
        <f>W9*'Output-Calculation-sheet'!W53/10^9</f>
        <v>7.1354991347722718E-2</v>
      </c>
      <c r="X64" s="2">
        <f>X9*'Output-Calculation-sheet'!X53/10^9</f>
        <v>0.10663965614877884</v>
      </c>
      <c r="Y64" s="2">
        <f>Y9*'Output-Calculation-sheet'!Y53/10^9</f>
        <v>5.1435101971860617E-2</v>
      </c>
      <c r="AA64" s="2">
        <f t="shared" si="4"/>
        <v>24.27835504204873</v>
      </c>
    </row>
    <row r="65" spans="1:27" x14ac:dyDescent="0.25">
      <c r="A65" s="2">
        <v>2033</v>
      </c>
      <c r="B65" s="2">
        <f>B10*'Output-Calculation-sheet'!B54/10^9</f>
        <v>7.3213163674244512</v>
      </c>
      <c r="C65" s="2">
        <f>C10*'Output-Calculation-sheet'!C54/10^9</f>
        <v>4.8354145462888392</v>
      </c>
      <c r="D65" s="2">
        <f>D10*'Output-Calculation-sheet'!D54/10^9</f>
        <v>1.4063821080840899</v>
      </c>
      <c r="E65" s="2">
        <f>E10*'Output-Calculation-sheet'!E54/10^9</f>
        <v>1.5959223873739961</v>
      </c>
      <c r="F65" s="2">
        <f>F10*'Output-Calculation-sheet'!F54/10^9</f>
        <v>0.72397966382609458</v>
      </c>
      <c r="G65" s="2">
        <f>G10*'Output-Calculation-sheet'!G54/10^9</f>
        <v>0.49966657466735132</v>
      </c>
      <c r="H65" s="2">
        <f>H10*'Output-Calculation-sheet'!H54/10^9</f>
        <v>1.3281242514008806</v>
      </c>
      <c r="I65" s="2">
        <f>I10*'Output-Calculation-sheet'!I54/10^9</f>
        <v>0.49150567283863461</v>
      </c>
      <c r="J65" s="2">
        <f>J10*'Output-Calculation-sheet'!J54/10^9</f>
        <v>0.45329587288275131</v>
      </c>
      <c r="K65" s="2">
        <f>K10*'Output-Calculation-sheet'!K54/10^9</f>
        <v>0.57810128849934372</v>
      </c>
      <c r="L65" s="2">
        <f>L10*'Output-Calculation-sheet'!L54/10^9</f>
        <v>0.48083952869151764</v>
      </c>
      <c r="M65" s="2">
        <f>M10*'Output-Calculation-sheet'!M54/10^9</f>
        <v>0.92033862079801099</v>
      </c>
      <c r="N65" s="2">
        <f>N10*'Output-Calculation-sheet'!N54/10^9</f>
        <v>0.8274193725077883</v>
      </c>
      <c r="O65" s="2">
        <f>O10*'Output-Calculation-sheet'!O54/10^9</f>
        <v>0.87590288518931336</v>
      </c>
      <c r="P65" s="2">
        <f>P10*'Output-Calculation-sheet'!P54/10^9</f>
        <v>0.5583282147518982</v>
      </c>
      <c r="Q65" s="2">
        <f>Q10*'Output-Calculation-sheet'!Q54/10^9</f>
        <v>0.57923737355755212</v>
      </c>
      <c r="R65" s="2">
        <f>R10*'Output-Calculation-sheet'!R54/10^9</f>
        <v>0.43284306408600104</v>
      </c>
      <c r="S65" s="2">
        <f>S10*'Output-Calculation-sheet'!S54/10^9</f>
        <v>0.45773839503091357</v>
      </c>
      <c r="T65" s="2">
        <f>T10*'Output-Calculation-sheet'!T54/10^9</f>
        <v>0.12992020317273678</v>
      </c>
      <c r="U65" s="2">
        <f>U10*'Output-Calculation-sheet'!U54/10^9</f>
        <v>0.14046650773600702</v>
      </c>
      <c r="V65" s="2">
        <f>V10*'Output-Calculation-sheet'!V54/10^9</f>
        <v>9.8033120613726391E-2</v>
      </c>
      <c r="W65" s="2">
        <f>W10*'Output-Calculation-sheet'!W54/10^9</f>
        <v>6.1321814121917555E-2</v>
      </c>
      <c r="X65" s="2">
        <f>X10*'Output-Calculation-sheet'!X54/10^9</f>
        <v>0.11379814764297853</v>
      </c>
      <c r="Y65" s="2">
        <f>Y10*'Output-Calculation-sheet'!Y54/10^9</f>
        <v>5.4096918988108172E-2</v>
      </c>
      <c r="AA65" s="2">
        <f t="shared" si="4"/>
        <v>24.963992900174901</v>
      </c>
    </row>
    <row r="66" spans="1:27" x14ac:dyDescent="0.25">
      <c r="A66" s="2">
        <v>2034</v>
      </c>
      <c r="B66" s="2">
        <f>B11*'Output-Calculation-sheet'!B55/10^9</f>
        <v>7.5911272573125288</v>
      </c>
      <c r="C66" s="2">
        <f>C11*'Output-Calculation-sheet'!C55/10^9</f>
        <v>4.8340847116162511</v>
      </c>
      <c r="D66" s="2">
        <f>D11*'Output-Calculation-sheet'!D55/10^9</f>
        <v>1.4245512500137956</v>
      </c>
      <c r="E66" s="2">
        <f>E11*'Output-Calculation-sheet'!E55/10^9</f>
        <v>1.7554909658468705</v>
      </c>
      <c r="F66" s="2">
        <f>F11*'Output-Calculation-sheet'!F55/10^9</f>
        <v>0.70301990419714899</v>
      </c>
      <c r="G66" s="2">
        <f>G11*'Output-Calculation-sheet'!G55/10^9</f>
        <v>0.50641394802642958</v>
      </c>
      <c r="H66" s="2">
        <f>H11*'Output-Calculation-sheet'!H55/10^9</f>
        <v>1.3344617729663826</v>
      </c>
      <c r="I66" s="2">
        <f>I11*'Output-Calculation-sheet'!I55/10^9</f>
        <v>0.49777742527115593</v>
      </c>
      <c r="J66" s="2">
        <f>J11*'Output-Calculation-sheet'!J55/10^9</f>
        <v>0.4394776824040193</v>
      </c>
      <c r="K66" s="2">
        <f>K11*'Output-Calculation-sheet'!K55/10^9</f>
        <v>0.58694220321619606</v>
      </c>
      <c r="L66" s="2">
        <f>L11*'Output-Calculation-sheet'!L55/10^9</f>
        <v>0.51479827457133776</v>
      </c>
      <c r="M66" s="2">
        <f>M11*'Output-Calculation-sheet'!M55/10^9</f>
        <v>0.92629901037997875</v>
      </c>
      <c r="N66" s="2">
        <f>N11*'Output-Calculation-sheet'!N55/10^9</f>
        <v>0.82961673194193086</v>
      </c>
      <c r="O66" s="2">
        <f>O11*'Output-Calculation-sheet'!O55/10^9</f>
        <v>0.8603217719118702</v>
      </c>
      <c r="P66" s="2">
        <f>P11*'Output-Calculation-sheet'!P55/10^9</f>
        <v>0.58284786323368276</v>
      </c>
      <c r="Q66" s="2">
        <f>Q11*'Output-Calculation-sheet'!Q55/10^9</f>
        <v>0.60520139946744278</v>
      </c>
      <c r="R66" s="2">
        <f>R11*'Output-Calculation-sheet'!R55/10^9</f>
        <v>0.44111452624337183</v>
      </c>
      <c r="S66" s="2">
        <f>S11*'Output-Calculation-sheet'!S55/10^9</f>
        <v>0.46716862170463652</v>
      </c>
      <c r="T66" s="2">
        <f>T11*'Output-Calculation-sheet'!T55/10^9</f>
        <v>0.12986539514580708</v>
      </c>
      <c r="U66" s="2">
        <f>U11*'Output-Calculation-sheet'!U55/10^9</f>
        <v>0.150114576707544</v>
      </c>
      <c r="V66" s="2">
        <f>V11*'Output-Calculation-sheet'!V55/10^9</f>
        <v>9.6995083099257084E-2</v>
      </c>
      <c r="W66" s="2">
        <f>W11*'Output-Calculation-sheet'!W55/10^9</f>
        <v>5.9095457075211515E-2</v>
      </c>
      <c r="X66" s="2">
        <f>X11*'Output-Calculation-sheet'!X55/10^9</f>
        <v>0.11692281764604821</v>
      </c>
      <c r="Y66" s="2">
        <f>Y11*'Output-Calculation-sheet'!Y55/10^9</f>
        <v>6.1280284148472926E-2</v>
      </c>
      <c r="AA66" s="2">
        <f t="shared" si="4"/>
        <v>25.514988934147375</v>
      </c>
    </row>
    <row r="67" spans="1:27" x14ac:dyDescent="0.25">
      <c r="A67" s="2">
        <v>2035</v>
      </c>
      <c r="B67" s="2">
        <f>B12*'Output-Calculation-sheet'!B56/10^9</f>
        <v>7.3893341471059495</v>
      </c>
      <c r="C67" s="2">
        <f>C12*'Output-Calculation-sheet'!C56/10^9</f>
        <v>4.5061975901358053</v>
      </c>
      <c r="D67" s="2">
        <f>D12*'Output-Calculation-sheet'!D56/10^9</f>
        <v>1.5050107345048773</v>
      </c>
      <c r="E67" s="2">
        <f>E12*'Output-Calculation-sheet'!E56/10^9</f>
        <v>2.0337003600854664</v>
      </c>
      <c r="F67" s="2">
        <f>F12*'Output-Calculation-sheet'!F56/10^9</f>
        <v>0.8070955228537795</v>
      </c>
      <c r="G67" s="2">
        <f>G12*'Output-Calculation-sheet'!G56/10^9</f>
        <v>0.58536717181454745</v>
      </c>
      <c r="H67" s="2">
        <f>H12*'Output-Calculation-sheet'!H56/10^9</f>
        <v>1.2750250345302223</v>
      </c>
      <c r="I67" s="2">
        <f>I12*'Output-Calculation-sheet'!I56/10^9</f>
        <v>0.55308337189102597</v>
      </c>
      <c r="J67" s="2">
        <f>J12*'Output-Calculation-sheet'!J56/10^9</f>
        <v>0.45714091785834893</v>
      </c>
      <c r="K67" s="2">
        <f>K12*'Output-Calculation-sheet'!K56/10^9</f>
        <v>0.61730977712151824</v>
      </c>
      <c r="L67" s="2">
        <f>L12*'Output-Calculation-sheet'!L56/10^9</f>
        <v>0.53237099063268123</v>
      </c>
      <c r="M67" s="2">
        <f>M12*'Output-Calculation-sheet'!M56/10^9</f>
        <v>0.89348697052157178</v>
      </c>
      <c r="N67" s="2">
        <f>N12*'Output-Calculation-sheet'!N56/10^9</f>
        <v>0.78218130952566001</v>
      </c>
      <c r="O67" s="2">
        <f>O12*'Output-Calculation-sheet'!O56/10^9</f>
        <v>0.79151699431745703</v>
      </c>
      <c r="P67" s="2">
        <f>P12*'Output-Calculation-sheet'!P56/10^9</f>
        <v>0.62374135668145803</v>
      </c>
      <c r="Q67" s="2">
        <f>Q12*'Output-Calculation-sheet'!Q56/10^9</f>
        <v>0.58421484365368281</v>
      </c>
      <c r="R67" s="2">
        <f>R12*'Output-Calculation-sheet'!R56/10^9</f>
        <v>0.4591610302100641</v>
      </c>
      <c r="S67" s="2">
        <f>S12*'Output-Calculation-sheet'!S56/10^9</f>
        <v>0.44514234954806631</v>
      </c>
      <c r="T67" s="2">
        <f>T12*'Output-Calculation-sheet'!T56/10^9</f>
        <v>0.14114906206560188</v>
      </c>
      <c r="U67" s="2">
        <f>U12*'Output-Calculation-sheet'!U56/10^9</f>
        <v>0.15224779077555037</v>
      </c>
      <c r="V67" s="2">
        <f>V12*'Output-Calculation-sheet'!V56/10^9</f>
        <v>9.6071589260058043E-2</v>
      </c>
      <c r="W67" s="2">
        <f>W12*'Output-Calculation-sheet'!W56/10^9</f>
        <v>7.4693957189277196E-2</v>
      </c>
      <c r="X67" s="2">
        <f>X12*'Output-Calculation-sheet'!X56/10^9</f>
        <v>0.11206713792016521</v>
      </c>
      <c r="Y67" s="2">
        <f>Y12*'Output-Calculation-sheet'!Y56/10^9</f>
        <v>7.0132462085090344E-2</v>
      </c>
      <c r="AA67" s="2">
        <f t="shared" si="4"/>
        <v>25.487442472287935</v>
      </c>
    </row>
    <row r="68" spans="1:27" x14ac:dyDescent="0.25">
      <c r="B68" s="2">
        <f>SUM(B60:B67)</f>
        <v>47.954968518694713</v>
      </c>
      <c r="C68" s="2">
        <f t="shared" ref="C68:Y68" si="5">SUM(C60:C67)</f>
        <v>29.020116218856614</v>
      </c>
      <c r="D68" s="2">
        <f t="shared" si="5"/>
        <v>12.043054618080058</v>
      </c>
      <c r="E68" s="2">
        <f t="shared" si="5"/>
        <v>12.433563596531549</v>
      </c>
      <c r="F68" s="2">
        <f t="shared" si="5"/>
        <v>5.9318645189160604</v>
      </c>
      <c r="G68" s="2">
        <f t="shared" si="5"/>
        <v>4.3520863538130801</v>
      </c>
      <c r="H68" s="2">
        <f t="shared" si="5"/>
        <v>8.1692949250968301</v>
      </c>
      <c r="I68" s="2">
        <f t="shared" si="5"/>
        <v>4.0919744162313503</v>
      </c>
      <c r="J68" s="2">
        <f t="shared" si="5"/>
        <v>3.9667632920641478</v>
      </c>
      <c r="K68" s="2">
        <f t="shared" si="5"/>
        <v>4.3743651071112337</v>
      </c>
      <c r="L68" s="2">
        <f t="shared" si="5"/>
        <v>3.636693711184809</v>
      </c>
      <c r="M68" s="2">
        <f t="shared" si="5"/>
        <v>5.668590820242958</v>
      </c>
      <c r="N68" s="2">
        <f t="shared" si="5"/>
        <v>5.2073438119646553</v>
      </c>
      <c r="O68" s="2">
        <f t="shared" si="5"/>
        <v>5.3643427183088646</v>
      </c>
      <c r="P68" s="2">
        <f t="shared" si="5"/>
        <v>3.7964661758636296</v>
      </c>
      <c r="Q68" s="2">
        <f t="shared" si="5"/>
        <v>3.8384132502972661</v>
      </c>
      <c r="R68" s="2">
        <f t="shared" si="5"/>
        <v>3.0911756631662484</v>
      </c>
      <c r="S68" s="2">
        <f t="shared" si="5"/>
        <v>2.913156099301522</v>
      </c>
      <c r="T68" s="2">
        <f t="shared" si="5"/>
        <v>1.0083737555274106</v>
      </c>
      <c r="U68" s="2">
        <f t="shared" si="5"/>
        <v>0.99851012140659479</v>
      </c>
      <c r="V68" s="2">
        <f t="shared" si="5"/>
        <v>0.71625024820443683</v>
      </c>
      <c r="W68" s="2">
        <f t="shared" si="5"/>
        <v>0.53146142621659431</v>
      </c>
      <c r="X68" s="2">
        <f t="shared" si="5"/>
        <v>0.6987905071284346</v>
      </c>
      <c r="Y68" s="2">
        <f t="shared" si="5"/>
        <v>0.40232586138960547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1715.8153242206208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1146.4567815630367</v>
      </c>
      <c r="N74" s="2">
        <f>N8/'Output-Calculation-sheet'!N7*'Output-Calculation-sheet'!N61</f>
        <v>48.048167177515673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141.16072726729811</v>
      </c>
      <c r="Y74" s="2">
        <f>Y8/'Output-Calculation-sheet'!Y7*'Output-Calculation-sheet'!Y61</f>
        <v>0</v>
      </c>
      <c r="AA74" s="2">
        <f t="shared" si="6"/>
        <v>3.0514810002284714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215.86767802306434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2881.9187694293619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1957.7425794527478</v>
      </c>
      <c r="N75" s="2">
        <f>N9/'Output-Calculation-sheet'!N8*'Output-Calculation-sheet'!N62</f>
        <v>757.17928803524171</v>
      </c>
      <c r="O75" s="2">
        <f>O9/'Output-Calculation-sheet'!O8*'Output-Calculation-sheet'!O62</f>
        <v>0</v>
      </c>
      <c r="P75" s="2">
        <f>P9/'Output-Calculation-sheet'!P8*'Output-Calculation-sheet'!P62</f>
        <v>50.691959781300071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250.45722985505407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236.67259236756769</v>
      </c>
      <c r="Y75" s="2">
        <f>Y9/'Output-Calculation-sheet'!Y8*'Output-Calculation-sheet'!Y62</f>
        <v>0</v>
      </c>
      <c r="AA75" s="2">
        <f t="shared" si="6"/>
        <v>6.350530096944337</v>
      </c>
    </row>
    <row r="76" spans="1:27" x14ac:dyDescent="0.25">
      <c r="A76" s="2">
        <v>2033</v>
      </c>
      <c r="B76" s="2">
        <f>B10/'Output-Calculation-sheet'!B9*'Output-Calculation-sheet'!B63</f>
        <v>6025.209608715355</v>
      </c>
      <c r="C76" s="2">
        <f>C10/'Output-Calculation-sheet'!C9*'Output-Calculation-sheet'!C63</f>
        <v>1511.7841236245752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3933.3718319978325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2678.1302359936094</v>
      </c>
      <c r="N76" s="2">
        <f>N10/'Output-Calculation-sheet'!N9*'Output-Calculation-sheet'!N63</f>
        <v>1533.1741873847193</v>
      </c>
      <c r="O76" s="2">
        <f>O10/'Output-Calculation-sheet'!O9*'Output-Calculation-sheet'!O63</f>
        <v>0</v>
      </c>
      <c r="P76" s="2">
        <f>P10/'Output-Calculation-sheet'!P9*'Output-Calculation-sheet'!P63</f>
        <v>525.49429528058533</v>
      </c>
      <c r="Q76" s="2">
        <f>Q10/'Output-Calculation-sheet'!Q9*'Output-Calculation-sheet'!Q63</f>
        <v>233.98048356306273</v>
      </c>
      <c r="R76" s="2">
        <f>R10/'Output-Calculation-sheet'!R9*'Output-Calculation-sheet'!R63</f>
        <v>403.33824668484414</v>
      </c>
      <c r="S76" s="2">
        <f>S10/'Output-Calculation-sheet'!S9*'Output-Calculation-sheet'!S63</f>
        <v>679.65512270887609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141.65679571966993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315.41051683025916</v>
      </c>
      <c r="Y76" s="2">
        <f>Y10/'Output-Calculation-sheet'!Y9*'Output-Calculation-sheet'!Y63</f>
        <v>5.9837419017584192</v>
      </c>
      <c r="AA76" s="2">
        <f t="shared" si="6"/>
        <v>18.1288154349037</v>
      </c>
    </row>
    <row r="77" spans="1:27" x14ac:dyDescent="0.25">
      <c r="A77" s="2">
        <v>2034</v>
      </c>
      <c r="B77" s="2">
        <f>B11/'Output-Calculation-sheet'!B10*'Output-Calculation-sheet'!B64</f>
        <v>11156.212087879605</v>
      </c>
      <c r="C77" s="2">
        <f>C11/'Output-Calculation-sheet'!C10*'Output-Calculation-sheet'!C64</f>
        <v>3038.7245406661054</v>
      </c>
      <c r="D77" s="2">
        <f>D11/'Output-Calculation-sheet'!D10*'Output-Calculation-sheet'!D64</f>
        <v>1662.0447797533359</v>
      </c>
      <c r="E77" s="2">
        <f>E11/'Output-Calculation-sheet'!E10*'Output-Calculation-sheet'!E64</f>
        <v>2061.5666523644459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887.08597252094137</v>
      </c>
      <c r="H77" s="2">
        <f>H11/'Output-Calculation-sheet'!H10*'Output-Calculation-sheet'!H64</f>
        <v>4370.9966940965896</v>
      </c>
      <c r="I77" s="2">
        <f>I11/'Output-Calculation-sheet'!I10*'Output-Calculation-sheet'!I64</f>
        <v>517.66179712564383</v>
      </c>
      <c r="J77" s="2">
        <f>J11/'Output-Calculation-sheet'!J10*'Output-Calculation-sheet'!J64</f>
        <v>355.32341788583011</v>
      </c>
      <c r="K77" s="2">
        <f>K11/'Output-Calculation-sheet'!K10*'Output-Calculation-sheet'!K64</f>
        <v>802.43776852468591</v>
      </c>
      <c r="L77" s="2">
        <f>L11/'Output-Calculation-sheet'!L10*'Output-Calculation-sheet'!L64</f>
        <v>196.74558218106611</v>
      </c>
      <c r="M77" s="2">
        <f>M11/'Output-Calculation-sheet'!M10*'Output-Calculation-sheet'!M64</f>
        <v>2995.2512055311004</v>
      </c>
      <c r="N77" s="2">
        <f>N11/'Output-Calculation-sheet'!N10*'Output-Calculation-sheet'!N64</f>
        <v>2027.9122890653859</v>
      </c>
      <c r="O77" s="2">
        <f>O11/'Output-Calculation-sheet'!O10*'Output-Calculation-sheet'!O64</f>
        <v>0</v>
      </c>
      <c r="P77" s="2">
        <f>P11/'Output-Calculation-sheet'!P10*'Output-Calculation-sheet'!P64</f>
        <v>985.96633763707905</v>
      </c>
      <c r="Q77" s="2">
        <f>Q11/'Output-Calculation-sheet'!Q10*'Output-Calculation-sheet'!Q64</f>
        <v>402.33497822224228</v>
      </c>
      <c r="R77" s="2">
        <f>R11/'Output-Calculation-sheet'!R10*'Output-Calculation-sheet'!R64</f>
        <v>837.43778262110993</v>
      </c>
      <c r="S77" s="2">
        <f>S11/'Output-Calculation-sheet'!S10*'Output-Calculation-sheet'!S64</f>
        <v>934.80657189967701</v>
      </c>
      <c r="T77" s="2">
        <f>T11/'Output-Calculation-sheet'!T10*'Output-Calculation-sheet'!T64</f>
        <v>232.02256199554418</v>
      </c>
      <c r="U77" s="2">
        <f>U11/'Output-Calculation-sheet'!U10*'Output-Calculation-sheet'!U64</f>
        <v>247.76999622846265</v>
      </c>
      <c r="V77" s="2">
        <f>V11/'Output-Calculation-sheet'!V10*'Output-Calculation-sheet'!V64</f>
        <v>120.02901131784719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306.65744513702657</v>
      </c>
      <c r="Y77" s="2">
        <f>Y11/'Output-Calculation-sheet'!Y10*'Output-Calculation-sheet'!Y64</f>
        <v>76.638783558603492</v>
      </c>
      <c r="AA77" s="2">
        <f t="shared" si="6"/>
        <v>34.370234234725878</v>
      </c>
    </row>
    <row r="78" spans="1:27" x14ac:dyDescent="0.25">
      <c r="A78" s="2">
        <v>2035</v>
      </c>
      <c r="B78" s="2">
        <f>B12/'Output-Calculation-sheet'!B11*'Output-Calculation-sheet'!B65</f>
        <v>11953.175427490369</v>
      </c>
      <c r="C78" s="2">
        <f>C12/'Output-Calculation-sheet'!C11*'Output-Calculation-sheet'!C65</f>
        <v>5142.1260951374161</v>
      </c>
      <c r="D78" s="2">
        <f>D12/'Output-Calculation-sheet'!D11*'Output-Calculation-sheet'!D65</f>
        <v>1306.7215715679129</v>
      </c>
      <c r="E78" s="2">
        <f>E12/'Output-Calculation-sheet'!E11*'Output-Calculation-sheet'!E65</f>
        <v>2415.6839030713081</v>
      </c>
      <c r="F78" s="2">
        <f>F12/'Output-Calculation-sheet'!F11*'Output-Calculation-sheet'!F65</f>
        <v>525.42925742513091</v>
      </c>
      <c r="G78" s="2">
        <f>G12/'Output-Calculation-sheet'!G11*'Output-Calculation-sheet'!G65</f>
        <v>998.80434654868236</v>
      </c>
      <c r="H78" s="2">
        <f>H12/'Output-Calculation-sheet'!H11*'Output-Calculation-sheet'!H65</f>
        <v>3860.2472084402739</v>
      </c>
      <c r="I78" s="2">
        <f>I12/'Output-Calculation-sheet'!I11*'Output-Calculation-sheet'!I65</f>
        <v>657.0154339039583</v>
      </c>
      <c r="J78" s="2">
        <f>J12/'Output-Calculation-sheet'!J11*'Output-Calculation-sheet'!J65</f>
        <v>267.89509460562692</v>
      </c>
      <c r="K78" s="2">
        <f>K12/'Output-Calculation-sheet'!K11*'Output-Calculation-sheet'!K65</f>
        <v>813.91789565590591</v>
      </c>
      <c r="L78" s="2">
        <f>L12/'Output-Calculation-sheet'!L11*'Output-Calculation-sheet'!L65</f>
        <v>260.54014524968017</v>
      </c>
      <c r="M78" s="2">
        <f>M12/'Output-Calculation-sheet'!M11*'Output-Calculation-sheet'!M65</f>
        <v>2688.5678114434054</v>
      </c>
      <c r="N78" s="2">
        <f>N12/'Output-Calculation-sheet'!N11*'Output-Calculation-sheet'!N65</f>
        <v>1863.2270996678135</v>
      </c>
      <c r="O78" s="2">
        <f>O12/'Output-Calculation-sheet'!O11*'Output-Calculation-sheet'!O65</f>
        <v>0</v>
      </c>
      <c r="P78" s="2">
        <f>P12/'Output-Calculation-sheet'!P11*'Output-Calculation-sheet'!P65</f>
        <v>1073.4249859150593</v>
      </c>
      <c r="Q78" s="2">
        <f>Q12/'Output-Calculation-sheet'!Q11*'Output-Calculation-sheet'!Q65</f>
        <v>433.99376654700836</v>
      </c>
      <c r="R78" s="2">
        <f>R12/'Output-Calculation-sheet'!R11*'Output-Calculation-sheet'!R65</f>
        <v>845.06517106449826</v>
      </c>
      <c r="S78" s="2">
        <f>S12/'Output-Calculation-sheet'!S11*'Output-Calculation-sheet'!S65</f>
        <v>880.07543824822949</v>
      </c>
      <c r="T78" s="2">
        <f>T12/'Output-Calculation-sheet'!T11*'Output-Calculation-sheet'!T65</f>
        <v>312.19650702374554</v>
      </c>
      <c r="U78" s="2">
        <f>U12/'Output-Calculation-sheet'!U11*'Output-Calculation-sheet'!U65</f>
        <v>225.44492854642573</v>
      </c>
      <c r="V78" s="2">
        <f>V12/'Output-Calculation-sheet'!V11*'Output-Calculation-sheet'!V65</f>
        <v>113.55981178667986</v>
      </c>
      <c r="W78" s="2">
        <f>W12/'Output-Calculation-sheet'!W11*'Output-Calculation-sheet'!W65</f>
        <v>123.59440096308452</v>
      </c>
      <c r="X78" s="2">
        <f>X12/'Output-Calculation-sheet'!X11*'Output-Calculation-sheet'!X65</f>
        <v>271.63816758683896</v>
      </c>
      <c r="Y78" s="2">
        <f>Y12/'Output-Calculation-sheet'!Y11*'Output-Calculation-sheet'!Y65</f>
        <v>104.30226096859194</v>
      </c>
      <c r="AA78" s="2">
        <f t="shared" si="6"/>
        <v>37.136646728857642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1364.4246887387089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265.07101088973758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1.6294956996284466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2020.6022903874978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370.74040698355799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2.3913426973710559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2560.4591195408857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454.1736878096724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3.0146328073505582</v>
      </c>
    </row>
    <row r="88" spans="1:27" x14ac:dyDescent="0.25">
      <c r="A88" s="2">
        <v>2034</v>
      </c>
      <c r="B88" s="2">
        <f>B11/'Output-Calculation-sheet'!B10*'Output-Calculation-sheet'!B73</f>
        <v>217.92456171507052</v>
      </c>
      <c r="C88" s="2">
        <f>C11/'Output-Calculation-sheet'!C10*'Output-Calculation-sheet'!C73</f>
        <v>2689.2282942686525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31.839547020706203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23.103050984155249</v>
      </c>
      <c r="M88" s="2">
        <f>M11/'Output-Calculation-sheet'!M10*'Output-Calculation-sheet'!M73</f>
        <v>21.90872402831511</v>
      </c>
      <c r="N88" s="2">
        <f>N11/'Output-Calculation-sheet'!N10*'Output-Calculation-sheet'!N73</f>
        <v>21.532760188848627</v>
      </c>
      <c r="O88" s="2">
        <f>O11/'Output-Calculation-sheet'!O10*'Output-Calculation-sheet'!O73</f>
        <v>502.35068385519639</v>
      </c>
      <c r="P88" s="2">
        <f>P11/'Output-Calculation-sheet'!P10*'Output-Calculation-sheet'!P73</f>
        <v>0</v>
      </c>
      <c r="Q88" s="2">
        <f>Q11/'Output-Calculation-sheet'!Q10*'Output-Calculation-sheet'!Q73</f>
        <v>37.731874540208409</v>
      </c>
      <c r="R88" s="2">
        <f>R11/'Output-Calculation-sheet'!R10*'Output-Calculation-sheet'!R73</f>
        <v>0</v>
      </c>
      <c r="S88" s="2">
        <f>S11/'Output-Calculation-sheet'!S10*'Output-Calculation-sheet'!S73</f>
        <v>12.343287980295205</v>
      </c>
      <c r="T88" s="2">
        <f>T11/'Output-Calculation-sheet'!T10*'Output-Calculation-sheet'!T73</f>
        <v>0</v>
      </c>
      <c r="U88" s="2">
        <f>U11/'Output-Calculation-sheet'!U10*'Output-Calculation-sheet'!U73</f>
        <v>6.0193867214533467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12.017205176580894</v>
      </c>
      <c r="Y88" s="2">
        <f>Y11/'Output-Calculation-sheet'!Y10*'Output-Calculation-sheet'!Y73</f>
        <v>0</v>
      </c>
      <c r="AA88" s="2">
        <f t="shared" si="7"/>
        <v>3.5759993764794826</v>
      </c>
    </row>
    <row r="89" spans="1:27" x14ac:dyDescent="0.25">
      <c r="A89" s="2">
        <v>2035</v>
      </c>
      <c r="B89" s="2">
        <f>B12/'Output-Calculation-sheet'!B11*'Output-Calculation-sheet'!B74</f>
        <v>571.71255014063593</v>
      </c>
      <c r="C89" s="2">
        <f>C12/'Output-Calculation-sheet'!C11*'Output-Calculation-sheet'!C74</f>
        <v>2442.1277474223889</v>
      </c>
      <c r="D89" s="2">
        <f>D12/'Output-Calculation-sheet'!D11*'Output-Calculation-sheet'!D74</f>
        <v>160.24545607553043</v>
      </c>
      <c r="E89" s="2">
        <f>E12/'Output-Calculation-sheet'!E11*'Output-Calculation-sheet'!E74</f>
        <v>191.02859238247424</v>
      </c>
      <c r="F89" s="2">
        <f>F12/'Output-Calculation-sheet'!F11*'Output-Calculation-sheet'!F74</f>
        <v>80.09592338797728</v>
      </c>
      <c r="G89" s="2">
        <f>G12/'Output-Calculation-sheet'!G11*'Output-Calculation-sheet'!G74</f>
        <v>57.483488046311322</v>
      </c>
      <c r="H89" s="2">
        <f>H12/'Output-Calculation-sheet'!H11*'Output-Calculation-sheet'!H74</f>
        <v>167.05843966620489</v>
      </c>
      <c r="I89" s="2">
        <f>I12/'Output-Calculation-sheet'!I11*'Output-Calculation-sheet'!I74</f>
        <v>51.702965485261323</v>
      </c>
      <c r="J89" s="2">
        <f>J12/'Output-Calculation-sheet'!J11*'Output-Calculation-sheet'!J74</f>
        <v>51.168960864411595</v>
      </c>
      <c r="K89" s="2">
        <f>K12/'Output-Calculation-sheet'!K11*'Output-Calculation-sheet'!K74</f>
        <v>50.815876609596422</v>
      </c>
      <c r="L89" s="2">
        <f>L12/'Output-Calculation-sheet'!L11*'Output-Calculation-sheet'!L74</f>
        <v>40.406350069739474</v>
      </c>
      <c r="M89" s="2">
        <f>M12/'Output-Calculation-sheet'!M11*'Output-Calculation-sheet'!M74</f>
        <v>114.95255409467924</v>
      </c>
      <c r="N89" s="2">
        <f>N12/'Output-Calculation-sheet'!N11*'Output-Calculation-sheet'!N74</f>
        <v>75.319943392332021</v>
      </c>
      <c r="O89" s="2">
        <f>O12/'Output-Calculation-sheet'!O11*'Output-Calculation-sheet'!O74</f>
        <v>492.01156409975499</v>
      </c>
      <c r="P89" s="2">
        <f>P12/'Output-Calculation-sheet'!P11*'Output-Calculation-sheet'!P74</f>
        <v>52.186542170988346</v>
      </c>
      <c r="Q89" s="2">
        <f>Q12/'Output-Calculation-sheet'!Q11*'Output-Calculation-sheet'!Q74</f>
        <v>65.99160139086267</v>
      </c>
      <c r="R89" s="2">
        <f>R12/'Output-Calculation-sheet'!R11*'Output-Calculation-sheet'!R74</f>
        <v>32.721488850944716</v>
      </c>
      <c r="S89" s="2">
        <f>S12/'Output-Calculation-sheet'!S11*'Output-Calculation-sheet'!S74</f>
        <v>43.175874518518874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15.79151475960861</v>
      </c>
      <c r="V89" s="2">
        <f>V12/'Output-Calculation-sheet'!V11*'Output-Calculation-sheet'!V74</f>
        <v>8.1177933938580207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23.119394036467959</v>
      </c>
      <c r="Y89" s="2">
        <f>Y12/'Output-Calculation-sheet'!Y11*'Output-Calculation-sheet'!Y74</f>
        <v>6.0847211065780424</v>
      </c>
      <c r="AA89" s="2">
        <f t="shared" si="7"/>
        <v>4.8028869418649727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13847395162.05619</v>
      </c>
      <c r="C96" s="2">
        <f>C8/'Output-Calculation-sheet'!C7*'Output-Calculation-sheet'!C79</f>
        <v>4684636717.4645414</v>
      </c>
      <c r="D96" s="2">
        <f>D8/'Output-Calculation-sheet'!D7*'Output-Calculation-sheet'!D79</f>
        <v>4890452213.6397781</v>
      </c>
      <c r="E96" s="2">
        <f>E8/'Output-Calculation-sheet'!E7*'Output-Calculation-sheet'!E79</f>
        <v>8694807638.6780853</v>
      </c>
      <c r="F96" s="2">
        <f>F8/'Output-Calculation-sheet'!F7*'Output-Calculation-sheet'!F79</f>
        <v>3598695201.2944088</v>
      </c>
      <c r="G96" s="2">
        <f>G8/'Output-Calculation-sheet'!G7*'Output-Calculation-sheet'!G79</f>
        <v>2803087650.1730742</v>
      </c>
      <c r="H96" s="2">
        <f>H8/'Output-Calculation-sheet'!H7*'Output-Calculation-sheet'!H79</f>
        <v>2399284723.3278236</v>
      </c>
      <c r="I96" s="2">
        <f>I8/'Output-Calculation-sheet'!I7*'Output-Calculation-sheet'!I79</f>
        <v>1952648552.3030477</v>
      </c>
      <c r="J96" s="2">
        <f>J8/'Output-Calculation-sheet'!J7*'Output-Calculation-sheet'!J79</f>
        <v>1320431386.9231832</v>
      </c>
      <c r="K96" s="2">
        <f>K8/'Output-Calculation-sheet'!K7*'Output-Calculation-sheet'!K79</f>
        <v>1889143423.4850659</v>
      </c>
      <c r="L96" s="2">
        <f>L8/'Output-Calculation-sheet'!L7*'Output-Calculation-sheet'!L79</f>
        <v>1332977955.8124363</v>
      </c>
      <c r="M96" s="2">
        <f>M8/'Output-Calculation-sheet'!M7*'Output-Calculation-sheet'!M79</f>
        <v>1791019643.4331765</v>
      </c>
      <c r="N96" s="2">
        <f>N8/'Output-Calculation-sheet'!N7*'Output-Calculation-sheet'!N79</f>
        <v>1332661255.4346063</v>
      </c>
      <c r="O96" s="2">
        <f>O8/'Output-Calculation-sheet'!O7*'Output-Calculation-sheet'!O79</f>
        <v>673705908.58280027</v>
      </c>
      <c r="P96" s="2">
        <f>P8/'Output-Calculation-sheet'!P7*'Output-Calculation-sheet'!P79</f>
        <v>2253404964.7557254</v>
      </c>
      <c r="Q96" s="2">
        <f>Q8/'Output-Calculation-sheet'!Q7*'Output-Calculation-sheet'!Q79</f>
        <v>1050183097.3447608</v>
      </c>
      <c r="R96" s="2">
        <f>R8/'Output-Calculation-sheet'!R7*'Output-Calculation-sheet'!R79</f>
        <v>1310228253.2077246</v>
      </c>
      <c r="S96" s="2">
        <f>S8/'Output-Calculation-sheet'!S7*'Output-Calculation-sheet'!S79</f>
        <v>763448781.81496048</v>
      </c>
      <c r="T96" s="2">
        <f>T8/'Output-Calculation-sheet'!T7*'Output-Calculation-sheet'!T79</f>
        <v>583099113.38238144</v>
      </c>
      <c r="U96" s="2">
        <f>U8/'Output-Calculation-sheet'!U7*'Output-Calculation-sheet'!U79</f>
        <v>366287876.86294758</v>
      </c>
      <c r="V96" s="2">
        <f>V8/'Output-Calculation-sheet'!V7*'Output-Calculation-sheet'!V79</f>
        <v>190049251.49695432</v>
      </c>
      <c r="W96" s="2">
        <f>W8/'Output-Calculation-sheet'!W7*'Output-Calculation-sheet'!W79</f>
        <v>561580130.35155952</v>
      </c>
      <c r="X96" s="2">
        <f>X8/'Output-Calculation-sheet'!X7*'Output-Calculation-sheet'!X79</f>
        <v>197379523.37797123</v>
      </c>
      <c r="Y96" s="2">
        <f>Y8/'Output-Calculation-sheet'!Y7*'Output-Calculation-sheet'!Y79</f>
        <v>308698852.87957919</v>
      </c>
      <c r="AA96" s="2">
        <f t="shared" si="8"/>
        <v>58.795307278082781</v>
      </c>
    </row>
    <row r="97" spans="1:27" x14ac:dyDescent="0.25">
      <c r="A97" s="2">
        <v>2032</v>
      </c>
      <c r="B97" s="2">
        <f>B9/'Output-Calculation-sheet'!B8*'Output-Calculation-sheet'!B80</f>
        <v>18502762599.088924</v>
      </c>
      <c r="C97" s="2">
        <f>C9/'Output-Calculation-sheet'!C8*'Output-Calculation-sheet'!C80</f>
        <v>6302140675.2516661</v>
      </c>
      <c r="D97" s="2">
        <f>D9/'Output-Calculation-sheet'!D8*'Output-Calculation-sheet'!D80</f>
        <v>6279469713.3921347</v>
      </c>
      <c r="E97" s="2">
        <f>E9/'Output-Calculation-sheet'!E8*'Output-Calculation-sheet'!E80</f>
        <v>11484210686.599234</v>
      </c>
      <c r="F97" s="2">
        <f>F9/'Output-Calculation-sheet'!F8*'Output-Calculation-sheet'!F80</f>
        <v>4744128364.8390512</v>
      </c>
      <c r="G97" s="2">
        <f>G9/'Output-Calculation-sheet'!G8*'Output-Calculation-sheet'!G80</f>
        <v>3591044528.1872778</v>
      </c>
      <c r="H97" s="2">
        <f>H9/'Output-Calculation-sheet'!H8*'Output-Calculation-sheet'!H80</f>
        <v>3159393857.5863042</v>
      </c>
      <c r="I97" s="2">
        <f>I9/'Output-Calculation-sheet'!I8*'Output-Calculation-sheet'!I80</f>
        <v>2598894647.2429032</v>
      </c>
      <c r="J97" s="2">
        <f>J9/'Output-Calculation-sheet'!J8*'Output-Calculation-sheet'!J80</f>
        <v>1708533351.4787383</v>
      </c>
      <c r="K97" s="2">
        <f>K9/'Output-Calculation-sheet'!K8*'Output-Calculation-sheet'!K80</f>
        <v>2463210803.5336537</v>
      </c>
      <c r="L97" s="2">
        <f>L9/'Output-Calculation-sheet'!L8*'Output-Calculation-sheet'!L80</f>
        <v>1792809430.0450013</v>
      </c>
      <c r="M97" s="2">
        <f>M9/'Output-Calculation-sheet'!M8*'Output-Calculation-sheet'!M80</f>
        <v>2365411471.3579426</v>
      </c>
      <c r="N97" s="2">
        <f>N9/'Output-Calculation-sheet'!N8*'Output-Calculation-sheet'!N80</f>
        <v>1728249338.98295</v>
      </c>
      <c r="O97" s="2">
        <f>O9/'Output-Calculation-sheet'!O8*'Output-Calculation-sheet'!O80</f>
        <v>894083017.54635704</v>
      </c>
      <c r="P97" s="2">
        <f>P9/'Output-Calculation-sheet'!P8*'Output-Calculation-sheet'!P80</f>
        <v>2925271510.112062</v>
      </c>
      <c r="Q97" s="2">
        <f>Q9/'Output-Calculation-sheet'!Q8*'Output-Calculation-sheet'!Q80</f>
        <v>1368329836.4121013</v>
      </c>
      <c r="R97" s="2">
        <f>R9/'Output-Calculation-sheet'!R8*'Output-Calculation-sheet'!R80</f>
        <v>1728881261.0385647</v>
      </c>
      <c r="S97" s="2">
        <f>S9/'Output-Calculation-sheet'!S8*'Output-Calculation-sheet'!S80</f>
        <v>1003437681.1196864</v>
      </c>
      <c r="T97" s="2">
        <f>T9/'Output-Calculation-sheet'!T8*'Output-Calculation-sheet'!T80</f>
        <v>755623863.85483253</v>
      </c>
      <c r="U97" s="2">
        <f>U9/'Output-Calculation-sheet'!U8*'Output-Calculation-sheet'!U80</f>
        <v>483064916.94613999</v>
      </c>
      <c r="V97" s="2">
        <f>V9/'Output-Calculation-sheet'!V8*'Output-Calculation-sheet'!V80</f>
        <v>253290453.96433988</v>
      </c>
      <c r="W97" s="2">
        <f>W9/'Output-Calculation-sheet'!W8*'Output-Calculation-sheet'!W80</f>
        <v>733534048.77462375</v>
      </c>
      <c r="X97" s="2">
        <f>X9/'Output-Calculation-sheet'!X8*'Output-Calculation-sheet'!X80</f>
        <v>263409510.67387161</v>
      </c>
      <c r="Y97" s="2">
        <f>Y9/'Output-Calculation-sheet'!Y8*'Output-Calculation-sheet'!Y80</f>
        <v>403197794.72957325</v>
      </c>
      <c r="AA97" s="2">
        <f t="shared" si="8"/>
        <v>77.532383362757926</v>
      </c>
    </row>
    <row r="98" spans="1:27" x14ac:dyDescent="0.25">
      <c r="A98" s="2">
        <v>2033</v>
      </c>
      <c r="B98" s="2">
        <f>B10/'Output-Calculation-sheet'!B9*'Output-Calculation-sheet'!B81</f>
        <v>22009360301.122963</v>
      </c>
      <c r="C98" s="2">
        <f>C10/'Output-Calculation-sheet'!C9*'Output-Calculation-sheet'!C81</f>
        <v>7545900126.8784628</v>
      </c>
      <c r="D98" s="2">
        <f>D10/'Output-Calculation-sheet'!D9*'Output-Calculation-sheet'!D81</f>
        <v>7181398624.6375208</v>
      </c>
      <c r="E98" s="2">
        <f>E10/'Output-Calculation-sheet'!E9*'Output-Calculation-sheet'!E81</f>
        <v>13508662664.577881</v>
      </c>
      <c r="F98" s="2">
        <f>F10/'Output-Calculation-sheet'!F9*'Output-Calculation-sheet'!F81</f>
        <v>5571299001.874548</v>
      </c>
      <c r="G98" s="2">
        <f>G10/'Output-Calculation-sheet'!G9*'Output-Calculation-sheet'!G81</f>
        <v>4090618187.2940907</v>
      </c>
      <c r="H98" s="2">
        <f>H10/'Output-Calculation-sheet'!H9*'Output-Calculation-sheet'!H81</f>
        <v>3706133499.0451355</v>
      </c>
      <c r="I98" s="2">
        <f>I10/'Output-Calculation-sheet'!I9*'Output-Calculation-sheet'!I81</f>
        <v>3080891084.8095531</v>
      </c>
      <c r="J98" s="2">
        <f>J10/'Output-Calculation-sheet'!J9*'Output-Calculation-sheet'!J81</f>
        <v>1969999412.4388976</v>
      </c>
      <c r="K98" s="2">
        <f>K10/'Output-Calculation-sheet'!K9*'Output-Calculation-sheet'!K81</f>
        <v>2861502270.5340214</v>
      </c>
      <c r="L98" s="2">
        <f>L10/'Output-Calculation-sheet'!L9*'Output-Calculation-sheet'!L81</f>
        <v>2146169536.3269601</v>
      </c>
      <c r="M98" s="2">
        <f>M10/'Output-Calculation-sheet'!M9*'Output-Calculation-sheet'!M81</f>
        <v>2783150651.1594462</v>
      </c>
      <c r="N98" s="2">
        <f>N10/'Output-Calculation-sheet'!N9*'Output-Calculation-sheet'!N81</f>
        <v>1996693436.3621812</v>
      </c>
      <c r="O98" s="2">
        <f>O10/'Output-Calculation-sheet'!O9*'Output-Calculation-sheet'!O81</f>
        <v>1057361978.862883</v>
      </c>
      <c r="P98" s="2">
        <f>P10/'Output-Calculation-sheet'!P9*'Output-Calculation-sheet'!P81</f>
        <v>3379022095.7489047</v>
      </c>
      <c r="Q98" s="2">
        <f>Q10/'Output-Calculation-sheet'!Q9*'Output-Calculation-sheet'!Q81</f>
        <v>1588730529.2208915</v>
      </c>
      <c r="R98" s="2">
        <f>R10/'Output-Calculation-sheet'!R9*'Output-Calculation-sheet'!R81</f>
        <v>2032226703.0855963</v>
      </c>
      <c r="S98" s="2">
        <f>S10/'Output-Calculation-sheet'!S9*'Output-Calculation-sheet'!S81</f>
        <v>1174988849.5794363</v>
      </c>
      <c r="T98" s="2">
        <f>T10/'Output-Calculation-sheet'!T9*'Output-Calculation-sheet'!T81</f>
        <v>871890064.95602953</v>
      </c>
      <c r="U98" s="2">
        <f>U10/'Output-Calculation-sheet'!U9*'Output-Calculation-sheet'!U81</f>
        <v>567308223.91988957</v>
      </c>
      <c r="V98" s="2">
        <f>V10/'Output-Calculation-sheet'!V9*'Output-Calculation-sheet'!V81</f>
        <v>300455988.72592366</v>
      </c>
      <c r="W98" s="2">
        <f>W10/'Output-Calculation-sheet'!W9*'Output-Calculation-sheet'!W81</f>
        <v>851896385.44693029</v>
      </c>
      <c r="X98" s="2">
        <f>X10/'Output-Calculation-sheet'!X9*'Output-Calculation-sheet'!X81</f>
        <v>313046147.30059141</v>
      </c>
      <c r="Y98" s="2">
        <f>Y10/'Output-Calculation-sheet'!Y9*'Output-Calculation-sheet'!Y81</f>
        <v>468425389.61631942</v>
      </c>
      <c r="AA98" s="2">
        <f t="shared" si="8"/>
        <v>91.057131153525049</v>
      </c>
    </row>
    <row r="99" spans="1:27" x14ac:dyDescent="0.25">
      <c r="A99" s="2">
        <v>2034</v>
      </c>
      <c r="B99" s="2">
        <f>B11/'Output-Calculation-sheet'!B10*'Output-Calculation-sheet'!B82</f>
        <v>23849053845.324516</v>
      </c>
      <c r="C99" s="2">
        <f>C11/'Output-Calculation-sheet'!C10*'Output-Calculation-sheet'!C82</f>
        <v>8228902050.4102125</v>
      </c>
      <c r="D99" s="2">
        <f>D11/'Output-Calculation-sheet'!D10*'Output-Calculation-sheet'!D82</f>
        <v>7485986206.5714188</v>
      </c>
      <c r="E99" s="2">
        <f>E11/'Output-Calculation-sheet'!E10*'Output-Calculation-sheet'!E82</f>
        <v>14480983878.415668</v>
      </c>
      <c r="F99" s="2">
        <f>F11/'Output-Calculation-sheet'!F10*'Output-Calculation-sheet'!F82</f>
        <v>5963975239.2715445</v>
      </c>
      <c r="G99" s="2">
        <f>G11/'Output-Calculation-sheet'!G10*'Output-Calculation-sheet'!G82</f>
        <v>4239961996.8849387</v>
      </c>
      <c r="H99" s="2">
        <f>H11/'Output-Calculation-sheet'!H10*'Output-Calculation-sheet'!H82</f>
        <v>3963014290.437366</v>
      </c>
      <c r="I99" s="2">
        <f>I11/'Output-Calculation-sheet'!I10*'Output-Calculation-sheet'!I82</f>
        <v>3328656111.1410513</v>
      </c>
      <c r="J99" s="2">
        <f>J11/'Output-Calculation-sheet'!J10*'Output-Calculation-sheet'!J82</f>
        <v>2071421424.8886542</v>
      </c>
      <c r="K99" s="2">
        <f>K11/'Output-Calculation-sheet'!K10*'Output-Calculation-sheet'!K82</f>
        <v>3030761370.6727366</v>
      </c>
      <c r="L99" s="2">
        <f>L11/'Output-Calculation-sheet'!L10*'Output-Calculation-sheet'!L82</f>
        <v>2339969415.8791804</v>
      </c>
      <c r="M99" s="2">
        <f>M11/'Output-Calculation-sheet'!M10*'Output-Calculation-sheet'!M82</f>
        <v>2985265209.1189942</v>
      </c>
      <c r="N99" s="2">
        <f>N11/'Output-Calculation-sheet'!N10*'Output-Calculation-sheet'!N82</f>
        <v>2103122129.1805983</v>
      </c>
      <c r="O99" s="2">
        <f>O11/'Output-Calculation-sheet'!O10*'Output-Calculation-sheet'!O82</f>
        <v>1140208053.3970497</v>
      </c>
      <c r="P99" s="2">
        <f>P11/'Output-Calculation-sheet'!P10*'Output-Calculation-sheet'!P82</f>
        <v>3554286806.2895484</v>
      </c>
      <c r="Q99" s="2">
        <f>Q11/'Output-Calculation-sheet'!Q10*'Output-Calculation-sheet'!Q82</f>
        <v>1682111870.0396874</v>
      </c>
      <c r="R99" s="2">
        <f>R11/'Output-Calculation-sheet'!R10*'Output-Calculation-sheet'!R82</f>
        <v>2177486036.6620898</v>
      </c>
      <c r="S99" s="2">
        <f>S11/'Output-Calculation-sheet'!S10*'Output-Calculation-sheet'!S82</f>
        <v>1254292832.0088499</v>
      </c>
      <c r="T99" s="2">
        <f>T11/'Output-Calculation-sheet'!T10*'Output-Calculation-sheet'!T82</f>
        <v>916741416.12608969</v>
      </c>
      <c r="U99" s="2">
        <f>U11/'Output-Calculation-sheet'!U10*'Output-Calculation-sheet'!U82</f>
        <v>607084645.85350513</v>
      </c>
      <c r="V99" s="2">
        <f>V11/'Output-Calculation-sheet'!V10*'Output-Calculation-sheet'!V82</f>
        <v>324600591.36071968</v>
      </c>
      <c r="W99" s="2">
        <f>W11/'Output-Calculation-sheet'!W10*'Output-Calculation-sheet'!W82</f>
        <v>900128804.69847322</v>
      </c>
      <c r="X99" s="2">
        <f>X11/'Output-Calculation-sheet'!X10*'Output-Calculation-sheet'!X82</f>
        <v>339013289.38676357</v>
      </c>
      <c r="Y99" s="2">
        <f>Y11/'Output-Calculation-sheet'!Y10*'Output-Calculation-sheet'!Y82</f>
        <v>495356330.34601998</v>
      </c>
      <c r="AA99" s="2">
        <f t="shared" si="8"/>
        <v>97.462383844365661</v>
      </c>
    </row>
    <row r="100" spans="1:27" x14ac:dyDescent="0.25">
      <c r="A100" s="2">
        <v>2035</v>
      </c>
      <c r="B100" s="2">
        <f>B12/'Output-Calculation-sheet'!B11*'Output-Calculation-sheet'!B83</f>
        <v>23828902861.521687</v>
      </c>
      <c r="C100" s="2">
        <f>C12/'Output-Calculation-sheet'!C11*'Output-Calculation-sheet'!C83</f>
        <v>8273008035.6571007</v>
      </c>
      <c r="D100" s="2">
        <f>D12/'Output-Calculation-sheet'!D11*'Output-Calculation-sheet'!D83</f>
        <v>7200592712.2990627</v>
      </c>
      <c r="E100" s="2">
        <f>E12/'Output-Calculation-sheet'!E11*'Output-Calculation-sheet'!E83</f>
        <v>14320120944.105639</v>
      </c>
      <c r="F100" s="2">
        <f>F12/'Output-Calculation-sheet'!F11*'Output-Calculation-sheet'!F83</f>
        <v>5890726771.8998384</v>
      </c>
      <c r="G100" s="2">
        <f>G12/'Output-Calculation-sheet'!G11*'Output-Calculation-sheet'!G83</f>
        <v>4048076327.6277151</v>
      </c>
      <c r="H100" s="2">
        <f>H12/'Output-Calculation-sheet'!H11*'Output-Calculation-sheet'!H83</f>
        <v>3910139211.4465861</v>
      </c>
      <c r="I100" s="2">
        <f>I12/'Output-Calculation-sheet'!I11*'Output-Calculation-sheet'!I83</f>
        <v>3317675889.2582488</v>
      </c>
      <c r="J100" s="2">
        <f>J12/'Output-Calculation-sheet'!J11*'Output-Calculation-sheet'!J83</f>
        <v>2010654383.3249478</v>
      </c>
      <c r="K100" s="2">
        <f>K12/'Output-Calculation-sheet'!K11*'Output-Calculation-sheet'!K83</f>
        <v>2962550361.5764885</v>
      </c>
      <c r="L100" s="2">
        <f>L12/'Output-Calculation-sheet'!L11*'Output-Calculation-sheet'!L83</f>
        <v>2352096064.227108</v>
      </c>
      <c r="M100" s="2">
        <f>M12/'Output-Calculation-sheet'!M11*'Output-Calculation-sheet'!M83</f>
        <v>2954753861.5809464</v>
      </c>
      <c r="N100" s="2">
        <f>N12/'Output-Calculation-sheet'!N11*'Output-Calculation-sheet'!N83</f>
        <v>2044456298.4626882</v>
      </c>
      <c r="O100" s="2">
        <f>O12/'Output-Calculation-sheet'!O11*'Output-Calculation-sheet'!O83</f>
        <v>1134803059.2309477</v>
      </c>
      <c r="P100" s="2">
        <f>P12/'Output-Calculation-sheet'!P11*'Output-Calculation-sheet'!P83</f>
        <v>3446477524.785327</v>
      </c>
      <c r="Q100" s="2">
        <f>Q12/'Output-Calculation-sheet'!Q11*'Output-Calculation-sheet'!Q83</f>
        <v>1643985578.4922299</v>
      </c>
      <c r="R100" s="2">
        <f>R12/'Output-Calculation-sheet'!R11*'Output-Calculation-sheet'!R83</f>
        <v>2152707485.717032</v>
      </c>
      <c r="S100" s="2">
        <f>S12/'Output-Calculation-sheet'!S11*'Output-Calculation-sheet'!S83</f>
        <v>1235543492.5560584</v>
      </c>
      <c r="T100" s="2">
        <f>T12/'Output-Calculation-sheet'!T11*'Output-Calculation-sheet'!T83</f>
        <v>889163229.01874995</v>
      </c>
      <c r="U100" s="2">
        <f>U12/'Output-Calculation-sheet'!U11*'Output-Calculation-sheet'!U83</f>
        <v>599195341.57389033</v>
      </c>
      <c r="V100" s="2">
        <f>V12/'Output-Calculation-sheet'!V11*'Output-Calculation-sheet'!V83</f>
        <v>323300700.90660042</v>
      </c>
      <c r="W100" s="2">
        <f>W12/'Output-Calculation-sheet'!W11*'Output-Calculation-sheet'!W83</f>
        <v>875901024.86936057</v>
      </c>
      <c r="X100" s="2">
        <f>X12/'Output-Calculation-sheet'!X11*'Output-Calculation-sheet'!X83</f>
        <v>338631656.03893101</v>
      </c>
      <c r="Y100" s="2">
        <f>Y12/'Output-Calculation-sheet'!Y11*'Output-Calculation-sheet'!Y83</f>
        <v>482673746.96389335</v>
      </c>
      <c r="AA100" s="2">
        <f t="shared" si="8"/>
        <v>96.236136563141088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00"/>
  <sheetViews>
    <sheetView workbookViewId="0">
      <selection activeCell="B7" sqref="B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1075.826041742961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10.061231864500726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9073.4139105006052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3628.0411280710969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2506.6573110568711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1608.7411642794316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280.56593448538155</v>
      </c>
      <c r="Y18" s="2">
        <f>Y7/'Output-Calculation-sheet'!Y6*'Output-Calculation-sheet'!Y24</f>
        <v>0</v>
      </c>
      <c r="AA18" s="2">
        <f t="shared" si="0"/>
        <v>18.042274369841451</v>
      </c>
    </row>
    <row r="19" spans="1:27" x14ac:dyDescent="0.25">
      <c r="A19" s="2">
        <v>2031</v>
      </c>
      <c r="B19" s="2">
        <f>B8/'Output-Calculation-sheet'!B7*'Output-Calculation-sheet'!B25</f>
        <v>1268.3828005854234</v>
      </c>
      <c r="C19" s="2">
        <f>C8/'Output-Calculation-sheet'!C7*'Output-Calculation-sheet'!C25</f>
        <v>11821.029916919812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5691.1778602439081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3954.1290675079981</v>
      </c>
      <c r="N19" s="2">
        <f>N8/'Output-Calculation-sheet'!N7*'Output-Calculation-sheet'!N25</f>
        <v>1353.7712489439289</v>
      </c>
      <c r="O19" s="2">
        <f>O8/'Output-Calculation-sheet'!O7*'Output-Calculation-sheet'!O25</f>
        <v>2096.9590676941443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483.04695249463953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442.45340793627736</v>
      </c>
      <c r="Y19" s="2">
        <f>Y8/'Output-Calculation-sheet'!Y7*'Output-Calculation-sheet'!Y25</f>
        <v>0</v>
      </c>
      <c r="AA19" s="2">
        <f t="shared" si="0"/>
        <v>27.110950322326129</v>
      </c>
    </row>
    <row r="20" spans="1:27" x14ac:dyDescent="0.25">
      <c r="A20" s="2">
        <v>2032</v>
      </c>
      <c r="B20" s="2">
        <f>B9/'Output-Calculation-sheet'!B8*'Output-Calculation-sheet'!B26</f>
        <v>7137.9463409638593</v>
      </c>
      <c r="C20" s="2">
        <f>C9/'Output-Calculation-sheet'!C8*'Output-Calculation-sheet'!C26</f>
        <v>14508.243272642681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7765.5857185860377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5400.8520854388426</v>
      </c>
      <c r="N20" s="2">
        <f>N9/'Output-Calculation-sheet'!N8*'Output-Calculation-sheet'!N26</f>
        <v>2435.1391925862854</v>
      </c>
      <c r="O20" s="2">
        <f>O9/'Output-Calculation-sheet'!O8*'Output-Calculation-sheet'!O26</f>
        <v>2526.2578249435046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880.47452154041468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603.63695571751589</v>
      </c>
      <c r="Y20" s="2">
        <f>Y9/'Output-Calculation-sheet'!Y8*'Output-Calculation-sheet'!Y26</f>
        <v>0</v>
      </c>
      <c r="AA20" s="2">
        <f t="shared" si="0"/>
        <v>41.258135912419135</v>
      </c>
    </row>
    <row r="21" spans="1:27" x14ac:dyDescent="0.25">
      <c r="A21" s="2">
        <v>2033</v>
      </c>
      <c r="B21" s="2">
        <f>B10/'Output-Calculation-sheet'!B9*'Output-Calculation-sheet'!B27</f>
        <v>16508.436922428653</v>
      </c>
      <c r="C21" s="2">
        <f>C10/'Output-Calculation-sheet'!C9*'Output-Calculation-sheet'!C27</f>
        <v>16829.443715739599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9543.9481018560782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6628.9377865179513</v>
      </c>
      <c r="N21" s="2">
        <f>N10/'Output-Calculation-sheet'!N9*'Output-Calculation-sheet'!N27</f>
        <v>3607.0699814195918</v>
      </c>
      <c r="O21" s="2">
        <f>O10/'Output-Calculation-sheet'!O9*'Output-Calculation-sheet'!O27</f>
        <v>2798.2437661004656</v>
      </c>
      <c r="P21" s="2">
        <f>P10/'Output-Calculation-sheet'!P9*'Output-Calculation-sheet'!P27</f>
        <v>0</v>
      </c>
      <c r="Q21" s="2">
        <f>Q10/'Output-Calculation-sheet'!Q9*'Output-Calculation-sheet'!Q27</f>
        <v>246.33434246279435</v>
      </c>
      <c r="R21" s="2">
        <f>R10/'Output-Calculation-sheet'!R9*'Output-Calculation-sheet'!R27</f>
        <v>0</v>
      </c>
      <c r="S21" s="2">
        <f>S10/'Output-Calculation-sheet'!S9*'Output-Calculation-sheet'!S27</f>
        <v>1578.433476570144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779.45941395587954</v>
      </c>
      <c r="Y21" s="2">
        <f>Y10/'Output-Calculation-sheet'!Y9*'Output-Calculation-sheet'!Y27</f>
        <v>0</v>
      </c>
      <c r="AA21" s="2">
        <f t="shared" si="0"/>
        <v>58.520307507051157</v>
      </c>
    </row>
    <row r="22" spans="1:27" x14ac:dyDescent="0.25">
      <c r="A22" s="2">
        <v>2034</v>
      </c>
      <c r="B22" s="2">
        <f>B11/'Output-Calculation-sheet'!B10*'Output-Calculation-sheet'!B28</f>
        <v>26453.474589007099</v>
      </c>
      <c r="C22" s="2">
        <f>C11/'Output-Calculation-sheet'!C10*'Output-Calculation-sheet'!C28</f>
        <v>18888.325244422977</v>
      </c>
      <c r="D22" s="2">
        <f>D11/'Output-Calculation-sheet'!D10*'Output-Calculation-sheet'!D28</f>
        <v>0</v>
      </c>
      <c r="E22" s="2">
        <f>E11/'Output-Calculation-sheet'!E10*'Output-Calculation-sheet'!E28</f>
        <v>1530.0254466879053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11120.779335111827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759.76467458256025</v>
      </c>
      <c r="M22" s="2">
        <f>M11/'Output-Calculation-sheet'!M10*'Output-Calculation-sheet'!M28</f>
        <v>7726.0744385591579</v>
      </c>
      <c r="N22" s="2">
        <f>N11/'Output-Calculation-sheet'!N10*'Output-Calculation-sheet'!N28</f>
        <v>4485.6814017168554</v>
      </c>
      <c r="O22" s="2">
        <f>O11/'Output-Calculation-sheet'!O10*'Output-Calculation-sheet'!O28</f>
        <v>2907.1172971779297</v>
      </c>
      <c r="P22" s="2">
        <f>P11/'Output-Calculation-sheet'!P10*'Output-Calculation-sheet'!P28</f>
        <v>0</v>
      </c>
      <c r="Q22" s="2">
        <f>Q11/'Output-Calculation-sheet'!Q10*'Output-Calculation-sheet'!Q28</f>
        <v>670.63067802458738</v>
      </c>
      <c r="R22" s="2">
        <f>R11/'Output-Calculation-sheet'!R10*'Output-Calculation-sheet'!R28</f>
        <v>0</v>
      </c>
      <c r="S22" s="2">
        <f>S11/'Output-Calculation-sheet'!S10*'Output-Calculation-sheet'!S28</f>
        <v>2095.2031009122584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804.62501177517606</v>
      </c>
      <c r="Y22" s="2">
        <f>Y11/'Output-Calculation-sheet'!Y10*'Output-Calculation-sheet'!Y28</f>
        <v>84.715813269048056</v>
      </c>
      <c r="AA22" s="2">
        <f t="shared" si="0"/>
        <v>77.526417031247391</v>
      </c>
    </row>
    <row r="23" spans="1:27" x14ac:dyDescent="0.25">
      <c r="A23" s="2">
        <v>2035</v>
      </c>
      <c r="B23" s="2">
        <f>B12/'Output-Calculation-sheet'!B11*'Output-Calculation-sheet'!B29</f>
        <v>28660.903143151787</v>
      </c>
      <c r="C23" s="2">
        <f>C12/'Output-Calculation-sheet'!C11*'Output-Calculation-sheet'!C29</f>
        <v>20905.685774333091</v>
      </c>
      <c r="D23" s="2">
        <f>D12/'Output-Calculation-sheet'!D11*'Output-Calculation-sheet'!D29</f>
        <v>0</v>
      </c>
      <c r="E23" s="2">
        <f>E12/'Output-Calculation-sheet'!E11*'Output-Calculation-sheet'!E29</f>
        <v>3645.9298330595934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10494.105969841283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862.96391733479163</v>
      </c>
      <c r="M23" s="2">
        <f>M12/'Output-Calculation-sheet'!M11*'Output-Calculation-sheet'!M29</f>
        <v>7399.0197350008857</v>
      </c>
      <c r="N23" s="2">
        <f>N12/'Output-Calculation-sheet'!N11*'Output-Calculation-sheet'!N29</f>
        <v>4359.7662009069936</v>
      </c>
      <c r="O23" s="2">
        <f>O12/'Output-Calculation-sheet'!O11*'Output-Calculation-sheet'!O29</f>
        <v>2884.3677589729609</v>
      </c>
      <c r="P23" s="2">
        <f>P12/'Output-Calculation-sheet'!P11*'Output-Calculation-sheet'!P29</f>
        <v>614.97747332375764</v>
      </c>
      <c r="Q23" s="2">
        <f>Q12/'Output-Calculation-sheet'!Q11*'Output-Calculation-sheet'!Q29</f>
        <v>931.48092206514775</v>
      </c>
      <c r="R23" s="2">
        <f>R12/'Output-Calculation-sheet'!R11*'Output-Calculation-sheet'!R29</f>
        <v>0</v>
      </c>
      <c r="S23" s="2">
        <f>S12/'Output-Calculation-sheet'!S11*'Output-Calculation-sheet'!S29</f>
        <v>2132.0643396074256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768.63506260346367</v>
      </c>
      <c r="Y23" s="2">
        <f>Y12/'Output-Calculation-sheet'!Y11*'Output-Calculation-sheet'!Y29</f>
        <v>195.17749393026133</v>
      </c>
      <c r="AA23" s="2">
        <f t="shared" si="0"/>
        <v>83.85507762413144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22107.500184672572</v>
      </c>
      <c r="C30" s="2">
        <f>C8/'Output-Calculation-sheet'!C7*'Output-Calculation-sheet'!C16</f>
        <v>0</v>
      </c>
      <c r="D30" s="2">
        <f>D8/'Output-Calculation-sheet'!D7*'Output-Calculation-sheet'!D16</f>
        <v>3722.6107775721471</v>
      </c>
      <c r="E30" s="2">
        <f>E8/'Output-Calculation-sheet'!E7*'Output-Calculation-sheet'!E16</f>
        <v>4005.3188771325836</v>
      </c>
      <c r="F30" s="2">
        <f>F8/'Output-Calculation-sheet'!F7*'Output-Calculation-sheet'!F16</f>
        <v>2020.7046869053145</v>
      </c>
      <c r="G30" s="2">
        <f>G8/'Output-Calculation-sheet'!G7*'Output-Calculation-sheet'!G16</f>
        <v>1323.3215675629369</v>
      </c>
      <c r="H30" s="2">
        <f>H8/'Output-Calculation-sheet'!H7*'Output-Calculation-sheet'!H16</f>
        <v>0</v>
      </c>
      <c r="I30" s="2">
        <f>I8/'Output-Calculation-sheet'!I7*'Output-Calculation-sheet'!I16</f>
        <v>1290.0403857038434</v>
      </c>
      <c r="J30" s="2">
        <f>J8/'Output-Calculation-sheet'!J7*'Output-Calculation-sheet'!J16</f>
        <v>1148.3839971566651</v>
      </c>
      <c r="K30" s="2">
        <f>K8/'Output-Calculation-sheet'!K7*'Output-Calculation-sheet'!K16</f>
        <v>1533.3121381012493</v>
      </c>
      <c r="L30" s="2">
        <f>L8/'Output-Calculation-sheet'!L7*'Output-Calculation-sheet'!L16</f>
        <v>1295.150256917992</v>
      </c>
      <c r="M30" s="2">
        <f>M8/'Output-Calculation-sheet'!M7*'Output-Calculation-sheet'!M16</f>
        <v>0</v>
      </c>
      <c r="N30" s="2">
        <f>N8/'Output-Calculation-sheet'!N7*'Output-Calculation-sheet'!N16</f>
        <v>1839.6518251331611</v>
      </c>
      <c r="O30" s="2">
        <f>O8/'Output-Calculation-sheet'!O7*'Output-Calculation-sheet'!O16</f>
        <v>0</v>
      </c>
      <c r="P30" s="2">
        <f>P8/'Output-Calculation-sheet'!P7*'Output-Calculation-sheet'!P16</f>
        <v>1653.4186966327834</v>
      </c>
      <c r="Q30" s="2">
        <f>Q8/'Output-Calculation-sheet'!Q7*'Output-Calculation-sheet'!Q16</f>
        <v>1818.2145085103157</v>
      </c>
      <c r="R30" s="2">
        <f>R8/'Output-Calculation-sheet'!R7*'Output-Calculation-sheet'!R16</f>
        <v>1153.6650083084974</v>
      </c>
      <c r="S30" s="2">
        <f>S8/'Output-Calculation-sheet'!S7*'Output-Calculation-sheet'!S16</f>
        <v>1160.2487061447423</v>
      </c>
      <c r="T30" s="2">
        <f>T8/'Output-Calculation-sheet'!T7*'Output-Calculation-sheet'!T16</f>
        <v>346.31365243570099</v>
      </c>
      <c r="U30" s="2">
        <f>U8/'Output-Calculation-sheet'!U7*'Output-Calculation-sheet'!U16</f>
        <v>345.69462556369194</v>
      </c>
      <c r="V30" s="2">
        <f>V8/'Output-Calculation-sheet'!V7*'Output-Calculation-sheet'!V16</f>
        <v>269.04755594960898</v>
      </c>
      <c r="W30" s="2">
        <f>W8/'Output-Calculation-sheet'!W7*'Output-Calculation-sheet'!W16</f>
        <v>163.19090605301153</v>
      </c>
      <c r="X30" s="2">
        <f>X8/'Output-Calculation-sheet'!X7*'Output-Calculation-sheet'!X16</f>
        <v>0</v>
      </c>
      <c r="Y30" s="2">
        <f>Y8/'Output-Calculation-sheet'!Y7*'Output-Calculation-sheet'!Y16</f>
        <v>138.12254923270021</v>
      </c>
      <c r="AA30" s="2">
        <f t="shared" si="1"/>
        <v>47.333910905689507</v>
      </c>
    </row>
    <row r="31" spans="1:27" x14ac:dyDescent="0.25">
      <c r="A31" s="2">
        <v>2032</v>
      </c>
      <c r="B31" s="2">
        <f>B9/'Output-Calculation-sheet'!B8*'Output-Calculation-sheet'!B17</f>
        <v>30224.423095827049</v>
      </c>
      <c r="C31" s="2">
        <f>C9/'Output-Calculation-sheet'!C8*'Output-Calculation-sheet'!C17</f>
        <v>0</v>
      </c>
      <c r="D31" s="2">
        <f>D9/'Output-Calculation-sheet'!D8*'Output-Calculation-sheet'!D17</f>
        <v>5069.0325889500064</v>
      </c>
      <c r="E31" s="2">
        <f>E9/'Output-Calculation-sheet'!E8*'Output-Calculation-sheet'!E17</f>
        <v>5957.9552354462385</v>
      </c>
      <c r="F31" s="2">
        <f>F9/'Output-Calculation-sheet'!F8*'Output-Calculation-sheet'!F17</f>
        <v>2751.6353490581068</v>
      </c>
      <c r="G31" s="2">
        <f>G9/'Output-Calculation-sheet'!G8*'Output-Calculation-sheet'!G17</f>
        <v>1801.9776424313748</v>
      </c>
      <c r="H31" s="2">
        <f>H9/'Output-Calculation-sheet'!H8*'Output-Calculation-sheet'!H17</f>
        <v>0</v>
      </c>
      <c r="I31" s="2">
        <f>I9/'Output-Calculation-sheet'!I8*'Output-Calculation-sheet'!I17</f>
        <v>1756.6666170009478</v>
      </c>
      <c r="J31" s="2">
        <f>J9/'Output-Calculation-sheet'!J8*'Output-Calculation-sheet'!J17</f>
        <v>1563.7718862071531</v>
      </c>
      <c r="K31" s="2">
        <f>K9/'Output-Calculation-sheet'!K8*'Output-Calculation-sheet'!K17</f>
        <v>2226.3959619298307</v>
      </c>
      <c r="L31" s="2">
        <f>L9/'Output-Calculation-sheet'!L8*'Output-Calculation-sheet'!L17</f>
        <v>1898.7243650116966</v>
      </c>
      <c r="M31" s="2">
        <f>M9/'Output-Calculation-sheet'!M8*'Output-Calculation-sheet'!M17</f>
        <v>0</v>
      </c>
      <c r="N31" s="2">
        <f>N9/'Output-Calculation-sheet'!N8*'Output-Calculation-sheet'!N17</f>
        <v>2064.1075786181232</v>
      </c>
      <c r="O31" s="2">
        <f>O9/'Output-Calculation-sheet'!O8*'Output-Calculation-sheet'!O17</f>
        <v>0</v>
      </c>
      <c r="P31" s="2">
        <f>P9/'Output-Calculation-sheet'!P8*'Output-Calculation-sheet'!P17</f>
        <v>2561.8778774032821</v>
      </c>
      <c r="Q31" s="2">
        <f>Q9/'Output-Calculation-sheet'!Q8*'Output-Calculation-sheet'!Q17</f>
        <v>2731.1971948364135</v>
      </c>
      <c r="R31" s="2">
        <f>R9/'Output-Calculation-sheet'!R8*'Output-Calculation-sheet'!R17</f>
        <v>1786.8935469602488</v>
      </c>
      <c r="S31" s="2">
        <f>S9/'Output-Calculation-sheet'!S8*'Output-Calculation-sheet'!S17</f>
        <v>1543.0119820530722</v>
      </c>
      <c r="T31" s="2">
        <f>T9/'Output-Calculation-sheet'!T8*'Output-Calculation-sheet'!T17</f>
        <v>484.88661914243954</v>
      </c>
      <c r="U31" s="2">
        <f>U9/'Output-Calculation-sheet'!U8*'Output-Calculation-sheet'!U17</f>
        <v>557.28930800609146</v>
      </c>
      <c r="V31" s="2">
        <f>V9/'Output-Calculation-sheet'!V8*'Output-Calculation-sheet'!V17</f>
        <v>399.15988855158793</v>
      </c>
      <c r="W31" s="2">
        <f>W9/'Output-Calculation-sheet'!W8*'Output-Calculation-sheet'!W17</f>
        <v>222.22172784580181</v>
      </c>
      <c r="X31" s="2">
        <f>X9/'Output-Calculation-sheet'!X8*'Output-Calculation-sheet'!X17</f>
        <v>0</v>
      </c>
      <c r="Y31" s="2">
        <f>Y9/'Output-Calculation-sheet'!Y8*'Output-Calculation-sheet'!Y17</f>
        <v>214.71433400421861</v>
      </c>
      <c r="AA31" s="2">
        <f t="shared" si="1"/>
        <v>65.815942799283704</v>
      </c>
    </row>
    <row r="32" spans="1:27" x14ac:dyDescent="0.25">
      <c r="A32" s="2">
        <v>2033</v>
      </c>
      <c r="B32" s="2">
        <f>B10/'Output-Calculation-sheet'!B9*'Output-Calculation-sheet'!B18</f>
        <v>33459.269916056925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2052.401881549109</v>
      </c>
      <c r="O32" s="2">
        <f>O10/'Output-Calculation-sheet'!O9*'Output-Calculation-sheet'!O18</f>
        <v>0</v>
      </c>
      <c r="P32" s="2">
        <f>P10/'Output-Calculation-sheet'!P9*'Output-Calculation-sheet'!P18</f>
        <v>3284.3441867220363</v>
      </c>
      <c r="Q32" s="2">
        <f>Q10/'Output-Calculation-sheet'!Q9*'Output-Calculation-sheet'!Q18</f>
        <v>3578.788925538644</v>
      </c>
      <c r="R32" s="2">
        <f>R10/'Output-Calculation-sheet'!R9*'Output-Calculation-sheet'!R18</f>
        <v>2358.0098446407965</v>
      </c>
      <c r="S32" s="2">
        <f>S10/'Output-Calculation-sheet'!S9*'Output-Calculation-sheet'!S18</f>
        <v>1543.2829329535984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762.35987039375186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80.44672796163826</v>
      </c>
    </row>
    <row r="33" spans="1:27" x14ac:dyDescent="0.25">
      <c r="A33" s="2">
        <v>2034</v>
      </c>
      <c r="B33" s="2">
        <f>B11/'Output-Calculation-sheet'!B10*'Output-Calculation-sheet'!B19</f>
        <v>30314.878160992383</v>
      </c>
      <c r="C33" s="2">
        <f>C11/'Output-Calculation-sheet'!C10*'Output-Calculation-sheet'!C19</f>
        <v>0</v>
      </c>
      <c r="D33" s="2">
        <f>D11/'Output-Calculation-sheet'!D10*'Output-Calculation-sheet'!D19</f>
        <v>9177.1667224814755</v>
      </c>
      <c r="E33" s="2">
        <f>E11/'Output-Calculation-sheet'!E10*'Output-Calculation-sheet'!E19</f>
        <v>11380.186645696147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3118.3062034978457</v>
      </c>
      <c r="H33" s="2">
        <f>H11/'Output-Calculation-sheet'!H10*'Output-Calculation-sheet'!H19</f>
        <v>0</v>
      </c>
      <c r="I33" s="2">
        <f>I11/'Output-Calculation-sheet'!I10*'Output-Calculation-sheet'!I19</f>
        <v>3407.6372208821604</v>
      </c>
      <c r="J33" s="2">
        <f>J11/'Output-Calculation-sheet'!J10*'Output-Calculation-sheet'!J19</f>
        <v>2882.952830850877</v>
      </c>
      <c r="K33" s="2">
        <f>K11/'Output-Calculation-sheet'!K10*'Output-Calculation-sheet'!K19</f>
        <v>3991.7227066300075</v>
      </c>
      <c r="L33" s="2">
        <f>L11/'Output-Calculation-sheet'!L10*'Output-Calculation-sheet'!L19</f>
        <v>3153.2094040157281</v>
      </c>
      <c r="M33" s="2">
        <f>M11/'Output-Calculation-sheet'!M10*'Output-Calculation-sheet'!M19</f>
        <v>0</v>
      </c>
      <c r="N33" s="2">
        <f>N11/'Output-Calculation-sheet'!N10*'Output-Calculation-sheet'!N19</f>
        <v>1885.9644149474236</v>
      </c>
      <c r="O33" s="2">
        <f>O11/'Output-Calculation-sheet'!O10*'Output-Calculation-sheet'!O19</f>
        <v>0</v>
      </c>
      <c r="P33" s="2">
        <f>P11/'Output-Calculation-sheet'!P10*'Output-Calculation-sheet'!P19</f>
        <v>4039.4655724387835</v>
      </c>
      <c r="Q33" s="2">
        <f>Q11/'Output-Calculation-sheet'!Q10*'Output-Calculation-sheet'!Q19</f>
        <v>3335.8835734011341</v>
      </c>
      <c r="R33" s="2">
        <f>R11/'Output-Calculation-sheet'!R10*'Output-Calculation-sheet'!R19</f>
        <v>2884.2451021250417</v>
      </c>
      <c r="S33" s="2">
        <f>S11/'Output-Calculation-sheet'!S10*'Output-Calculation-sheet'!S19</f>
        <v>1416.7999449508691</v>
      </c>
      <c r="T33" s="2">
        <f>T11/'Output-Calculation-sheet'!T10*'Output-Calculation-sheet'!T19</f>
        <v>846.25979028961024</v>
      </c>
      <c r="U33" s="2">
        <f>U11/'Output-Calculation-sheet'!U10*'Output-Calculation-sheet'!U19</f>
        <v>910.97000193691429</v>
      </c>
      <c r="V33" s="2">
        <f>V11/'Output-Calculation-sheet'!V10*'Output-Calculation-sheet'!V19</f>
        <v>663.79170116233524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0</v>
      </c>
      <c r="Y33" s="2">
        <f>Y11/'Output-Calculation-sheet'!Y10*'Output-Calculation-sheet'!Y19</f>
        <v>372.47280288421263</v>
      </c>
      <c r="AA33" s="2">
        <f t="shared" si="1"/>
        <v>89.402742732953726</v>
      </c>
    </row>
    <row r="34" spans="1:27" x14ac:dyDescent="0.25">
      <c r="A34" s="2">
        <v>2035</v>
      </c>
      <c r="B34" s="2">
        <f>B12/'Output-Calculation-sheet'!B11*'Output-Calculation-sheet'!B20</f>
        <v>27212.506678016274</v>
      </c>
      <c r="C34" s="2">
        <f>C12/'Output-Calculation-sheet'!C11*'Output-Calculation-sheet'!C20</f>
        <v>0</v>
      </c>
      <c r="D34" s="2">
        <f>D12/'Output-Calculation-sheet'!D11*'Output-Calculation-sheet'!D20</f>
        <v>8348.5996342359485</v>
      </c>
      <c r="E34" s="2">
        <f>E12/'Output-Calculation-sheet'!E11*'Output-Calculation-sheet'!E20</f>
        <v>9840.9113077501079</v>
      </c>
      <c r="F34" s="2">
        <f>F12/'Output-Calculation-sheet'!F11*'Output-Calculation-sheet'!F20</f>
        <v>5631.3437690269411</v>
      </c>
      <c r="G34" s="2">
        <f>G12/'Output-Calculation-sheet'!G11*'Output-Calculation-sheet'!G20</f>
        <v>3015.7721641105118</v>
      </c>
      <c r="H34" s="2">
        <f>H12/'Output-Calculation-sheet'!H11*'Output-Calculation-sheet'!H20</f>
        <v>0</v>
      </c>
      <c r="I34" s="2">
        <f>I12/'Output-Calculation-sheet'!I11*'Output-Calculation-sheet'!I20</f>
        <v>3354.3307900592317</v>
      </c>
      <c r="J34" s="2">
        <f>J12/'Output-Calculation-sheet'!J11*'Output-Calculation-sheet'!J20</f>
        <v>2614.6857983137947</v>
      </c>
      <c r="K34" s="2">
        <f>K12/'Output-Calculation-sheet'!K11*'Output-Calculation-sheet'!K20</f>
        <v>3864.8367429612504</v>
      </c>
      <c r="L34" s="2">
        <f>L12/'Output-Calculation-sheet'!L11*'Output-Calculation-sheet'!L20</f>
        <v>2953.6918543443503</v>
      </c>
      <c r="M34" s="2">
        <f>M12/'Output-Calculation-sheet'!M11*'Output-Calculation-sheet'!M20</f>
        <v>0</v>
      </c>
      <c r="N34" s="2">
        <f>N12/'Output-Calculation-sheet'!N11*'Output-Calculation-sheet'!N20</f>
        <v>1714.0367988436369</v>
      </c>
      <c r="O34" s="2">
        <f>O12/'Output-Calculation-sheet'!O11*'Output-Calculation-sheet'!O20</f>
        <v>0</v>
      </c>
      <c r="P34" s="2">
        <f>P12/'Output-Calculation-sheet'!P11*'Output-Calculation-sheet'!P20</f>
        <v>3674.6003077413002</v>
      </c>
      <c r="Q34" s="2">
        <f>Q12/'Output-Calculation-sheet'!Q11*'Output-Calculation-sheet'!Q20</f>
        <v>3027.173053559753</v>
      </c>
      <c r="R34" s="2">
        <f>R12/'Output-Calculation-sheet'!R11*'Output-Calculation-sheet'!R20</f>
        <v>2841.5963102111427</v>
      </c>
      <c r="S34" s="2">
        <f>S12/'Output-Calculation-sheet'!S11*'Output-Calculation-sheet'!S20</f>
        <v>1212.4518373474771</v>
      </c>
      <c r="T34" s="2">
        <f>T12/'Output-Calculation-sheet'!T11*'Output-Calculation-sheet'!T20</f>
        <v>908.42096466527539</v>
      </c>
      <c r="U34" s="2">
        <f>U12/'Output-Calculation-sheet'!U11*'Output-Calculation-sheet'!U20</f>
        <v>847.45874045354753</v>
      </c>
      <c r="V34" s="2">
        <f>V12/'Output-Calculation-sheet'!V11*'Output-Calculation-sheet'!V20</f>
        <v>629.33839143629905</v>
      </c>
      <c r="W34" s="2">
        <f>W12/'Output-Calculation-sheet'!W11*'Output-Calculation-sheet'!W20</f>
        <v>501.17723540940386</v>
      </c>
      <c r="X34" s="2">
        <f>X12/'Output-Calculation-sheet'!X11*'Output-Calculation-sheet'!X20</f>
        <v>19.645412480089679</v>
      </c>
      <c r="Y34" s="2">
        <f>Y12/'Output-Calculation-sheet'!Y11*'Output-Calculation-sheet'!Y20</f>
        <v>293.25508638403164</v>
      </c>
      <c r="AA34" s="2">
        <f t="shared" si="1"/>
        <v>82.505832877350358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0.15671373467760993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0.15671373467760993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2.4101252110899924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0.46822249065650606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2.8783477017464985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3.9382643060907991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0.76509880639251049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4.7033631124833093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5.3639661245385177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0.78155573631775055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6.1455218608562685</v>
      </c>
    </row>
    <row r="44" spans="1:27" x14ac:dyDescent="0.25">
      <c r="A44" s="2">
        <v>2034</v>
      </c>
      <c r="B44" s="2">
        <f>B11/'Output-Calculation-sheet'!B10*'Output-Calculation-sheet'!B37*0.0114</f>
        <v>2.7399477605273383</v>
      </c>
      <c r="C44" s="2">
        <f>C11/'Output-Calculation-sheet'!C10*'Output-Calculation-sheet'!C37*0.0114</f>
        <v>5.2017612703568528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0.40031603078156325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0.29047277786039261</v>
      </c>
      <c r="M44" s="2">
        <f>M11/'Output-Calculation-sheet'!M10*'Output-Calculation-sheet'!M37*0.0114</f>
        <v>0.27545660234425146</v>
      </c>
      <c r="N44" s="2">
        <f>N11/'Output-Calculation-sheet'!N10*'Output-Calculation-sheet'!N37*0.0114</f>
        <v>0.27072963961972707</v>
      </c>
      <c r="O44" s="2">
        <f>O11/'Output-Calculation-sheet'!O10*'Output-Calculation-sheet'!O37*0.0114</f>
        <v>1.010562275602906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0.23719989232354863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0.15519115419111129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7.5681258860384501E-2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3.0218268333076399E-2</v>
      </c>
      <c r="Y44" s="2">
        <f>Y11/'Output-Calculation-sheet'!Y10*'Output-Calculation-sheet'!Y37*0.0114</f>
        <v>0</v>
      </c>
      <c r="AA44" s="2">
        <f t="shared" si="2"/>
        <v>10.687536930801153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4.8256345074365798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0.93749096423421041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5.6066517029170697E-2</v>
      </c>
      <c r="Y45" s="2">
        <f>Y12/'Output-Calculation-sheet'!Y11*'Output-Calculation-sheet'!Y38*0.0114</f>
        <v>2.7052614419864059E-2</v>
      </c>
      <c r="AA45" s="2">
        <f t="shared" si="2"/>
        <v>14.462265956932905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1425.9763676094733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3.6750963593420605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8069.9156613597024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5508.1102771109781</v>
      </c>
      <c r="N52" s="2">
        <f>N8/'Output-Calculation-sheet'!N7*'Output-Calculation-sheet'!N43</f>
        <v>176.05166037926801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709.8747835916713</v>
      </c>
      <c r="Y52" s="2">
        <f>Y8/'Output-Calculation-sheet'!Y7*'Output-Calculation-sheet'!Y43</f>
        <v>0</v>
      </c>
      <c r="AA52" s="2">
        <f t="shared" si="3"/>
        <v>14.463952382441619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806.07748955074828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15526.208722055439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10610.375920937831</v>
      </c>
      <c r="N53" s="2">
        <f>N9/'Output-Calculation-sheet'!N8*'Output-Calculation-sheet'!N44</f>
        <v>3787.7492412592592</v>
      </c>
      <c r="O53" s="2">
        <f>O9/'Output-Calculation-sheet'!O8*'Output-Calculation-sheet'!O44</f>
        <v>0</v>
      </c>
      <c r="P53" s="2">
        <f>P9/'Output-Calculation-sheet'!P8*'Output-Calculation-sheet'!P44</f>
        <v>177.17457246666368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1168.0843803114553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1329.8856193857209</v>
      </c>
      <c r="Y53" s="2">
        <f>Y9/'Output-Calculation-sheet'!Y8*'Output-Calculation-sheet'!Y44</f>
        <v>0</v>
      </c>
      <c r="AA53" s="2">
        <f t="shared" si="3"/>
        <v>33.405555945967123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6352.0651474798233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0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922.60053356851824</v>
      </c>
      <c r="R54" s="2">
        <f>R10/'Output-Calculation-sheet'!R9*'Output-Calculation-sheet'!R45</f>
        <v>1574.5314874611443</v>
      </c>
      <c r="S54" s="2">
        <f>S10/'Output-Calculation-sheet'!S9*'Output-Calculation-sheet'!S45</f>
        <v>3776.1566425123065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561.34900615363858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97.163533279065888</v>
      </c>
    </row>
    <row r="55" spans="1:27" x14ac:dyDescent="0.25">
      <c r="A55" s="2">
        <v>2034</v>
      </c>
      <c r="B55" s="2">
        <f>B11/'Output-Calculation-sheet'!B10*'Output-Calculation-sheet'!B46</f>
        <v>72103.888434929948</v>
      </c>
      <c r="C55" s="2">
        <f>C11/'Output-Calculation-sheet'!C10*'Output-Calculation-sheet'!C46</f>
        <v>14829.5825689998</v>
      </c>
      <c r="D55" s="2">
        <f>D11/'Output-Calculation-sheet'!D10*'Output-Calculation-sheet'!D46</f>
        <v>7982.9568045545657</v>
      </c>
      <c r="E55" s="2">
        <f>E11/'Output-Calculation-sheet'!E10*'Output-Calculation-sheet'!E46</f>
        <v>9877.8674124822774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25915.195676911724</v>
      </c>
      <c r="I55" s="2">
        <f>I11/'Output-Calculation-sheet'!I10*'Output-Calculation-sheet'!I46</f>
        <v>1923.6162158505074</v>
      </c>
      <c r="J55" s="2">
        <f>J11/'Output-Calculation-sheet'!J10*'Output-Calculation-sheet'!J46</f>
        <v>1387.4777186317135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738.92197876766534</v>
      </c>
      <c r="M55" s="2">
        <f>M11/'Output-Calculation-sheet'!M10*'Output-Calculation-sheet'!M46</f>
        <v>17977.167731940623</v>
      </c>
      <c r="N55" s="2">
        <f>N11/'Output-Calculation-sheet'!N10*'Output-Calculation-sheet'!N46</f>
        <v>12776.53913293098</v>
      </c>
      <c r="O55" s="2">
        <f>O11/'Output-Calculation-sheet'!O10*'Output-Calculation-sheet'!O46</f>
        <v>0</v>
      </c>
      <c r="P55" s="2">
        <f>P11/'Output-Calculation-sheet'!P10*'Output-Calculation-sheet'!P46</f>
        <v>5199.5597520556566</v>
      </c>
      <c r="Q55" s="2">
        <f>Q11/'Output-Calculation-sheet'!Q10*'Output-Calculation-sheet'!Q46</f>
        <v>1914.2447450672344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5772.021875178174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1248.0769005045865</v>
      </c>
      <c r="V55" s="2">
        <f>V11/'Output-Calculation-sheet'!V10*'Output-Calculation-sheet'!V46</f>
        <v>644.99968648698825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1834.301902323585</v>
      </c>
      <c r="Y55" s="2">
        <f>Y11/'Output-Calculation-sheet'!Y10*'Output-Calculation-sheet'!Y46</f>
        <v>488.57782276671827</v>
      </c>
      <c r="AA55" s="2">
        <f t="shared" si="3"/>
        <v>195.56774463017047</v>
      </c>
    </row>
    <row r="56" spans="1:27" x14ac:dyDescent="0.25">
      <c r="A56" s="2">
        <v>2035</v>
      </c>
      <c r="B56" s="2">
        <f>B12/'Output-Calculation-sheet'!B11*'Output-Calculation-sheet'!B47</f>
        <v>80937.179317147558</v>
      </c>
      <c r="C56" s="2">
        <f>C12/'Output-Calculation-sheet'!C11*'Output-Calculation-sheet'!C47</f>
        <v>29525.263762605387</v>
      </c>
      <c r="D56" s="2">
        <f>D12/'Output-Calculation-sheet'!D11*'Output-Calculation-sheet'!D47</f>
        <v>6468.2945357214439</v>
      </c>
      <c r="E56" s="2">
        <f>E12/'Output-Calculation-sheet'!E11*'Output-Calculation-sheet'!E47</f>
        <v>16241.21753253078</v>
      </c>
      <c r="F56" s="2">
        <f>F12/'Output-Calculation-sheet'!F11*'Output-Calculation-sheet'!F47</f>
        <v>1967.9527915457261</v>
      </c>
      <c r="G56" s="2">
        <f>G12/'Output-Calculation-sheet'!G11*'Output-Calculation-sheet'!G47</f>
        <v>5178.6767907697149</v>
      </c>
      <c r="H56" s="2">
        <f>H12/'Output-Calculation-sheet'!H11*'Output-Calculation-sheet'!H47</f>
        <v>24334.517582383498</v>
      </c>
      <c r="I56" s="2">
        <f>I12/'Output-Calculation-sheet'!I11*'Output-Calculation-sheet'!I47</f>
        <v>2933.8787444274217</v>
      </c>
      <c r="J56" s="2">
        <f>J12/'Output-Calculation-sheet'!J11*'Output-Calculation-sheet'!J47</f>
        <v>1017.7485391094234</v>
      </c>
      <c r="K56" s="2">
        <f>K12/'Output-Calculation-sheet'!K11*'Output-Calculation-sheet'!K47</f>
        <v>4310.4478711589982</v>
      </c>
      <c r="L56" s="2">
        <f>L12/'Output-Calculation-sheet'!L11*'Output-Calculation-sheet'!L47</f>
        <v>1110.9703110204669</v>
      </c>
      <c r="M56" s="2">
        <f>M12/'Output-Calculation-sheet'!M11*'Output-Calculation-sheet'!M47</f>
        <v>16946.270683226197</v>
      </c>
      <c r="N56" s="2">
        <f>N12/'Output-Calculation-sheet'!N11*'Output-Calculation-sheet'!N47</f>
        <v>12425.505514682474</v>
      </c>
      <c r="O56" s="2">
        <f>O12/'Output-Calculation-sheet'!O11*'Output-Calculation-sheet'!O47</f>
        <v>0</v>
      </c>
      <c r="P56" s="2">
        <f>P12/'Output-Calculation-sheet'!P11*'Output-Calculation-sheet'!P47</f>
        <v>6533.2197821328491</v>
      </c>
      <c r="Q56" s="2">
        <f>Q12/'Output-Calculation-sheet'!Q11*'Output-Calculation-sheet'!Q47</f>
        <v>2316.3004465221156</v>
      </c>
      <c r="R56" s="2">
        <f>R12/'Output-Calculation-sheet'!R11*'Output-Calculation-sheet'!R47</f>
        <v>4479.2353995298517</v>
      </c>
      <c r="S56" s="2">
        <f>S12/'Output-Calculation-sheet'!S11*'Output-Calculation-sheet'!S47</f>
        <v>5897.7043939052955</v>
      </c>
      <c r="T56" s="2">
        <f>T12/'Output-Calculation-sheet'!T11*'Output-Calculation-sheet'!T47</f>
        <v>1614.6684436727846</v>
      </c>
      <c r="U56" s="2">
        <f>U12/'Output-Calculation-sheet'!U11*'Output-Calculation-sheet'!U47</f>
        <v>1219.4182626217435</v>
      </c>
      <c r="V56" s="2">
        <f>V12/'Output-Calculation-sheet'!V11*'Output-Calculation-sheet'!V47</f>
        <v>679.0926101536395</v>
      </c>
      <c r="W56" s="2">
        <f>W12/'Output-Calculation-sheet'!W11*'Output-Calculation-sheet'!W47</f>
        <v>657.95035663711155</v>
      </c>
      <c r="X56" s="2">
        <f>X12/'Output-Calculation-sheet'!X11*'Output-Calculation-sheet'!X47</f>
        <v>1726.2585506349926</v>
      </c>
      <c r="Y56" s="2">
        <f>Y12/'Output-Calculation-sheet'!Y11*'Output-Calculation-sheet'!Y47</f>
        <v>764.1177055435287</v>
      </c>
      <c r="AA56" s="2">
        <f t="shared" si="3"/>
        <v>229.28588992768303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3.1917607554940663</v>
      </c>
      <c r="C60" s="2">
        <f>C5*'Output-Calculation-sheet'!C49/10^9</f>
        <v>1.4581075560420487</v>
      </c>
      <c r="D60" s="2">
        <f>D5*'Output-Calculation-sheet'!D49/10^9</f>
        <v>1.1642670625893152</v>
      </c>
      <c r="E60" s="2">
        <f>E5*'Output-Calculation-sheet'!E49/10^9</f>
        <v>1.0194673170063362</v>
      </c>
      <c r="F60" s="2">
        <f>F5*'Output-Calculation-sheet'!F49/10^9</f>
        <v>0.54496879625279371</v>
      </c>
      <c r="G60" s="2">
        <f>G5*'Output-Calculation-sheet'!G49/10^9</f>
        <v>0.41761931396259577</v>
      </c>
      <c r="H60" s="2">
        <f>H5*'Output-Calculation-sheet'!H49/10^9</f>
        <v>0.44377387088479286</v>
      </c>
      <c r="I60" s="2">
        <f>I5*'Output-Calculation-sheet'!I49/10^9</f>
        <v>0.38175170586680929</v>
      </c>
      <c r="J60" s="2">
        <f>J5*'Output-Calculation-sheet'!J49/10^9</f>
        <v>0.40202460617898861</v>
      </c>
      <c r="K60" s="2">
        <f>K5*'Output-Calculation-sheet'!K49/10^9</f>
        <v>0.37235966961039035</v>
      </c>
      <c r="L60" s="2">
        <f>L5*'Output-Calculation-sheet'!L49/10^9</f>
        <v>0.29968954036487783</v>
      </c>
      <c r="M60" s="2">
        <f>M5*'Output-Calculation-sheet'!M49/10^9</f>
        <v>0.30639842481146551</v>
      </c>
      <c r="N60" s="2">
        <f>N5*'Output-Calculation-sheet'!N49/10^9</f>
        <v>0.32394172311266495</v>
      </c>
      <c r="O60" s="2">
        <f>O5*'Output-Calculation-sheet'!O49/10^9</f>
        <v>0.28642508067854111</v>
      </c>
      <c r="P60" s="2">
        <f>P5*'Output-Calculation-sheet'!P49/10^9</f>
        <v>0.26197700792446899</v>
      </c>
      <c r="Q60" s="2">
        <f>Q5*'Output-Calculation-sheet'!Q49/10^9</f>
        <v>0.26068707979923628</v>
      </c>
      <c r="R60" s="2">
        <f>R5*'Output-Calculation-sheet'!R49/10^9</f>
        <v>0.24353260670728935</v>
      </c>
      <c r="S60" s="2">
        <f>S5*'Output-Calculation-sheet'!S49/10^9</f>
        <v>0.18394247821337284</v>
      </c>
      <c r="T60" s="2">
        <f>T5*'Output-Calculation-sheet'!T49/10^9</f>
        <v>8.841383568236455E-2</v>
      </c>
      <c r="U60" s="2">
        <f>U5*'Output-Calculation-sheet'!U49/10^9</f>
        <v>7.7667281392365436E-2</v>
      </c>
      <c r="V60" s="2">
        <f>V5*'Output-Calculation-sheet'!V49/10^9</f>
        <v>5.9848259066604188E-2</v>
      </c>
      <c r="W60" s="2">
        <f>W5*'Output-Calculation-sheet'!W49/10^9</f>
        <v>5.0767847747352303E-2</v>
      </c>
      <c r="X60" s="2">
        <f>X5*'Output-Calculation-sheet'!X49/10^9</f>
        <v>3.6296837325656514E-2</v>
      </c>
      <c r="Y60" s="2">
        <f>Y5*'Output-Calculation-sheet'!Y49/10^9</f>
        <v>3.0264832583254426E-2</v>
      </c>
      <c r="AA60" s="2">
        <f t="shared" ref="AA60:AA67" si="4">SUM(B60:Y60)</f>
        <v>11.905953489297648</v>
      </c>
    </row>
    <row r="61" spans="1:27" x14ac:dyDescent="0.25">
      <c r="A61" s="2">
        <v>2029</v>
      </c>
      <c r="B61" s="2">
        <f>B6*'Output-Calculation-sheet'!B50/10^9</f>
        <v>4.2922664137829498</v>
      </c>
      <c r="C61" s="2">
        <f>C6*'Output-Calculation-sheet'!C50/10^9</f>
        <v>2.1000970386144218</v>
      </c>
      <c r="D61" s="2">
        <f>D6*'Output-Calculation-sheet'!D50/10^9</f>
        <v>1.4759452471642633</v>
      </c>
      <c r="E61" s="2">
        <f>E6*'Output-Calculation-sheet'!E50/10^9</f>
        <v>1.3096357046628355</v>
      </c>
      <c r="F61" s="2">
        <f>F6*'Output-Calculation-sheet'!F50/10^9</f>
        <v>0.69729719281902502</v>
      </c>
      <c r="G61" s="2">
        <f>G6*'Output-Calculation-sheet'!G50/10^9</f>
        <v>0.52914045512786634</v>
      </c>
      <c r="H61" s="2">
        <f>H6*'Output-Calculation-sheet'!H50/10^9</f>
        <v>0.61449391787895657</v>
      </c>
      <c r="I61" s="2">
        <f>I6*'Output-Calculation-sheet'!I50/10^9</f>
        <v>0.4855549176846623</v>
      </c>
      <c r="J61" s="2">
        <f>J6*'Output-Calculation-sheet'!J50/10^9</f>
        <v>0.50647705871654758</v>
      </c>
      <c r="K61" s="2">
        <f>K6*'Output-Calculation-sheet'!K50/10^9</f>
        <v>0.47997186905134759</v>
      </c>
      <c r="L61" s="2">
        <f>L6*'Output-Calculation-sheet'!L50/10^9</f>
        <v>0.38771345136319768</v>
      </c>
      <c r="M61" s="2">
        <f>M6*'Output-Calculation-sheet'!M50/10^9</f>
        <v>0.42463857990839793</v>
      </c>
      <c r="N61" s="2">
        <f>N6*'Output-Calculation-sheet'!N50/10^9</f>
        <v>0.44421527059114413</v>
      </c>
      <c r="O61" s="2">
        <f>O6*'Output-Calculation-sheet'!O50/10^9</f>
        <v>0.41777447987617217</v>
      </c>
      <c r="P61" s="2">
        <f>P6*'Output-Calculation-sheet'!P50/10^9</f>
        <v>0.34786663248245681</v>
      </c>
      <c r="Q61" s="2">
        <f>Q6*'Output-Calculation-sheet'!Q50/10^9</f>
        <v>0.35029454179998654</v>
      </c>
      <c r="R61" s="2">
        <f>R6*'Output-Calculation-sheet'!R50/10^9</f>
        <v>0.31714716703774137</v>
      </c>
      <c r="S61" s="2">
        <f>S6*'Output-Calculation-sheet'!S50/10^9</f>
        <v>0.25008902322176946</v>
      </c>
      <c r="T61" s="2">
        <f>T6*'Output-Calculation-sheet'!T50/10^9</f>
        <v>0.11355461655689307</v>
      </c>
      <c r="U61" s="2">
        <f>U6*'Output-Calculation-sheet'!U50/10^9</f>
        <v>0.10071191936310758</v>
      </c>
      <c r="V61" s="2">
        <f>V6*'Output-Calculation-sheet'!V50/10^9</f>
        <v>7.7667492747203221E-2</v>
      </c>
      <c r="W61" s="2">
        <f>W6*'Output-Calculation-sheet'!W50/10^9</f>
        <v>6.4378660687760089E-2</v>
      </c>
      <c r="X61" s="2">
        <f>X6*'Output-Calculation-sheet'!X50/10^9</f>
        <v>5.0768232405006719E-2</v>
      </c>
      <c r="Y61" s="2">
        <f>Y6*'Output-Calculation-sheet'!Y50/10^9</f>
        <v>3.932028857798997E-2</v>
      </c>
      <c r="AA61" s="2">
        <f t="shared" si="4"/>
        <v>15.877020172121705</v>
      </c>
    </row>
    <row r="62" spans="1:27" x14ac:dyDescent="0.25">
      <c r="A62" s="2">
        <v>2030</v>
      </c>
      <c r="B62" s="2">
        <f>B7*'Output-Calculation-sheet'!B51/10^9</f>
        <v>5.26452865379507</v>
      </c>
      <c r="C62" s="2">
        <f>C7*'Output-Calculation-sheet'!C51/10^9</f>
        <v>2.9656261726906155</v>
      </c>
      <c r="D62" s="2">
        <f>D7*'Output-Calculation-sheet'!D51/10^9</f>
        <v>1.6840829384355955</v>
      </c>
      <c r="E62" s="2">
        <f>E7*'Output-Calculation-sheet'!E51/10^9</f>
        <v>1.5176828171916772</v>
      </c>
      <c r="F62" s="2">
        <f>F7*'Output-Calculation-sheet'!F51/10^9</f>
        <v>0.80434806227119915</v>
      </c>
      <c r="G62" s="2">
        <f>G7*'Output-Calculation-sheet'!G51/10^9</f>
        <v>0.6033851393842582</v>
      </c>
      <c r="H62" s="2">
        <f>H7*'Output-Calculation-sheet'!H51/10^9</f>
        <v>0.83853968005113177</v>
      </c>
      <c r="I62" s="2">
        <f>I7*'Output-Calculation-sheet'!I51/10^9</f>
        <v>0.55620395508202358</v>
      </c>
      <c r="J62" s="2">
        <f>J7*'Output-Calculation-sheet'!J51/10^9</f>
        <v>0.57360718917528986</v>
      </c>
      <c r="K62" s="2">
        <f>K7*'Output-Calculation-sheet'!K51/10^9</f>
        <v>0.55839551961578193</v>
      </c>
      <c r="L62" s="2">
        <f>L7*'Output-Calculation-sheet'!L51/10^9</f>
        <v>0.45294469855146297</v>
      </c>
      <c r="M62" s="2">
        <f>M7*'Output-Calculation-sheet'!M51/10^9</f>
        <v>0.58032180018907575</v>
      </c>
      <c r="N62" s="2">
        <f>N7*'Output-Calculation-sheet'!N51/10^9</f>
        <v>0.55657246161446272</v>
      </c>
      <c r="O62" s="2">
        <f>O7*'Output-Calculation-sheet'!O51/10^9</f>
        <v>0.57571363307529411</v>
      </c>
      <c r="P62" s="2">
        <f>P7*'Output-Calculation-sheet'!P51/10^9</f>
        <v>0.41825897966888836</v>
      </c>
      <c r="Q62" s="2">
        <f>Q7*'Output-Calculation-sheet'!Q51/10^9</f>
        <v>0.42814782046591476</v>
      </c>
      <c r="R62" s="2">
        <f>R7*'Output-Calculation-sheet'!R51/10^9</f>
        <v>0.37327226259592078</v>
      </c>
      <c r="S62" s="2">
        <f>S7*'Output-Calculation-sheet'!S51/10^9</f>
        <v>0.31239745579310974</v>
      </c>
      <c r="T62" s="2">
        <f>T7*'Output-Calculation-sheet'!T51/10^9</f>
        <v>0.13156141827714138</v>
      </c>
      <c r="U62" s="2">
        <f>U7*'Output-Calculation-sheet'!U51/10^9</f>
        <v>0.11796478145130287</v>
      </c>
      <c r="V62" s="2">
        <f>V7*'Output-Calculation-sheet'!V51/10^9</f>
        <v>9.1054237550668674E-2</v>
      </c>
      <c r="W62" s="2">
        <f>W7*'Output-Calculation-sheet'!W51/10^9</f>
        <v>7.3484577140721111E-2</v>
      </c>
      <c r="X62" s="2">
        <f>X7*'Output-Calculation-sheet'!X51/10^9</f>
        <v>7.0698856449349062E-2</v>
      </c>
      <c r="Y62" s="2">
        <f>Y7*'Output-Calculation-sheet'!Y51/10^9</f>
        <v>4.6156243993695299E-2</v>
      </c>
      <c r="AA62" s="2">
        <f t="shared" si="4"/>
        <v>19.594949354509652</v>
      </c>
    </row>
    <row r="63" spans="1:27" x14ac:dyDescent="0.25">
      <c r="A63" s="2">
        <v>2031</v>
      </c>
      <c r="B63" s="2">
        <f>B8*'Output-Calculation-sheet'!B52/10^9</f>
        <v>6.1685208317897651</v>
      </c>
      <c r="C63" s="2">
        <f>C8*'Output-Calculation-sheet'!C52/10^9</f>
        <v>3.8584873089023413</v>
      </c>
      <c r="D63" s="2">
        <f>D8*'Output-Calculation-sheet'!D52/10^9</f>
        <v>1.7617882960125379</v>
      </c>
      <c r="E63" s="2">
        <f>E8*'Output-Calculation-sheet'!E52/10^9</f>
        <v>1.6183227670132372</v>
      </c>
      <c r="F63" s="2">
        <f>F8*'Output-Calculation-sheet'!F52/10^9</f>
        <v>0.8528850225389023</v>
      </c>
      <c r="G63" s="2">
        <f>G8*'Output-Calculation-sheet'!G52/10^9</f>
        <v>0.63073468167857394</v>
      </c>
      <c r="H63" s="2">
        <f>H8*'Output-Calculation-sheet'!H52/10^9</f>
        <v>1.0882706582935062</v>
      </c>
      <c r="I63" s="2">
        <f>I8*'Output-Calculation-sheet'!I52/10^9</f>
        <v>0.5847189289979996</v>
      </c>
      <c r="J63" s="2">
        <f>J8*'Output-Calculation-sheet'!J52/10^9</f>
        <v>0.594448270219466</v>
      </c>
      <c r="K63" s="2">
        <f>K8*'Output-Calculation-sheet'!K52/10^9</f>
        <v>0.59823109638642979</v>
      </c>
      <c r="L63" s="2">
        <f>L8*'Output-Calculation-sheet'!L52/10^9</f>
        <v>0.48767606806011393</v>
      </c>
      <c r="M63" s="2">
        <f>M8*'Output-Calculation-sheet'!M52/10^9</f>
        <v>0.75346865872509006</v>
      </c>
      <c r="N63" s="2">
        <f>N8*'Output-Calculation-sheet'!N52/10^9</f>
        <v>0.6760366041780308</v>
      </c>
      <c r="O63" s="2">
        <f>O8*'Output-Calculation-sheet'!O52/10^9</f>
        <v>0.73109447254755644</v>
      </c>
      <c r="P63" s="2">
        <f>P8*'Output-Calculation-sheet'!P52/10^9</f>
        <v>0.48159322539118182</v>
      </c>
      <c r="Q63" s="2">
        <f>Q8*'Output-Calculation-sheet'!Q52/10^9</f>
        <v>0.49665983935447161</v>
      </c>
      <c r="R63" s="2">
        <f>R8*'Output-Calculation-sheet'!R52/10^9</f>
        <v>0.40675898579083053</v>
      </c>
      <c r="S63" s="2">
        <f>S8*'Output-Calculation-sheet'!S52/10^9</f>
        <v>0.37402173862816557</v>
      </c>
      <c r="T63" s="2">
        <f>T8*'Output-Calculation-sheet'!T52/10^9</f>
        <v>0.14024366336332553</v>
      </c>
      <c r="U63" s="2">
        <f>U8*'Output-Calculation-sheet'!U52/10^9</f>
        <v>0.12740493116269996</v>
      </c>
      <c r="V63" s="2">
        <f>V8*'Output-Calculation-sheet'!V52/10^9</f>
        <v>9.8445045328511976E-2</v>
      </c>
      <c r="W63" s="2">
        <f>W8*'Output-Calculation-sheet'!W52/10^9</f>
        <v>7.6910900873524493E-2</v>
      </c>
      <c r="X63" s="2">
        <f>X8*'Output-Calculation-sheet'!X52/10^9</f>
        <v>9.2254684580059934E-2</v>
      </c>
      <c r="Y63" s="2">
        <f>Y8*'Output-Calculation-sheet'!Y52/10^9</f>
        <v>4.9995157861362861E-2</v>
      </c>
      <c r="AA63" s="2">
        <f t="shared" si="4"/>
        <v>22.74897183767769</v>
      </c>
    </row>
    <row r="64" spans="1:27" x14ac:dyDescent="0.25">
      <c r="A64" s="2">
        <v>2032</v>
      </c>
      <c r="B64" s="2">
        <f>B9*'Output-Calculation-sheet'!B53/10^9</f>
        <v>6.9550145820695652</v>
      </c>
      <c r="C64" s="2">
        <f>C9*'Output-Calculation-sheet'!C53/10^9</f>
        <v>4.6054441301658553</v>
      </c>
      <c r="D64" s="2">
        <f>D9*'Output-Calculation-sheet'!D53/10^9</f>
        <v>1.6757274402958957</v>
      </c>
      <c r="E64" s="2">
        <f>E9*'Output-Calculation-sheet'!E53/10^9</f>
        <v>1.6360224904218024</v>
      </c>
      <c r="F64" s="2">
        <f>F9*'Output-Calculation-sheet'!F53/10^9</f>
        <v>0.82510022208709488</v>
      </c>
      <c r="G64" s="2">
        <f>G9*'Output-Calculation-sheet'!G53/10^9</f>
        <v>0.59932725902274908</v>
      </c>
      <c r="H64" s="2">
        <f>H9*'Output-Calculation-sheet'!H53/10^9</f>
        <v>1.2867274616326045</v>
      </c>
      <c r="I64" s="2">
        <f>I9*'Output-Calculation-sheet'!I53/10^9</f>
        <v>0.5596201237915519</v>
      </c>
      <c r="J64" s="2">
        <f>J9*'Output-Calculation-sheet'!J53/10^9</f>
        <v>0.55857627627542894</v>
      </c>
      <c r="K64" s="2">
        <f>K9*'Output-Calculation-sheet'!K53/10^9</f>
        <v>0.60246989204295764</v>
      </c>
      <c r="L64" s="2">
        <f>L9*'Output-Calculation-sheet'!L53/10^9</f>
        <v>0.49662751528332205</v>
      </c>
      <c r="M64" s="2">
        <f>M9*'Output-Calculation-sheet'!M53/10^9</f>
        <v>0.89143129495787232</v>
      </c>
      <c r="N64" s="2">
        <f>N9*'Output-Calculation-sheet'!N53/10^9</f>
        <v>0.79210244163664656</v>
      </c>
      <c r="O64" s="2">
        <f>O9*'Output-Calculation-sheet'!O53/10^9</f>
        <v>0.85224050586588296</v>
      </c>
      <c r="P64" s="2">
        <f>P9*'Output-Calculation-sheet'!P53/10^9</f>
        <v>0.53883838921560379</v>
      </c>
      <c r="Q64" s="2">
        <f>Q9*'Output-Calculation-sheet'!Q53/10^9</f>
        <v>0.55137857510442312</v>
      </c>
      <c r="R64" s="2">
        <f>R9*'Output-Calculation-sheet'!R53/10^9</f>
        <v>0.43108757812302367</v>
      </c>
      <c r="S64" s="2">
        <f>S9*'Output-Calculation-sheet'!S53/10^9</f>
        <v>0.43629594343849548</v>
      </c>
      <c r="T64" s="2">
        <f>T9*'Output-Calculation-sheet'!T53/10^9</f>
        <v>0.1381393418417699</v>
      </c>
      <c r="U64" s="2">
        <f>U9*'Output-Calculation-sheet'!U53/10^9</f>
        <v>0.13626773400561976</v>
      </c>
      <c r="V64" s="2">
        <f>V9*'Output-Calculation-sheet'!V53/10^9</f>
        <v>0.10138704584826956</v>
      </c>
      <c r="W64" s="2">
        <f>W9*'Output-Calculation-sheet'!W53/10^9</f>
        <v>7.319725171549378E-2</v>
      </c>
      <c r="X64" s="2">
        <f>X9*'Output-Calculation-sheet'!X53/10^9</f>
        <v>0.10939290449826378</v>
      </c>
      <c r="Y64" s="2">
        <f>Y9*'Output-Calculation-sheet'!Y53/10^9</f>
        <v>5.276306583374743E-2</v>
      </c>
      <c r="AA64" s="2">
        <f t="shared" si="4"/>
        <v>24.905179465173941</v>
      </c>
    </row>
    <row r="65" spans="1:27" x14ac:dyDescent="0.25">
      <c r="A65" s="2">
        <v>2033</v>
      </c>
      <c r="B65" s="2">
        <f>B10*'Output-Calculation-sheet'!B54/10^9</f>
        <v>7.7360692279192884</v>
      </c>
      <c r="C65" s="2">
        <f>C10*'Output-Calculation-sheet'!C54/10^9</f>
        <v>5.1093409707328012</v>
      </c>
      <c r="D65" s="2">
        <f>D10*'Output-Calculation-sheet'!D54/10^9</f>
        <v>1.4860537098840043</v>
      </c>
      <c r="E65" s="2">
        <f>E10*'Output-Calculation-sheet'!E54/10^9</f>
        <v>1.6863314534589207</v>
      </c>
      <c r="F65" s="2">
        <f>F10*'Output-Calculation-sheet'!F54/10^9</f>
        <v>0.76499314028887955</v>
      </c>
      <c r="G65" s="2">
        <f>G10*'Output-Calculation-sheet'!G54/10^9</f>
        <v>0.52797270579686084</v>
      </c>
      <c r="H65" s="2">
        <f>H10*'Output-Calculation-sheet'!H54/10^9</f>
        <v>1.4033625425382512</v>
      </c>
      <c r="I65" s="2">
        <f>I10*'Output-Calculation-sheet'!I54/10^9</f>
        <v>0.51934948855820795</v>
      </c>
      <c r="J65" s="2">
        <f>J10*'Output-Calculation-sheet'!J54/10^9</f>
        <v>0.47897510193029535</v>
      </c>
      <c r="K65" s="2">
        <f>K10*'Output-Calculation-sheet'!K54/10^9</f>
        <v>0.61085074925583904</v>
      </c>
      <c r="L65" s="2">
        <f>L10*'Output-Calculation-sheet'!L54/10^9</f>
        <v>0.50807910692517255</v>
      </c>
      <c r="M65" s="2">
        <f>M10*'Output-Calculation-sheet'!M54/10^9</f>
        <v>0.97247583990498032</v>
      </c>
      <c r="N65" s="2">
        <f>N10*'Output-Calculation-sheet'!N54/10^9</f>
        <v>0.87429271254037777</v>
      </c>
      <c r="O65" s="2">
        <f>O10*'Output-Calculation-sheet'!O54/10^9</f>
        <v>0.92552281812437198</v>
      </c>
      <c r="P65" s="2">
        <f>P10*'Output-Calculation-sheet'!P54/10^9</f>
        <v>0.58995753010202678</v>
      </c>
      <c r="Q65" s="2">
        <f>Q10*'Output-Calculation-sheet'!Q54/10^9</f>
        <v>0.61205119357732896</v>
      </c>
      <c r="R65" s="2">
        <f>R10*'Output-Calculation-sheet'!R54/10^9</f>
        <v>0.45736364070987034</v>
      </c>
      <c r="S65" s="2">
        <f>S10*'Output-Calculation-sheet'!S54/10^9</f>
        <v>0.48366929313307733</v>
      </c>
      <c r="T65" s="2">
        <f>T10*'Output-Calculation-sheet'!T54/10^9</f>
        <v>0.13728018779814088</v>
      </c>
      <c r="U65" s="2">
        <f>U10*'Output-Calculation-sheet'!U54/10^9</f>
        <v>0.14842394093018602</v>
      </c>
      <c r="V65" s="2">
        <f>V10*'Output-Calculation-sheet'!V54/10^9</f>
        <v>0.10358670075659379</v>
      </c>
      <c r="W65" s="2">
        <f>W10*'Output-Calculation-sheet'!W54/10^9</f>
        <v>6.4795697306499186E-2</v>
      </c>
      <c r="X65" s="2">
        <f>X10*'Output-Calculation-sheet'!X54/10^9</f>
        <v>0.12024481718780831</v>
      </c>
      <c r="Y65" s="2">
        <f>Y10*'Output-Calculation-sheet'!Y54/10^9</f>
        <v>5.7161511578875869E-2</v>
      </c>
      <c r="AA65" s="2">
        <f t="shared" si="4"/>
        <v>26.378204080938655</v>
      </c>
    </row>
    <row r="66" spans="1:27" x14ac:dyDescent="0.25">
      <c r="A66" s="2">
        <v>2034</v>
      </c>
      <c r="B66" s="2">
        <f>B11*'Output-Calculation-sheet'!B55/10^9</f>
        <v>8.3721600500797919</v>
      </c>
      <c r="C66" s="2">
        <f>C11*'Output-Calculation-sheet'!C55/10^9</f>
        <v>5.3314520399205083</v>
      </c>
      <c r="D66" s="2">
        <f>D11*'Output-Calculation-sheet'!D55/10^9</f>
        <v>1.5711198956871482</v>
      </c>
      <c r="E66" s="2">
        <f>E11*'Output-Calculation-sheet'!E55/10^9</f>
        <v>1.9361092014866828</v>
      </c>
      <c r="F66" s="2">
        <f>F11*'Output-Calculation-sheet'!F55/10^9</f>
        <v>0.77535192822126775</v>
      </c>
      <c r="G66" s="2">
        <f>G11*'Output-Calculation-sheet'!G55/10^9</f>
        <v>0.55851765894003169</v>
      </c>
      <c r="H66" s="2">
        <f>H11*'Output-Calculation-sheet'!H55/10^9</f>
        <v>1.4717613294159311</v>
      </c>
      <c r="I66" s="2">
        <f>I11*'Output-Calculation-sheet'!I55/10^9</f>
        <v>0.54899254516807461</v>
      </c>
      <c r="J66" s="2">
        <f>J11*'Output-Calculation-sheet'!J55/10^9</f>
        <v>0.48469448222992728</v>
      </c>
      <c r="K66" s="2">
        <f>K11*'Output-Calculation-sheet'!K55/10^9</f>
        <v>0.64733127227432807</v>
      </c>
      <c r="L66" s="2">
        <f>L11*'Output-Calculation-sheet'!L55/10^9</f>
        <v>0.56776462864120292</v>
      </c>
      <c r="M66" s="2">
        <f>M11*'Output-Calculation-sheet'!M55/10^9</f>
        <v>1.0216036836506983</v>
      </c>
      <c r="N66" s="2">
        <f>N11*'Output-Calculation-sheet'!N55/10^9</f>
        <v>0.91497399853904637</v>
      </c>
      <c r="O66" s="2">
        <f>O11*'Output-Calculation-sheet'!O55/10^9</f>
        <v>0.94883820608803682</v>
      </c>
      <c r="P66" s="2">
        <f>P11*'Output-Calculation-sheet'!P55/10^9</f>
        <v>0.64281567551628138</v>
      </c>
      <c r="Q66" s="2">
        <f>Q11*'Output-Calculation-sheet'!Q55/10^9</f>
        <v>0.667469113232533</v>
      </c>
      <c r="R66" s="2">
        <f>R11*'Output-Calculation-sheet'!R55/10^9</f>
        <v>0.48649973698795346</v>
      </c>
      <c r="S66" s="2">
        <f>S11*'Output-Calculation-sheet'!S55/10^9</f>
        <v>0.51523447555417135</v>
      </c>
      <c r="T66" s="2">
        <f>T11*'Output-Calculation-sheet'!T55/10^9</f>
        <v>0.14322693274311807</v>
      </c>
      <c r="U66" s="2">
        <f>U11*'Output-Calculation-sheet'!U55/10^9</f>
        <v>0.16555950380556186</v>
      </c>
      <c r="V66" s="2">
        <f>V11*'Output-Calculation-sheet'!V55/10^9</f>
        <v>0.10697467349075387</v>
      </c>
      <c r="W66" s="2">
        <f>W11*'Output-Calculation-sheet'!W55/10^9</f>
        <v>6.5175646263826256E-2</v>
      </c>
      <c r="X66" s="2">
        <f>X11*'Output-Calculation-sheet'!X55/10^9</f>
        <v>0.12895272462940713</v>
      </c>
      <c r="Y66" s="2">
        <f>Y11*'Output-Calculation-sheet'!Y55/10^9</f>
        <v>6.7585264930338743E-2</v>
      </c>
      <c r="AA66" s="2">
        <f t="shared" si="4"/>
        <v>28.140164667496624</v>
      </c>
    </row>
    <row r="67" spans="1:27" x14ac:dyDescent="0.25">
      <c r="A67" s="2">
        <v>2035</v>
      </c>
      <c r="B67" s="2">
        <f>B12*'Output-Calculation-sheet'!B56/10^9</f>
        <v>8.6455031770212134</v>
      </c>
      <c r="C67" s="2">
        <f>C12*'Output-Calculation-sheet'!C56/10^9</f>
        <v>5.2722403407704297</v>
      </c>
      <c r="D67" s="2">
        <f>D12*'Output-Calculation-sheet'!D56/10^9</f>
        <v>1.7608589390573115</v>
      </c>
      <c r="E67" s="2">
        <f>E12*'Output-Calculation-sheet'!E56/10^9</f>
        <v>2.3794245292201675</v>
      </c>
      <c r="F67" s="2">
        <f>F12*'Output-Calculation-sheet'!F56/10^9</f>
        <v>0.94429982026523984</v>
      </c>
      <c r="G67" s="2">
        <f>G12*'Output-Calculation-sheet'!G56/10^9</f>
        <v>0.68487818291837099</v>
      </c>
      <c r="H67" s="2">
        <f>H12*'Output-Calculation-sheet'!H56/10^9</f>
        <v>1.4917762233191063</v>
      </c>
      <c r="I67" s="2">
        <f>I12*'Output-Calculation-sheet'!I56/10^9</f>
        <v>0.64710621466674767</v>
      </c>
      <c r="J67" s="2">
        <f>J12*'Output-Calculation-sheet'!J56/10^9</f>
        <v>0.53485377423873059</v>
      </c>
      <c r="K67" s="2">
        <f>K12*'Output-Calculation-sheet'!K56/10^9</f>
        <v>0.72225095428937591</v>
      </c>
      <c r="L67" s="2">
        <f>L12*'Output-Calculation-sheet'!L56/10^9</f>
        <v>0.62287277841825595</v>
      </c>
      <c r="M67" s="2">
        <f>M12*'Output-Calculation-sheet'!M56/10^9</f>
        <v>1.0453776062213513</v>
      </c>
      <c r="N67" s="2">
        <f>N12*'Output-Calculation-sheet'!N56/10^9</f>
        <v>0.9151502506026471</v>
      </c>
      <c r="O67" s="2">
        <f>O12*'Output-Calculation-sheet'!O56/10^9</f>
        <v>0.92607297935199739</v>
      </c>
      <c r="P67" s="2">
        <f>P12*'Output-Calculation-sheet'!P56/10^9</f>
        <v>0.72977588690329775</v>
      </c>
      <c r="Q67" s="2">
        <f>Q12*'Output-Calculation-sheet'!Q56/10^9</f>
        <v>0.68352996174209246</v>
      </c>
      <c r="R67" s="2">
        <f>R12*'Output-Calculation-sheet'!R56/10^9</f>
        <v>0.53721730083084385</v>
      </c>
      <c r="S67" s="2">
        <f>S12*'Output-Calculation-sheet'!S56/10^9</f>
        <v>0.5208154781783364</v>
      </c>
      <c r="T67" s="2">
        <f>T12*'Output-Calculation-sheet'!T56/10^9</f>
        <v>0.16514406308174071</v>
      </c>
      <c r="U67" s="2">
        <f>U12*'Output-Calculation-sheet'!U56/10^9</f>
        <v>0.17812954897431424</v>
      </c>
      <c r="V67" s="2">
        <f>V12*'Output-Calculation-sheet'!V56/10^9</f>
        <v>0.11240352833341696</v>
      </c>
      <c r="W67" s="2">
        <f>W12*'Output-Calculation-sheet'!W56/10^9</f>
        <v>8.7391750234640395E-2</v>
      </c>
      <c r="X67" s="2">
        <f>X12*'Output-Calculation-sheet'!X56/10^9</f>
        <v>0.13111828178834298</v>
      </c>
      <c r="Y67" s="2">
        <f>Y12*'Output-Calculation-sheet'!Y56/10^9</f>
        <v>8.2054811935448765E-2</v>
      </c>
      <c r="AA67" s="2">
        <f t="shared" si="4"/>
        <v>29.820246382363415</v>
      </c>
    </row>
    <row r="68" spans="1:27" x14ac:dyDescent="0.25">
      <c r="B68" s="2">
        <f>SUM(B60:B67)</f>
        <v>50.625823691951709</v>
      </c>
      <c r="C68" s="2">
        <f t="shared" ref="C68:Y68" si="5">SUM(C60:C67)</f>
        <v>30.700795557839022</v>
      </c>
      <c r="D68" s="2">
        <f t="shared" si="5"/>
        <v>12.579843529126071</v>
      </c>
      <c r="E68" s="2">
        <f t="shared" si="5"/>
        <v>13.10299628046166</v>
      </c>
      <c r="F68" s="2">
        <f t="shared" si="5"/>
        <v>6.209244184744402</v>
      </c>
      <c r="G68" s="2">
        <f t="shared" si="5"/>
        <v>4.5515753968313071</v>
      </c>
      <c r="H68" s="2">
        <f t="shared" si="5"/>
        <v>8.6387056840142815</v>
      </c>
      <c r="I68" s="2">
        <f t="shared" si="5"/>
        <v>4.2832978798160761</v>
      </c>
      <c r="J68" s="2">
        <f t="shared" si="5"/>
        <v>4.1336567589646744</v>
      </c>
      <c r="K68" s="2">
        <f t="shared" si="5"/>
        <v>4.5918610225264498</v>
      </c>
      <c r="L68" s="2">
        <f t="shared" si="5"/>
        <v>3.823367787607606</v>
      </c>
      <c r="M68" s="2">
        <f t="shared" si="5"/>
        <v>5.9957158883689319</v>
      </c>
      <c r="N68" s="2">
        <f t="shared" si="5"/>
        <v>5.4972854628150198</v>
      </c>
      <c r="O68" s="2">
        <f t="shared" si="5"/>
        <v>5.6636821756078533</v>
      </c>
      <c r="P68" s="2">
        <f t="shared" si="5"/>
        <v>4.0110833272042061</v>
      </c>
      <c r="Q68" s="2">
        <f t="shared" si="5"/>
        <v>4.0502181250759861</v>
      </c>
      <c r="R68" s="2">
        <f t="shared" si="5"/>
        <v>3.2528792787834733</v>
      </c>
      <c r="S68" s="2">
        <f t="shared" si="5"/>
        <v>3.0764658861604981</v>
      </c>
      <c r="T68" s="2">
        <f t="shared" si="5"/>
        <v>1.0575640593444942</v>
      </c>
      <c r="U68" s="2">
        <f t="shared" si="5"/>
        <v>1.0521296410851577</v>
      </c>
      <c r="V68" s="2">
        <f t="shared" si="5"/>
        <v>0.75136698312202221</v>
      </c>
      <c r="W68" s="2">
        <f t="shared" si="5"/>
        <v>0.55610233196981762</v>
      </c>
      <c r="X68" s="2">
        <f t="shared" si="5"/>
        <v>0.73972733886389441</v>
      </c>
      <c r="Y68" s="2">
        <f t="shared" si="5"/>
        <v>0.42530117729471334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534.19535977364023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361.6085938075276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48.644443879953513</v>
      </c>
      <c r="Y73" s="2">
        <f>Y7/'Output-Calculation-sheet'!Y6*'Output-Calculation-sheet'!Y60</f>
        <v>0</v>
      </c>
      <c r="AA73" s="2">
        <f t="shared" si="6"/>
        <v>0.94444839746112141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1728.1008509186681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1154.665605204618</v>
      </c>
      <c r="N74" s="2">
        <f>N8/'Output-Calculation-sheet'!N7*'Output-Calculation-sheet'!N61</f>
        <v>48.392200146751293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142.17146184874025</v>
      </c>
      <c r="Y74" s="2">
        <f>Y8/'Output-Calculation-sheet'!Y7*'Output-Calculation-sheet'!Y61</f>
        <v>0</v>
      </c>
      <c r="AA74" s="2">
        <f t="shared" si="6"/>
        <v>3.0733301181187778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221.44100177229842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2956.3248429468072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2008.2880493113018</v>
      </c>
      <c r="N75" s="2">
        <f>N9/'Output-Calculation-sheet'!N8*'Output-Calculation-sheet'!N62</f>
        <v>776.72832542278479</v>
      </c>
      <c r="O75" s="2">
        <f>O9/'Output-Calculation-sheet'!O8*'Output-Calculation-sheet'!O62</f>
        <v>0</v>
      </c>
      <c r="P75" s="2">
        <f>P9/'Output-Calculation-sheet'!P8*'Output-Calculation-sheet'!P62</f>
        <v>52.000737018965786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256.92359499179963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242.78306241067452</v>
      </c>
      <c r="Y75" s="2">
        <f>Y9/'Output-Calculation-sheet'!Y8*'Output-Calculation-sheet'!Y62</f>
        <v>0</v>
      </c>
      <c r="AA75" s="2">
        <f t="shared" si="6"/>
        <v>6.5144896138746322</v>
      </c>
    </row>
    <row r="76" spans="1:27" x14ac:dyDescent="0.25">
      <c r="A76" s="2">
        <v>2033</v>
      </c>
      <c r="B76" s="2">
        <f>B10/'Output-Calculation-sheet'!B9*'Output-Calculation-sheet'!B63</f>
        <v>6366.5379702945138</v>
      </c>
      <c r="C76" s="2">
        <f>C10/'Output-Calculation-sheet'!C9*'Output-Calculation-sheet'!C63</f>
        <v>1597.4267537551111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4156.1975011588565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2829.8464193152731</v>
      </c>
      <c r="N76" s="2">
        <f>N10/'Output-Calculation-sheet'!N9*'Output-Calculation-sheet'!N63</f>
        <v>1620.0285654695115</v>
      </c>
      <c r="O76" s="2">
        <f>O10/'Output-Calculation-sheet'!O9*'Output-Calculation-sheet'!O63</f>
        <v>0</v>
      </c>
      <c r="P76" s="2">
        <f>P10/'Output-Calculation-sheet'!P9*'Output-Calculation-sheet'!P63</f>
        <v>555.26356779981313</v>
      </c>
      <c r="Q76" s="2">
        <f>Q10/'Output-Calculation-sheet'!Q9*'Output-Calculation-sheet'!Q63</f>
        <v>247.23548717000082</v>
      </c>
      <c r="R76" s="2">
        <f>R10/'Output-Calculation-sheet'!R9*'Output-Calculation-sheet'!R63</f>
        <v>426.18737424117194</v>
      </c>
      <c r="S76" s="2">
        <f>S10/'Output-Calculation-sheet'!S9*'Output-Calculation-sheet'!S63</f>
        <v>718.15761217207091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149.68165877499155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333.27853502812928</v>
      </c>
      <c r="Y76" s="2">
        <f>Y10/'Output-Calculation-sheet'!Y9*'Output-Calculation-sheet'!Y63</f>
        <v>6.3227211161056562</v>
      </c>
      <c r="AA76" s="2">
        <f t="shared" si="6"/>
        <v>19.155813543121546</v>
      </c>
    </row>
    <row r="77" spans="1:27" x14ac:dyDescent="0.25">
      <c r="A77" s="2">
        <v>2034</v>
      </c>
      <c r="B77" s="2">
        <f>B11/'Output-Calculation-sheet'!B10*'Output-Calculation-sheet'!B64</f>
        <v>12304.047868831229</v>
      </c>
      <c r="C77" s="2">
        <f>C11/'Output-Calculation-sheet'!C10*'Output-Calculation-sheet'!C64</f>
        <v>3351.3715868818858</v>
      </c>
      <c r="D77" s="2">
        <f>D11/'Output-Calculation-sheet'!D10*'Output-Calculation-sheet'!D64</f>
        <v>1833.0485624635421</v>
      </c>
      <c r="E77" s="2">
        <f>E11/'Output-Calculation-sheet'!E10*'Output-Calculation-sheet'!E64</f>
        <v>2273.6762779040509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978.35611080972797</v>
      </c>
      <c r="H77" s="2">
        <f>H11/'Output-Calculation-sheet'!H10*'Output-Calculation-sheet'!H64</f>
        <v>4820.7180120837338</v>
      </c>
      <c r="I77" s="2">
        <f>I11/'Output-Calculation-sheet'!I10*'Output-Calculation-sheet'!I64</f>
        <v>570.92277213149544</v>
      </c>
      <c r="J77" s="2">
        <f>J11/'Output-Calculation-sheet'!J10*'Output-Calculation-sheet'!J64</f>
        <v>391.88178820423627</v>
      </c>
      <c r="K77" s="2">
        <f>K11/'Output-Calculation-sheet'!K10*'Output-Calculation-sheet'!K64</f>
        <v>884.9986570632143</v>
      </c>
      <c r="L77" s="2">
        <f>L11/'Output-Calculation-sheet'!L10*'Output-Calculation-sheet'!L64</f>
        <v>216.98826107535993</v>
      </c>
      <c r="M77" s="2">
        <f>M11/'Output-Calculation-sheet'!M10*'Output-Calculation-sheet'!M64</f>
        <v>3303.4253850433629</v>
      </c>
      <c r="N77" s="2">
        <f>N11/'Output-Calculation-sheet'!N10*'Output-Calculation-sheet'!N64</f>
        <v>2236.5592982549697</v>
      </c>
      <c r="O77" s="2">
        <f>O11/'Output-Calculation-sheet'!O10*'Output-Calculation-sheet'!O64</f>
        <v>0</v>
      </c>
      <c r="P77" s="2">
        <f>P11/'Output-Calculation-sheet'!P10*'Output-Calculation-sheet'!P64</f>
        <v>1087.4100384415131</v>
      </c>
      <c r="Q77" s="2">
        <f>Q11/'Output-Calculation-sheet'!Q10*'Output-Calculation-sheet'!Q64</f>
        <v>443.73025470982435</v>
      </c>
      <c r="R77" s="2">
        <f>R11/'Output-Calculation-sheet'!R10*'Output-Calculation-sheet'!R64</f>
        <v>923.59973827787042</v>
      </c>
      <c r="S77" s="2">
        <f>S11/'Output-Calculation-sheet'!S10*'Output-Calculation-sheet'!S64</f>
        <v>1030.9865676762824</v>
      </c>
      <c r="T77" s="2">
        <f>T11/'Output-Calculation-sheet'!T10*'Output-Calculation-sheet'!T64</f>
        <v>255.89480434345484</v>
      </c>
      <c r="U77" s="2">
        <f>U11/'Output-Calculation-sheet'!U10*'Output-Calculation-sheet'!U64</f>
        <v>273.2624541413287</v>
      </c>
      <c r="V77" s="2">
        <f>V11/'Output-Calculation-sheet'!V10*'Output-Calculation-sheet'!V64</f>
        <v>132.37850708375805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338.20869077943428</v>
      </c>
      <c r="Y77" s="2">
        <f>Y11/'Output-Calculation-sheet'!Y10*'Output-Calculation-sheet'!Y64</f>
        <v>84.523963338642261</v>
      </c>
      <c r="AA77" s="2">
        <f t="shared" si="6"/>
        <v>37.906504820435501</v>
      </c>
    </row>
    <row r="78" spans="1:27" x14ac:dyDescent="0.25">
      <c r="A78" s="2">
        <v>2035</v>
      </c>
      <c r="B78" s="2">
        <f>B12/'Output-Calculation-sheet'!B11*'Output-Calculation-sheet'!B65</f>
        <v>13985.186496720236</v>
      </c>
      <c r="C78" s="2">
        <f>C12/'Output-Calculation-sheet'!C11*'Output-Calculation-sheet'!C65</f>
        <v>6016.2751618920393</v>
      </c>
      <c r="D78" s="2">
        <f>D12/'Output-Calculation-sheet'!D11*'Output-Calculation-sheet'!D65</f>
        <v>1528.8610954069716</v>
      </c>
      <c r="E78" s="2">
        <f>E12/'Output-Calculation-sheet'!E11*'Output-Calculation-sheet'!E65</f>
        <v>2826.3443556496336</v>
      </c>
      <c r="F78" s="2">
        <f>F12/'Output-Calculation-sheet'!F11*'Output-Calculation-sheet'!F65</f>
        <v>614.75096726380775</v>
      </c>
      <c r="G78" s="2">
        <f>G12/'Output-Calculation-sheet'!G11*'Output-Calculation-sheet'!G65</f>
        <v>1168.5986828314178</v>
      </c>
      <c r="H78" s="2">
        <f>H12/'Output-Calculation-sheet'!H11*'Output-Calculation-sheet'!H65</f>
        <v>4516.4799480246256</v>
      </c>
      <c r="I78" s="2">
        <f>I12/'Output-Calculation-sheet'!I11*'Output-Calculation-sheet'!I65</f>
        <v>768.70647721260741</v>
      </c>
      <c r="J78" s="2">
        <f>J12/'Output-Calculation-sheet'!J11*'Output-Calculation-sheet'!J65</f>
        <v>313.43661626514034</v>
      </c>
      <c r="K78" s="2">
        <f>K12/'Output-Calculation-sheet'!K11*'Output-Calculation-sheet'!K65</f>
        <v>952.28198003246439</v>
      </c>
      <c r="L78" s="2">
        <f>L12/'Output-Calculation-sheet'!L11*'Output-Calculation-sheet'!L65</f>
        <v>304.83134321106257</v>
      </c>
      <c r="M78" s="2">
        <f>M12/'Output-Calculation-sheet'!M11*'Output-Calculation-sheet'!M65</f>
        <v>3145.61787202092</v>
      </c>
      <c r="N78" s="2">
        <f>N12/'Output-Calculation-sheet'!N11*'Output-Calculation-sheet'!N65</f>
        <v>2179.9712246060831</v>
      </c>
      <c r="O78" s="2">
        <f>O12/'Output-Calculation-sheet'!O11*'Output-Calculation-sheet'!O65</f>
        <v>0</v>
      </c>
      <c r="P78" s="2">
        <f>P12/'Output-Calculation-sheet'!P11*'Output-Calculation-sheet'!P65</f>
        <v>1255.9046513896317</v>
      </c>
      <c r="Q78" s="2">
        <f>Q12/'Output-Calculation-sheet'!Q11*'Output-Calculation-sheet'!Q65</f>
        <v>507.77166288508977</v>
      </c>
      <c r="R78" s="2">
        <f>R12/'Output-Calculation-sheet'!R11*'Output-Calculation-sheet'!R65</f>
        <v>988.72421733553801</v>
      </c>
      <c r="S78" s="2">
        <f>S12/'Output-Calculation-sheet'!S11*'Output-Calculation-sheet'!S65</f>
        <v>1029.6861457230716</v>
      </c>
      <c r="T78" s="2">
        <f>T12/'Output-Calculation-sheet'!T11*'Output-Calculation-sheet'!T65</f>
        <v>365.26916222699515</v>
      </c>
      <c r="U78" s="2">
        <f>U12/'Output-Calculation-sheet'!U11*'Output-Calculation-sheet'!U65</f>
        <v>263.77002409003359</v>
      </c>
      <c r="V78" s="2">
        <f>V12/'Output-Calculation-sheet'!V11*'Output-Calculation-sheet'!V65</f>
        <v>132.86470662152814</v>
      </c>
      <c r="W78" s="2">
        <f>W12/'Output-Calculation-sheet'!W11*'Output-Calculation-sheet'!W65</f>
        <v>144.60515181965019</v>
      </c>
      <c r="X78" s="2">
        <f>X12/'Output-Calculation-sheet'!X11*'Output-Calculation-sheet'!X65</f>
        <v>317.81600264917142</v>
      </c>
      <c r="Y78" s="2">
        <f>Y12/'Output-Calculation-sheet'!Y11*'Output-Calculation-sheet'!Y65</f>
        <v>122.03339443346572</v>
      </c>
      <c r="AA78" s="2">
        <f t="shared" si="6"/>
        <v>43.449787340311168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13.746818831369293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1.3746818831369292E-2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538.56677083419368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122.06720738348496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0.66063397821767866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1374.1941993056976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266.96896397081485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1.6411631632765125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2072.77068741621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380.31227218341166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2.4530829595996213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2705.509229482147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479.90264510739075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3.1854118745895375</v>
      </c>
    </row>
    <row r="88" spans="1:27" x14ac:dyDescent="0.25">
      <c r="A88" s="2">
        <v>2034</v>
      </c>
      <c r="B88" s="2">
        <f>B11/'Output-Calculation-sheet'!B10*'Output-Calculation-sheet'!B73</f>
        <v>240.34629478309984</v>
      </c>
      <c r="C88" s="2">
        <f>C11/'Output-Calculation-sheet'!C10*'Output-Calculation-sheet'!C73</f>
        <v>2965.9165137999598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35.115441296628354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25.480068233367771</v>
      </c>
      <c r="M88" s="2">
        <f>M11/'Output-Calculation-sheet'!M10*'Output-Calculation-sheet'!M73</f>
        <v>24.162859854758899</v>
      </c>
      <c r="N88" s="2">
        <f>N11/'Output-Calculation-sheet'!N10*'Output-Calculation-sheet'!N73</f>
        <v>23.748214001730446</v>
      </c>
      <c r="O88" s="2">
        <f>O11/'Output-Calculation-sheet'!O10*'Output-Calculation-sheet'!O73</f>
        <v>554.03633530861066</v>
      </c>
      <c r="P88" s="2">
        <f>P11/'Output-Calculation-sheet'!P10*'Output-Calculation-sheet'!P73</f>
        <v>0</v>
      </c>
      <c r="Q88" s="2">
        <f>Q11/'Output-Calculation-sheet'!Q10*'Output-Calculation-sheet'!Q73</f>
        <v>41.614016197113791</v>
      </c>
      <c r="R88" s="2">
        <f>R11/'Output-Calculation-sheet'!R10*'Output-Calculation-sheet'!R73</f>
        <v>0</v>
      </c>
      <c r="S88" s="2">
        <f>S11/'Output-Calculation-sheet'!S10*'Output-Calculation-sheet'!S73</f>
        <v>13.613259139571165</v>
      </c>
      <c r="T88" s="2">
        <f>T11/'Output-Calculation-sheet'!T10*'Output-Calculation-sheet'!T73</f>
        <v>0</v>
      </c>
      <c r="U88" s="2">
        <f>U11/'Output-Calculation-sheet'!U10*'Output-Calculation-sheet'!U73</f>
        <v>6.6387069175775881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13.253626461875614</v>
      </c>
      <c r="Y88" s="2">
        <f>Y11/'Output-Calculation-sheet'!Y10*'Output-Calculation-sheet'!Y73</f>
        <v>0</v>
      </c>
      <c r="AA88" s="2">
        <f t="shared" si="7"/>
        <v>3.9439253359942947</v>
      </c>
    </row>
    <row r="89" spans="1:27" x14ac:dyDescent="0.25">
      <c r="A89" s="2">
        <v>2035</v>
      </c>
      <c r="B89" s="2">
        <f>B12/'Output-Calculation-sheet'!B11*'Output-Calculation-sheet'!B74</f>
        <v>668.90230840617812</v>
      </c>
      <c r="C89" s="2">
        <f>C12/'Output-Calculation-sheet'!C11*'Output-Calculation-sheet'!C74</f>
        <v>2857.2835899295537</v>
      </c>
      <c r="D89" s="2">
        <f>D12/'Output-Calculation-sheet'!D11*'Output-Calculation-sheet'!D74</f>
        <v>187.48679813685345</v>
      </c>
      <c r="E89" s="2">
        <f>E12/'Output-Calculation-sheet'!E11*'Output-Calculation-sheet'!E74</f>
        <v>223.50299356693733</v>
      </c>
      <c r="F89" s="2">
        <f>F12/'Output-Calculation-sheet'!F11*'Output-Calculation-sheet'!F74</f>
        <v>93.712037692653624</v>
      </c>
      <c r="G89" s="2">
        <f>G12/'Output-Calculation-sheet'!G11*'Output-Calculation-sheet'!G74</f>
        <v>67.255542737269025</v>
      </c>
      <c r="H89" s="2">
        <f>H12/'Output-Calculation-sheet'!H11*'Output-Calculation-sheet'!H74</f>
        <v>195.45797254926504</v>
      </c>
      <c r="I89" s="2">
        <f>I12/'Output-Calculation-sheet'!I11*'Output-Calculation-sheet'!I74</f>
        <v>60.492345245926224</v>
      </c>
      <c r="J89" s="2">
        <f>J12/'Output-Calculation-sheet'!J11*'Output-Calculation-sheet'!J74</f>
        <v>59.867561124083728</v>
      </c>
      <c r="K89" s="2">
        <f>K12/'Output-Calculation-sheet'!K11*'Output-Calculation-sheet'!K74</f>
        <v>59.454453395296525</v>
      </c>
      <c r="L89" s="2">
        <f>L12/'Output-Calculation-sheet'!L11*'Output-Calculation-sheet'!L74</f>
        <v>47.275332383849651</v>
      </c>
      <c r="M89" s="2">
        <f>M12/'Output-Calculation-sheet'!M11*'Output-Calculation-sheet'!M74</f>
        <v>134.49421177163649</v>
      </c>
      <c r="N89" s="2">
        <f>N12/'Output-Calculation-sheet'!N11*'Output-Calculation-sheet'!N74</f>
        <v>88.124152586400527</v>
      </c>
      <c r="O89" s="2">
        <f>O12/'Output-Calculation-sheet'!O11*'Output-Calculation-sheet'!O74</f>
        <v>575.65234645960288</v>
      </c>
      <c r="P89" s="2">
        <f>P12/'Output-Calculation-sheet'!P11*'Output-Calculation-sheet'!P74</f>
        <v>61.058128804979901</v>
      </c>
      <c r="Q89" s="2">
        <f>Q12/'Output-Calculation-sheet'!Q11*'Output-Calculation-sheet'!Q74</f>
        <v>77.210014884070517</v>
      </c>
      <c r="R89" s="2">
        <f>R12/'Output-Calculation-sheet'!R11*'Output-Calculation-sheet'!R74</f>
        <v>38.284063243844884</v>
      </c>
      <c r="S89" s="2">
        <f>S12/'Output-Calculation-sheet'!S11*'Output-Calculation-sheet'!S74</f>
        <v>50.515669326811953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18.47603428214763</v>
      </c>
      <c r="V89" s="2">
        <f>V12/'Output-Calculation-sheet'!V11*'Output-Calculation-sheet'!V74</f>
        <v>9.4977987434075448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27.049635408810424</v>
      </c>
      <c r="Y89" s="2">
        <f>Y12/'Output-Calculation-sheet'!Y11*'Output-Calculation-sheet'!Y74</f>
        <v>7.1191090578589629</v>
      </c>
      <c r="AA89" s="2">
        <f t="shared" si="7"/>
        <v>5.6193661686053344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13946544843.586823</v>
      </c>
      <c r="C96" s="2">
        <f>C8/'Output-Calculation-sheet'!C7*'Output-Calculation-sheet'!C79</f>
        <v>4718179505.3454018</v>
      </c>
      <c r="D96" s="2">
        <f>D8/'Output-Calculation-sheet'!D7*'Output-Calculation-sheet'!D79</f>
        <v>4925468675.1365805</v>
      </c>
      <c r="E96" s="2">
        <f>E8/'Output-Calculation-sheet'!E7*'Output-Calculation-sheet'!E79</f>
        <v>8757063925.7455139</v>
      </c>
      <c r="F96" s="2">
        <f>F8/'Output-Calculation-sheet'!F7*'Output-Calculation-sheet'!F79</f>
        <v>3624462465.025847</v>
      </c>
      <c r="G96" s="2">
        <f>G8/'Output-Calculation-sheet'!G7*'Output-Calculation-sheet'!G79</f>
        <v>2823158229.84272</v>
      </c>
      <c r="H96" s="2">
        <f>H8/'Output-Calculation-sheet'!H7*'Output-Calculation-sheet'!H79</f>
        <v>2416464006.0330005</v>
      </c>
      <c r="I96" s="2">
        <f>I8/'Output-Calculation-sheet'!I7*'Output-Calculation-sheet'!I79</f>
        <v>1966629844.8014805</v>
      </c>
      <c r="J96" s="2">
        <f>J8/'Output-Calculation-sheet'!J7*'Output-Calculation-sheet'!J79</f>
        <v>1329885898.0398462</v>
      </c>
      <c r="K96" s="2">
        <f>K8/'Output-Calculation-sheet'!K7*'Output-Calculation-sheet'!K79</f>
        <v>1902670008.5656652</v>
      </c>
      <c r="L96" s="2">
        <f>L8/'Output-Calculation-sheet'!L7*'Output-Calculation-sheet'!L79</f>
        <v>1342522302.4754322</v>
      </c>
      <c r="M96" s="2">
        <f>M8/'Output-Calculation-sheet'!M7*'Output-Calculation-sheet'!M79</f>
        <v>1803843645.7226539</v>
      </c>
      <c r="N96" s="2">
        <f>N8/'Output-Calculation-sheet'!N7*'Output-Calculation-sheet'!N79</f>
        <v>1342203334.469558</v>
      </c>
      <c r="O96" s="2">
        <f>O8/'Output-Calculation-sheet'!O7*'Output-Calculation-sheet'!O79</f>
        <v>678529756.35341358</v>
      </c>
      <c r="P96" s="2">
        <f>P8/'Output-Calculation-sheet'!P7*'Output-Calculation-sheet'!P79</f>
        <v>2269539723.8205409</v>
      </c>
      <c r="Q96" s="2">
        <f>Q8/'Output-Calculation-sheet'!Q7*'Output-Calculation-sheet'!Q79</f>
        <v>1057702585.1929808</v>
      </c>
      <c r="R96" s="2">
        <f>R8/'Output-Calculation-sheet'!R7*'Output-Calculation-sheet'!R79</f>
        <v>1319609708.1685789</v>
      </c>
      <c r="S96" s="2">
        <f>S8/'Output-Calculation-sheet'!S7*'Output-Calculation-sheet'!S79</f>
        <v>768915203.67235947</v>
      </c>
      <c r="T96" s="2">
        <f>T8/'Output-Calculation-sheet'!T7*'Output-Calculation-sheet'!T79</f>
        <v>587274201.23941576</v>
      </c>
      <c r="U96" s="2">
        <f>U8/'Output-Calculation-sheet'!U7*'Output-Calculation-sheet'!U79</f>
        <v>368910559.75127923</v>
      </c>
      <c r="V96" s="2">
        <f>V8/'Output-Calculation-sheet'!V7*'Output-Calculation-sheet'!V79</f>
        <v>191410036.14565784</v>
      </c>
      <c r="W96" s="2">
        <f>W8/'Output-Calculation-sheet'!W7*'Output-Calculation-sheet'!W79</f>
        <v>565601138.66587842</v>
      </c>
      <c r="X96" s="2">
        <f>X8/'Output-Calculation-sheet'!X7*'Output-Calculation-sheet'!X79</f>
        <v>198792794.00790301</v>
      </c>
      <c r="Y96" s="2">
        <f>Y8/'Output-Calculation-sheet'!Y7*'Output-Calculation-sheet'!Y79</f>
        <v>310909188.65707982</v>
      </c>
      <c r="AA96" s="2">
        <f t="shared" si="8"/>
        <v>59.216291580465622</v>
      </c>
    </row>
    <row r="97" spans="1:27" x14ac:dyDescent="0.25">
      <c r="A97" s="2">
        <v>2032</v>
      </c>
      <c r="B97" s="2">
        <f>B9/'Output-Calculation-sheet'!B8*'Output-Calculation-sheet'!B80</f>
        <v>18980471384.231483</v>
      </c>
      <c r="C97" s="2">
        <f>C9/'Output-Calculation-sheet'!C8*'Output-Calculation-sheet'!C80</f>
        <v>6464850862.4277258</v>
      </c>
      <c r="D97" s="2">
        <f>D9/'Output-Calculation-sheet'!D8*'Output-Calculation-sheet'!D80</f>
        <v>6441594576.2097416</v>
      </c>
      <c r="E97" s="2">
        <f>E9/'Output-Calculation-sheet'!E8*'Output-Calculation-sheet'!E80</f>
        <v>11780712806.541401</v>
      </c>
      <c r="F97" s="2">
        <f>F9/'Output-Calculation-sheet'!F8*'Output-Calculation-sheet'!F80</f>
        <v>4866613414.6034136</v>
      </c>
      <c r="G97" s="2">
        <f>G9/'Output-Calculation-sheet'!G8*'Output-Calculation-sheet'!G80</f>
        <v>3683758981.4893832</v>
      </c>
      <c r="H97" s="2">
        <f>H9/'Output-Calculation-sheet'!H8*'Output-Calculation-sheet'!H80</f>
        <v>3240963849.8191795</v>
      </c>
      <c r="I97" s="2">
        <f>I9/'Output-Calculation-sheet'!I8*'Output-Calculation-sheet'!I80</f>
        <v>2665993535.7466683</v>
      </c>
      <c r="J97" s="2">
        <f>J9/'Output-Calculation-sheet'!J8*'Output-Calculation-sheet'!J80</f>
        <v>1752644677.4139607</v>
      </c>
      <c r="K97" s="2">
        <f>K9/'Output-Calculation-sheet'!K8*'Output-Calculation-sheet'!K80</f>
        <v>2526806573.8519745</v>
      </c>
      <c r="L97" s="2">
        <f>L9/'Output-Calculation-sheet'!L8*'Output-Calculation-sheet'!L80</f>
        <v>1839096616.0926185</v>
      </c>
      <c r="M97" s="2">
        <f>M9/'Output-Calculation-sheet'!M8*'Output-Calculation-sheet'!M80</f>
        <v>2426482234.942204</v>
      </c>
      <c r="N97" s="2">
        <f>N9/'Output-Calculation-sheet'!N8*'Output-Calculation-sheet'!N80</f>
        <v>1772869697.0363808</v>
      </c>
      <c r="O97" s="2">
        <f>O9/'Output-Calculation-sheet'!O8*'Output-Calculation-sheet'!O80</f>
        <v>917166668.42504764</v>
      </c>
      <c r="P97" s="2">
        <f>P9/'Output-Calculation-sheet'!P8*'Output-Calculation-sheet'!P80</f>
        <v>3000796875.1392593</v>
      </c>
      <c r="Q97" s="2">
        <f>Q9/'Output-Calculation-sheet'!Q8*'Output-Calculation-sheet'!Q80</f>
        <v>1403657705.9843414</v>
      </c>
      <c r="R97" s="2">
        <f>R9/'Output-Calculation-sheet'!R8*'Output-Calculation-sheet'!R80</f>
        <v>1773517934.2079608</v>
      </c>
      <c r="S97" s="2">
        <f>S9/'Output-Calculation-sheet'!S8*'Output-Calculation-sheet'!S80</f>
        <v>1029344677.0640409</v>
      </c>
      <c r="T97" s="2">
        <f>T9/'Output-Calculation-sheet'!T8*'Output-Calculation-sheet'!T80</f>
        <v>775132742.92592824</v>
      </c>
      <c r="U97" s="2">
        <f>U9/'Output-Calculation-sheet'!U8*'Output-Calculation-sheet'!U80</f>
        <v>495536803.42165983</v>
      </c>
      <c r="V97" s="2">
        <f>V9/'Output-Calculation-sheet'!V8*'Output-Calculation-sheet'!V80</f>
        <v>259829967.9641287</v>
      </c>
      <c r="W97" s="2">
        <f>W9/'Output-Calculation-sheet'!W8*'Output-Calculation-sheet'!W80</f>
        <v>752472607.67490828</v>
      </c>
      <c r="X97" s="2">
        <f>X9/'Output-Calculation-sheet'!X8*'Output-Calculation-sheet'!X80</f>
        <v>270210280.91913253</v>
      </c>
      <c r="Y97" s="2">
        <f>Y9/'Output-Calculation-sheet'!Y8*'Output-Calculation-sheet'!Y80</f>
        <v>413607652.5905776</v>
      </c>
      <c r="AA97" s="2">
        <f t="shared" si="8"/>
        <v>79.534133126723148</v>
      </c>
    </row>
    <row r="98" spans="1:27" x14ac:dyDescent="0.25">
      <c r="A98" s="2">
        <v>2033</v>
      </c>
      <c r="B98" s="2">
        <f>B10/'Output-Calculation-sheet'!B9*'Output-Calculation-sheet'!B81</f>
        <v>23256191428.81039</v>
      </c>
      <c r="C98" s="2">
        <f>C10/'Output-Calculation-sheet'!C9*'Output-Calculation-sheet'!C81</f>
        <v>7973375666.1894579</v>
      </c>
      <c r="D98" s="2">
        <f>D10/'Output-Calculation-sheet'!D9*'Output-Calculation-sheet'!D81</f>
        <v>7588225139.4941511</v>
      </c>
      <c r="E98" s="2">
        <f>E10/'Output-Calculation-sheet'!E9*'Output-Calculation-sheet'!E81</f>
        <v>14273928936.436104</v>
      </c>
      <c r="F98" s="2">
        <f>F10/'Output-Calculation-sheet'!F9*'Output-Calculation-sheet'!F81</f>
        <v>5886913309.7032347</v>
      </c>
      <c r="G98" s="2">
        <f>G10/'Output-Calculation-sheet'!G9*'Output-Calculation-sheet'!G81</f>
        <v>4322351868.6742964</v>
      </c>
      <c r="H98" s="2">
        <f>H10/'Output-Calculation-sheet'!H9*'Output-Calculation-sheet'!H81</f>
        <v>3916086107.696774</v>
      </c>
      <c r="I98" s="2">
        <f>I10/'Output-Calculation-sheet'!I9*'Output-Calculation-sheet'!I81</f>
        <v>3255423686.0755353</v>
      </c>
      <c r="J98" s="2">
        <f>J10/'Output-Calculation-sheet'!J9*'Output-Calculation-sheet'!J81</f>
        <v>2081599956.7232056</v>
      </c>
      <c r="K98" s="2">
        <f>K10/'Output-Calculation-sheet'!K9*'Output-Calculation-sheet'!K81</f>
        <v>3023606486.8327589</v>
      </c>
      <c r="L98" s="2">
        <f>L10/'Output-Calculation-sheet'!L9*'Output-Calculation-sheet'!L81</f>
        <v>2267750125.0663075</v>
      </c>
      <c r="M98" s="2">
        <f>M10/'Output-Calculation-sheet'!M9*'Output-Calculation-sheet'!M81</f>
        <v>2940816245.1354823</v>
      </c>
      <c r="N98" s="2">
        <f>N10/'Output-Calculation-sheet'!N9*'Output-Calculation-sheet'!N81</f>
        <v>2109806198.1528327</v>
      </c>
      <c r="O98" s="2">
        <f>O10/'Output-Calculation-sheet'!O9*'Output-Calculation-sheet'!O81</f>
        <v>1117261576.5995855</v>
      </c>
      <c r="P98" s="2">
        <f>P10/'Output-Calculation-sheet'!P9*'Output-Calculation-sheet'!P81</f>
        <v>3570443830.5236492</v>
      </c>
      <c r="Q98" s="2">
        <f>Q10/'Output-Calculation-sheet'!Q9*'Output-Calculation-sheet'!Q81</f>
        <v>1678732176.2582598</v>
      </c>
      <c r="R98" s="2">
        <f>R10/'Output-Calculation-sheet'!R9*'Output-Calculation-sheet'!R81</f>
        <v>2147352425.8352685</v>
      </c>
      <c r="S98" s="2">
        <f>S10/'Output-Calculation-sheet'!S9*'Output-Calculation-sheet'!S81</f>
        <v>1241552014.1738448</v>
      </c>
      <c r="T98" s="2">
        <f>T10/'Output-Calculation-sheet'!T9*'Output-Calculation-sheet'!T81</f>
        <v>921282671.46686625</v>
      </c>
      <c r="U98" s="2">
        <f>U10/'Output-Calculation-sheet'!U9*'Output-Calculation-sheet'!U81</f>
        <v>599446257.14297688</v>
      </c>
      <c r="V98" s="2">
        <f>V10/'Output-Calculation-sheet'!V9*'Output-Calculation-sheet'!V81</f>
        <v>317476832.31784177</v>
      </c>
      <c r="W98" s="2">
        <f>W10/'Output-Calculation-sheet'!W9*'Output-Calculation-sheet'!W81</f>
        <v>900156349.22631598</v>
      </c>
      <c r="X98" s="2">
        <f>X10/'Output-Calculation-sheet'!X9*'Output-Calculation-sheet'!X81</f>
        <v>330780223.8715077</v>
      </c>
      <c r="Y98" s="2">
        <f>Y10/'Output-Calculation-sheet'!Y9*'Output-Calculation-sheet'!Y81</f>
        <v>494961706.38255167</v>
      </c>
      <c r="AA98" s="2">
        <f t="shared" si="8"/>
        <v>96.215521218789206</v>
      </c>
    </row>
    <row r="99" spans="1:27" x14ac:dyDescent="0.25">
      <c r="A99" s="2">
        <v>2034</v>
      </c>
      <c r="B99" s="2">
        <f>B11/'Output-Calculation-sheet'!B10*'Output-Calculation-sheet'!B82</f>
        <v>26302825531.437054</v>
      </c>
      <c r="C99" s="2">
        <f>C11/'Output-Calculation-sheet'!C10*'Output-Calculation-sheet'!C82</f>
        <v>9075553954.9279461</v>
      </c>
      <c r="D99" s="2">
        <f>D11/'Output-Calculation-sheet'!D10*'Output-Calculation-sheet'!D82</f>
        <v>8256201289.9641323</v>
      </c>
      <c r="E99" s="2">
        <f>E11/'Output-Calculation-sheet'!E10*'Output-Calculation-sheet'!E82</f>
        <v>15970897417.894487</v>
      </c>
      <c r="F99" s="2">
        <f>F11/'Output-Calculation-sheet'!F10*'Output-Calculation-sheet'!F82</f>
        <v>6577594281.5074577</v>
      </c>
      <c r="G99" s="2">
        <f>G11/'Output-Calculation-sheet'!G10*'Output-Calculation-sheet'!G82</f>
        <v>4676201470.6026373</v>
      </c>
      <c r="H99" s="2">
        <f>H11/'Output-Calculation-sheet'!H10*'Output-Calculation-sheet'!H82</f>
        <v>4370759281.9411268</v>
      </c>
      <c r="I99" s="2">
        <f>I11/'Output-Calculation-sheet'!I10*'Output-Calculation-sheet'!I82</f>
        <v>3671133518.0560694</v>
      </c>
      <c r="J99" s="2">
        <f>J11/'Output-Calculation-sheet'!J10*'Output-Calculation-sheet'!J82</f>
        <v>2284544984.2283101</v>
      </c>
      <c r="K99" s="2">
        <f>K11/'Output-Calculation-sheet'!K10*'Output-Calculation-sheet'!K82</f>
        <v>3342589105.5150695</v>
      </c>
      <c r="L99" s="2">
        <f>L11/'Output-Calculation-sheet'!L10*'Output-Calculation-sheet'!L82</f>
        <v>2580723230.9484215</v>
      </c>
      <c r="M99" s="2">
        <f>M11/'Output-Calculation-sheet'!M10*'Output-Calculation-sheet'!M82</f>
        <v>3292411953.521564</v>
      </c>
      <c r="N99" s="2">
        <f>N11/'Output-Calculation-sheet'!N10*'Output-Calculation-sheet'!N82</f>
        <v>2319507297.602354</v>
      </c>
      <c r="O99" s="2">
        <f>O11/'Output-Calculation-sheet'!O10*'Output-Calculation-sheet'!O82</f>
        <v>1257521312.6923096</v>
      </c>
      <c r="P99" s="2">
        <f>P11/'Output-Calculation-sheet'!P10*'Output-Calculation-sheet'!P82</f>
        <v>3919978811.7737169</v>
      </c>
      <c r="Q99" s="2">
        <f>Q11/'Output-Calculation-sheet'!Q10*'Output-Calculation-sheet'!Q82</f>
        <v>1855180307.318023</v>
      </c>
      <c r="R99" s="2">
        <f>R11/'Output-Calculation-sheet'!R10*'Output-Calculation-sheet'!R82</f>
        <v>2401522328.3455992</v>
      </c>
      <c r="S99" s="2">
        <f>S11/'Output-Calculation-sheet'!S10*'Output-Calculation-sheet'!S82</f>
        <v>1383343999.2894588</v>
      </c>
      <c r="T99" s="2">
        <f>T11/'Output-Calculation-sheet'!T10*'Output-Calculation-sheet'!T82</f>
        <v>1011062731.552945</v>
      </c>
      <c r="U99" s="2">
        <f>U11/'Output-Calculation-sheet'!U10*'Output-Calculation-sheet'!U82</f>
        <v>669546122.30159593</v>
      </c>
      <c r="V99" s="2">
        <f>V11/'Output-Calculation-sheet'!V10*'Output-Calculation-sheet'!V82</f>
        <v>357997964.08426988</v>
      </c>
      <c r="W99" s="2">
        <f>W11/'Output-Calculation-sheet'!W10*'Output-Calculation-sheet'!W82</f>
        <v>992740888.56344557</v>
      </c>
      <c r="X99" s="2">
        <f>X11/'Output-Calculation-sheet'!X10*'Output-Calculation-sheet'!X82</f>
        <v>373893549.88297588</v>
      </c>
      <c r="Y99" s="2">
        <f>Y11/'Output-Calculation-sheet'!Y10*'Output-Calculation-sheet'!Y82</f>
        <v>546322349.61969304</v>
      </c>
      <c r="AA99" s="2">
        <f t="shared" si="8"/>
        <v>107.49005368357068</v>
      </c>
    </row>
    <row r="100" spans="1:27" x14ac:dyDescent="0.25">
      <c r="A100" s="2">
        <v>2035</v>
      </c>
      <c r="B100" s="2">
        <f>B12/'Output-Calculation-sheet'!B11*'Output-Calculation-sheet'!B83</f>
        <v>27879759027.39505</v>
      </c>
      <c r="C100" s="2">
        <f>C12/'Output-Calculation-sheet'!C11*'Output-Calculation-sheet'!C83</f>
        <v>9679399500.942606</v>
      </c>
      <c r="D100" s="2">
        <f>D12/'Output-Calculation-sheet'!D11*'Output-Calculation-sheet'!D83</f>
        <v>8424676152.315938</v>
      </c>
      <c r="E100" s="2">
        <f>E12/'Output-Calculation-sheet'!E11*'Output-Calculation-sheet'!E83</f>
        <v>16754507057.456821</v>
      </c>
      <c r="F100" s="2">
        <f>F12/'Output-Calculation-sheet'!F11*'Output-Calculation-sheet'!F83</f>
        <v>6892136152.940134</v>
      </c>
      <c r="G100" s="2">
        <f>G12/'Output-Calculation-sheet'!G11*'Output-Calculation-sheet'!G83</f>
        <v>4736239565.6497278</v>
      </c>
      <c r="H100" s="2">
        <f>H12/'Output-Calculation-sheet'!H11*'Output-Calculation-sheet'!H83</f>
        <v>4574853471.5264635</v>
      </c>
      <c r="I100" s="2">
        <f>I12/'Output-Calculation-sheet'!I11*'Output-Calculation-sheet'!I83</f>
        <v>3881672809.7405939</v>
      </c>
      <c r="J100" s="2">
        <f>J12/'Output-Calculation-sheet'!J11*'Output-Calculation-sheet'!J83</f>
        <v>2352460791.8476124</v>
      </c>
      <c r="K100" s="2">
        <f>K12/'Output-Calculation-sheet'!K11*'Output-Calculation-sheet'!K83</f>
        <v>3466176796.6097689</v>
      </c>
      <c r="L100" s="2">
        <f>L12/'Output-Calculation-sheet'!L11*'Output-Calculation-sheet'!L83</f>
        <v>2751946737.1628914</v>
      </c>
      <c r="M100" s="2">
        <f>M12/'Output-Calculation-sheet'!M11*'Output-Calculation-sheet'!M83</f>
        <v>3457054910.3695178</v>
      </c>
      <c r="N100" s="2">
        <f>N12/'Output-Calculation-sheet'!N11*'Output-Calculation-sheet'!N83</f>
        <v>2392008951.2480359</v>
      </c>
      <c r="O100" s="2">
        <f>O12/'Output-Calculation-sheet'!O11*'Output-Calculation-sheet'!O83</f>
        <v>1327716849.5238545</v>
      </c>
      <c r="P100" s="2">
        <f>P12/'Output-Calculation-sheet'!P11*'Output-Calculation-sheet'!P83</f>
        <v>4032370413.4740801</v>
      </c>
      <c r="Q100" s="2">
        <f>Q12/'Output-Calculation-sheet'!Q11*'Output-Calculation-sheet'!Q83</f>
        <v>1923459172.2175972</v>
      </c>
      <c r="R100" s="2">
        <f>R12/'Output-Calculation-sheet'!R11*'Output-Calculation-sheet'!R83</f>
        <v>2518662579.9366622</v>
      </c>
      <c r="S100" s="2">
        <f>S12/'Output-Calculation-sheet'!S11*'Output-Calculation-sheet'!S83</f>
        <v>1445582914.1824474</v>
      </c>
      <c r="T100" s="2">
        <f>T12/'Output-Calculation-sheet'!T11*'Output-Calculation-sheet'!T83</f>
        <v>1040318839.063839</v>
      </c>
      <c r="U100" s="2">
        <f>U12/'Output-Calculation-sheet'!U11*'Output-Calculation-sheet'!U83</f>
        <v>701057108.27304721</v>
      </c>
      <c r="V100" s="2">
        <f>V12/'Output-Calculation-sheet'!V11*'Output-Calculation-sheet'!V83</f>
        <v>378261042.35872269</v>
      </c>
      <c r="W100" s="2">
        <f>W12/'Output-Calculation-sheet'!W11*'Output-Calculation-sheet'!W83</f>
        <v>1024802092.1113744</v>
      </c>
      <c r="X100" s="2">
        <f>X12/'Output-Calculation-sheet'!X11*'Output-Calculation-sheet'!X83</f>
        <v>396198222.98483425</v>
      </c>
      <c r="Y100" s="2">
        <f>Y12/'Output-Calculation-sheet'!Y11*'Output-Calculation-sheet'!Y83</f>
        <v>564727122.87282646</v>
      </c>
      <c r="AA100" s="2">
        <f t="shared" si="8"/>
        <v>112.59604828220444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23.391999999999999</v>
      </c>
      <c r="C13" s="7">
        <v>0</v>
      </c>
      <c r="D13" s="7">
        <v>9.9390000000000001</v>
      </c>
      <c r="E13" s="7">
        <v>13.455</v>
      </c>
      <c r="F13" s="7">
        <v>10.794</v>
      </c>
      <c r="G13" s="7">
        <v>9.8490000000000002</v>
      </c>
      <c r="H13" s="7">
        <v>0</v>
      </c>
      <c r="I13" s="7">
        <v>10.675000000000001</v>
      </c>
      <c r="J13" s="7">
        <v>9.6020000000000003</v>
      </c>
      <c r="K13" s="7">
        <v>12.909000000000001</v>
      </c>
      <c r="L13" s="7">
        <v>13.712999999999999</v>
      </c>
      <c r="M13" s="7">
        <v>0</v>
      </c>
      <c r="N13" s="7">
        <v>28.24</v>
      </c>
      <c r="O13" s="7">
        <v>0</v>
      </c>
      <c r="P13" s="7">
        <v>18.675000000000001</v>
      </c>
      <c r="Q13" s="7">
        <v>21.914000000000001</v>
      </c>
      <c r="R13" s="7">
        <v>14.939</v>
      </c>
      <c r="S13" s="7">
        <v>26.134</v>
      </c>
      <c r="T13" s="7">
        <v>12.239000000000001</v>
      </c>
      <c r="U13" s="7">
        <v>14.048999999999999</v>
      </c>
      <c r="V13" s="7">
        <v>14.18</v>
      </c>
      <c r="W13" s="7">
        <v>9.9320000000000004</v>
      </c>
      <c r="X13" s="7">
        <v>0</v>
      </c>
      <c r="Y13" s="7">
        <v>14.552</v>
      </c>
    </row>
    <row r="14" spans="1:25" ht="28.5" customHeight="1" x14ac:dyDescent="0.25">
      <c r="A14" s="4"/>
      <c r="B14" s="7">
        <v>46.784999999999997</v>
      </c>
      <c r="C14" s="7">
        <v>0</v>
      </c>
      <c r="D14" s="7">
        <v>19.876999999999999</v>
      </c>
      <c r="E14" s="7">
        <v>26.911000000000001</v>
      </c>
      <c r="F14" s="7">
        <v>21.587</v>
      </c>
      <c r="G14" s="7">
        <v>19.698</v>
      </c>
      <c r="H14" s="7">
        <v>0</v>
      </c>
      <c r="I14" s="7">
        <v>21.35</v>
      </c>
      <c r="J14" s="7">
        <v>19.202999999999999</v>
      </c>
      <c r="K14" s="7">
        <v>25.818000000000001</v>
      </c>
      <c r="L14" s="7">
        <v>27.425999999999998</v>
      </c>
      <c r="M14" s="7">
        <v>0</v>
      </c>
      <c r="N14" s="7">
        <v>56.481000000000002</v>
      </c>
      <c r="O14" s="7">
        <v>0</v>
      </c>
      <c r="P14" s="7">
        <v>37.35</v>
      </c>
      <c r="Q14" s="7">
        <v>43.829000000000001</v>
      </c>
      <c r="R14" s="7">
        <v>29.878</v>
      </c>
      <c r="S14" s="7">
        <v>52.268999999999998</v>
      </c>
      <c r="T14" s="7">
        <v>24.478000000000002</v>
      </c>
      <c r="U14" s="7">
        <v>28.097000000000001</v>
      </c>
      <c r="V14" s="7">
        <v>28.359000000000002</v>
      </c>
      <c r="W14" s="7">
        <v>19.864999999999998</v>
      </c>
      <c r="X14" s="7">
        <v>0</v>
      </c>
      <c r="Y14" s="7">
        <v>29.103999999999999</v>
      </c>
    </row>
    <row r="15" spans="1:25" ht="28.5" customHeight="1" x14ac:dyDescent="0.25">
      <c r="A15" s="4"/>
      <c r="B15" s="7">
        <v>71.661000000000001</v>
      </c>
      <c r="C15" s="7">
        <v>0</v>
      </c>
      <c r="D15" s="7">
        <v>29.815999999999999</v>
      </c>
      <c r="E15" s="7">
        <v>40.366</v>
      </c>
      <c r="F15" s="7">
        <v>32.381</v>
      </c>
      <c r="G15" s="7">
        <v>29.547000000000001</v>
      </c>
      <c r="H15" s="7">
        <v>0</v>
      </c>
      <c r="I15" s="7">
        <v>32.024999999999999</v>
      </c>
      <c r="J15" s="7">
        <v>28.805</v>
      </c>
      <c r="K15" s="7">
        <v>38.728000000000002</v>
      </c>
      <c r="L15" s="7">
        <v>41.14</v>
      </c>
      <c r="M15" s="7">
        <v>0</v>
      </c>
      <c r="N15" s="7">
        <v>56.948999999999998</v>
      </c>
      <c r="O15" s="7">
        <v>0</v>
      </c>
      <c r="P15" s="7">
        <v>56.024999999999999</v>
      </c>
      <c r="Q15" s="7">
        <v>66.563999999999993</v>
      </c>
      <c r="R15" s="7">
        <v>44.817</v>
      </c>
      <c r="S15" s="7">
        <v>70.165000000000006</v>
      </c>
      <c r="T15" s="7">
        <v>36.716999999999999</v>
      </c>
      <c r="U15" s="7">
        <v>42.146000000000001</v>
      </c>
      <c r="V15" s="7">
        <v>42.539000000000001</v>
      </c>
      <c r="W15" s="7">
        <v>29.797000000000001</v>
      </c>
      <c r="X15" s="7">
        <v>0</v>
      </c>
      <c r="Y15" s="7">
        <v>43.655999999999999</v>
      </c>
    </row>
    <row r="16" spans="1:25" ht="28.5" customHeight="1" x14ac:dyDescent="0.25">
      <c r="A16" s="4"/>
      <c r="B16" s="7">
        <v>99.262</v>
      </c>
      <c r="C16" s="7">
        <v>0</v>
      </c>
      <c r="D16" s="7">
        <v>39.755000000000003</v>
      </c>
      <c r="E16" s="7">
        <v>53.822000000000003</v>
      </c>
      <c r="F16" s="7">
        <v>43.173999999999999</v>
      </c>
      <c r="G16" s="7">
        <v>39.396000000000001</v>
      </c>
      <c r="H16" s="7">
        <v>0</v>
      </c>
      <c r="I16" s="7">
        <v>42.698999999999998</v>
      </c>
      <c r="J16" s="7">
        <v>38.406999999999996</v>
      </c>
      <c r="K16" s="7">
        <v>51.637</v>
      </c>
      <c r="L16" s="7">
        <v>54.853000000000002</v>
      </c>
      <c r="M16" s="7">
        <v>0</v>
      </c>
      <c r="N16" s="7">
        <v>83.596000000000004</v>
      </c>
      <c r="O16" s="7">
        <v>0</v>
      </c>
      <c r="P16" s="7">
        <v>81.328999999999994</v>
      </c>
      <c r="Q16" s="7">
        <v>94.301000000000002</v>
      </c>
      <c r="R16" s="7">
        <v>60.335999999999999</v>
      </c>
      <c r="S16" s="7">
        <v>91.974999999999994</v>
      </c>
      <c r="T16" s="7">
        <v>48.956000000000003</v>
      </c>
      <c r="U16" s="7">
        <v>56.194000000000003</v>
      </c>
      <c r="V16" s="7">
        <v>56.718000000000004</v>
      </c>
      <c r="W16" s="7">
        <v>39.728999999999999</v>
      </c>
      <c r="X16" s="7">
        <v>0</v>
      </c>
      <c r="Y16" s="7">
        <v>58.27</v>
      </c>
    </row>
    <row r="17" spans="1:25" ht="28.5" customHeight="1" x14ac:dyDescent="0.25">
      <c r="A17" s="4"/>
      <c r="B17" s="7">
        <v>124.574</v>
      </c>
      <c r="C17" s="7">
        <v>0</v>
      </c>
      <c r="D17" s="7">
        <v>49.692999999999998</v>
      </c>
      <c r="E17" s="7">
        <v>73.492999999999995</v>
      </c>
      <c r="F17" s="7">
        <v>53.968000000000004</v>
      </c>
      <c r="G17" s="7">
        <v>49.244999999999997</v>
      </c>
      <c r="H17" s="7">
        <v>0</v>
      </c>
      <c r="I17" s="7">
        <v>53.374000000000002</v>
      </c>
      <c r="J17" s="7">
        <v>48.009</v>
      </c>
      <c r="K17" s="7">
        <v>68.826999999999998</v>
      </c>
      <c r="L17" s="7">
        <v>73.819000000000003</v>
      </c>
      <c r="M17" s="7">
        <v>0</v>
      </c>
      <c r="N17" s="7">
        <v>86.100999999999999</v>
      </c>
      <c r="O17" s="7">
        <v>0</v>
      </c>
      <c r="P17" s="7">
        <v>115.67700000000001</v>
      </c>
      <c r="Q17" s="7">
        <v>130.03200000000001</v>
      </c>
      <c r="R17" s="7">
        <v>85.787000000000006</v>
      </c>
      <c r="S17" s="7">
        <v>112.283</v>
      </c>
      <c r="T17" s="7">
        <v>62.921999999999997</v>
      </c>
      <c r="U17" s="7">
        <v>83.158000000000001</v>
      </c>
      <c r="V17" s="7">
        <v>77.244</v>
      </c>
      <c r="W17" s="7">
        <v>49.661999999999999</v>
      </c>
      <c r="X17" s="7">
        <v>0</v>
      </c>
      <c r="Y17" s="7">
        <v>83.150999999999996</v>
      </c>
    </row>
    <row r="18" spans="1:25" ht="28.5" customHeight="1" x14ac:dyDescent="0.25">
      <c r="A18" s="4"/>
      <c r="B18" s="7">
        <v>135.00299999999999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83.81</v>
      </c>
      <c r="O18" s="7">
        <v>0</v>
      </c>
      <c r="P18" s="7">
        <v>145.17599999999999</v>
      </c>
      <c r="Q18" s="7">
        <v>166.798</v>
      </c>
      <c r="R18" s="7">
        <v>110.822</v>
      </c>
      <c r="S18" s="7">
        <v>109.938</v>
      </c>
      <c r="T18" s="7">
        <v>87.435000000000002</v>
      </c>
      <c r="U18" s="7">
        <v>111.363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126.13</v>
      </c>
      <c r="C19" s="7">
        <v>0</v>
      </c>
      <c r="D19" s="7">
        <v>90.817999999999998</v>
      </c>
      <c r="E19" s="7">
        <v>141.70699999999999</v>
      </c>
      <c r="F19" s="7">
        <v>103.09099999999999</v>
      </c>
      <c r="G19" s="7">
        <v>86.025000000000006</v>
      </c>
      <c r="H19" s="7">
        <v>0</v>
      </c>
      <c r="I19" s="7">
        <v>104.517</v>
      </c>
      <c r="J19" s="7">
        <v>89.346999999999994</v>
      </c>
      <c r="K19" s="7">
        <v>124.569</v>
      </c>
      <c r="L19" s="7">
        <v>123.752</v>
      </c>
      <c r="M19" s="7">
        <v>0</v>
      </c>
      <c r="N19" s="7">
        <v>79.415000000000006</v>
      </c>
      <c r="O19" s="7">
        <v>0</v>
      </c>
      <c r="P19" s="7">
        <v>184.12200000000001</v>
      </c>
      <c r="Q19" s="7">
        <v>160.32499999999999</v>
      </c>
      <c r="R19" s="7">
        <v>139.78100000000001</v>
      </c>
      <c r="S19" s="7">
        <v>104.075</v>
      </c>
      <c r="T19" s="7">
        <v>110.85599999999999</v>
      </c>
      <c r="U19" s="7">
        <v>137.221</v>
      </c>
      <c r="V19" s="7">
        <v>129.67099999999999</v>
      </c>
      <c r="W19" s="7">
        <v>93.373000000000005</v>
      </c>
      <c r="X19" s="7">
        <v>0</v>
      </c>
      <c r="Y19" s="7">
        <v>145.61099999999999</v>
      </c>
    </row>
    <row r="20" spans="1:25" ht="28.5" customHeight="1" x14ac:dyDescent="0.25">
      <c r="A20" s="4"/>
      <c r="B20" s="7">
        <v>122.047</v>
      </c>
      <c r="C20" s="7">
        <v>0</v>
      </c>
      <c r="D20" s="7">
        <v>89.058000000000007</v>
      </c>
      <c r="E20" s="7">
        <v>132.09100000000001</v>
      </c>
      <c r="F20" s="7">
        <v>120.184</v>
      </c>
      <c r="G20" s="7">
        <v>89.680999999999997</v>
      </c>
      <c r="H20" s="7">
        <v>0</v>
      </c>
      <c r="I20" s="7">
        <v>110.901</v>
      </c>
      <c r="J20" s="7">
        <v>87.349000000000004</v>
      </c>
      <c r="K20" s="7">
        <v>130.01</v>
      </c>
      <c r="L20" s="7">
        <v>124.95699999999999</v>
      </c>
      <c r="M20" s="7">
        <v>0</v>
      </c>
      <c r="N20" s="7">
        <v>77.801000000000002</v>
      </c>
      <c r="O20" s="7">
        <v>0</v>
      </c>
      <c r="P20" s="7">
        <v>180.54599999999999</v>
      </c>
      <c r="Q20" s="7">
        <v>156.828</v>
      </c>
      <c r="R20" s="7">
        <v>148.44800000000001</v>
      </c>
      <c r="S20" s="7">
        <v>96.006</v>
      </c>
      <c r="T20" s="7">
        <v>128.274</v>
      </c>
      <c r="U20" s="7">
        <v>137.60400000000001</v>
      </c>
      <c r="V20" s="7">
        <v>132.523</v>
      </c>
      <c r="W20" s="7">
        <v>121.876</v>
      </c>
      <c r="X20" s="7">
        <v>7.9889999999999999</v>
      </c>
      <c r="Y20" s="7">
        <v>123.578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39.040999999999997</v>
      </c>
      <c r="D22" s="7">
        <v>0</v>
      </c>
      <c r="E22" s="7">
        <v>0</v>
      </c>
      <c r="F22" s="7">
        <v>0</v>
      </c>
      <c r="G22" s="7">
        <v>0</v>
      </c>
      <c r="H22" s="7">
        <v>39.567999999999998</v>
      </c>
      <c r="I22" s="7">
        <v>0</v>
      </c>
      <c r="J22" s="7">
        <v>0</v>
      </c>
      <c r="K22" s="7">
        <v>0</v>
      </c>
      <c r="L22" s="7">
        <v>0</v>
      </c>
      <c r="M22" s="7">
        <v>39.673000000000002</v>
      </c>
      <c r="N22" s="7">
        <v>0</v>
      </c>
      <c r="O22" s="7">
        <v>39.045999999999999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39.167000000000002</v>
      </c>
      <c r="Y22" s="7">
        <v>0</v>
      </c>
    </row>
    <row r="23" spans="1:25" x14ac:dyDescent="0.25">
      <c r="B23" s="7">
        <v>0</v>
      </c>
      <c r="C23" s="7">
        <v>83.481999999999999</v>
      </c>
      <c r="D23" s="7">
        <v>0</v>
      </c>
      <c r="E23" s="7">
        <v>0</v>
      </c>
      <c r="F23" s="7">
        <v>0</v>
      </c>
      <c r="G23" s="7">
        <v>0</v>
      </c>
      <c r="H23" s="7">
        <v>79.972999999999999</v>
      </c>
      <c r="I23" s="7">
        <v>0</v>
      </c>
      <c r="J23" s="7">
        <v>0</v>
      </c>
      <c r="K23" s="7">
        <v>0</v>
      </c>
      <c r="L23" s="7">
        <v>0</v>
      </c>
      <c r="M23" s="7">
        <v>80.228999999999999</v>
      </c>
      <c r="N23" s="7">
        <v>0</v>
      </c>
      <c r="O23" s="7">
        <v>78.260000000000005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81.319999999999993</v>
      </c>
      <c r="Y23" s="7">
        <v>0</v>
      </c>
    </row>
    <row r="24" spans="1:25" x14ac:dyDescent="0.25">
      <c r="B24" s="7">
        <v>0</v>
      </c>
      <c r="C24" s="7">
        <v>101.084</v>
      </c>
      <c r="D24" s="7">
        <v>0</v>
      </c>
      <c r="E24" s="7">
        <v>0</v>
      </c>
      <c r="F24" s="7">
        <v>0</v>
      </c>
      <c r="G24" s="7">
        <v>0</v>
      </c>
      <c r="H24" s="7">
        <v>131.30199999999999</v>
      </c>
      <c r="I24" s="7">
        <v>0</v>
      </c>
      <c r="J24" s="7">
        <v>0</v>
      </c>
      <c r="K24" s="7">
        <v>0</v>
      </c>
      <c r="L24" s="7">
        <v>0</v>
      </c>
      <c r="M24" s="7">
        <v>131.839</v>
      </c>
      <c r="N24" s="7">
        <v>41.491999999999997</v>
      </c>
      <c r="O24" s="7">
        <v>92.254000000000005</v>
      </c>
      <c r="P24" s="7">
        <v>0</v>
      </c>
      <c r="Q24" s="7">
        <v>0</v>
      </c>
      <c r="R24" s="7">
        <v>0</v>
      </c>
      <c r="S24" s="7">
        <v>15.824</v>
      </c>
      <c r="T24" s="7">
        <v>0</v>
      </c>
      <c r="U24" s="7">
        <v>0</v>
      </c>
      <c r="V24" s="7">
        <v>0</v>
      </c>
      <c r="W24" s="7">
        <v>0</v>
      </c>
      <c r="X24" s="7">
        <v>134.51400000000001</v>
      </c>
      <c r="Y24" s="7">
        <v>0</v>
      </c>
    </row>
    <row r="25" spans="1:25" x14ac:dyDescent="0.25">
      <c r="B25" s="7">
        <v>5.6950000000000003</v>
      </c>
      <c r="C25" s="7">
        <v>111.828</v>
      </c>
      <c r="D25" s="7">
        <v>0</v>
      </c>
      <c r="E25" s="7">
        <v>0</v>
      </c>
      <c r="F25" s="7">
        <v>0</v>
      </c>
      <c r="G25" s="7">
        <v>0</v>
      </c>
      <c r="H25" s="7">
        <v>174.898</v>
      </c>
      <c r="I25" s="7">
        <v>0</v>
      </c>
      <c r="J25" s="7">
        <v>0</v>
      </c>
      <c r="K25" s="7">
        <v>0</v>
      </c>
      <c r="L25" s="7">
        <v>0</v>
      </c>
      <c r="M25" s="7">
        <v>176.59700000000001</v>
      </c>
      <c r="N25" s="7">
        <v>61.517000000000003</v>
      </c>
      <c r="O25" s="7">
        <v>102.111</v>
      </c>
      <c r="P25" s="7">
        <v>0</v>
      </c>
      <c r="Q25" s="7">
        <v>0</v>
      </c>
      <c r="R25" s="7">
        <v>0</v>
      </c>
      <c r="S25" s="7">
        <v>38.292000000000002</v>
      </c>
      <c r="T25" s="7">
        <v>0</v>
      </c>
      <c r="U25" s="7">
        <v>0</v>
      </c>
      <c r="V25" s="7">
        <v>0</v>
      </c>
      <c r="W25" s="7">
        <v>0</v>
      </c>
      <c r="X25" s="7">
        <v>180.12899999999999</v>
      </c>
      <c r="Y25" s="7">
        <v>0</v>
      </c>
    </row>
    <row r="26" spans="1:25" x14ac:dyDescent="0.25">
      <c r="B26" s="7">
        <v>29.42</v>
      </c>
      <c r="C26" s="7">
        <v>125.99</v>
      </c>
      <c r="D26" s="7">
        <v>0</v>
      </c>
      <c r="E26" s="7">
        <v>0</v>
      </c>
      <c r="F26" s="7">
        <v>0</v>
      </c>
      <c r="G26" s="7">
        <v>0</v>
      </c>
      <c r="H26" s="7">
        <v>219.07</v>
      </c>
      <c r="I26" s="7">
        <v>0</v>
      </c>
      <c r="J26" s="7">
        <v>0</v>
      </c>
      <c r="K26" s="7">
        <v>0</v>
      </c>
      <c r="L26" s="7">
        <v>0</v>
      </c>
      <c r="M26" s="7">
        <v>221.422</v>
      </c>
      <c r="N26" s="7">
        <v>101.578</v>
      </c>
      <c r="O26" s="7">
        <v>112.92400000000001</v>
      </c>
      <c r="P26" s="7">
        <v>0</v>
      </c>
      <c r="Q26" s="7">
        <v>0</v>
      </c>
      <c r="R26" s="7">
        <v>0</v>
      </c>
      <c r="S26" s="7">
        <v>64.070999999999998</v>
      </c>
      <c r="T26" s="7">
        <v>0</v>
      </c>
      <c r="U26" s="7">
        <v>0</v>
      </c>
      <c r="V26" s="7">
        <v>0</v>
      </c>
      <c r="W26" s="7">
        <v>0</v>
      </c>
      <c r="X26" s="7">
        <v>225.589</v>
      </c>
      <c r="Y26" s="7">
        <v>0</v>
      </c>
    </row>
    <row r="27" spans="1:25" x14ac:dyDescent="0.25">
      <c r="B27" s="7">
        <v>66.608999999999995</v>
      </c>
      <c r="C27" s="7">
        <v>143.07</v>
      </c>
      <c r="D27" s="7">
        <v>0</v>
      </c>
      <c r="E27" s="7">
        <v>0</v>
      </c>
      <c r="F27" s="7">
        <v>0</v>
      </c>
      <c r="G27" s="7">
        <v>0</v>
      </c>
      <c r="H27" s="7">
        <v>263.56900000000002</v>
      </c>
      <c r="I27" s="7">
        <v>0</v>
      </c>
      <c r="J27" s="7">
        <v>0</v>
      </c>
      <c r="K27" s="7">
        <v>0</v>
      </c>
      <c r="L27" s="7">
        <v>0</v>
      </c>
      <c r="M27" s="7">
        <v>266.048</v>
      </c>
      <c r="N27" s="7">
        <v>147.29499999999999</v>
      </c>
      <c r="O27" s="7">
        <v>122.44799999999999</v>
      </c>
      <c r="P27" s="7">
        <v>0</v>
      </c>
      <c r="Q27" s="7">
        <v>11.481</v>
      </c>
      <c r="R27" s="7">
        <v>0</v>
      </c>
      <c r="S27" s="7">
        <v>112.44199999999999</v>
      </c>
      <c r="T27" s="7">
        <v>0</v>
      </c>
      <c r="U27" s="7">
        <v>0</v>
      </c>
      <c r="V27" s="7">
        <v>0</v>
      </c>
      <c r="W27" s="7">
        <v>0</v>
      </c>
      <c r="X27" s="7">
        <v>285.16300000000001</v>
      </c>
      <c r="Y27" s="7">
        <v>0</v>
      </c>
    </row>
    <row r="28" spans="1:25" x14ac:dyDescent="0.25">
      <c r="B28" s="7">
        <v>110.06399999999999</v>
      </c>
      <c r="C28" s="7">
        <v>165.58</v>
      </c>
      <c r="D28" s="7">
        <v>0</v>
      </c>
      <c r="E28" s="7">
        <v>19.052</v>
      </c>
      <c r="F28" s="7">
        <v>0</v>
      </c>
      <c r="G28" s="7">
        <v>0</v>
      </c>
      <c r="H28" s="7">
        <v>316.69200000000001</v>
      </c>
      <c r="I28" s="7">
        <v>0</v>
      </c>
      <c r="J28" s="7">
        <v>0</v>
      </c>
      <c r="K28" s="7">
        <v>0</v>
      </c>
      <c r="L28" s="7">
        <v>29.818000000000001</v>
      </c>
      <c r="M28" s="7">
        <v>319.75</v>
      </c>
      <c r="N28" s="7">
        <v>188.88499999999999</v>
      </c>
      <c r="O28" s="7">
        <v>131.179</v>
      </c>
      <c r="P28" s="7">
        <v>0</v>
      </c>
      <c r="Q28" s="7">
        <v>32.231000000000002</v>
      </c>
      <c r="R28" s="7">
        <v>0</v>
      </c>
      <c r="S28" s="7">
        <v>153.90899999999999</v>
      </c>
      <c r="T28" s="7">
        <v>0</v>
      </c>
      <c r="U28" s="7">
        <v>0</v>
      </c>
      <c r="V28" s="7">
        <v>0</v>
      </c>
      <c r="W28" s="7">
        <v>0</v>
      </c>
      <c r="X28" s="7">
        <v>303.54899999999998</v>
      </c>
      <c r="Y28" s="7">
        <v>33.118000000000002</v>
      </c>
    </row>
    <row r="29" spans="1:25" x14ac:dyDescent="0.25">
      <c r="B29" s="7">
        <v>128.54300000000001</v>
      </c>
      <c r="C29" s="7">
        <v>197.54900000000001</v>
      </c>
      <c r="D29" s="7">
        <v>0</v>
      </c>
      <c r="E29" s="7">
        <v>48.938000000000002</v>
      </c>
      <c r="F29" s="7">
        <v>0</v>
      </c>
      <c r="G29" s="7">
        <v>0</v>
      </c>
      <c r="H29" s="7">
        <v>322.13900000000001</v>
      </c>
      <c r="I29" s="7">
        <v>0</v>
      </c>
      <c r="J29" s="7">
        <v>0</v>
      </c>
      <c r="K29" s="7">
        <v>0</v>
      </c>
      <c r="L29" s="7">
        <v>36.508000000000003</v>
      </c>
      <c r="M29" s="7">
        <v>330.08199999999999</v>
      </c>
      <c r="N29" s="7">
        <v>197.892</v>
      </c>
      <c r="O29" s="7">
        <v>140.297</v>
      </c>
      <c r="P29" s="7">
        <v>30.216000000000001</v>
      </c>
      <c r="Q29" s="7">
        <v>48.256999999999998</v>
      </c>
      <c r="R29" s="7">
        <v>0</v>
      </c>
      <c r="S29" s="7">
        <v>168.82400000000001</v>
      </c>
      <c r="T29" s="7">
        <v>0</v>
      </c>
      <c r="U29" s="7">
        <v>0</v>
      </c>
      <c r="V29" s="7">
        <v>0</v>
      </c>
      <c r="W29" s="7">
        <v>0</v>
      </c>
      <c r="X29" s="7">
        <v>312.57299999999998</v>
      </c>
      <c r="Y29" s="7">
        <v>82.248000000000005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2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2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3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3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4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3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1</v>
      </c>
      <c r="C37" s="7">
        <v>4</v>
      </c>
      <c r="D37" s="7">
        <v>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1</v>
      </c>
      <c r="M37" s="7">
        <v>1</v>
      </c>
      <c r="N37" s="7">
        <v>1</v>
      </c>
      <c r="O37" s="7">
        <v>4</v>
      </c>
      <c r="P37" s="7">
        <v>0</v>
      </c>
      <c r="Q37" s="7">
        <v>1</v>
      </c>
      <c r="R37" s="7">
        <v>0</v>
      </c>
      <c r="S37" s="7">
        <v>1</v>
      </c>
      <c r="T37" s="7">
        <v>0</v>
      </c>
      <c r="U37" s="7">
        <v>1</v>
      </c>
      <c r="V37" s="7">
        <v>0</v>
      </c>
      <c r="W37" s="7">
        <v>0</v>
      </c>
      <c r="X37" s="7">
        <v>1</v>
      </c>
      <c r="Y37" s="7">
        <v>0</v>
      </c>
    </row>
    <row r="38" spans="1:25" x14ac:dyDescent="0.25">
      <c r="B38" s="7">
        <v>1</v>
      </c>
      <c r="C38" s="7">
        <v>4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4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2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74</v>
      </c>
      <c r="I42" s="7">
        <v>0</v>
      </c>
      <c r="J42" s="7">
        <v>0</v>
      </c>
      <c r="K42" s="7">
        <v>0</v>
      </c>
      <c r="L42" s="7">
        <v>0</v>
      </c>
      <c r="M42" s="7">
        <v>75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98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248</v>
      </c>
      <c r="I43" s="7">
        <v>0</v>
      </c>
      <c r="J43" s="7">
        <v>0</v>
      </c>
      <c r="K43" s="7">
        <v>0</v>
      </c>
      <c r="L43" s="7">
        <v>0</v>
      </c>
      <c r="M43" s="7">
        <v>246</v>
      </c>
      <c r="N43" s="7">
        <v>8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289</v>
      </c>
      <c r="Y43" s="7">
        <v>0</v>
      </c>
    </row>
    <row r="44" spans="1:25" x14ac:dyDescent="0.25">
      <c r="B44" s="7">
        <v>0</v>
      </c>
      <c r="C44" s="7">
        <v>7</v>
      </c>
      <c r="D44" s="7">
        <v>0</v>
      </c>
      <c r="E44" s="7">
        <v>0</v>
      </c>
      <c r="F44" s="7">
        <v>0</v>
      </c>
      <c r="G44" s="7">
        <v>0</v>
      </c>
      <c r="H44" s="7">
        <v>438</v>
      </c>
      <c r="I44" s="7">
        <v>0</v>
      </c>
      <c r="J44" s="7">
        <v>0</v>
      </c>
      <c r="K44" s="7">
        <v>0</v>
      </c>
      <c r="L44" s="7">
        <v>0</v>
      </c>
      <c r="M44" s="7">
        <v>435</v>
      </c>
      <c r="N44" s="7">
        <v>158</v>
      </c>
      <c r="O44" s="7">
        <v>0</v>
      </c>
      <c r="P44" s="7">
        <v>8</v>
      </c>
      <c r="Q44" s="7">
        <v>0</v>
      </c>
      <c r="R44" s="7">
        <v>0</v>
      </c>
      <c r="S44" s="7">
        <v>85</v>
      </c>
      <c r="T44" s="7">
        <v>0</v>
      </c>
      <c r="U44" s="7">
        <v>0</v>
      </c>
      <c r="V44" s="7">
        <v>0</v>
      </c>
      <c r="W44" s="7">
        <v>0</v>
      </c>
      <c r="X44" s="7">
        <v>497</v>
      </c>
      <c r="Y44" s="7">
        <v>0</v>
      </c>
    </row>
    <row r="45" spans="1:25" x14ac:dyDescent="0.25">
      <c r="B45" s="7">
        <v>128</v>
      </c>
      <c r="C45" s="7">
        <v>54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0</v>
      </c>
      <c r="P45" s="7">
        <v>106</v>
      </c>
      <c r="Q45" s="7">
        <v>43</v>
      </c>
      <c r="R45" s="7">
        <v>74</v>
      </c>
      <c r="S45" s="7">
        <v>269</v>
      </c>
      <c r="T45" s="7">
        <v>10</v>
      </c>
      <c r="U45" s="7">
        <v>82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300</v>
      </c>
      <c r="C46" s="7">
        <v>130</v>
      </c>
      <c r="D46" s="7">
        <v>79</v>
      </c>
      <c r="E46" s="7">
        <v>123</v>
      </c>
      <c r="F46" s="7">
        <v>6</v>
      </c>
      <c r="G46" s="7">
        <v>99</v>
      </c>
      <c r="H46" s="7">
        <v>738</v>
      </c>
      <c r="I46" s="7">
        <v>59</v>
      </c>
      <c r="J46" s="7">
        <v>43</v>
      </c>
      <c r="K46" s="7">
        <v>119</v>
      </c>
      <c r="L46" s="7">
        <v>29</v>
      </c>
      <c r="M46" s="7">
        <v>744</v>
      </c>
      <c r="N46" s="7">
        <v>538</v>
      </c>
      <c r="O46" s="7">
        <v>0</v>
      </c>
      <c r="P46" s="7">
        <v>237</v>
      </c>
      <c r="Q46" s="7">
        <v>92</v>
      </c>
      <c r="R46" s="7">
        <v>204</v>
      </c>
      <c r="S46" s="7">
        <v>424</v>
      </c>
      <c r="T46" s="7">
        <v>125</v>
      </c>
      <c r="U46" s="7">
        <v>188</v>
      </c>
      <c r="V46" s="7">
        <v>126</v>
      </c>
      <c r="W46" s="7">
        <v>19</v>
      </c>
      <c r="X46" s="7">
        <v>692</v>
      </c>
      <c r="Y46" s="7">
        <v>191</v>
      </c>
    </row>
    <row r="47" spans="1:25" x14ac:dyDescent="0.25">
      <c r="B47" s="7">
        <v>363</v>
      </c>
      <c r="C47" s="7">
        <v>279</v>
      </c>
      <c r="D47" s="7">
        <v>69</v>
      </c>
      <c r="E47" s="7">
        <v>218</v>
      </c>
      <c r="F47" s="7">
        <v>42</v>
      </c>
      <c r="G47" s="7">
        <v>154</v>
      </c>
      <c r="H47" s="7">
        <v>747</v>
      </c>
      <c r="I47" s="7">
        <v>97</v>
      </c>
      <c r="J47" s="7">
        <v>34</v>
      </c>
      <c r="K47" s="7">
        <v>145</v>
      </c>
      <c r="L47" s="7">
        <v>47</v>
      </c>
      <c r="M47" s="7">
        <v>756</v>
      </c>
      <c r="N47" s="7">
        <v>564</v>
      </c>
      <c r="O47" s="7">
        <v>0</v>
      </c>
      <c r="P47" s="7">
        <v>321</v>
      </c>
      <c r="Q47" s="7">
        <v>120</v>
      </c>
      <c r="R47" s="7">
        <v>234</v>
      </c>
      <c r="S47" s="7">
        <v>467</v>
      </c>
      <c r="T47" s="7">
        <v>228</v>
      </c>
      <c r="U47" s="7">
        <v>198</v>
      </c>
      <c r="V47" s="7">
        <v>143</v>
      </c>
      <c r="W47" s="7">
        <v>160</v>
      </c>
      <c r="X47" s="7">
        <v>702</v>
      </c>
      <c r="Y47" s="7">
        <v>322</v>
      </c>
    </row>
    <row r="49" spans="1:25" x14ac:dyDescent="0.25">
      <c r="A49" s="6" t="s">
        <v>20</v>
      </c>
      <c r="B49" s="7">
        <v>5.820791503005758E-2</v>
      </c>
      <c r="C49" s="7">
        <v>5.6427344757033822E-2</v>
      </c>
      <c r="D49" s="7">
        <v>5.0552566782309225E-2</v>
      </c>
      <c r="E49" s="7">
        <v>5.5792075768158922E-2</v>
      </c>
      <c r="F49" s="7">
        <v>4.6330088460519767E-2</v>
      </c>
      <c r="G49" s="7">
        <v>5.0529727914860184E-2</v>
      </c>
      <c r="H49" s="7">
        <v>5.504500661590872E-2</v>
      </c>
      <c r="I49" s="7">
        <v>5.0698074921027181E-2</v>
      </c>
      <c r="J49" s="7">
        <v>5.4853278746490368E-2</v>
      </c>
      <c r="K49" s="7">
        <v>5.1297486382154429E-2</v>
      </c>
      <c r="L49" s="7">
        <v>5.1465398269509806E-2</v>
      </c>
      <c r="M49" s="7">
        <v>5.5086922342123902E-2</v>
      </c>
      <c r="N49" s="7">
        <v>5.9338948067512158E-2</v>
      </c>
      <c r="O49" s="7">
        <v>5.7047465780264893E-2</v>
      </c>
      <c r="P49" s="7">
        <v>5.2714455460724688E-2</v>
      </c>
      <c r="Q49" s="7">
        <v>5.3316580988202592E-2</v>
      </c>
      <c r="R49" s="7">
        <v>5.1773087575389586E-2</v>
      </c>
      <c r="S49" s="7">
        <v>5.8834920501397346E-2</v>
      </c>
      <c r="T49" s="7">
        <v>5.1133066265996445E-2</v>
      </c>
      <c r="U49" s="7">
        <v>5.1572548209076426E-2</v>
      </c>
      <c r="V49" s="7">
        <v>5.1609541770598955E-2</v>
      </c>
      <c r="W49" s="7">
        <v>5.0566220971371888E-2</v>
      </c>
      <c r="X49" s="7">
        <v>6.0254471357047909E-2</v>
      </c>
      <c r="Y49" s="7">
        <v>5.166228692704989E-2</v>
      </c>
    </row>
    <row r="50" spans="1:25" x14ac:dyDescent="0.25">
      <c r="B50" s="7">
        <v>5.6206751101688331E-2</v>
      </c>
      <c r="C50" s="7">
        <v>5.8356537575220475E-2</v>
      </c>
      <c r="D50" s="7">
        <v>4.6016220647022668E-2</v>
      </c>
      <c r="E50" s="7">
        <v>5.1463559246980303E-2</v>
      </c>
      <c r="F50" s="7">
        <v>4.2565673527942854E-2</v>
      </c>
      <c r="G50" s="7">
        <v>4.5971370415715425E-2</v>
      </c>
      <c r="H50" s="7">
        <v>5.4729803514523244E-2</v>
      </c>
      <c r="I50" s="7">
        <v>4.6301913487207233E-2</v>
      </c>
      <c r="J50" s="7">
        <v>4.9620351310421897E-2</v>
      </c>
      <c r="K50" s="7">
        <v>4.7478756128968784E-2</v>
      </c>
      <c r="L50" s="7">
        <v>4.7808456283577758E-2</v>
      </c>
      <c r="M50" s="7">
        <v>5.4819053103300652E-2</v>
      </c>
      <c r="N50" s="7">
        <v>5.8427397048998957E-2</v>
      </c>
      <c r="O50" s="7">
        <v>5.9747167264794114E-2</v>
      </c>
      <c r="P50" s="7">
        <v>5.0260802626871777E-2</v>
      </c>
      <c r="Q50" s="7">
        <v>5.1442996122338103E-2</v>
      </c>
      <c r="R50" s="7">
        <v>4.8412541729696307E-2</v>
      </c>
      <c r="S50" s="7">
        <v>5.7437809334731547E-2</v>
      </c>
      <c r="T50" s="7">
        <v>4.7155950085315985E-2</v>
      </c>
      <c r="U50" s="7">
        <v>4.8018817312335614E-2</v>
      </c>
      <c r="V50" s="7">
        <v>4.8091449447585151E-2</v>
      </c>
      <c r="W50" s="7">
        <v>4.6043018034926199E-2</v>
      </c>
      <c r="X50" s="7">
        <v>6.0514944321953625E-2</v>
      </c>
      <c r="Y50" s="7">
        <v>4.8195018075805431E-2</v>
      </c>
    </row>
    <row r="51" spans="1:25" x14ac:dyDescent="0.25">
      <c r="B51" s="7">
        <v>5.4345369578971903E-2</v>
      </c>
      <c r="C51" s="7">
        <v>6.4963258375447003E-2</v>
      </c>
      <c r="D51" s="7">
        <v>4.13909520701373E-2</v>
      </c>
      <c r="E51" s="7">
        <v>4.7014472696524937E-2</v>
      </c>
      <c r="F51" s="7">
        <v>3.8706762969458637E-2</v>
      </c>
      <c r="G51" s="7">
        <v>4.1324949716706243E-2</v>
      </c>
      <c r="H51" s="7">
        <v>5.8875032362564091E-2</v>
      </c>
      <c r="I51" s="7">
        <v>4.1811514132085351E-2</v>
      </c>
      <c r="J51" s="7">
        <v>4.4301239990341544E-2</v>
      </c>
      <c r="K51" s="7">
        <v>4.354383878630088E-2</v>
      </c>
      <c r="L51" s="7">
        <v>4.4029147130925268E-2</v>
      </c>
      <c r="M51" s="7">
        <v>5.905847200118941E-2</v>
      </c>
      <c r="N51" s="7">
        <v>5.7709326947969937E-2</v>
      </c>
      <c r="O51" s="7">
        <v>6.4905749017696635E-2</v>
      </c>
      <c r="P51" s="7">
        <v>4.7639057469208358E-2</v>
      </c>
      <c r="Q51" s="7">
        <v>4.9566455322520873E-2</v>
      </c>
      <c r="R51" s="7">
        <v>4.4918371984813216E-2</v>
      </c>
      <c r="S51" s="7">
        <v>5.6560334046460208E-2</v>
      </c>
      <c r="T51" s="7">
        <v>4.3068673020550105E-2</v>
      </c>
      <c r="U51" s="7">
        <v>4.4338826447324856E-2</v>
      </c>
      <c r="V51" s="7">
        <v>4.4445723829465184E-2</v>
      </c>
      <c r="W51" s="7">
        <v>4.1430415149913025E-2</v>
      </c>
      <c r="X51" s="7">
        <v>6.6433055009432238E-2</v>
      </c>
      <c r="Y51" s="7">
        <v>4.4598181598458839E-2</v>
      </c>
    </row>
    <row r="52" spans="1:25" x14ac:dyDescent="0.25">
      <c r="B52" s="7">
        <v>5.4071402406826265E-2</v>
      </c>
      <c r="C52" s="7">
        <v>7.177149873343569E-2</v>
      </c>
      <c r="D52" s="7">
        <v>3.6768778794235818E-2</v>
      </c>
      <c r="E52" s="7">
        <v>4.2569567857489818E-2</v>
      </c>
      <c r="F52" s="7">
        <v>3.4851130164889665E-2</v>
      </c>
      <c r="G52" s="7">
        <v>3.6681575528395065E-2</v>
      </c>
      <c r="H52" s="7">
        <v>6.4882564271697724E-2</v>
      </c>
      <c r="I52" s="7">
        <v>3.7324373002965927E-2</v>
      </c>
      <c r="J52" s="7">
        <v>3.8985123046567649E-2</v>
      </c>
      <c r="K52" s="7">
        <v>3.9612962039322186E-2</v>
      </c>
      <c r="L52" s="7">
        <v>4.0254096292353998E-2</v>
      </c>
      <c r="M52" s="7">
        <v>6.5112153348695523E-2</v>
      </c>
      <c r="N52" s="7">
        <v>5.952207349095822E-2</v>
      </c>
      <c r="O52" s="7">
        <v>6.9989630044574522E-2</v>
      </c>
      <c r="P52" s="7">
        <v>4.6578103439464405E-2</v>
      </c>
      <c r="Q52" s="7">
        <v>4.8824377340980378E-2</v>
      </c>
      <c r="R52" s="7">
        <v>4.1564158198000786E-2</v>
      </c>
      <c r="S52" s="7">
        <v>5.7502253824333868E-2</v>
      </c>
      <c r="T52" s="7">
        <v>3.8985197360802692E-2</v>
      </c>
      <c r="U52" s="7">
        <v>4.0663205322279489E-2</v>
      </c>
      <c r="V52" s="7">
        <v>4.0804421937914837E-2</v>
      </c>
      <c r="W52" s="7">
        <v>3.6820910994580416E-2</v>
      </c>
      <c r="X52" s="7">
        <v>7.3611184959365777E-2</v>
      </c>
      <c r="Y52" s="7">
        <v>4.102023842528417E-2</v>
      </c>
    </row>
    <row r="53" spans="1:25" x14ac:dyDescent="0.25">
      <c r="B53" s="7">
        <v>5.5964244881648785E-2</v>
      </c>
      <c r="C53" s="7">
        <v>7.8638000570796396E-2</v>
      </c>
      <c r="D53" s="7">
        <v>3.2103684011357693E-2</v>
      </c>
      <c r="E53" s="7">
        <v>3.9504754987485874E-2</v>
      </c>
      <c r="F53" s="7">
        <v>3.0949888424324664E-2</v>
      </c>
      <c r="G53" s="7">
        <v>3.1995677128257467E-2</v>
      </c>
      <c r="H53" s="7">
        <v>7.0421238855499002E-2</v>
      </c>
      <c r="I53" s="7">
        <v>3.2791757690744855E-2</v>
      </c>
      <c r="J53" s="7">
        <v>3.3627403385174268E-2</v>
      </c>
      <c r="K53" s="7">
        <v>3.6620956829029938E-2</v>
      </c>
      <c r="L53" s="7">
        <v>3.7630104159312235E-2</v>
      </c>
      <c r="M53" s="7">
        <v>7.0714870137483371E-2</v>
      </c>
      <c r="N53" s="7">
        <v>6.4019930391565158E-2</v>
      </c>
      <c r="O53" s="7">
        <v>7.4894232522696849E-2</v>
      </c>
      <c r="P53" s="7">
        <v>4.7839426713343895E-2</v>
      </c>
      <c r="Q53" s="7">
        <v>4.9756928316600231E-2</v>
      </c>
      <c r="R53" s="7">
        <v>4.0436480403626698E-2</v>
      </c>
      <c r="S53" s="7">
        <v>6.1573693163890483E-2</v>
      </c>
      <c r="T53" s="7">
        <v>3.5250061373524301E-2</v>
      </c>
      <c r="U53" s="7">
        <v>3.9924033506017802E-2</v>
      </c>
      <c r="V53" s="7">
        <v>3.8576412849632105E-2</v>
      </c>
      <c r="W53" s="7">
        <v>3.2168248243387647E-2</v>
      </c>
      <c r="X53" s="7">
        <v>8.0125460667181389E-2</v>
      </c>
      <c r="Y53" s="7">
        <v>3.973985373486344E-2</v>
      </c>
    </row>
    <row r="54" spans="1:25" x14ac:dyDescent="0.25">
      <c r="B54" s="7">
        <v>6.0938326068031137E-2</v>
      </c>
      <c r="C54" s="7">
        <v>8.5405020293297357E-2</v>
      </c>
      <c r="D54" s="7">
        <v>2.7870423399078584E-2</v>
      </c>
      <c r="E54" s="7">
        <v>3.9862140263505062E-2</v>
      </c>
      <c r="F54" s="7">
        <v>2.8091019031944119E-2</v>
      </c>
      <c r="G54" s="7">
        <v>2.7592834479900328E-2</v>
      </c>
      <c r="H54" s="7">
        <v>7.5187308926930652E-2</v>
      </c>
      <c r="I54" s="7">
        <v>2.9791244833440426E-2</v>
      </c>
      <c r="J54" s="7">
        <v>2.8228081006161407E-2</v>
      </c>
      <c r="K54" s="7">
        <v>3.6348544020054128E-2</v>
      </c>
      <c r="L54" s="7">
        <v>3.7687171900066076E-2</v>
      </c>
      <c r="M54" s="7">
        <v>7.5519527076575957E-2</v>
      </c>
      <c r="N54" s="7">
        <v>6.9174857552940103E-2</v>
      </c>
      <c r="O54" s="7">
        <v>7.9621600422335362E-2</v>
      </c>
      <c r="P54" s="7">
        <v>5.1275010221290947E-2</v>
      </c>
      <c r="Q54" s="7">
        <v>5.4069081716024349E-2</v>
      </c>
      <c r="R54" s="7">
        <v>4.1997848686962685E-2</v>
      </c>
      <c r="S54" s="7">
        <v>6.682209902523574E-2</v>
      </c>
      <c r="T54" s="7">
        <v>3.4293193424591542E-2</v>
      </c>
      <c r="U54" s="7">
        <v>4.2569927003015443E-2</v>
      </c>
      <c r="V54" s="7">
        <v>3.8583439707721032E-2</v>
      </c>
      <c r="W54" s="7">
        <v>2.7876379853145769E-2</v>
      </c>
      <c r="X54" s="7">
        <v>8.6219464631108064E-2</v>
      </c>
      <c r="Y54" s="7">
        <v>4.2146111904914234E-2</v>
      </c>
    </row>
    <row r="55" spans="1:25" x14ac:dyDescent="0.25">
      <c r="B55" s="7">
        <v>6.8005385150874606E-2</v>
      </c>
      <c r="C55" s="7">
        <v>9.1896639536003535E-2</v>
      </c>
      <c r="D55" s="7">
        <v>3.0384633211595409E-2</v>
      </c>
      <c r="E55" s="7">
        <v>4.7193602585728661E-2</v>
      </c>
      <c r="F55" s="7">
        <v>2.9359214643948157E-2</v>
      </c>
      <c r="G55" s="7">
        <v>3.0099367023933513E-2</v>
      </c>
      <c r="H55" s="7">
        <v>8.1310692118441233E-2</v>
      </c>
      <c r="I55" s="7">
        <v>3.247364204815846E-2</v>
      </c>
      <c r="J55" s="7">
        <v>2.9455886784543157E-2</v>
      </c>
      <c r="K55" s="7">
        <v>3.9720445078802E-2</v>
      </c>
      <c r="L55" s="7">
        <v>4.3427632564166777E-2</v>
      </c>
      <c r="M55" s="7">
        <v>8.1808513413736017E-2</v>
      </c>
      <c r="N55" s="7">
        <v>7.4651025359157019E-2</v>
      </c>
      <c r="O55" s="7">
        <v>8.4172755728625898E-2</v>
      </c>
      <c r="P55" s="7">
        <v>5.7611220422139314E-2</v>
      </c>
      <c r="Q55" s="7">
        <v>6.0803422848353356E-2</v>
      </c>
      <c r="R55" s="7">
        <v>4.6066331411392117E-2</v>
      </c>
      <c r="S55" s="7">
        <v>7.3402714733969962E-2</v>
      </c>
      <c r="T55" s="7">
        <v>3.6894392656068836E-2</v>
      </c>
      <c r="U55" s="7">
        <v>4.8965328505568069E-2</v>
      </c>
      <c r="V55" s="7">
        <v>4.1087859841010946E-2</v>
      </c>
      <c r="W55" s="7">
        <v>2.8914198730798656E-2</v>
      </c>
      <c r="X55" s="7">
        <v>9.5346572954558118E-2</v>
      </c>
      <c r="Y55" s="7">
        <v>5.1385601122224352E-2</v>
      </c>
    </row>
    <row r="56" spans="1:25" x14ac:dyDescent="0.25">
      <c r="B56" s="7">
        <v>7.5699332247634477E-2</v>
      </c>
      <c r="C56" s="7">
        <v>9.795921920035161E-2</v>
      </c>
      <c r="D56" s="7">
        <v>3.6708380741703961E-2</v>
      </c>
      <c r="E56" s="7">
        <v>6.252032224300004E-2</v>
      </c>
      <c r="F56" s="7">
        <v>3.8543527717603637E-2</v>
      </c>
      <c r="G56" s="7">
        <v>3.9785954062426812E-2</v>
      </c>
      <c r="H56" s="7">
        <v>8.8840284856746707E-2</v>
      </c>
      <c r="I56" s="7">
        <v>4.1260654633996266E-2</v>
      </c>
      <c r="J56" s="7">
        <v>3.5037659060313746E-2</v>
      </c>
      <c r="K56" s="7">
        <v>4.7771803126207289E-2</v>
      </c>
      <c r="L56" s="7">
        <v>5.1356233459457529E-2</v>
      </c>
      <c r="M56" s="7">
        <v>9.0237121798150063E-2</v>
      </c>
      <c r="N56" s="7">
        <v>8.0485087223004306E-2</v>
      </c>
      <c r="O56" s="7">
        <v>8.8556529031883061E-2</v>
      </c>
      <c r="P56" s="7">
        <v>7.0502759748556243E-2</v>
      </c>
      <c r="Q56" s="7">
        <v>6.71197610496891E-2</v>
      </c>
      <c r="R56" s="7">
        <v>5.4833630310597806E-2</v>
      </c>
      <c r="S56" s="7">
        <v>7.9981046294331573E-2</v>
      </c>
      <c r="T56" s="7">
        <v>4.5855837624422142E-2</v>
      </c>
      <c r="U56" s="7">
        <v>5.6789300069724463E-2</v>
      </c>
      <c r="V56" s="7">
        <v>4.6538082616367563E-2</v>
      </c>
      <c r="W56" s="7">
        <v>4.1791912315533739E-2</v>
      </c>
      <c r="X56" s="7">
        <v>0.10450421465697707</v>
      </c>
      <c r="Y56" s="7">
        <v>6.7249563013355634E-2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19.332999999999998</v>
      </c>
      <c r="I60" s="7">
        <v>0</v>
      </c>
      <c r="J60" s="7">
        <v>0</v>
      </c>
      <c r="K60" s="7">
        <v>0</v>
      </c>
      <c r="L60" s="7">
        <v>0</v>
      </c>
      <c r="M60" s="7">
        <v>19.018999999999998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23.321999999999999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53.106999999999999</v>
      </c>
      <c r="I61" s="7">
        <v>0</v>
      </c>
      <c r="J61" s="7">
        <v>0</v>
      </c>
      <c r="K61" s="7">
        <v>0</v>
      </c>
      <c r="L61" s="7">
        <v>0</v>
      </c>
      <c r="M61" s="7">
        <v>51.569000000000003</v>
      </c>
      <c r="N61" s="7">
        <v>2.1989999999999998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57.88</v>
      </c>
      <c r="Y61" s="7">
        <v>0</v>
      </c>
    </row>
    <row r="62" spans="1:25" x14ac:dyDescent="0.25">
      <c r="B62" s="7">
        <v>0</v>
      </c>
      <c r="C62" s="7">
        <v>1.923</v>
      </c>
      <c r="D62" s="7">
        <v>0</v>
      </c>
      <c r="E62" s="7">
        <v>0</v>
      </c>
      <c r="F62" s="7">
        <v>0</v>
      </c>
      <c r="G62" s="7">
        <v>0</v>
      </c>
      <c r="H62" s="7">
        <v>83.399000000000001</v>
      </c>
      <c r="I62" s="7">
        <v>0</v>
      </c>
      <c r="J62" s="7">
        <v>0</v>
      </c>
      <c r="K62" s="7">
        <v>0</v>
      </c>
      <c r="L62" s="7">
        <v>0</v>
      </c>
      <c r="M62" s="7">
        <v>82.334999999999994</v>
      </c>
      <c r="N62" s="7">
        <v>32.4</v>
      </c>
      <c r="O62" s="7">
        <v>0</v>
      </c>
      <c r="P62" s="7">
        <v>2.3479999999999999</v>
      </c>
      <c r="Q62" s="7">
        <v>0</v>
      </c>
      <c r="R62" s="7">
        <v>0</v>
      </c>
      <c r="S62" s="7">
        <v>18.696000000000002</v>
      </c>
      <c r="T62" s="7">
        <v>0</v>
      </c>
      <c r="U62" s="7">
        <v>0</v>
      </c>
      <c r="V62" s="7">
        <v>0</v>
      </c>
      <c r="W62" s="7">
        <v>0</v>
      </c>
      <c r="X62" s="7">
        <v>90.731999999999999</v>
      </c>
      <c r="Y62" s="7">
        <v>0</v>
      </c>
    </row>
    <row r="63" spans="1:25" x14ac:dyDescent="0.25">
      <c r="B63" s="7">
        <v>25.687999999999999</v>
      </c>
      <c r="C63" s="7">
        <v>13.58</v>
      </c>
      <c r="D63" s="7">
        <v>0</v>
      </c>
      <c r="E63" s="7">
        <v>0</v>
      </c>
      <c r="F63" s="7">
        <v>0</v>
      </c>
      <c r="G63" s="7">
        <v>0</v>
      </c>
      <c r="H63" s="7">
        <v>114.779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113.574</v>
      </c>
      <c r="N63" s="7">
        <v>66.153999999999996</v>
      </c>
      <c r="O63" s="7">
        <v>0</v>
      </c>
      <c r="P63" s="7">
        <v>24.544</v>
      </c>
      <c r="Q63" s="7">
        <v>11.523</v>
      </c>
      <c r="R63" s="7">
        <v>20.03</v>
      </c>
      <c r="S63" s="7">
        <v>51.158999999999999</v>
      </c>
      <c r="T63" s="7">
        <v>3.6970000000000001</v>
      </c>
      <c r="U63" s="7">
        <v>21.864999999999998</v>
      </c>
      <c r="V63" s="7">
        <v>2.198</v>
      </c>
      <c r="W63" s="7">
        <v>0</v>
      </c>
      <c r="X63" s="7">
        <v>121.929</v>
      </c>
      <c r="Y63" s="7">
        <v>2.3969999999999998</v>
      </c>
    </row>
    <row r="64" spans="1:25" x14ac:dyDescent="0.25">
      <c r="B64" s="7">
        <v>51.192999999999998</v>
      </c>
      <c r="C64" s="7">
        <v>29.379000000000001</v>
      </c>
      <c r="D64" s="7">
        <v>18.14</v>
      </c>
      <c r="E64" s="7">
        <v>28.312000000000001</v>
      </c>
      <c r="F64" s="7">
        <v>2.8130000000000002</v>
      </c>
      <c r="G64" s="7">
        <v>26.99</v>
      </c>
      <c r="H64" s="7">
        <v>137.28200000000001</v>
      </c>
      <c r="I64" s="7">
        <v>17.510999999999999</v>
      </c>
      <c r="J64" s="7">
        <v>12.145</v>
      </c>
      <c r="K64" s="7">
        <v>27.617999999999999</v>
      </c>
      <c r="L64" s="7">
        <v>8.516</v>
      </c>
      <c r="M64" s="7">
        <v>136.715</v>
      </c>
      <c r="N64" s="7">
        <v>94.177999999999997</v>
      </c>
      <c r="O64" s="7">
        <v>0</v>
      </c>
      <c r="P64" s="7">
        <v>49.564999999999998</v>
      </c>
      <c r="Q64" s="7">
        <v>21.326000000000001</v>
      </c>
      <c r="R64" s="7">
        <v>44.761000000000003</v>
      </c>
      <c r="S64" s="7">
        <v>75.733999999999995</v>
      </c>
      <c r="T64" s="7">
        <v>33.521000000000001</v>
      </c>
      <c r="U64" s="7">
        <v>41.161999999999999</v>
      </c>
      <c r="V64" s="7">
        <v>25.86</v>
      </c>
      <c r="W64" s="7">
        <v>6.415</v>
      </c>
      <c r="X64" s="7">
        <v>127.59099999999999</v>
      </c>
      <c r="Y64" s="7">
        <v>33.042999999999999</v>
      </c>
    </row>
    <row r="65" spans="1:25" x14ac:dyDescent="0.25">
      <c r="B65" s="7">
        <v>62.722999999999999</v>
      </c>
      <c r="C65" s="7">
        <v>56.850999999999999</v>
      </c>
      <c r="D65" s="7">
        <v>16.309000000000001</v>
      </c>
      <c r="E65" s="7">
        <v>37.936999999999998</v>
      </c>
      <c r="F65" s="7">
        <v>13.12</v>
      </c>
      <c r="G65" s="7">
        <v>34.750999999999998</v>
      </c>
      <c r="H65" s="7">
        <v>138.643</v>
      </c>
      <c r="I65" s="7">
        <v>25.414999999999999</v>
      </c>
      <c r="J65" s="7">
        <v>10.471</v>
      </c>
      <c r="K65" s="7">
        <v>32.033999999999999</v>
      </c>
      <c r="L65" s="7">
        <v>12.896000000000001</v>
      </c>
      <c r="M65" s="7">
        <v>140.33099999999999</v>
      </c>
      <c r="N65" s="7">
        <v>98.95</v>
      </c>
      <c r="O65" s="7">
        <v>0</v>
      </c>
      <c r="P65" s="7">
        <v>61.707000000000001</v>
      </c>
      <c r="Q65" s="7">
        <v>26.306000000000001</v>
      </c>
      <c r="R65" s="7">
        <v>51.652000000000001</v>
      </c>
      <c r="S65" s="7">
        <v>81.534000000000006</v>
      </c>
      <c r="T65" s="7">
        <v>51.578000000000003</v>
      </c>
      <c r="U65" s="7">
        <v>42.829000000000001</v>
      </c>
      <c r="V65" s="7">
        <v>27.978000000000002</v>
      </c>
      <c r="W65" s="7">
        <v>35.164999999999999</v>
      </c>
      <c r="X65" s="7">
        <v>129.24299999999999</v>
      </c>
      <c r="Y65" s="7">
        <v>51.424999999999997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1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6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7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13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13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18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17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23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21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1</v>
      </c>
      <c r="C73" s="7">
        <v>26</v>
      </c>
      <c r="D73" s="7">
        <v>0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  <c r="L73" s="7">
        <v>1</v>
      </c>
      <c r="M73" s="7">
        <v>1</v>
      </c>
      <c r="N73" s="7">
        <v>1</v>
      </c>
      <c r="O73" s="7">
        <v>25</v>
      </c>
      <c r="P73" s="7">
        <v>0</v>
      </c>
      <c r="Q73" s="7">
        <v>2</v>
      </c>
      <c r="R73" s="7">
        <v>0</v>
      </c>
      <c r="S73" s="7">
        <v>1</v>
      </c>
      <c r="T73" s="7">
        <v>0</v>
      </c>
      <c r="U73" s="7">
        <v>1</v>
      </c>
      <c r="V73" s="7">
        <v>0</v>
      </c>
      <c r="W73" s="7">
        <v>0</v>
      </c>
      <c r="X73" s="7">
        <v>5</v>
      </c>
      <c r="Y73" s="7">
        <v>0</v>
      </c>
    </row>
    <row r="74" spans="1:25" x14ac:dyDescent="0.25">
      <c r="B74" s="7">
        <v>3</v>
      </c>
      <c r="C74" s="7">
        <v>27</v>
      </c>
      <c r="D74" s="7">
        <v>2</v>
      </c>
      <c r="E74" s="7">
        <v>3</v>
      </c>
      <c r="F74" s="7">
        <v>2</v>
      </c>
      <c r="G74" s="7">
        <v>2</v>
      </c>
      <c r="H74" s="7">
        <v>6</v>
      </c>
      <c r="I74" s="7">
        <v>2</v>
      </c>
      <c r="J74" s="7">
        <v>2</v>
      </c>
      <c r="K74" s="7">
        <v>2</v>
      </c>
      <c r="L74" s="7">
        <v>2</v>
      </c>
      <c r="M74" s="7">
        <v>6</v>
      </c>
      <c r="N74" s="7">
        <v>4</v>
      </c>
      <c r="O74" s="7">
        <v>28</v>
      </c>
      <c r="P74" s="7">
        <v>3</v>
      </c>
      <c r="Q74" s="7">
        <v>4</v>
      </c>
      <c r="R74" s="7">
        <v>2</v>
      </c>
      <c r="S74" s="7">
        <v>4</v>
      </c>
      <c r="T74" s="7">
        <v>1</v>
      </c>
      <c r="U74" s="7">
        <v>3</v>
      </c>
      <c r="V74" s="7">
        <v>2</v>
      </c>
      <c r="W74" s="7">
        <v>1</v>
      </c>
      <c r="X74" s="7">
        <v>11</v>
      </c>
      <c r="Y74" s="7">
        <v>3</v>
      </c>
    </row>
    <row r="76" spans="1:25" ht="45" x14ac:dyDescent="0.25">
      <c r="A76" s="5" t="s">
        <v>11</v>
      </c>
      <c r="B76" s="7">
        <v>16312830</v>
      </c>
      <c r="C76" s="7">
        <v>11386630</v>
      </c>
      <c r="D76" s="7">
        <v>14228420</v>
      </c>
      <c r="E76" s="7">
        <v>29957880</v>
      </c>
      <c r="F76" s="7">
        <v>20466850</v>
      </c>
      <c r="G76" s="7">
        <v>22179930</v>
      </c>
      <c r="H76" s="7">
        <v>19367260</v>
      </c>
      <c r="I76" s="7">
        <v>17116590</v>
      </c>
      <c r="J76" s="7">
        <v>11736340</v>
      </c>
      <c r="K76" s="7">
        <v>17272540</v>
      </c>
      <c r="L76" s="7">
        <v>14499800</v>
      </c>
      <c r="M76" s="7">
        <v>20562600</v>
      </c>
      <c r="N76" s="7">
        <v>15798280</v>
      </c>
      <c r="O76" s="7">
        <v>8263050.5</v>
      </c>
      <c r="P76" s="7">
        <v>29630200</v>
      </c>
      <c r="Q76" s="7">
        <v>14343230</v>
      </c>
      <c r="R76" s="7">
        <v>18097770</v>
      </c>
      <c r="S76" s="7">
        <v>16160780</v>
      </c>
      <c r="T76" s="7">
        <v>22160920</v>
      </c>
      <c r="U76" s="7">
        <v>16520420</v>
      </c>
      <c r="V76" s="7">
        <v>10981660</v>
      </c>
      <c r="W76" s="7">
        <v>35523980</v>
      </c>
      <c r="X76" s="7">
        <v>20618100</v>
      </c>
      <c r="Y76" s="7">
        <v>33653110</v>
      </c>
    </row>
    <row r="77" spans="1:25" x14ac:dyDescent="0.25">
      <c r="B77" s="7">
        <v>31996470</v>
      </c>
      <c r="C77" s="7">
        <v>22485780</v>
      </c>
      <c r="D77" s="7">
        <v>27928870</v>
      </c>
      <c r="E77" s="7">
        <v>59769350</v>
      </c>
      <c r="F77" s="7">
        <v>40124700</v>
      </c>
      <c r="G77" s="7">
        <v>44088810</v>
      </c>
      <c r="H77" s="7">
        <v>38252260</v>
      </c>
      <c r="I77" s="7">
        <v>33475750</v>
      </c>
      <c r="J77" s="7">
        <v>23237590</v>
      </c>
      <c r="K77" s="7">
        <v>33713180</v>
      </c>
      <c r="L77" s="7">
        <v>28654330</v>
      </c>
      <c r="M77" s="7">
        <v>40973560</v>
      </c>
      <c r="N77" s="7">
        <v>31537960</v>
      </c>
      <c r="O77" s="7">
        <v>16598730</v>
      </c>
      <c r="P77" s="7">
        <v>58383120</v>
      </c>
      <c r="Q77" s="7">
        <v>28438170</v>
      </c>
      <c r="R77" s="7">
        <v>35603470</v>
      </c>
      <c r="S77" s="7">
        <v>31686360</v>
      </c>
      <c r="T77" s="7">
        <v>43588360</v>
      </c>
      <c r="U77" s="7">
        <v>31728270</v>
      </c>
      <c r="V77" s="7">
        <v>21105480</v>
      </c>
      <c r="W77" s="7">
        <v>70724340</v>
      </c>
      <c r="X77" s="7">
        <v>40900060</v>
      </c>
      <c r="Y77" s="7">
        <v>67198450</v>
      </c>
    </row>
    <row r="78" spans="1:25" x14ac:dyDescent="0.25">
      <c r="B78" s="7">
        <v>47020430</v>
      </c>
      <c r="C78" s="7">
        <v>33265330</v>
      </c>
      <c r="D78" s="7">
        <v>41110480</v>
      </c>
      <c r="E78" s="7">
        <v>89425850</v>
      </c>
      <c r="F78" s="7">
        <v>58953380</v>
      </c>
      <c r="G78" s="7">
        <v>65718290</v>
      </c>
      <c r="H78" s="7">
        <v>56617730</v>
      </c>
      <c r="I78" s="7">
        <v>49075350</v>
      </c>
      <c r="J78" s="7">
        <v>34505710</v>
      </c>
      <c r="K78" s="7">
        <v>49320150</v>
      </c>
      <c r="L78" s="7">
        <v>42448940</v>
      </c>
      <c r="M78" s="7">
        <v>61219690</v>
      </c>
      <c r="N78" s="7">
        <v>47215600</v>
      </c>
      <c r="O78" s="7">
        <v>24999050</v>
      </c>
      <c r="P78" s="7">
        <v>86194480</v>
      </c>
      <c r="Q78" s="7">
        <v>42278540</v>
      </c>
      <c r="R78" s="7">
        <v>52490110</v>
      </c>
      <c r="S78" s="7">
        <v>46552290</v>
      </c>
      <c r="T78" s="7">
        <v>64260860</v>
      </c>
      <c r="U78" s="7">
        <v>45616700</v>
      </c>
      <c r="V78" s="7">
        <v>30361230</v>
      </c>
      <c r="W78" s="7">
        <v>105586400</v>
      </c>
      <c r="X78" s="7">
        <v>60840190</v>
      </c>
      <c r="Y78" s="7">
        <v>100625000</v>
      </c>
    </row>
    <row r="79" spans="1:25" x14ac:dyDescent="0.25">
      <c r="B79" s="7">
        <v>62619560</v>
      </c>
      <c r="C79" s="7">
        <v>44634400</v>
      </c>
      <c r="D79" s="7">
        <v>52600720</v>
      </c>
      <c r="E79" s="7">
        <v>117674200</v>
      </c>
      <c r="F79" s="7">
        <v>77439590</v>
      </c>
      <c r="G79" s="7">
        <v>84046950</v>
      </c>
      <c r="H79" s="7">
        <v>74261380</v>
      </c>
      <c r="I79" s="7">
        <v>65093410</v>
      </c>
      <c r="J79" s="7">
        <v>44477220</v>
      </c>
      <c r="K79" s="7">
        <v>64075780</v>
      </c>
      <c r="L79" s="7">
        <v>56859330</v>
      </c>
      <c r="M79" s="7">
        <v>80562210</v>
      </c>
      <c r="N79" s="7">
        <v>60991340</v>
      </c>
      <c r="O79" s="7">
        <v>33040870</v>
      </c>
      <c r="P79" s="7">
        <v>111635000</v>
      </c>
      <c r="Q79" s="7">
        <v>54857340</v>
      </c>
      <c r="R79" s="7">
        <v>69014810</v>
      </c>
      <c r="S79" s="7">
        <v>60953290</v>
      </c>
      <c r="T79" s="7">
        <v>83018950</v>
      </c>
      <c r="U79" s="7">
        <v>59967840</v>
      </c>
      <c r="V79" s="7">
        <v>40351210</v>
      </c>
      <c r="W79" s="7">
        <v>137696200</v>
      </c>
      <c r="X79" s="7">
        <v>80931340</v>
      </c>
      <c r="Y79" s="7">
        <v>131163800</v>
      </c>
    </row>
    <row r="80" spans="1:25" x14ac:dyDescent="0.25">
      <c r="B80" s="7">
        <v>78230550</v>
      </c>
      <c r="C80" s="7">
        <v>56140950</v>
      </c>
      <c r="D80" s="7">
        <v>63148570</v>
      </c>
      <c r="E80" s="7">
        <v>145318300</v>
      </c>
      <c r="F80" s="7">
        <v>95449200</v>
      </c>
      <c r="G80" s="7">
        <v>100670900</v>
      </c>
      <c r="H80" s="7">
        <v>91428770</v>
      </c>
      <c r="I80" s="7">
        <v>81002700</v>
      </c>
      <c r="J80" s="7">
        <v>53807540</v>
      </c>
      <c r="K80" s="7">
        <v>78113920</v>
      </c>
      <c r="L80" s="7">
        <v>71500780</v>
      </c>
      <c r="M80" s="7">
        <v>99479960</v>
      </c>
      <c r="N80" s="7">
        <v>73952470</v>
      </c>
      <c r="O80" s="7">
        <v>40997450</v>
      </c>
      <c r="P80" s="7">
        <v>135495600</v>
      </c>
      <c r="Q80" s="7">
        <v>66827990</v>
      </c>
      <c r="R80" s="7">
        <v>85144850</v>
      </c>
      <c r="S80" s="7">
        <v>74904090</v>
      </c>
      <c r="T80" s="7">
        <v>100586200</v>
      </c>
      <c r="U80" s="7">
        <v>73943370</v>
      </c>
      <c r="V80" s="7">
        <v>50281370</v>
      </c>
      <c r="W80" s="7">
        <v>168162200</v>
      </c>
      <c r="X80" s="7">
        <v>100982000</v>
      </c>
      <c r="Y80" s="7">
        <v>160175100</v>
      </c>
    </row>
    <row r="81" spans="1:25" x14ac:dyDescent="0.25">
      <c r="B81" s="7">
        <v>93835150</v>
      </c>
      <c r="C81" s="7">
        <v>67783040</v>
      </c>
      <c r="D81" s="7">
        <v>72822890</v>
      </c>
      <c r="E81" s="7">
        <v>172365300</v>
      </c>
      <c r="F81" s="7">
        <v>113029200</v>
      </c>
      <c r="G81" s="7">
        <v>115635300</v>
      </c>
      <c r="H81" s="7">
        <v>108148000</v>
      </c>
      <c r="I81" s="7">
        <v>96829010</v>
      </c>
      <c r="J81" s="7">
        <v>62561060</v>
      </c>
      <c r="K81" s="7">
        <v>91503830</v>
      </c>
      <c r="L81" s="7">
        <v>86309580</v>
      </c>
      <c r="M81" s="7">
        <v>118027700</v>
      </c>
      <c r="N81" s="7">
        <v>86154110</v>
      </c>
      <c r="O81" s="7">
        <v>48890110</v>
      </c>
      <c r="P81" s="7">
        <v>157822300</v>
      </c>
      <c r="Q81" s="7">
        <v>78241320</v>
      </c>
      <c r="R81" s="7">
        <v>100921500</v>
      </c>
      <c r="S81" s="7">
        <v>88443760</v>
      </c>
      <c r="T81" s="7">
        <v>117034200</v>
      </c>
      <c r="U81" s="7">
        <v>87565120</v>
      </c>
      <c r="V81" s="7">
        <v>60143330</v>
      </c>
      <c r="W81" s="7">
        <v>196930600</v>
      </c>
      <c r="X81" s="7">
        <v>121015000</v>
      </c>
      <c r="Y81" s="7">
        <v>187644400</v>
      </c>
    </row>
    <row r="82" spans="1:25" x14ac:dyDescent="0.25">
      <c r="B82" s="7">
        <v>109437200</v>
      </c>
      <c r="C82" s="7">
        <v>79558680</v>
      </c>
      <c r="D82" s="7">
        <v>81704050</v>
      </c>
      <c r="E82" s="7">
        <v>198870900</v>
      </c>
      <c r="F82" s="7">
        <v>130228400</v>
      </c>
      <c r="G82" s="7">
        <v>129002800</v>
      </c>
      <c r="H82" s="7">
        <v>124468300</v>
      </c>
      <c r="I82" s="7">
        <v>112598800</v>
      </c>
      <c r="J82" s="7">
        <v>70801450</v>
      </c>
      <c r="K82" s="7">
        <v>104311600</v>
      </c>
      <c r="L82" s="7">
        <v>101284000</v>
      </c>
      <c r="M82" s="7">
        <v>136259200</v>
      </c>
      <c r="N82" s="7">
        <v>97670810</v>
      </c>
      <c r="O82" s="7">
        <v>56743630</v>
      </c>
      <c r="P82" s="7">
        <v>178675700</v>
      </c>
      <c r="Q82" s="7">
        <v>89161320</v>
      </c>
      <c r="R82" s="7">
        <v>116386500</v>
      </c>
      <c r="S82" s="7">
        <v>101617400</v>
      </c>
      <c r="T82" s="7">
        <v>132444400</v>
      </c>
      <c r="U82" s="7">
        <v>100854900</v>
      </c>
      <c r="V82" s="7">
        <v>69934520</v>
      </c>
      <c r="W82" s="7">
        <v>223958100</v>
      </c>
      <c r="X82" s="7">
        <v>141053300</v>
      </c>
      <c r="Y82" s="7">
        <v>213574100</v>
      </c>
    </row>
    <row r="83" spans="1:25" x14ac:dyDescent="0.25">
      <c r="B83" s="7">
        <v>125039600</v>
      </c>
      <c r="C83" s="7">
        <v>91465820</v>
      </c>
      <c r="D83" s="7">
        <v>89869540</v>
      </c>
      <c r="E83" s="7">
        <v>224889700</v>
      </c>
      <c r="F83" s="7">
        <v>147091800</v>
      </c>
      <c r="G83" s="7">
        <v>140843100</v>
      </c>
      <c r="H83" s="7">
        <v>140434900</v>
      </c>
      <c r="I83" s="7">
        <v>128336000</v>
      </c>
      <c r="J83" s="7">
        <v>78588830</v>
      </c>
      <c r="K83" s="7">
        <v>116599400</v>
      </c>
      <c r="L83" s="7">
        <v>116422100</v>
      </c>
      <c r="M83" s="7">
        <v>154224700</v>
      </c>
      <c r="N83" s="7">
        <v>108574500</v>
      </c>
      <c r="O83" s="7">
        <v>64580770</v>
      </c>
      <c r="P83" s="7">
        <v>198124500</v>
      </c>
      <c r="Q83" s="7">
        <v>99648170</v>
      </c>
      <c r="R83" s="7">
        <v>131577600</v>
      </c>
      <c r="S83" s="7">
        <v>114466100</v>
      </c>
      <c r="T83" s="7">
        <v>146898700</v>
      </c>
      <c r="U83" s="7">
        <v>113832400</v>
      </c>
      <c r="V83" s="7">
        <v>79652360</v>
      </c>
      <c r="W83" s="7">
        <v>249210800</v>
      </c>
      <c r="X83" s="7">
        <v>161117900</v>
      </c>
      <c r="Y83" s="7">
        <v>237976600</v>
      </c>
    </row>
    <row r="85" spans="1:25" ht="45" x14ac:dyDescent="0.25">
      <c r="A85" s="6" t="s">
        <v>46</v>
      </c>
      <c r="B85" s="7">
        <v>0</v>
      </c>
      <c r="C85" s="7">
        <v>63572640</v>
      </c>
      <c r="D85" s="7">
        <v>0</v>
      </c>
      <c r="E85" s="7">
        <v>0</v>
      </c>
      <c r="F85" s="7">
        <v>0</v>
      </c>
      <c r="G85" s="7">
        <v>0</v>
      </c>
      <c r="H85" s="7">
        <v>64432000</v>
      </c>
      <c r="I85" s="7">
        <v>0</v>
      </c>
      <c r="J85" s="7">
        <v>0</v>
      </c>
      <c r="K85" s="7">
        <v>0</v>
      </c>
      <c r="L85" s="7">
        <v>0</v>
      </c>
      <c r="M85" s="7">
        <v>64601950</v>
      </c>
      <c r="N85" s="7">
        <v>0</v>
      </c>
      <c r="O85" s="7">
        <v>63581730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63777970</v>
      </c>
      <c r="Y85" s="7">
        <v>0</v>
      </c>
    </row>
    <row r="86" spans="1:25" x14ac:dyDescent="0.25">
      <c r="B86" s="7">
        <v>0</v>
      </c>
      <c r="C86" s="7">
        <v>127145300</v>
      </c>
      <c r="D86" s="7">
        <v>0</v>
      </c>
      <c r="E86" s="7">
        <v>0</v>
      </c>
      <c r="F86" s="7">
        <v>0</v>
      </c>
      <c r="G86" s="7">
        <v>0</v>
      </c>
      <c r="H86" s="7">
        <v>128864000</v>
      </c>
      <c r="I86" s="7">
        <v>0</v>
      </c>
      <c r="J86" s="7">
        <v>0</v>
      </c>
      <c r="K86" s="7">
        <v>0</v>
      </c>
      <c r="L86" s="7">
        <v>0</v>
      </c>
      <c r="M86" s="7">
        <v>129203900</v>
      </c>
      <c r="N86" s="7">
        <v>0</v>
      </c>
      <c r="O86" s="7">
        <v>121990200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127555900</v>
      </c>
      <c r="Y86" s="7">
        <v>0</v>
      </c>
    </row>
    <row r="87" spans="1:25" x14ac:dyDescent="0.25">
      <c r="B87" s="7">
        <v>0</v>
      </c>
      <c r="C87" s="7">
        <v>153264300</v>
      </c>
      <c r="D87" s="7">
        <v>0</v>
      </c>
      <c r="E87" s="7">
        <v>0</v>
      </c>
      <c r="F87" s="7">
        <v>0</v>
      </c>
      <c r="G87" s="7">
        <v>0</v>
      </c>
      <c r="H87" s="7">
        <v>193278400</v>
      </c>
      <c r="I87" s="7">
        <v>0</v>
      </c>
      <c r="J87" s="7">
        <v>0</v>
      </c>
      <c r="K87" s="7">
        <v>0</v>
      </c>
      <c r="L87" s="7">
        <v>0</v>
      </c>
      <c r="M87" s="7">
        <v>193788500</v>
      </c>
      <c r="N87" s="7">
        <v>63444100</v>
      </c>
      <c r="O87" s="7">
        <v>144076300</v>
      </c>
      <c r="P87" s="7">
        <v>0</v>
      </c>
      <c r="Q87" s="7">
        <v>0</v>
      </c>
      <c r="R87" s="7">
        <v>0</v>
      </c>
      <c r="S87" s="7">
        <v>23446030</v>
      </c>
      <c r="T87" s="7">
        <v>0</v>
      </c>
      <c r="U87" s="7">
        <v>0</v>
      </c>
      <c r="V87" s="7">
        <v>0</v>
      </c>
      <c r="W87" s="7">
        <v>0</v>
      </c>
      <c r="X87" s="7">
        <v>191312700</v>
      </c>
      <c r="Y87" s="7">
        <v>0</v>
      </c>
    </row>
    <row r="88" spans="1:25" x14ac:dyDescent="0.25">
      <c r="B88" s="7">
        <v>7326795.3360000001</v>
      </c>
      <c r="C88" s="7">
        <v>173338600</v>
      </c>
      <c r="D88" s="7">
        <v>0</v>
      </c>
      <c r="E88" s="7">
        <v>0</v>
      </c>
      <c r="F88" s="7">
        <v>0</v>
      </c>
      <c r="G88" s="7">
        <v>0</v>
      </c>
      <c r="H88" s="7">
        <v>257679700</v>
      </c>
      <c r="I88" s="7">
        <v>0</v>
      </c>
      <c r="J88" s="7">
        <v>0</v>
      </c>
      <c r="K88" s="7">
        <v>0</v>
      </c>
      <c r="L88" s="7">
        <v>0</v>
      </c>
      <c r="M88" s="7">
        <v>258360900</v>
      </c>
      <c r="N88" s="7">
        <v>88000970</v>
      </c>
      <c r="O88" s="7">
        <v>161089400</v>
      </c>
      <c r="P88" s="7">
        <v>0</v>
      </c>
      <c r="Q88" s="7">
        <v>0</v>
      </c>
      <c r="R88" s="7">
        <v>0</v>
      </c>
      <c r="S88" s="7">
        <v>45993130</v>
      </c>
      <c r="T88" s="7">
        <v>0</v>
      </c>
      <c r="U88" s="7">
        <v>0</v>
      </c>
      <c r="V88" s="7">
        <v>0</v>
      </c>
      <c r="W88" s="7">
        <v>0</v>
      </c>
      <c r="X88" s="7">
        <v>255059200</v>
      </c>
      <c r="Y88" s="7">
        <v>0</v>
      </c>
    </row>
    <row r="89" spans="1:25" x14ac:dyDescent="0.25">
      <c r="B89" s="7">
        <v>30089720</v>
      </c>
      <c r="C89" s="7">
        <v>195467400</v>
      </c>
      <c r="D89" s="7">
        <v>0</v>
      </c>
      <c r="E89" s="7">
        <v>0</v>
      </c>
      <c r="F89" s="7">
        <v>0</v>
      </c>
      <c r="G89" s="7">
        <v>0</v>
      </c>
      <c r="H89" s="7">
        <v>322102000</v>
      </c>
      <c r="I89" s="7">
        <v>0</v>
      </c>
      <c r="J89" s="7">
        <v>0</v>
      </c>
      <c r="K89" s="7">
        <v>0</v>
      </c>
      <c r="L89" s="7">
        <v>0</v>
      </c>
      <c r="M89" s="7">
        <v>322951700</v>
      </c>
      <c r="N89" s="7">
        <v>154657700</v>
      </c>
      <c r="O89" s="7">
        <v>177643000</v>
      </c>
      <c r="P89" s="7">
        <v>0</v>
      </c>
      <c r="Q89" s="7">
        <v>0</v>
      </c>
      <c r="R89" s="7">
        <v>0</v>
      </c>
      <c r="S89" s="7">
        <v>80002590</v>
      </c>
      <c r="T89" s="7">
        <v>0</v>
      </c>
      <c r="U89" s="7">
        <v>0</v>
      </c>
      <c r="V89" s="7">
        <v>0</v>
      </c>
      <c r="W89" s="7">
        <v>0</v>
      </c>
      <c r="X89" s="7">
        <v>318831800</v>
      </c>
      <c r="Y89" s="7">
        <v>0</v>
      </c>
    </row>
    <row r="90" spans="1:25" x14ac:dyDescent="0.25">
      <c r="B90" s="7">
        <v>76744800</v>
      </c>
      <c r="C90" s="7">
        <v>224826500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230939800</v>
      </c>
      <c r="O90" s="7">
        <v>192594000</v>
      </c>
      <c r="P90" s="7">
        <v>4.2127790000000001E-9</v>
      </c>
      <c r="Q90" s="7">
        <v>8628848.8920000009</v>
      </c>
      <c r="R90" s="7">
        <v>0</v>
      </c>
      <c r="S90" s="7">
        <v>163453400</v>
      </c>
      <c r="T90" s="7">
        <v>0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148257200</v>
      </c>
      <c r="C91" s="7">
        <v>260337000</v>
      </c>
      <c r="D91" s="7">
        <v>0</v>
      </c>
      <c r="E91" s="7">
        <v>10773520</v>
      </c>
      <c r="F91" s="7">
        <v>0</v>
      </c>
      <c r="G91" s="7">
        <v>0</v>
      </c>
      <c r="H91" s="7">
        <v>440041700</v>
      </c>
      <c r="I91" s="7">
        <v>0</v>
      </c>
      <c r="J91" s="7">
        <v>0</v>
      </c>
      <c r="K91" s="7">
        <v>0</v>
      </c>
      <c r="L91" s="7">
        <v>24126170</v>
      </c>
      <c r="M91" s="7">
        <v>442684900</v>
      </c>
      <c r="N91" s="7">
        <v>296755500</v>
      </c>
      <c r="O91" s="7">
        <v>206564800</v>
      </c>
      <c r="P91" s="7">
        <v>0</v>
      </c>
      <c r="Q91" s="7">
        <v>27648770</v>
      </c>
      <c r="R91" s="7">
        <v>0</v>
      </c>
      <c r="S91" s="7">
        <v>242848600</v>
      </c>
      <c r="T91" s="7">
        <v>0</v>
      </c>
      <c r="U91" s="7">
        <v>0</v>
      </c>
      <c r="V91" s="7">
        <v>0</v>
      </c>
      <c r="W91" s="7">
        <v>0</v>
      </c>
      <c r="X91" s="7">
        <v>415589800</v>
      </c>
      <c r="Y91" s="7">
        <v>18532720</v>
      </c>
    </row>
    <row r="92" spans="1:25" x14ac:dyDescent="0.25">
      <c r="B92" s="7">
        <v>182457300</v>
      </c>
      <c r="C92" s="7">
        <v>309619900</v>
      </c>
      <c r="D92" s="7">
        <v>0</v>
      </c>
      <c r="E92" s="7">
        <v>31341410</v>
      </c>
      <c r="F92" s="7">
        <v>0</v>
      </c>
      <c r="G92" s="7">
        <v>0</v>
      </c>
      <c r="H92" s="7">
        <v>464114300</v>
      </c>
      <c r="I92" s="7">
        <v>0</v>
      </c>
      <c r="J92" s="7">
        <v>0</v>
      </c>
      <c r="K92" s="7">
        <v>0</v>
      </c>
      <c r="L92" s="7">
        <v>30720860</v>
      </c>
      <c r="M92" s="7">
        <v>470517700</v>
      </c>
      <c r="N92" s="7">
        <v>316051400</v>
      </c>
      <c r="O92" s="7">
        <v>220206500</v>
      </c>
      <c r="P92" s="7">
        <v>17207830</v>
      </c>
      <c r="Q92" s="7">
        <v>44702420</v>
      </c>
      <c r="R92" s="7">
        <v>1.6530980000000001E-8</v>
      </c>
      <c r="S92" s="7">
        <v>263213000</v>
      </c>
      <c r="T92" s="7">
        <v>0</v>
      </c>
      <c r="U92" s="7">
        <v>0</v>
      </c>
      <c r="V92" s="7">
        <v>-1.5417799999999999E-8</v>
      </c>
      <c r="W92" s="7">
        <v>0</v>
      </c>
      <c r="X92" s="7">
        <v>441094400</v>
      </c>
      <c r="Y92" s="7">
        <v>65453600</v>
      </c>
    </row>
    <row r="94" spans="1:25" ht="45" x14ac:dyDescent="0.25">
      <c r="A94" s="6" t="s">
        <v>47</v>
      </c>
      <c r="B94" s="7">
        <v>64027530</v>
      </c>
      <c r="C94" s="7">
        <v>0</v>
      </c>
      <c r="D94" s="7">
        <v>63962980</v>
      </c>
      <c r="E94" s="7">
        <v>63855550</v>
      </c>
      <c r="F94" s="7">
        <v>65358650</v>
      </c>
      <c r="G94" s="7">
        <v>63987560</v>
      </c>
      <c r="H94" s="7">
        <v>0</v>
      </c>
      <c r="I94" s="7">
        <v>64815530</v>
      </c>
      <c r="J94" s="7">
        <v>63745340</v>
      </c>
      <c r="K94" s="7">
        <v>63572910</v>
      </c>
      <c r="L94" s="7">
        <v>64137440</v>
      </c>
      <c r="M94" s="7">
        <v>0</v>
      </c>
      <c r="N94" s="7">
        <v>64513720</v>
      </c>
      <c r="O94" s="7">
        <v>0</v>
      </c>
      <c r="P94" s="7">
        <v>63572780</v>
      </c>
      <c r="Q94" s="7">
        <v>65948290</v>
      </c>
      <c r="R94" s="7">
        <v>63977160</v>
      </c>
      <c r="S94" s="7">
        <v>64452640</v>
      </c>
      <c r="T94" s="7">
        <v>63566720</v>
      </c>
      <c r="U94" s="7">
        <v>63663710</v>
      </c>
      <c r="V94" s="7">
        <v>63575310</v>
      </c>
      <c r="W94" s="7">
        <v>63564560</v>
      </c>
      <c r="X94" s="7">
        <v>0</v>
      </c>
      <c r="Y94" s="7">
        <v>64271770</v>
      </c>
    </row>
    <row r="95" spans="1:25" x14ac:dyDescent="0.25">
      <c r="B95" s="7">
        <v>128055100</v>
      </c>
      <c r="C95" s="7">
        <v>0</v>
      </c>
      <c r="D95" s="7">
        <v>127926000</v>
      </c>
      <c r="E95" s="7">
        <v>127711100</v>
      </c>
      <c r="F95" s="7">
        <v>130717300</v>
      </c>
      <c r="G95" s="7">
        <v>127975100</v>
      </c>
      <c r="H95" s="7">
        <v>0</v>
      </c>
      <c r="I95" s="7">
        <v>129631100</v>
      </c>
      <c r="J95" s="7">
        <v>127490700</v>
      </c>
      <c r="K95" s="7">
        <v>127145800</v>
      </c>
      <c r="L95" s="7">
        <v>128274900</v>
      </c>
      <c r="M95" s="7">
        <v>0</v>
      </c>
      <c r="N95" s="7">
        <v>129027400</v>
      </c>
      <c r="O95" s="7">
        <v>0</v>
      </c>
      <c r="P95" s="7">
        <v>127145600</v>
      </c>
      <c r="Q95" s="7">
        <v>131896600</v>
      </c>
      <c r="R95" s="7">
        <v>127954300</v>
      </c>
      <c r="S95" s="7">
        <v>128905300</v>
      </c>
      <c r="T95" s="7">
        <v>127133400</v>
      </c>
      <c r="U95" s="7">
        <v>127327400</v>
      </c>
      <c r="V95" s="7">
        <v>127150600</v>
      </c>
      <c r="W95" s="7">
        <v>127129100</v>
      </c>
      <c r="X95" s="7">
        <v>0</v>
      </c>
      <c r="Y95" s="7">
        <v>128543500</v>
      </c>
    </row>
    <row r="96" spans="1:25" x14ac:dyDescent="0.25">
      <c r="B96" s="7">
        <v>192082600</v>
      </c>
      <c r="C96" s="7">
        <v>0</v>
      </c>
      <c r="D96" s="7">
        <v>191888900</v>
      </c>
      <c r="E96" s="7">
        <v>191566600</v>
      </c>
      <c r="F96" s="7">
        <v>196076000</v>
      </c>
      <c r="G96" s="7">
        <v>191962700</v>
      </c>
      <c r="H96" s="7">
        <v>0</v>
      </c>
      <c r="I96" s="7">
        <v>194446600</v>
      </c>
      <c r="J96" s="7">
        <v>191236000</v>
      </c>
      <c r="K96" s="7">
        <v>190718700</v>
      </c>
      <c r="L96" s="7">
        <v>192412300</v>
      </c>
      <c r="M96" s="7">
        <v>0</v>
      </c>
      <c r="N96" s="7">
        <v>130097000</v>
      </c>
      <c r="O96" s="7">
        <v>0</v>
      </c>
      <c r="P96" s="7">
        <v>190718300</v>
      </c>
      <c r="Q96" s="7">
        <v>197844900</v>
      </c>
      <c r="R96" s="7">
        <v>191931500</v>
      </c>
      <c r="S96" s="7">
        <v>169911900</v>
      </c>
      <c r="T96" s="7">
        <v>190700200</v>
      </c>
      <c r="U96" s="7">
        <v>190991100</v>
      </c>
      <c r="V96" s="7">
        <v>190725900</v>
      </c>
      <c r="W96" s="7">
        <v>190693700</v>
      </c>
      <c r="X96" s="7">
        <v>0</v>
      </c>
      <c r="Y96" s="7">
        <v>192815300</v>
      </c>
    </row>
    <row r="97" spans="1:25" x14ac:dyDescent="0.25">
      <c r="B97" s="7">
        <v>248783300</v>
      </c>
      <c r="C97" s="7">
        <v>0</v>
      </c>
      <c r="D97" s="7">
        <v>255851900</v>
      </c>
      <c r="E97" s="7">
        <v>255422200</v>
      </c>
      <c r="F97" s="7">
        <v>261434600</v>
      </c>
      <c r="G97" s="7">
        <v>255950200</v>
      </c>
      <c r="H97" s="7">
        <v>0</v>
      </c>
      <c r="I97" s="7">
        <v>259262100</v>
      </c>
      <c r="J97" s="7">
        <v>254981400</v>
      </c>
      <c r="K97" s="7">
        <v>254291600</v>
      </c>
      <c r="L97" s="7">
        <v>256549700</v>
      </c>
      <c r="M97" s="7">
        <v>0</v>
      </c>
      <c r="N97" s="7">
        <v>170051900</v>
      </c>
      <c r="O97" s="7">
        <v>0</v>
      </c>
      <c r="P97" s="7">
        <v>254291100</v>
      </c>
      <c r="Q97" s="7">
        <v>263793100</v>
      </c>
      <c r="R97" s="7">
        <v>255908600</v>
      </c>
      <c r="S97" s="7">
        <v>211817400</v>
      </c>
      <c r="T97" s="7">
        <v>254266900</v>
      </c>
      <c r="U97" s="7">
        <v>254654800</v>
      </c>
      <c r="V97" s="7">
        <v>254301300</v>
      </c>
      <c r="W97" s="7">
        <v>254258200</v>
      </c>
      <c r="X97" s="7">
        <v>0</v>
      </c>
      <c r="Y97" s="7">
        <v>257087100</v>
      </c>
    </row>
    <row r="98" spans="1:25" x14ac:dyDescent="0.25">
      <c r="B98" s="7">
        <v>290047900</v>
      </c>
      <c r="C98" s="7">
        <v>0</v>
      </c>
      <c r="D98" s="7">
        <v>319814900</v>
      </c>
      <c r="E98" s="7">
        <v>319277700</v>
      </c>
      <c r="F98" s="7">
        <v>326793300</v>
      </c>
      <c r="G98" s="7">
        <v>319937800</v>
      </c>
      <c r="H98" s="7">
        <v>0</v>
      </c>
      <c r="I98" s="7">
        <v>324077700</v>
      </c>
      <c r="J98" s="7">
        <v>318726700</v>
      </c>
      <c r="K98" s="7">
        <v>317864500</v>
      </c>
      <c r="L98" s="7">
        <v>320687200</v>
      </c>
      <c r="M98" s="7">
        <v>0</v>
      </c>
      <c r="N98" s="7">
        <v>167881400</v>
      </c>
      <c r="O98" s="7">
        <v>0</v>
      </c>
      <c r="P98" s="7">
        <v>317861800</v>
      </c>
      <c r="Q98" s="7">
        <v>329741400</v>
      </c>
      <c r="R98" s="7">
        <v>319885800</v>
      </c>
      <c r="S98" s="7">
        <v>242243600</v>
      </c>
      <c r="T98" s="7">
        <v>317833600</v>
      </c>
      <c r="U98" s="7">
        <v>318318600</v>
      </c>
      <c r="V98" s="7">
        <v>317876600</v>
      </c>
      <c r="W98" s="7">
        <v>317822800</v>
      </c>
      <c r="X98" s="7">
        <v>0</v>
      </c>
      <c r="Y98" s="7">
        <v>321358800</v>
      </c>
    </row>
    <row r="99" spans="1:25" x14ac:dyDescent="0.25">
      <c r="B99" s="7">
        <v>307397000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381446400</v>
      </c>
      <c r="L99" s="7">
        <v>384824600</v>
      </c>
      <c r="M99" s="7">
        <v>0</v>
      </c>
      <c r="N99" s="7">
        <v>156084400</v>
      </c>
      <c r="O99" s="7">
        <v>0</v>
      </c>
      <c r="P99" s="7">
        <v>381414300</v>
      </c>
      <c r="Q99" s="7">
        <v>387057000</v>
      </c>
      <c r="R99" s="7">
        <v>383844700</v>
      </c>
      <c r="S99" s="7">
        <v>223215800</v>
      </c>
      <c r="T99" s="7">
        <v>381397000</v>
      </c>
      <c r="U99" s="7">
        <v>382064300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286659700</v>
      </c>
      <c r="C100" s="7">
        <v>0</v>
      </c>
      <c r="D100" s="7">
        <v>447740800</v>
      </c>
      <c r="E100" s="7">
        <v>436196400</v>
      </c>
      <c r="F100" s="7">
        <v>457508000</v>
      </c>
      <c r="G100" s="7">
        <v>447888300</v>
      </c>
      <c r="H100" s="7">
        <v>0</v>
      </c>
      <c r="I100" s="7">
        <v>453692800</v>
      </c>
      <c r="J100" s="7">
        <v>446206300</v>
      </c>
      <c r="K100" s="7">
        <v>445010400</v>
      </c>
      <c r="L100" s="7">
        <v>416647100</v>
      </c>
      <c r="M100" s="7">
        <v>0</v>
      </c>
      <c r="N100" s="7">
        <v>144544100</v>
      </c>
      <c r="O100" s="7">
        <v>0</v>
      </c>
      <c r="P100" s="7">
        <v>444964300</v>
      </c>
      <c r="Q100" s="7">
        <v>395649100</v>
      </c>
      <c r="R100" s="7">
        <v>447799400</v>
      </c>
      <c r="S100" s="7">
        <v>192924900</v>
      </c>
      <c r="T100" s="7">
        <v>444936500</v>
      </c>
      <c r="U100" s="7">
        <v>434447400</v>
      </c>
      <c r="V100" s="7">
        <v>445153200</v>
      </c>
      <c r="W100" s="7">
        <v>444965100</v>
      </c>
      <c r="X100" s="7">
        <v>0</v>
      </c>
      <c r="Y100" s="7">
        <v>431362000</v>
      </c>
    </row>
    <row r="101" spans="1:25" x14ac:dyDescent="0.25">
      <c r="B101" s="7">
        <v>282435400</v>
      </c>
      <c r="C101" s="7">
        <v>0</v>
      </c>
      <c r="D101" s="7">
        <v>458971300</v>
      </c>
      <c r="E101" s="7">
        <v>457829600</v>
      </c>
      <c r="F101" s="7">
        <v>496124800</v>
      </c>
      <c r="G101" s="7">
        <v>477181400</v>
      </c>
      <c r="H101" s="7">
        <v>0</v>
      </c>
      <c r="I101" s="7">
        <v>481859100</v>
      </c>
      <c r="J101" s="7">
        <v>455482400</v>
      </c>
      <c r="K101" s="7">
        <v>470004100</v>
      </c>
      <c r="L101" s="7">
        <v>433914000</v>
      </c>
      <c r="M101" s="7">
        <v>0</v>
      </c>
      <c r="N101" s="7">
        <v>147508300</v>
      </c>
      <c r="O101" s="7">
        <v>0</v>
      </c>
      <c r="P101" s="7">
        <v>469315700</v>
      </c>
      <c r="Q101" s="7">
        <v>402217000</v>
      </c>
      <c r="R101" s="7">
        <v>477050600</v>
      </c>
      <c r="S101" s="7">
        <v>195295300</v>
      </c>
      <c r="T101" s="7">
        <v>488419400</v>
      </c>
      <c r="U101" s="7">
        <v>453383600</v>
      </c>
      <c r="V101" s="7">
        <v>462679300</v>
      </c>
      <c r="W101" s="7">
        <v>500227800</v>
      </c>
      <c r="X101" s="7">
        <v>6209637.1789999995</v>
      </c>
      <c r="Y101" s="7">
        <v>429318800</v>
      </c>
    </row>
    <row r="103" spans="1:25" ht="45" x14ac:dyDescent="0.25">
      <c r="A103" s="6" t="s">
        <v>49</v>
      </c>
      <c r="B103" s="7">
        <v>448192700</v>
      </c>
      <c r="C103" s="7">
        <v>445008500</v>
      </c>
      <c r="D103" s="7">
        <v>447740800</v>
      </c>
      <c r="E103" s="7">
        <v>446988800</v>
      </c>
      <c r="F103" s="7">
        <v>457510600</v>
      </c>
      <c r="G103" s="7">
        <v>447912900</v>
      </c>
      <c r="H103" s="7">
        <v>451024000</v>
      </c>
      <c r="I103" s="7">
        <v>453708700</v>
      </c>
      <c r="J103" s="7">
        <v>446217400</v>
      </c>
      <c r="K103" s="7">
        <v>445010400</v>
      </c>
      <c r="L103" s="7">
        <v>448962100</v>
      </c>
      <c r="M103" s="7">
        <v>452213700</v>
      </c>
      <c r="N103" s="7">
        <v>451596000</v>
      </c>
      <c r="O103" s="7">
        <v>445072100</v>
      </c>
      <c r="P103" s="7">
        <v>445009400</v>
      </c>
      <c r="Q103" s="7">
        <v>461638000</v>
      </c>
      <c r="R103" s="7">
        <v>447840100</v>
      </c>
      <c r="S103" s="7">
        <v>451168500</v>
      </c>
      <c r="T103" s="7">
        <v>444967000</v>
      </c>
      <c r="U103" s="7">
        <v>445646000</v>
      </c>
      <c r="V103" s="7">
        <v>445027200</v>
      </c>
      <c r="W103" s="7">
        <v>444951900</v>
      </c>
      <c r="X103" s="7">
        <v>446445800</v>
      </c>
      <c r="Y103" s="7">
        <v>449902400</v>
      </c>
    </row>
    <row r="104" spans="1:25" x14ac:dyDescent="0.25">
      <c r="B104" s="7">
        <v>384165200</v>
      </c>
      <c r="C104" s="7">
        <v>381435900</v>
      </c>
      <c r="D104" s="7">
        <v>383777900</v>
      </c>
      <c r="E104" s="7">
        <v>383133300</v>
      </c>
      <c r="F104" s="7">
        <v>392151900</v>
      </c>
      <c r="G104" s="7">
        <v>383925300</v>
      </c>
      <c r="H104" s="7">
        <v>386592000</v>
      </c>
      <c r="I104" s="7">
        <v>388893200</v>
      </c>
      <c r="J104" s="7">
        <v>382472000</v>
      </c>
      <c r="K104" s="7">
        <v>381437400</v>
      </c>
      <c r="L104" s="7">
        <v>384824600</v>
      </c>
      <c r="M104" s="7">
        <v>387611700</v>
      </c>
      <c r="N104" s="7">
        <v>387082300</v>
      </c>
      <c r="O104" s="7">
        <v>387663100</v>
      </c>
      <c r="P104" s="7">
        <v>381436700</v>
      </c>
      <c r="Q104" s="7">
        <v>395689700</v>
      </c>
      <c r="R104" s="7">
        <v>383862900</v>
      </c>
      <c r="S104" s="7">
        <v>386715800</v>
      </c>
      <c r="T104" s="7">
        <v>381400300</v>
      </c>
      <c r="U104" s="7">
        <v>381982300</v>
      </c>
      <c r="V104" s="7">
        <v>381451900</v>
      </c>
      <c r="W104" s="7">
        <v>381387400</v>
      </c>
      <c r="X104" s="7">
        <v>382667800</v>
      </c>
      <c r="Y104" s="7">
        <v>385630600</v>
      </c>
    </row>
    <row r="105" spans="1:25" x14ac:dyDescent="0.25">
      <c r="B105" s="7">
        <v>320137700</v>
      </c>
      <c r="C105" s="7">
        <v>365656300</v>
      </c>
      <c r="D105" s="7">
        <v>319814900</v>
      </c>
      <c r="E105" s="7">
        <v>319277700</v>
      </c>
      <c r="F105" s="7">
        <v>326793300</v>
      </c>
      <c r="G105" s="7">
        <v>319937800</v>
      </c>
      <c r="H105" s="7">
        <v>322160000</v>
      </c>
      <c r="I105" s="7">
        <v>324077700</v>
      </c>
      <c r="J105" s="7">
        <v>318726700</v>
      </c>
      <c r="K105" s="7">
        <v>317864500</v>
      </c>
      <c r="L105" s="7">
        <v>320687200</v>
      </c>
      <c r="M105" s="7">
        <v>323009800</v>
      </c>
      <c r="N105" s="7">
        <v>322568600</v>
      </c>
      <c r="O105" s="7">
        <v>373636300</v>
      </c>
      <c r="P105" s="7">
        <v>317863900</v>
      </c>
      <c r="Q105" s="7">
        <v>329741400</v>
      </c>
      <c r="R105" s="7">
        <v>319885800</v>
      </c>
      <c r="S105" s="7">
        <v>322263200</v>
      </c>
      <c r="T105" s="7">
        <v>317833600</v>
      </c>
      <c r="U105" s="7">
        <v>318318600</v>
      </c>
      <c r="V105" s="7">
        <v>317876600</v>
      </c>
      <c r="W105" s="7">
        <v>317822800</v>
      </c>
      <c r="X105" s="7">
        <v>318889900</v>
      </c>
      <c r="Y105" s="7">
        <v>321358800</v>
      </c>
    </row>
    <row r="106" spans="1:25" x14ac:dyDescent="0.25">
      <c r="B106" s="7">
        <v>256110100</v>
      </c>
      <c r="C106" s="7">
        <v>357770800</v>
      </c>
      <c r="D106" s="7">
        <v>255851900</v>
      </c>
      <c r="E106" s="7">
        <v>255422200</v>
      </c>
      <c r="F106" s="7">
        <v>261434600</v>
      </c>
      <c r="G106" s="7">
        <v>255950200</v>
      </c>
      <c r="H106" s="7">
        <v>257728000</v>
      </c>
      <c r="I106" s="7">
        <v>259262100</v>
      </c>
      <c r="J106" s="7">
        <v>254981400</v>
      </c>
      <c r="K106" s="7">
        <v>254291600</v>
      </c>
      <c r="L106" s="7">
        <v>256549700</v>
      </c>
      <c r="M106" s="7">
        <v>258407800</v>
      </c>
      <c r="N106" s="7">
        <v>258054900</v>
      </c>
      <c r="O106" s="7">
        <v>365474200</v>
      </c>
      <c r="P106" s="7">
        <v>254291100</v>
      </c>
      <c r="Q106" s="7">
        <v>263793100</v>
      </c>
      <c r="R106" s="7">
        <v>255908600</v>
      </c>
      <c r="S106" s="7">
        <v>257810500</v>
      </c>
      <c r="T106" s="7">
        <v>254266900</v>
      </c>
      <c r="U106" s="7">
        <v>254654800</v>
      </c>
      <c r="V106" s="7">
        <v>254301300</v>
      </c>
      <c r="W106" s="7">
        <v>254258200</v>
      </c>
      <c r="X106" s="7">
        <v>255111900</v>
      </c>
      <c r="Y106" s="7">
        <v>257087100</v>
      </c>
    </row>
    <row r="107" spans="1:25" x14ac:dyDescent="0.25">
      <c r="B107" s="7">
        <v>192082600</v>
      </c>
      <c r="C107" s="7">
        <v>347445200</v>
      </c>
      <c r="D107" s="7">
        <v>191888900</v>
      </c>
      <c r="E107" s="7">
        <v>191566600</v>
      </c>
      <c r="F107" s="7">
        <v>196076000</v>
      </c>
      <c r="G107" s="7">
        <v>191962700</v>
      </c>
      <c r="H107" s="7">
        <v>193296000</v>
      </c>
      <c r="I107" s="7">
        <v>194446600</v>
      </c>
      <c r="J107" s="7">
        <v>191236000</v>
      </c>
      <c r="K107" s="7">
        <v>190718700</v>
      </c>
      <c r="L107" s="7">
        <v>192412300</v>
      </c>
      <c r="M107" s="7">
        <v>193805900</v>
      </c>
      <c r="N107" s="7">
        <v>193541100</v>
      </c>
      <c r="O107" s="7">
        <v>357718200</v>
      </c>
      <c r="P107" s="7">
        <v>190718300</v>
      </c>
      <c r="Q107" s="7">
        <v>197844900</v>
      </c>
      <c r="R107" s="7">
        <v>191931500</v>
      </c>
      <c r="S107" s="7">
        <v>193357900</v>
      </c>
      <c r="T107" s="7">
        <v>190700200</v>
      </c>
      <c r="U107" s="7">
        <v>190991100</v>
      </c>
      <c r="V107" s="7">
        <v>190725900</v>
      </c>
      <c r="W107" s="7">
        <v>190693700</v>
      </c>
      <c r="X107" s="7">
        <v>191333900</v>
      </c>
      <c r="Y107" s="7">
        <v>192815300</v>
      </c>
    </row>
    <row r="108" spans="1:25" x14ac:dyDescent="0.25">
      <c r="B108" s="7">
        <v>128055100</v>
      </c>
      <c r="C108" s="7">
        <v>328016100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351760100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83003790</v>
      </c>
      <c r="C109" s="7">
        <v>300826900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81038550</v>
      </c>
      <c r="I109" s="7">
        <v>64815530</v>
      </c>
      <c r="J109" s="7">
        <v>63745340</v>
      </c>
      <c r="K109" s="7">
        <v>63572910</v>
      </c>
      <c r="L109" s="7">
        <v>75496970</v>
      </c>
      <c r="M109" s="7">
        <v>79721310</v>
      </c>
      <c r="N109" s="7">
        <v>78505450</v>
      </c>
      <c r="O109" s="7">
        <v>346888600</v>
      </c>
      <c r="P109" s="7">
        <v>63572780</v>
      </c>
      <c r="Q109" s="7">
        <v>116353500</v>
      </c>
      <c r="R109" s="7">
        <v>63977160</v>
      </c>
      <c r="S109" s="7">
        <v>85732290</v>
      </c>
      <c r="T109" s="7">
        <v>63566720</v>
      </c>
      <c r="U109" s="7">
        <v>79493710</v>
      </c>
      <c r="V109" s="7">
        <v>63575310</v>
      </c>
      <c r="W109" s="7">
        <v>63564560</v>
      </c>
      <c r="X109" s="7">
        <v>114406500</v>
      </c>
      <c r="Y109" s="7">
        <v>64271770</v>
      </c>
    </row>
    <row r="110" spans="1:25" x14ac:dyDescent="0.25">
      <c r="B110" s="7">
        <v>67798090</v>
      </c>
      <c r="C110" s="7">
        <v>256017700</v>
      </c>
      <c r="D110" s="7">
        <v>67418540</v>
      </c>
      <c r="E110" s="7">
        <v>47665230</v>
      </c>
      <c r="F110" s="7">
        <v>41077040</v>
      </c>
      <c r="G110" s="7">
        <v>52656900</v>
      </c>
      <c r="H110" s="7">
        <v>77441280</v>
      </c>
      <c r="I110" s="7">
        <v>52885320</v>
      </c>
      <c r="J110" s="7">
        <v>67342770</v>
      </c>
      <c r="K110" s="7">
        <v>54111010</v>
      </c>
      <c r="L110" s="7">
        <v>67429240</v>
      </c>
      <c r="M110" s="7">
        <v>73393230</v>
      </c>
      <c r="N110" s="7">
        <v>71013670</v>
      </c>
      <c r="O110" s="7">
        <v>342360600</v>
      </c>
      <c r="P110" s="7">
        <v>42572760</v>
      </c>
      <c r="Q110" s="7">
        <v>105326400</v>
      </c>
      <c r="R110" s="7">
        <v>50972650</v>
      </c>
      <c r="S110" s="7">
        <v>78723210</v>
      </c>
      <c r="T110" s="7">
        <v>31271580</v>
      </c>
      <c r="U110" s="7">
        <v>77649540</v>
      </c>
      <c r="V110" s="7">
        <v>57171560</v>
      </c>
      <c r="W110" s="7">
        <v>21544270</v>
      </c>
      <c r="X110" s="7">
        <v>103299800</v>
      </c>
      <c r="Y110" s="7">
        <v>45440120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H102" s="1"/>
      <c r="M102" s="1"/>
      <c r="O102" s="1"/>
      <c r="X102" s="1"/>
    </row>
    <row r="103" spans="2:25" x14ac:dyDescent="0.25">
      <c r="C103" s="1"/>
      <c r="H103" s="1"/>
      <c r="M103" s="1"/>
      <c r="O103" s="1"/>
      <c r="X103" s="1"/>
    </row>
    <row r="104" spans="2:25" x14ac:dyDescent="0.25">
      <c r="C104" s="1"/>
      <c r="H104" s="1"/>
      <c r="M104" s="1"/>
      <c r="N104" s="1"/>
      <c r="O104" s="1"/>
      <c r="S104" s="1"/>
      <c r="X104" s="1"/>
    </row>
    <row r="105" spans="2:25" x14ac:dyDescent="0.25">
      <c r="C105" s="1"/>
      <c r="H105" s="1"/>
      <c r="M105" s="1"/>
      <c r="N105" s="1"/>
      <c r="O105" s="1"/>
      <c r="S105" s="1"/>
      <c r="X105" s="1"/>
    </row>
    <row r="106" spans="2:25" x14ac:dyDescent="0.25">
      <c r="B106" s="1"/>
      <c r="C106" s="1"/>
      <c r="H106" s="1"/>
      <c r="M106" s="1"/>
      <c r="N106" s="1"/>
      <c r="O106" s="1"/>
      <c r="S106" s="1"/>
      <c r="X106" s="1"/>
    </row>
    <row r="107" spans="2:25" x14ac:dyDescent="0.25">
      <c r="B107" s="1"/>
      <c r="C107" s="1"/>
      <c r="H107" s="1"/>
      <c r="M107" s="1"/>
      <c r="N107" s="1"/>
      <c r="O107" s="1"/>
      <c r="P107" s="1"/>
      <c r="S107" s="1"/>
      <c r="X107" s="1"/>
    </row>
    <row r="108" spans="2:25" x14ac:dyDescent="0.25">
      <c r="B108" s="1"/>
      <c r="C108" s="1"/>
      <c r="E108" s="1"/>
      <c r="H108" s="1"/>
      <c r="L108" s="1"/>
      <c r="M108" s="1"/>
      <c r="N108" s="1"/>
      <c r="O108" s="1"/>
      <c r="Q108" s="1"/>
      <c r="S108" s="1"/>
      <c r="X108" s="1"/>
      <c r="Y108" s="1"/>
    </row>
    <row r="109" spans="2:25" x14ac:dyDescent="0.25">
      <c r="B109" s="1"/>
      <c r="C109" s="1"/>
      <c r="E109" s="1"/>
      <c r="H109" s="1"/>
      <c r="L109" s="1"/>
      <c r="M109" s="1"/>
      <c r="N109" s="1"/>
      <c r="O109" s="1"/>
      <c r="P109" s="1"/>
      <c r="Q109" s="1"/>
      <c r="R109" s="1"/>
      <c r="S109" s="1"/>
      <c r="V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B5/'Output-Calculation-sheet'!B4*'Output-Calculation-sheet'!#REF!</f>
        <v>#REF!</v>
      </c>
      <c r="C115" s="2" t="e">
        <f>C5/'Output-Calculation-sheet'!C4*'Output-Calculation-sheet'!#REF!</f>
        <v>#REF!</v>
      </c>
      <c r="D115" s="2" t="e">
        <f>D5/'Output-Calculation-sheet'!D4*'Output-Calculation-sheet'!#REF!</f>
        <v>#REF!</v>
      </c>
      <c r="E115" s="2" t="e">
        <f>E5/'Output-Calculation-sheet'!E4*'Output-Calculation-sheet'!#REF!</f>
        <v>#REF!</v>
      </c>
      <c r="F115" s="2" t="e">
        <f>F5/'Output-Calculation-sheet'!F4*'Output-Calculation-sheet'!#REF!</f>
        <v>#REF!</v>
      </c>
      <c r="G115" s="2" t="e">
        <f>G5/'Output-Calculation-sheet'!G4*'Output-Calculation-sheet'!#REF!</f>
        <v>#REF!</v>
      </c>
      <c r="H115" s="2" t="e">
        <f>H5/'Output-Calculation-sheet'!H4*'Output-Calculation-sheet'!#REF!</f>
        <v>#REF!</v>
      </c>
      <c r="I115" s="2" t="e">
        <f>I5/'Output-Calculation-sheet'!I4*'Output-Calculation-sheet'!#REF!</f>
        <v>#REF!</v>
      </c>
      <c r="J115" s="2" t="e">
        <f>J5/'Output-Calculation-sheet'!J4*'Output-Calculation-sheet'!#REF!</f>
        <v>#REF!</v>
      </c>
      <c r="K115" s="2" t="e">
        <f>K5/'Output-Calculation-sheet'!K4*'Output-Calculation-sheet'!#REF!</f>
        <v>#REF!</v>
      </c>
      <c r="L115" s="2" t="e">
        <f>L5/'Output-Calculation-sheet'!L4*'Output-Calculation-sheet'!#REF!</f>
        <v>#REF!</v>
      </c>
      <c r="M115" s="2" t="e">
        <f>M5/'Output-Calculation-sheet'!M4*'Output-Calculation-sheet'!#REF!</f>
        <v>#REF!</v>
      </c>
      <c r="N115" s="2" t="e">
        <f>N5/'Output-Calculation-sheet'!N4*'Output-Calculation-sheet'!#REF!</f>
        <v>#REF!</v>
      </c>
      <c r="O115" s="2" t="e">
        <f>O5/'Output-Calculation-sheet'!O4*'Output-Calculation-sheet'!#REF!</f>
        <v>#REF!</v>
      </c>
      <c r="P115" s="2" t="e">
        <f>P5/'Output-Calculation-sheet'!P4*'Output-Calculation-sheet'!#REF!</f>
        <v>#REF!</v>
      </c>
      <c r="Q115" s="2" t="e">
        <f>Q5/'Output-Calculation-sheet'!Q4*'Output-Calculation-sheet'!#REF!</f>
        <v>#REF!</v>
      </c>
      <c r="R115" s="2" t="e">
        <f>R5/'Output-Calculation-sheet'!R4*'Output-Calculation-sheet'!#REF!</f>
        <v>#REF!</v>
      </c>
      <c r="S115" s="2" t="e">
        <f>S5/'Output-Calculation-sheet'!S4*'Output-Calculation-sheet'!#REF!</f>
        <v>#REF!</v>
      </c>
      <c r="T115" s="2" t="e">
        <f>T5/'Output-Calculation-sheet'!T4*'Output-Calculation-sheet'!#REF!</f>
        <v>#REF!</v>
      </c>
      <c r="U115" s="2" t="e">
        <f>U5/'Output-Calculation-sheet'!U4*'Output-Calculation-sheet'!#REF!</f>
        <v>#REF!</v>
      </c>
      <c r="V115" s="2" t="e">
        <f>V5/'Output-Calculation-sheet'!V4*'Output-Calculation-sheet'!#REF!</f>
        <v>#REF!</v>
      </c>
      <c r="W115" s="2" t="e">
        <f>W5/'Output-Calculation-sheet'!W4*'Output-Calculation-sheet'!#REF!</f>
        <v>#REF!</v>
      </c>
      <c r="X115" s="2" t="e">
        <f>X5/'Output-Calculation-sheet'!X4*'Output-Calculation-sheet'!#REF!</f>
        <v>#REF!</v>
      </c>
      <c r="Y115" s="2" t="e">
        <f>Y5/'Output-Calculation-sheet'!Y4*'Output-Calculation-sheet'!#REF!</f>
        <v>#REF!</v>
      </c>
      <c r="AA115" s="2" t="e">
        <f>SUM(B115:Y115)/10^6</f>
        <v>#REF!</v>
      </c>
    </row>
    <row r="116" spans="1:27" x14ac:dyDescent="0.25">
      <c r="A116" s="2">
        <v>2029</v>
      </c>
      <c r="B116" s="2" t="e">
        <f>B6/'Output-Calculation-sheet'!B5*'Output-Calculation-sheet'!#REF!</f>
        <v>#REF!</v>
      </c>
      <c r="C116" s="2" t="e">
        <f>C6/'Output-Calculation-sheet'!C5*'Output-Calculation-sheet'!#REF!</f>
        <v>#REF!</v>
      </c>
      <c r="D116" s="2" t="e">
        <f>D6/'Output-Calculation-sheet'!D5*'Output-Calculation-sheet'!#REF!</f>
        <v>#REF!</v>
      </c>
      <c r="E116" s="2" t="e">
        <f>E6/'Output-Calculation-sheet'!E5*'Output-Calculation-sheet'!#REF!</f>
        <v>#REF!</v>
      </c>
      <c r="F116" s="2" t="e">
        <f>F6/'Output-Calculation-sheet'!F5*'Output-Calculation-sheet'!#REF!</f>
        <v>#REF!</v>
      </c>
      <c r="G116" s="2" t="e">
        <f>G6/'Output-Calculation-sheet'!G5*'Output-Calculation-sheet'!#REF!</f>
        <v>#REF!</v>
      </c>
      <c r="H116" s="2" t="e">
        <f>H6/'Output-Calculation-sheet'!H5*'Output-Calculation-sheet'!#REF!</f>
        <v>#REF!</v>
      </c>
      <c r="I116" s="2" t="e">
        <f>I6/'Output-Calculation-sheet'!I5*'Output-Calculation-sheet'!#REF!</f>
        <v>#REF!</v>
      </c>
      <c r="J116" s="2" t="e">
        <f>J6/'Output-Calculation-sheet'!J5*'Output-Calculation-sheet'!#REF!</f>
        <v>#REF!</v>
      </c>
      <c r="K116" s="2" t="e">
        <f>K6/'Output-Calculation-sheet'!K5*'Output-Calculation-sheet'!#REF!</f>
        <v>#REF!</v>
      </c>
      <c r="L116" s="2" t="e">
        <f>L6/'Output-Calculation-sheet'!L5*'Output-Calculation-sheet'!#REF!</f>
        <v>#REF!</v>
      </c>
      <c r="M116" s="2" t="e">
        <f>M6/'Output-Calculation-sheet'!M5*'Output-Calculation-sheet'!#REF!</f>
        <v>#REF!</v>
      </c>
      <c r="N116" s="2" t="e">
        <f>N6/'Output-Calculation-sheet'!N5*'Output-Calculation-sheet'!#REF!</f>
        <v>#REF!</v>
      </c>
      <c r="O116" s="2" t="e">
        <f>O6/'Output-Calculation-sheet'!O5*'Output-Calculation-sheet'!#REF!</f>
        <v>#REF!</v>
      </c>
      <c r="P116" s="2" t="e">
        <f>P6/'Output-Calculation-sheet'!P5*'Output-Calculation-sheet'!#REF!</f>
        <v>#REF!</v>
      </c>
      <c r="Q116" s="2" t="e">
        <f>Q6/'Output-Calculation-sheet'!Q5*'Output-Calculation-sheet'!#REF!</f>
        <v>#REF!</v>
      </c>
      <c r="R116" s="2" t="e">
        <f>R6/'Output-Calculation-sheet'!R5*'Output-Calculation-sheet'!#REF!</f>
        <v>#REF!</v>
      </c>
      <c r="S116" s="2" t="e">
        <f>S6/'Output-Calculation-sheet'!S5*'Output-Calculation-sheet'!#REF!</f>
        <v>#REF!</v>
      </c>
      <c r="T116" s="2" t="e">
        <f>T6/'Output-Calculation-sheet'!T5*'Output-Calculation-sheet'!#REF!</f>
        <v>#REF!</v>
      </c>
      <c r="U116" s="2" t="e">
        <f>U6/'Output-Calculation-sheet'!U5*'Output-Calculation-sheet'!#REF!</f>
        <v>#REF!</v>
      </c>
      <c r="V116" s="2" t="e">
        <f>V6/'Output-Calculation-sheet'!V5*'Output-Calculation-sheet'!#REF!</f>
        <v>#REF!</v>
      </c>
      <c r="W116" s="2" t="e">
        <f>W6/'Output-Calculation-sheet'!W5*'Output-Calculation-sheet'!#REF!</f>
        <v>#REF!</v>
      </c>
      <c r="X116" s="2" t="e">
        <f>X6/'Output-Calculation-sheet'!X5*'Output-Calculation-sheet'!#REF!</f>
        <v>#REF!</v>
      </c>
      <c r="Y116" s="2" t="e">
        <f>Y6/'Output-Calculation-sheet'!Y5*'Output-Calculation-sheet'!#REF!</f>
        <v>#REF!</v>
      </c>
      <c r="AA116" s="2" t="e">
        <f t="shared" ref="AA116:AA122" si="9">SUM(B116:Y116)/10^6</f>
        <v>#REF!</v>
      </c>
    </row>
    <row r="117" spans="1:27" x14ac:dyDescent="0.25">
      <c r="A117" s="2">
        <v>2030</v>
      </c>
      <c r="B117" s="2" t="e">
        <f>B7/'Output-Calculation-sheet'!B6*'Output-Calculation-sheet'!#REF!</f>
        <v>#REF!</v>
      </c>
      <c r="C117" s="2" t="e">
        <f>C7/'Output-Calculation-sheet'!C6*'Output-Calculation-sheet'!#REF!</f>
        <v>#REF!</v>
      </c>
      <c r="D117" s="2" t="e">
        <f>D7/'Output-Calculation-sheet'!D6*'Output-Calculation-sheet'!#REF!</f>
        <v>#REF!</v>
      </c>
      <c r="E117" s="2" t="e">
        <f>E7/'Output-Calculation-sheet'!E6*'Output-Calculation-sheet'!#REF!</f>
        <v>#REF!</v>
      </c>
      <c r="F117" s="2" t="e">
        <f>F7/'Output-Calculation-sheet'!F6*'Output-Calculation-sheet'!#REF!</f>
        <v>#REF!</v>
      </c>
      <c r="G117" s="2" t="e">
        <f>G7/'Output-Calculation-sheet'!G6*'Output-Calculation-sheet'!#REF!</f>
        <v>#REF!</v>
      </c>
      <c r="H117" s="2" t="e">
        <f>H7/'Output-Calculation-sheet'!H6*'Output-Calculation-sheet'!#REF!</f>
        <v>#REF!</v>
      </c>
      <c r="I117" s="2" t="e">
        <f>I7/'Output-Calculation-sheet'!I6*'Output-Calculation-sheet'!#REF!</f>
        <v>#REF!</v>
      </c>
      <c r="J117" s="2" t="e">
        <f>J7/'Output-Calculation-sheet'!J6*'Output-Calculation-sheet'!#REF!</f>
        <v>#REF!</v>
      </c>
      <c r="K117" s="2" t="e">
        <f>K7/'Output-Calculation-sheet'!K6*'Output-Calculation-sheet'!#REF!</f>
        <v>#REF!</v>
      </c>
      <c r="L117" s="2" t="e">
        <f>L7/'Output-Calculation-sheet'!L6*'Output-Calculation-sheet'!#REF!</f>
        <v>#REF!</v>
      </c>
      <c r="M117" s="2" t="e">
        <f>M7/'Output-Calculation-sheet'!M6*'Output-Calculation-sheet'!#REF!</f>
        <v>#REF!</v>
      </c>
      <c r="N117" s="2" t="e">
        <f>N7/'Output-Calculation-sheet'!N6*'Output-Calculation-sheet'!#REF!</f>
        <v>#REF!</v>
      </c>
      <c r="O117" s="2" t="e">
        <f>O7/'Output-Calculation-sheet'!O6*'Output-Calculation-sheet'!#REF!</f>
        <v>#REF!</v>
      </c>
      <c r="P117" s="2" t="e">
        <f>P7/'Output-Calculation-sheet'!P6*'Output-Calculation-sheet'!#REF!</f>
        <v>#REF!</v>
      </c>
      <c r="Q117" s="2" t="e">
        <f>Q7/'Output-Calculation-sheet'!Q6*'Output-Calculation-sheet'!#REF!</f>
        <v>#REF!</v>
      </c>
      <c r="R117" s="2" t="e">
        <f>R7/'Output-Calculation-sheet'!R6*'Output-Calculation-sheet'!#REF!</f>
        <v>#REF!</v>
      </c>
      <c r="S117" s="2" t="e">
        <f>S7/'Output-Calculation-sheet'!S6*'Output-Calculation-sheet'!#REF!</f>
        <v>#REF!</v>
      </c>
      <c r="T117" s="2" t="e">
        <f>T7/'Output-Calculation-sheet'!T6*'Output-Calculation-sheet'!#REF!</f>
        <v>#REF!</v>
      </c>
      <c r="U117" s="2" t="e">
        <f>U7/'Output-Calculation-sheet'!U6*'Output-Calculation-sheet'!#REF!</f>
        <v>#REF!</v>
      </c>
      <c r="V117" s="2" t="e">
        <f>V7/'Output-Calculation-sheet'!V6*'Output-Calculation-sheet'!#REF!</f>
        <v>#REF!</v>
      </c>
      <c r="W117" s="2" t="e">
        <f>W7/'Output-Calculation-sheet'!W6*'Output-Calculation-sheet'!#REF!</f>
        <v>#REF!</v>
      </c>
      <c r="X117" s="2" t="e">
        <f>X7/'Output-Calculation-sheet'!X6*'Output-Calculation-sheet'!#REF!</f>
        <v>#REF!</v>
      </c>
      <c r="Y117" s="2" t="e">
        <f>Y7/'Output-Calculation-sheet'!Y6*'Output-Calculation-sheet'!#REF!</f>
        <v>#REF!</v>
      </c>
      <c r="AA117" s="2" t="e">
        <f t="shared" si="9"/>
        <v>#REF!</v>
      </c>
    </row>
    <row r="118" spans="1:27" x14ac:dyDescent="0.25">
      <c r="A118" s="2">
        <v>2031</v>
      </c>
      <c r="B118" s="2" t="e">
        <f>B8/'Output-Calculation-sheet'!B7*'Output-Calculation-sheet'!#REF!</f>
        <v>#REF!</v>
      </c>
      <c r="C118" s="2" t="e">
        <f>C8/'Output-Calculation-sheet'!C7*'Output-Calculation-sheet'!#REF!</f>
        <v>#REF!</v>
      </c>
      <c r="D118" s="2" t="e">
        <f>D8/'Output-Calculation-sheet'!D7*'Output-Calculation-sheet'!#REF!</f>
        <v>#REF!</v>
      </c>
      <c r="E118" s="2" t="e">
        <f>E8/'Output-Calculation-sheet'!E7*'Output-Calculation-sheet'!#REF!</f>
        <v>#REF!</v>
      </c>
      <c r="F118" s="2" t="e">
        <f>F8/'Output-Calculation-sheet'!F7*'Output-Calculation-sheet'!#REF!</f>
        <v>#REF!</v>
      </c>
      <c r="G118" s="2" t="e">
        <f>G8/'Output-Calculation-sheet'!G7*'Output-Calculation-sheet'!#REF!</f>
        <v>#REF!</v>
      </c>
      <c r="H118" s="2" t="e">
        <f>H8/'Output-Calculation-sheet'!H7*'Output-Calculation-sheet'!#REF!</f>
        <v>#REF!</v>
      </c>
      <c r="I118" s="2" t="e">
        <f>I8/'Output-Calculation-sheet'!I7*'Output-Calculation-sheet'!#REF!</f>
        <v>#REF!</v>
      </c>
      <c r="J118" s="2" t="e">
        <f>J8/'Output-Calculation-sheet'!J7*'Output-Calculation-sheet'!#REF!</f>
        <v>#REF!</v>
      </c>
      <c r="K118" s="2" t="e">
        <f>K8/'Output-Calculation-sheet'!K7*'Output-Calculation-sheet'!#REF!</f>
        <v>#REF!</v>
      </c>
      <c r="L118" s="2" t="e">
        <f>L8/'Output-Calculation-sheet'!L7*'Output-Calculation-sheet'!#REF!</f>
        <v>#REF!</v>
      </c>
      <c r="M118" s="2" t="e">
        <f>M8/'Output-Calculation-sheet'!M7*'Output-Calculation-sheet'!#REF!</f>
        <v>#REF!</v>
      </c>
      <c r="N118" s="2" t="e">
        <f>N8/'Output-Calculation-sheet'!N7*'Output-Calculation-sheet'!#REF!</f>
        <v>#REF!</v>
      </c>
      <c r="O118" s="2" t="e">
        <f>O8/'Output-Calculation-sheet'!O7*'Output-Calculation-sheet'!#REF!</f>
        <v>#REF!</v>
      </c>
      <c r="P118" s="2" t="e">
        <f>P8/'Output-Calculation-sheet'!P7*'Output-Calculation-sheet'!#REF!</f>
        <v>#REF!</v>
      </c>
      <c r="Q118" s="2" t="e">
        <f>Q8/'Output-Calculation-sheet'!Q7*'Output-Calculation-sheet'!#REF!</f>
        <v>#REF!</v>
      </c>
      <c r="R118" s="2" t="e">
        <f>R8/'Output-Calculation-sheet'!R7*'Output-Calculation-sheet'!#REF!</f>
        <v>#REF!</v>
      </c>
      <c r="S118" s="2" t="e">
        <f>S8/'Output-Calculation-sheet'!S7*'Output-Calculation-sheet'!#REF!</f>
        <v>#REF!</v>
      </c>
      <c r="T118" s="2" t="e">
        <f>T8/'Output-Calculation-sheet'!T7*'Output-Calculation-sheet'!#REF!</f>
        <v>#REF!</v>
      </c>
      <c r="U118" s="2" t="e">
        <f>U8/'Output-Calculation-sheet'!U7*'Output-Calculation-sheet'!#REF!</f>
        <v>#REF!</v>
      </c>
      <c r="V118" s="2" t="e">
        <f>V8/'Output-Calculation-sheet'!V7*'Output-Calculation-sheet'!#REF!</f>
        <v>#REF!</v>
      </c>
      <c r="W118" s="2" t="e">
        <f>W8/'Output-Calculation-sheet'!W7*'Output-Calculation-sheet'!#REF!</f>
        <v>#REF!</v>
      </c>
      <c r="X118" s="2" t="e">
        <f>X8/'Output-Calculation-sheet'!X7*'Output-Calculation-sheet'!#REF!</f>
        <v>#REF!</v>
      </c>
      <c r="Y118" s="2" t="e">
        <f>Y8/'Output-Calculation-sheet'!Y7*'Output-Calculation-sheet'!#REF!</f>
        <v>#REF!</v>
      </c>
      <c r="AA118" s="2" t="e">
        <f t="shared" si="9"/>
        <v>#REF!</v>
      </c>
    </row>
    <row r="119" spans="1:27" x14ac:dyDescent="0.25">
      <c r="A119" s="2">
        <v>2032</v>
      </c>
      <c r="B119" s="2" t="e">
        <f>B9/'Output-Calculation-sheet'!B8*'Output-Calculation-sheet'!#REF!</f>
        <v>#REF!</v>
      </c>
      <c r="C119" s="2" t="e">
        <f>C9/'Output-Calculation-sheet'!C8*'Output-Calculation-sheet'!#REF!</f>
        <v>#REF!</v>
      </c>
      <c r="D119" s="2" t="e">
        <f>D9/'Output-Calculation-sheet'!D8*'Output-Calculation-sheet'!#REF!</f>
        <v>#REF!</v>
      </c>
      <c r="E119" s="2" t="e">
        <f>E9/'Output-Calculation-sheet'!E8*'Output-Calculation-sheet'!#REF!</f>
        <v>#REF!</v>
      </c>
      <c r="F119" s="2" t="e">
        <f>F9/'Output-Calculation-sheet'!F8*'Output-Calculation-sheet'!#REF!</f>
        <v>#REF!</v>
      </c>
      <c r="G119" s="2" t="e">
        <f>G9/'Output-Calculation-sheet'!G8*'Output-Calculation-sheet'!#REF!</f>
        <v>#REF!</v>
      </c>
      <c r="H119" s="2" t="e">
        <f>H9/'Output-Calculation-sheet'!H8*'Output-Calculation-sheet'!#REF!</f>
        <v>#REF!</v>
      </c>
      <c r="I119" s="2" t="e">
        <f>I9/'Output-Calculation-sheet'!I8*'Output-Calculation-sheet'!#REF!</f>
        <v>#REF!</v>
      </c>
      <c r="J119" s="2" t="e">
        <f>J9/'Output-Calculation-sheet'!J8*'Output-Calculation-sheet'!#REF!</f>
        <v>#REF!</v>
      </c>
      <c r="K119" s="2" t="e">
        <f>K9/'Output-Calculation-sheet'!K8*'Output-Calculation-sheet'!#REF!</f>
        <v>#REF!</v>
      </c>
      <c r="L119" s="2" t="e">
        <f>L9/'Output-Calculation-sheet'!L8*'Output-Calculation-sheet'!#REF!</f>
        <v>#REF!</v>
      </c>
      <c r="M119" s="2" t="e">
        <f>M9/'Output-Calculation-sheet'!M8*'Output-Calculation-sheet'!#REF!</f>
        <v>#REF!</v>
      </c>
      <c r="N119" s="2" t="e">
        <f>N9/'Output-Calculation-sheet'!N8*'Output-Calculation-sheet'!#REF!</f>
        <v>#REF!</v>
      </c>
      <c r="O119" s="2" t="e">
        <f>O9/'Output-Calculation-sheet'!O8*'Output-Calculation-sheet'!#REF!</f>
        <v>#REF!</v>
      </c>
      <c r="P119" s="2" t="e">
        <f>P9/'Output-Calculation-sheet'!P8*'Output-Calculation-sheet'!#REF!</f>
        <v>#REF!</v>
      </c>
      <c r="Q119" s="2" t="e">
        <f>Q9/'Output-Calculation-sheet'!Q8*'Output-Calculation-sheet'!#REF!</f>
        <v>#REF!</v>
      </c>
      <c r="R119" s="2" t="e">
        <f>R9/'Output-Calculation-sheet'!R8*'Output-Calculation-sheet'!#REF!</f>
        <v>#REF!</v>
      </c>
      <c r="S119" s="2" t="e">
        <f>S9/'Output-Calculation-sheet'!S8*'Output-Calculation-sheet'!#REF!</f>
        <v>#REF!</v>
      </c>
      <c r="T119" s="2" t="e">
        <f>T9/'Output-Calculation-sheet'!T8*'Output-Calculation-sheet'!#REF!</f>
        <v>#REF!</v>
      </c>
      <c r="U119" s="2" t="e">
        <f>U9/'Output-Calculation-sheet'!U8*'Output-Calculation-sheet'!#REF!</f>
        <v>#REF!</v>
      </c>
      <c r="V119" s="2" t="e">
        <f>V9/'Output-Calculation-sheet'!V8*'Output-Calculation-sheet'!#REF!</f>
        <v>#REF!</v>
      </c>
      <c r="W119" s="2" t="e">
        <f>W9/'Output-Calculation-sheet'!W8*'Output-Calculation-sheet'!#REF!</f>
        <v>#REF!</v>
      </c>
      <c r="X119" s="2" t="e">
        <f>X9/'Output-Calculation-sheet'!X8*'Output-Calculation-sheet'!#REF!</f>
        <v>#REF!</v>
      </c>
      <c r="Y119" s="2" t="e">
        <f>Y9/'Output-Calculation-sheet'!Y8*'Output-Calculation-sheet'!#REF!</f>
        <v>#REF!</v>
      </c>
      <c r="AA119" s="2" t="e">
        <f t="shared" si="9"/>
        <v>#REF!</v>
      </c>
    </row>
    <row r="120" spans="1:27" x14ac:dyDescent="0.25">
      <c r="A120" s="2">
        <v>2033</v>
      </c>
      <c r="B120" s="2" t="e">
        <f>B10/'Output-Calculation-sheet'!B9*'Output-Calculation-sheet'!#REF!</f>
        <v>#REF!</v>
      </c>
      <c r="C120" s="2" t="e">
        <f>C10/'Output-Calculation-sheet'!C9*'Output-Calculation-sheet'!#REF!</f>
        <v>#REF!</v>
      </c>
      <c r="D120" s="2" t="e">
        <f>D10/'Output-Calculation-sheet'!D9*'Output-Calculation-sheet'!#REF!</f>
        <v>#REF!</v>
      </c>
      <c r="E120" s="2" t="e">
        <f>E10/'Output-Calculation-sheet'!E9*'Output-Calculation-sheet'!#REF!</f>
        <v>#REF!</v>
      </c>
      <c r="F120" s="2" t="e">
        <f>F10/'Output-Calculation-sheet'!F9*'Output-Calculation-sheet'!#REF!</f>
        <v>#REF!</v>
      </c>
      <c r="G120" s="2" t="e">
        <f>G10/'Output-Calculation-sheet'!G9*'Output-Calculation-sheet'!#REF!</f>
        <v>#REF!</v>
      </c>
      <c r="H120" s="2" t="e">
        <f>H10/'Output-Calculation-sheet'!H9*'Output-Calculation-sheet'!#REF!</f>
        <v>#REF!</v>
      </c>
      <c r="I120" s="2" t="e">
        <f>I10/'Output-Calculation-sheet'!I9*'Output-Calculation-sheet'!#REF!</f>
        <v>#REF!</v>
      </c>
      <c r="J120" s="2" t="e">
        <f>J10/'Output-Calculation-sheet'!J9*'Output-Calculation-sheet'!#REF!</f>
        <v>#REF!</v>
      </c>
      <c r="K120" s="2" t="e">
        <f>K10/'Output-Calculation-sheet'!K9*'Output-Calculation-sheet'!#REF!</f>
        <v>#REF!</v>
      </c>
      <c r="L120" s="2" t="e">
        <f>L10/'Output-Calculation-sheet'!L9*'Output-Calculation-sheet'!#REF!</f>
        <v>#REF!</v>
      </c>
      <c r="M120" s="2" t="e">
        <f>M10/'Output-Calculation-sheet'!M9*'Output-Calculation-sheet'!#REF!</f>
        <v>#REF!</v>
      </c>
      <c r="N120" s="2" t="e">
        <f>N10/'Output-Calculation-sheet'!N9*'Output-Calculation-sheet'!#REF!</f>
        <v>#REF!</v>
      </c>
      <c r="O120" s="2" t="e">
        <f>O10/'Output-Calculation-sheet'!O9*'Output-Calculation-sheet'!#REF!</f>
        <v>#REF!</v>
      </c>
      <c r="P120" s="2" t="e">
        <f>P10/'Output-Calculation-sheet'!P9*'Output-Calculation-sheet'!#REF!</f>
        <v>#REF!</v>
      </c>
      <c r="Q120" s="2" t="e">
        <f>Q10/'Output-Calculation-sheet'!Q9*'Output-Calculation-sheet'!#REF!</f>
        <v>#REF!</v>
      </c>
      <c r="R120" s="2" t="e">
        <f>R10/'Output-Calculation-sheet'!R9*'Output-Calculation-sheet'!#REF!</f>
        <v>#REF!</v>
      </c>
      <c r="S120" s="2" t="e">
        <f>S10/'Output-Calculation-sheet'!S9*'Output-Calculation-sheet'!#REF!</f>
        <v>#REF!</v>
      </c>
      <c r="T120" s="2" t="e">
        <f>T10/'Output-Calculation-sheet'!T9*'Output-Calculation-sheet'!#REF!</f>
        <v>#REF!</v>
      </c>
      <c r="U120" s="2" t="e">
        <f>U10/'Output-Calculation-sheet'!U9*'Output-Calculation-sheet'!#REF!</f>
        <v>#REF!</v>
      </c>
      <c r="V120" s="2" t="e">
        <f>V10/'Output-Calculation-sheet'!V9*'Output-Calculation-sheet'!#REF!</f>
        <v>#REF!</v>
      </c>
      <c r="W120" s="2" t="e">
        <f>W10/'Output-Calculation-sheet'!W9*'Output-Calculation-sheet'!#REF!</f>
        <v>#REF!</v>
      </c>
      <c r="X120" s="2" t="e">
        <f>X10/'Output-Calculation-sheet'!X9*'Output-Calculation-sheet'!#REF!</f>
        <v>#REF!</v>
      </c>
      <c r="Y120" s="2" t="e">
        <f>Y10/'Output-Calculation-sheet'!Y9*'Output-Calculation-sheet'!#REF!</f>
        <v>#REF!</v>
      </c>
      <c r="AA120" s="2" t="e">
        <f t="shared" si="9"/>
        <v>#REF!</v>
      </c>
    </row>
    <row r="121" spans="1:27" x14ac:dyDescent="0.25">
      <c r="A121" s="2">
        <v>2034</v>
      </c>
      <c r="B121" s="2" t="e">
        <f>B11/'Output-Calculation-sheet'!B10*'Output-Calculation-sheet'!#REF!</f>
        <v>#REF!</v>
      </c>
      <c r="C121" s="2" t="e">
        <f>C11/'Output-Calculation-sheet'!C10*'Output-Calculation-sheet'!#REF!</f>
        <v>#REF!</v>
      </c>
      <c r="D121" s="2" t="e">
        <f>D11/'Output-Calculation-sheet'!D10*'Output-Calculation-sheet'!#REF!</f>
        <v>#REF!</v>
      </c>
      <c r="E121" s="2" t="e">
        <f>E11/'Output-Calculation-sheet'!E10*'Output-Calculation-sheet'!#REF!</f>
        <v>#REF!</v>
      </c>
      <c r="F121" s="2" t="e">
        <f>F11/'Output-Calculation-sheet'!F10*'Output-Calculation-sheet'!#REF!</f>
        <v>#REF!</v>
      </c>
      <c r="G121" s="2" t="e">
        <f>G11/'Output-Calculation-sheet'!G10*'Output-Calculation-sheet'!#REF!</f>
        <v>#REF!</v>
      </c>
      <c r="H121" s="2" t="e">
        <f>H11/'Output-Calculation-sheet'!H10*'Output-Calculation-sheet'!#REF!</f>
        <v>#REF!</v>
      </c>
      <c r="I121" s="2" t="e">
        <f>I11/'Output-Calculation-sheet'!I10*'Output-Calculation-sheet'!#REF!</f>
        <v>#REF!</v>
      </c>
      <c r="J121" s="2" t="e">
        <f>J11/'Output-Calculation-sheet'!J10*'Output-Calculation-sheet'!#REF!</f>
        <v>#REF!</v>
      </c>
      <c r="K121" s="2" t="e">
        <f>K11/'Output-Calculation-sheet'!K10*'Output-Calculation-sheet'!#REF!</f>
        <v>#REF!</v>
      </c>
      <c r="L121" s="2" t="e">
        <f>L11/'Output-Calculation-sheet'!L10*'Output-Calculation-sheet'!#REF!</f>
        <v>#REF!</v>
      </c>
      <c r="M121" s="2" t="e">
        <f>M11/'Output-Calculation-sheet'!M10*'Output-Calculation-sheet'!#REF!</f>
        <v>#REF!</v>
      </c>
      <c r="N121" s="2" t="e">
        <f>N11/'Output-Calculation-sheet'!N10*'Output-Calculation-sheet'!#REF!</f>
        <v>#REF!</v>
      </c>
      <c r="O121" s="2" t="e">
        <f>O11/'Output-Calculation-sheet'!O10*'Output-Calculation-sheet'!#REF!</f>
        <v>#REF!</v>
      </c>
      <c r="P121" s="2" t="e">
        <f>P11/'Output-Calculation-sheet'!P10*'Output-Calculation-sheet'!#REF!</f>
        <v>#REF!</v>
      </c>
      <c r="Q121" s="2" t="e">
        <f>Q11/'Output-Calculation-sheet'!Q10*'Output-Calculation-sheet'!#REF!</f>
        <v>#REF!</v>
      </c>
      <c r="R121" s="2" t="e">
        <f>R11/'Output-Calculation-sheet'!R10*'Output-Calculation-sheet'!#REF!</f>
        <v>#REF!</v>
      </c>
      <c r="S121" s="2" t="e">
        <f>S11/'Output-Calculation-sheet'!S10*'Output-Calculation-sheet'!#REF!</f>
        <v>#REF!</v>
      </c>
      <c r="T121" s="2" t="e">
        <f>T11/'Output-Calculation-sheet'!T10*'Output-Calculation-sheet'!#REF!</f>
        <v>#REF!</v>
      </c>
      <c r="U121" s="2" t="e">
        <f>U11/'Output-Calculation-sheet'!U10*'Output-Calculation-sheet'!#REF!</f>
        <v>#REF!</v>
      </c>
      <c r="V121" s="2" t="e">
        <f>V11/'Output-Calculation-sheet'!V10*'Output-Calculation-sheet'!#REF!</f>
        <v>#REF!</v>
      </c>
      <c r="W121" s="2" t="e">
        <f>W11/'Output-Calculation-sheet'!W10*'Output-Calculation-sheet'!#REF!</f>
        <v>#REF!</v>
      </c>
      <c r="X121" s="2" t="e">
        <f>X11/'Output-Calculation-sheet'!X10*'Output-Calculation-sheet'!#REF!</f>
        <v>#REF!</v>
      </c>
      <c r="Y121" s="2" t="e">
        <f>Y11/'Output-Calculation-sheet'!Y10*'Output-Calculation-sheet'!#REF!</f>
        <v>#REF!</v>
      </c>
      <c r="AA121" s="2" t="e">
        <f t="shared" si="9"/>
        <v>#REF!</v>
      </c>
    </row>
    <row r="122" spans="1:27" x14ac:dyDescent="0.25">
      <c r="A122" s="2">
        <v>2035</v>
      </c>
      <c r="B122" s="2" t="e">
        <f>B12/'Output-Calculation-sheet'!B11*'Output-Calculation-sheet'!#REF!</f>
        <v>#REF!</v>
      </c>
      <c r="C122" s="2" t="e">
        <f>C12/'Output-Calculation-sheet'!C11*'Output-Calculation-sheet'!#REF!</f>
        <v>#REF!</v>
      </c>
      <c r="D122" s="2" t="e">
        <f>D12/'Output-Calculation-sheet'!D11*'Output-Calculation-sheet'!#REF!</f>
        <v>#REF!</v>
      </c>
      <c r="E122" s="2" t="e">
        <f>E12/'Output-Calculation-sheet'!E11*'Output-Calculation-sheet'!#REF!</f>
        <v>#REF!</v>
      </c>
      <c r="F122" s="2" t="e">
        <f>F12/'Output-Calculation-sheet'!F11*'Output-Calculation-sheet'!#REF!</f>
        <v>#REF!</v>
      </c>
      <c r="G122" s="2" t="e">
        <f>G12/'Output-Calculation-sheet'!G11*'Output-Calculation-sheet'!#REF!</f>
        <v>#REF!</v>
      </c>
      <c r="H122" s="2" t="e">
        <f>H12/'Output-Calculation-sheet'!H11*'Output-Calculation-sheet'!#REF!</f>
        <v>#REF!</v>
      </c>
      <c r="I122" s="2" t="e">
        <f>I12/'Output-Calculation-sheet'!I11*'Output-Calculation-sheet'!#REF!</f>
        <v>#REF!</v>
      </c>
      <c r="J122" s="2" t="e">
        <f>J12/'Output-Calculation-sheet'!J11*'Output-Calculation-sheet'!#REF!</f>
        <v>#REF!</v>
      </c>
      <c r="K122" s="2" t="e">
        <f>K12/'Output-Calculation-sheet'!K11*'Output-Calculation-sheet'!#REF!</f>
        <v>#REF!</v>
      </c>
      <c r="L122" s="2" t="e">
        <f>L12/'Output-Calculation-sheet'!L11*'Output-Calculation-sheet'!#REF!</f>
        <v>#REF!</v>
      </c>
      <c r="M122" s="2" t="e">
        <f>M12/'Output-Calculation-sheet'!M11*'Output-Calculation-sheet'!#REF!</f>
        <v>#REF!</v>
      </c>
      <c r="N122" s="2" t="e">
        <f>N12/'Output-Calculation-sheet'!N11*'Output-Calculation-sheet'!#REF!</f>
        <v>#REF!</v>
      </c>
      <c r="O122" s="2" t="e">
        <f>O12/'Output-Calculation-sheet'!O11*'Output-Calculation-sheet'!#REF!</f>
        <v>#REF!</v>
      </c>
      <c r="P122" s="2" t="e">
        <f>P12/'Output-Calculation-sheet'!P11*'Output-Calculation-sheet'!#REF!</f>
        <v>#REF!</v>
      </c>
      <c r="Q122" s="2" t="e">
        <f>Q12/'Output-Calculation-sheet'!Q11*'Output-Calculation-sheet'!#REF!</f>
        <v>#REF!</v>
      </c>
      <c r="R122" s="2" t="e">
        <f>R12/'Output-Calculation-sheet'!R11*'Output-Calculation-sheet'!#REF!</f>
        <v>#REF!</v>
      </c>
      <c r="S122" s="2" t="e">
        <f>S12/'Output-Calculation-sheet'!S11*'Output-Calculation-sheet'!#REF!</f>
        <v>#REF!</v>
      </c>
      <c r="T122" s="2" t="e">
        <f>T12/'Output-Calculation-sheet'!T11*'Output-Calculation-sheet'!#REF!</f>
        <v>#REF!</v>
      </c>
      <c r="U122" s="2" t="e">
        <f>U12/'Output-Calculation-sheet'!U11*'Output-Calculation-sheet'!#REF!</f>
        <v>#REF!</v>
      </c>
      <c r="V122" s="2" t="e">
        <f>V12/'Output-Calculation-sheet'!V11*'Output-Calculation-sheet'!#REF!</f>
        <v>#REF!</v>
      </c>
      <c r="W122" s="2" t="e">
        <f>W12/'Output-Calculation-sheet'!W11*'Output-Calculation-sheet'!#REF!</f>
        <v>#REF!</v>
      </c>
      <c r="X122" s="2" t="e">
        <f>X12/'Output-Calculation-sheet'!X11*'Output-Calculation-sheet'!#REF!</f>
        <v>#REF!</v>
      </c>
      <c r="Y122" s="2" t="e">
        <f>Y12/'Output-Calculation-sheet'!Y11*'Output-Calculation-sheet'!#REF!</f>
        <v>#REF!</v>
      </c>
      <c r="AA122" s="2" t="e">
        <f t="shared" si="9"/>
        <v>#REF!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B5/'Output-Calculation-sheet'!B4*'Output-Calculation-sheet'!#REF!</f>
        <v>#REF!</v>
      </c>
      <c r="C126" s="2" t="e">
        <f>C5/'Output-Calculation-sheet'!C4*'Output-Calculation-sheet'!#REF!</f>
        <v>#REF!</v>
      </c>
      <c r="D126" s="2" t="e">
        <f>D5/'Output-Calculation-sheet'!D4*'Output-Calculation-sheet'!#REF!</f>
        <v>#REF!</v>
      </c>
      <c r="E126" s="2" t="e">
        <f>E5/'Output-Calculation-sheet'!E4*'Output-Calculation-sheet'!#REF!</f>
        <v>#REF!</v>
      </c>
      <c r="F126" s="2" t="e">
        <f>F5/'Output-Calculation-sheet'!F4*'Output-Calculation-sheet'!#REF!</f>
        <v>#REF!</v>
      </c>
      <c r="G126" s="2" t="e">
        <f>G5/'Output-Calculation-sheet'!G4*'Output-Calculation-sheet'!#REF!</f>
        <v>#REF!</v>
      </c>
      <c r="H126" s="2" t="e">
        <f>H5/'Output-Calculation-sheet'!H4*'Output-Calculation-sheet'!#REF!</f>
        <v>#REF!</v>
      </c>
      <c r="I126" s="2" t="e">
        <f>I5/'Output-Calculation-sheet'!I4*'Output-Calculation-sheet'!#REF!</f>
        <v>#REF!</v>
      </c>
      <c r="J126" s="2" t="e">
        <f>J5/'Output-Calculation-sheet'!J4*'Output-Calculation-sheet'!#REF!</f>
        <v>#REF!</v>
      </c>
      <c r="K126" s="2" t="e">
        <f>K5/'Output-Calculation-sheet'!K4*'Output-Calculation-sheet'!#REF!</f>
        <v>#REF!</v>
      </c>
      <c r="L126" s="2" t="e">
        <f>L5/'Output-Calculation-sheet'!L4*'Output-Calculation-sheet'!#REF!</f>
        <v>#REF!</v>
      </c>
      <c r="M126" s="2" t="e">
        <f>M5/'Output-Calculation-sheet'!M4*'Output-Calculation-sheet'!#REF!</f>
        <v>#REF!</v>
      </c>
      <c r="N126" s="2" t="e">
        <f>N5/'Output-Calculation-sheet'!N4*'Output-Calculation-sheet'!#REF!</f>
        <v>#REF!</v>
      </c>
      <c r="O126" s="2" t="e">
        <f>O5/'Output-Calculation-sheet'!O4*'Output-Calculation-sheet'!#REF!</f>
        <v>#REF!</v>
      </c>
      <c r="P126" s="2" t="e">
        <f>P5/'Output-Calculation-sheet'!P4*'Output-Calculation-sheet'!#REF!</f>
        <v>#REF!</v>
      </c>
      <c r="Q126" s="2" t="e">
        <f>Q5/'Output-Calculation-sheet'!Q4*'Output-Calculation-sheet'!#REF!</f>
        <v>#REF!</v>
      </c>
      <c r="R126" s="2" t="e">
        <f>R5/'Output-Calculation-sheet'!R4*'Output-Calculation-sheet'!#REF!</f>
        <v>#REF!</v>
      </c>
      <c r="S126" s="2" t="e">
        <f>S5/'Output-Calculation-sheet'!S4*'Output-Calculation-sheet'!#REF!</f>
        <v>#REF!</v>
      </c>
      <c r="T126" s="2" t="e">
        <f>T5/'Output-Calculation-sheet'!T4*'Output-Calculation-sheet'!#REF!</f>
        <v>#REF!</v>
      </c>
      <c r="U126" s="2" t="e">
        <f>U5/'Output-Calculation-sheet'!U4*'Output-Calculation-sheet'!#REF!</f>
        <v>#REF!</v>
      </c>
      <c r="V126" s="2" t="e">
        <f>V5/'Output-Calculation-sheet'!V4*'Output-Calculation-sheet'!#REF!</f>
        <v>#REF!</v>
      </c>
      <c r="W126" s="2" t="e">
        <f>W5/'Output-Calculation-sheet'!W4*'Output-Calculation-sheet'!#REF!</f>
        <v>#REF!</v>
      </c>
      <c r="X126" s="2" t="e">
        <f>X5/'Output-Calculation-sheet'!X4*'Output-Calculation-sheet'!#REF!</f>
        <v>#REF!</v>
      </c>
      <c r="Y126" s="2" t="e">
        <f>Y5/'Output-Calculation-sheet'!Y4*'Output-Calculation-sheet'!#REF!</f>
        <v>#REF!</v>
      </c>
      <c r="AA126" s="2" t="e">
        <f>SUM(B126:Y126)/10^6</f>
        <v>#REF!</v>
      </c>
    </row>
    <row r="127" spans="1:27" x14ac:dyDescent="0.25">
      <c r="A127" s="2">
        <v>2029</v>
      </c>
      <c r="B127" s="2" t="e">
        <f>B6/'Output-Calculation-sheet'!B5*'Output-Calculation-sheet'!#REF!</f>
        <v>#REF!</v>
      </c>
      <c r="C127" s="2" t="e">
        <f>C6/'Output-Calculation-sheet'!C5*'Output-Calculation-sheet'!#REF!</f>
        <v>#REF!</v>
      </c>
      <c r="D127" s="2" t="e">
        <f>D6/'Output-Calculation-sheet'!D5*'Output-Calculation-sheet'!#REF!</f>
        <v>#REF!</v>
      </c>
      <c r="E127" s="2" t="e">
        <f>E6/'Output-Calculation-sheet'!E5*'Output-Calculation-sheet'!#REF!</f>
        <v>#REF!</v>
      </c>
      <c r="F127" s="2" t="e">
        <f>F6/'Output-Calculation-sheet'!F5*'Output-Calculation-sheet'!#REF!</f>
        <v>#REF!</v>
      </c>
      <c r="G127" s="2" t="e">
        <f>G6/'Output-Calculation-sheet'!G5*'Output-Calculation-sheet'!#REF!</f>
        <v>#REF!</v>
      </c>
      <c r="H127" s="2" t="e">
        <f>H6/'Output-Calculation-sheet'!H5*'Output-Calculation-sheet'!#REF!</f>
        <v>#REF!</v>
      </c>
      <c r="I127" s="2" t="e">
        <f>I6/'Output-Calculation-sheet'!I5*'Output-Calculation-sheet'!#REF!</f>
        <v>#REF!</v>
      </c>
      <c r="J127" s="2" t="e">
        <f>J6/'Output-Calculation-sheet'!J5*'Output-Calculation-sheet'!#REF!</f>
        <v>#REF!</v>
      </c>
      <c r="K127" s="2" t="e">
        <f>K6/'Output-Calculation-sheet'!K5*'Output-Calculation-sheet'!#REF!</f>
        <v>#REF!</v>
      </c>
      <c r="L127" s="2" t="e">
        <f>L6/'Output-Calculation-sheet'!L5*'Output-Calculation-sheet'!#REF!</f>
        <v>#REF!</v>
      </c>
      <c r="M127" s="2" t="e">
        <f>M6/'Output-Calculation-sheet'!M5*'Output-Calculation-sheet'!#REF!</f>
        <v>#REF!</v>
      </c>
      <c r="N127" s="2" t="e">
        <f>N6/'Output-Calculation-sheet'!N5*'Output-Calculation-sheet'!#REF!</f>
        <v>#REF!</v>
      </c>
      <c r="O127" s="2" t="e">
        <f>O6/'Output-Calculation-sheet'!O5*'Output-Calculation-sheet'!#REF!</f>
        <v>#REF!</v>
      </c>
      <c r="P127" s="2" t="e">
        <f>P6/'Output-Calculation-sheet'!P5*'Output-Calculation-sheet'!#REF!</f>
        <v>#REF!</v>
      </c>
      <c r="Q127" s="2" t="e">
        <f>Q6/'Output-Calculation-sheet'!Q5*'Output-Calculation-sheet'!#REF!</f>
        <v>#REF!</v>
      </c>
      <c r="R127" s="2" t="e">
        <f>R6/'Output-Calculation-sheet'!R5*'Output-Calculation-sheet'!#REF!</f>
        <v>#REF!</v>
      </c>
      <c r="S127" s="2" t="e">
        <f>S6/'Output-Calculation-sheet'!S5*'Output-Calculation-sheet'!#REF!</f>
        <v>#REF!</v>
      </c>
      <c r="T127" s="2" t="e">
        <f>T6/'Output-Calculation-sheet'!T5*'Output-Calculation-sheet'!#REF!</f>
        <v>#REF!</v>
      </c>
      <c r="U127" s="2" t="e">
        <f>U6/'Output-Calculation-sheet'!U5*'Output-Calculation-sheet'!#REF!</f>
        <v>#REF!</v>
      </c>
      <c r="V127" s="2" t="e">
        <f>V6/'Output-Calculation-sheet'!V5*'Output-Calculation-sheet'!#REF!</f>
        <v>#REF!</v>
      </c>
      <c r="W127" s="2" t="e">
        <f>W6/'Output-Calculation-sheet'!W5*'Output-Calculation-sheet'!#REF!</f>
        <v>#REF!</v>
      </c>
      <c r="X127" s="2" t="e">
        <f>X6/'Output-Calculation-sheet'!X5*'Output-Calculation-sheet'!#REF!</f>
        <v>#REF!</v>
      </c>
      <c r="Y127" s="2" t="e">
        <f>Y6/'Output-Calculation-sheet'!Y5*'Output-Calculation-sheet'!#REF!</f>
        <v>#REF!</v>
      </c>
      <c r="AA127" s="2" t="e">
        <f t="shared" ref="AA127:AA133" si="10">SUM(B127:Y127)/10^6</f>
        <v>#REF!</v>
      </c>
    </row>
    <row r="128" spans="1:27" x14ac:dyDescent="0.25">
      <c r="A128" s="2">
        <v>2030</v>
      </c>
      <c r="B128" s="2" t="e">
        <f>B7/'Output-Calculation-sheet'!B6*'Output-Calculation-sheet'!#REF!</f>
        <v>#REF!</v>
      </c>
      <c r="C128" s="2" t="e">
        <f>C7/'Output-Calculation-sheet'!C6*'Output-Calculation-sheet'!#REF!</f>
        <v>#REF!</v>
      </c>
      <c r="D128" s="2" t="e">
        <f>D7/'Output-Calculation-sheet'!D6*'Output-Calculation-sheet'!#REF!</f>
        <v>#REF!</v>
      </c>
      <c r="E128" s="2" t="e">
        <f>E7/'Output-Calculation-sheet'!E6*'Output-Calculation-sheet'!#REF!</f>
        <v>#REF!</v>
      </c>
      <c r="F128" s="2" t="e">
        <f>F7/'Output-Calculation-sheet'!F6*'Output-Calculation-sheet'!#REF!</f>
        <v>#REF!</v>
      </c>
      <c r="G128" s="2" t="e">
        <f>G7/'Output-Calculation-sheet'!G6*'Output-Calculation-sheet'!#REF!</f>
        <v>#REF!</v>
      </c>
      <c r="H128" s="2" t="e">
        <f>H7/'Output-Calculation-sheet'!H6*'Output-Calculation-sheet'!#REF!</f>
        <v>#REF!</v>
      </c>
      <c r="I128" s="2" t="e">
        <f>I7/'Output-Calculation-sheet'!I6*'Output-Calculation-sheet'!#REF!</f>
        <v>#REF!</v>
      </c>
      <c r="J128" s="2" t="e">
        <f>J7/'Output-Calculation-sheet'!J6*'Output-Calculation-sheet'!#REF!</f>
        <v>#REF!</v>
      </c>
      <c r="K128" s="2" t="e">
        <f>K7/'Output-Calculation-sheet'!K6*'Output-Calculation-sheet'!#REF!</f>
        <v>#REF!</v>
      </c>
      <c r="L128" s="2" t="e">
        <f>L7/'Output-Calculation-sheet'!L6*'Output-Calculation-sheet'!#REF!</f>
        <v>#REF!</v>
      </c>
      <c r="M128" s="2" t="e">
        <f>M7/'Output-Calculation-sheet'!M6*'Output-Calculation-sheet'!#REF!</f>
        <v>#REF!</v>
      </c>
      <c r="N128" s="2" t="e">
        <f>N7/'Output-Calculation-sheet'!N6*'Output-Calculation-sheet'!#REF!</f>
        <v>#REF!</v>
      </c>
      <c r="O128" s="2" t="e">
        <f>O7/'Output-Calculation-sheet'!O6*'Output-Calculation-sheet'!#REF!</f>
        <v>#REF!</v>
      </c>
      <c r="P128" s="2" t="e">
        <f>P7/'Output-Calculation-sheet'!P6*'Output-Calculation-sheet'!#REF!</f>
        <v>#REF!</v>
      </c>
      <c r="Q128" s="2" t="e">
        <f>Q7/'Output-Calculation-sheet'!Q6*'Output-Calculation-sheet'!#REF!</f>
        <v>#REF!</v>
      </c>
      <c r="R128" s="2" t="e">
        <f>R7/'Output-Calculation-sheet'!R6*'Output-Calculation-sheet'!#REF!</f>
        <v>#REF!</v>
      </c>
      <c r="S128" s="2" t="e">
        <f>S7/'Output-Calculation-sheet'!S6*'Output-Calculation-sheet'!#REF!</f>
        <v>#REF!</v>
      </c>
      <c r="T128" s="2" t="e">
        <f>T7/'Output-Calculation-sheet'!T6*'Output-Calculation-sheet'!#REF!</f>
        <v>#REF!</v>
      </c>
      <c r="U128" s="2" t="e">
        <f>U7/'Output-Calculation-sheet'!U6*'Output-Calculation-sheet'!#REF!</f>
        <v>#REF!</v>
      </c>
      <c r="V128" s="2" t="e">
        <f>V7/'Output-Calculation-sheet'!V6*'Output-Calculation-sheet'!#REF!</f>
        <v>#REF!</v>
      </c>
      <c r="W128" s="2" t="e">
        <f>W7/'Output-Calculation-sheet'!W6*'Output-Calculation-sheet'!#REF!</f>
        <v>#REF!</v>
      </c>
      <c r="X128" s="2" t="e">
        <f>X7/'Output-Calculation-sheet'!X6*'Output-Calculation-sheet'!#REF!</f>
        <v>#REF!</v>
      </c>
      <c r="Y128" s="2" t="e">
        <f>Y7/'Output-Calculation-sheet'!Y6*'Output-Calculation-sheet'!#REF!</f>
        <v>#REF!</v>
      </c>
      <c r="AA128" s="2" t="e">
        <f t="shared" si="10"/>
        <v>#REF!</v>
      </c>
    </row>
    <row r="129" spans="1:27" x14ac:dyDescent="0.25">
      <c r="A129" s="2">
        <v>2031</v>
      </c>
      <c r="B129" s="2" t="e">
        <f>B8/'Output-Calculation-sheet'!B7*'Output-Calculation-sheet'!#REF!</f>
        <v>#REF!</v>
      </c>
      <c r="C129" s="2" t="e">
        <f>C8/'Output-Calculation-sheet'!C7*'Output-Calculation-sheet'!#REF!</f>
        <v>#REF!</v>
      </c>
      <c r="D129" s="2" t="e">
        <f>D8/'Output-Calculation-sheet'!D7*'Output-Calculation-sheet'!#REF!</f>
        <v>#REF!</v>
      </c>
      <c r="E129" s="2" t="e">
        <f>E8/'Output-Calculation-sheet'!E7*'Output-Calculation-sheet'!#REF!</f>
        <v>#REF!</v>
      </c>
      <c r="F129" s="2" t="e">
        <f>F8/'Output-Calculation-sheet'!F7*'Output-Calculation-sheet'!#REF!</f>
        <v>#REF!</v>
      </c>
      <c r="G129" s="2" t="e">
        <f>G8/'Output-Calculation-sheet'!G7*'Output-Calculation-sheet'!#REF!</f>
        <v>#REF!</v>
      </c>
      <c r="H129" s="2" t="e">
        <f>H8/'Output-Calculation-sheet'!H7*'Output-Calculation-sheet'!#REF!</f>
        <v>#REF!</v>
      </c>
      <c r="I129" s="2" t="e">
        <f>I8/'Output-Calculation-sheet'!I7*'Output-Calculation-sheet'!#REF!</f>
        <v>#REF!</v>
      </c>
      <c r="J129" s="2" t="e">
        <f>J8/'Output-Calculation-sheet'!J7*'Output-Calculation-sheet'!#REF!</f>
        <v>#REF!</v>
      </c>
      <c r="K129" s="2" t="e">
        <f>K8/'Output-Calculation-sheet'!K7*'Output-Calculation-sheet'!#REF!</f>
        <v>#REF!</v>
      </c>
      <c r="L129" s="2" t="e">
        <f>L8/'Output-Calculation-sheet'!L7*'Output-Calculation-sheet'!#REF!</f>
        <v>#REF!</v>
      </c>
      <c r="M129" s="2" t="e">
        <f>M8/'Output-Calculation-sheet'!M7*'Output-Calculation-sheet'!#REF!</f>
        <v>#REF!</v>
      </c>
      <c r="N129" s="2" t="e">
        <f>N8/'Output-Calculation-sheet'!N7*'Output-Calculation-sheet'!#REF!</f>
        <v>#REF!</v>
      </c>
      <c r="O129" s="2" t="e">
        <f>O8/'Output-Calculation-sheet'!O7*'Output-Calculation-sheet'!#REF!</f>
        <v>#REF!</v>
      </c>
      <c r="P129" s="2" t="e">
        <f>P8/'Output-Calculation-sheet'!P7*'Output-Calculation-sheet'!#REF!</f>
        <v>#REF!</v>
      </c>
      <c r="Q129" s="2" t="e">
        <f>Q8/'Output-Calculation-sheet'!Q7*'Output-Calculation-sheet'!#REF!</f>
        <v>#REF!</v>
      </c>
      <c r="R129" s="2" t="e">
        <f>R8/'Output-Calculation-sheet'!R7*'Output-Calculation-sheet'!#REF!</f>
        <v>#REF!</v>
      </c>
      <c r="S129" s="2" t="e">
        <f>S8/'Output-Calculation-sheet'!S7*'Output-Calculation-sheet'!#REF!</f>
        <v>#REF!</v>
      </c>
      <c r="T129" s="2" t="e">
        <f>T8/'Output-Calculation-sheet'!T7*'Output-Calculation-sheet'!#REF!</f>
        <v>#REF!</v>
      </c>
      <c r="U129" s="2" t="e">
        <f>U8/'Output-Calculation-sheet'!U7*'Output-Calculation-sheet'!#REF!</f>
        <v>#REF!</v>
      </c>
      <c r="V129" s="2" t="e">
        <f>V8/'Output-Calculation-sheet'!V7*'Output-Calculation-sheet'!#REF!</f>
        <v>#REF!</v>
      </c>
      <c r="W129" s="2" t="e">
        <f>W8/'Output-Calculation-sheet'!W7*'Output-Calculation-sheet'!#REF!</f>
        <v>#REF!</v>
      </c>
      <c r="X129" s="2" t="e">
        <f>X8/'Output-Calculation-sheet'!X7*'Output-Calculation-sheet'!#REF!</f>
        <v>#REF!</v>
      </c>
      <c r="Y129" s="2" t="e">
        <f>Y8/'Output-Calculation-sheet'!Y7*'Output-Calculation-sheet'!#REF!</f>
        <v>#REF!</v>
      </c>
      <c r="AA129" s="2" t="e">
        <f t="shared" si="10"/>
        <v>#REF!</v>
      </c>
    </row>
    <row r="130" spans="1:27" x14ac:dyDescent="0.25">
      <c r="A130" s="2">
        <v>2032</v>
      </c>
      <c r="B130" s="2" t="e">
        <f>B9/'Output-Calculation-sheet'!B8*'Output-Calculation-sheet'!#REF!</f>
        <v>#REF!</v>
      </c>
      <c r="C130" s="2" t="e">
        <f>C9/'Output-Calculation-sheet'!C8*'Output-Calculation-sheet'!#REF!</f>
        <v>#REF!</v>
      </c>
      <c r="D130" s="2" t="e">
        <f>D9/'Output-Calculation-sheet'!D8*'Output-Calculation-sheet'!#REF!</f>
        <v>#REF!</v>
      </c>
      <c r="E130" s="2" t="e">
        <f>E9/'Output-Calculation-sheet'!E8*'Output-Calculation-sheet'!#REF!</f>
        <v>#REF!</v>
      </c>
      <c r="F130" s="2" t="e">
        <f>F9/'Output-Calculation-sheet'!F8*'Output-Calculation-sheet'!#REF!</f>
        <v>#REF!</v>
      </c>
      <c r="G130" s="2" t="e">
        <f>G9/'Output-Calculation-sheet'!G8*'Output-Calculation-sheet'!#REF!</f>
        <v>#REF!</v>
      </c>
      <c r="H130" s="2" t="e">
        <f>H9/'Output-Calculation-sheet'!H8*'Output-Calculation-sheet'!#REF!</f>
        <v>#REF!</v>
      </c>
      <c r="I130" s="2" t="e">
        <f>I9/'Output-Calculation-sheet'!I8*'Output-Calculation-sheet'!#REF!</f>
        <v>#REF!</v>
      </c>
      <c r="J130" s="2" t="e">
        <f>J9/'Output-Calculation-sheet'!J8*'Output-Calculation-sheet'!#REF!</f>
        <v>#REF!</v>
      </c>
      <c r="K130" s="2" t="e">
        <f>K9/'Output-Calculation-sheet'!K8*'Output-Calculation-sheet'!#REF!</f>
        <v>#REF!</v>
      </c>
      <c r="L130" s="2" t="e">
        <f>L9/'Output-Calculation-sheet'!L8*'Output-Calculation-sheet'!#REF!</f>
        <v>#REF!</v>
      </c>
      <c r="M130" s="2" t="e">
        <f>M9/'Output-Calculation-sheet'!M8*'Output-Calculation-sheet'!#REF!</f>
        <v>#REF!</v>
      </c>
      <c r="N130" s="2" t="e">
        <f>N9/'Output-Calculation-sheet'!N8*'Output-Calculation-sheet'!#REF!</f>
        <v>#REF!</v>
      </c>
      <c r="O130" s="2" t="e">
        <f>O9/'Output-Calculation-sheet'!O8*'Output-Calculation-sheet'!#REF!</f>
        <v>#REF!</v>
      </c>
      <c r="P130" s="2" t="e">
        <f>P9/'Output-Calculation-sheet'!P8*'Output-Calculation-sheet'!#REF!</f>
        <v>#REF!</v>
      </c>
      <c r="Q130" s="2" t="e">
        <f>Q9/'Output-Calculation-sheet'!Q8*'Output-Calculation-sheet'!#REF!</f>
        <v>#REF!</v>
      </c>
      <c r="R130" s="2" t="e">
        <f>R9/'Output-Calculation-sheet'!R8*'Output-Calculation-sheet'!#REF!</f>
        <v>#REF!</v>
      </c>
      <c r="S130" s="2" t="e">
        <f>S9/'Output-Calculation-sheet'!S8*'Output-Calculation-sheet'!#REF!</f>
        <v>#REF!</v>
      </c>
      <c r="T130" s="2" t="e">
        <f>T9/'Output-Calculation-sheet'!T8*'Output-Calculation-sheet'!#REF!</f>
        <v>#REF!</v>
      </c>
      <c r="U130" s="2" t="e">
        <f>U9/'Output-Calculation-sheet'!U8*'Output-Calculation-sheet'!#REF!</f>
        <v>#REF!</v>
      </c>
      <c r="V130" s="2" t="e">
        <f>V9/'Output-Calculation-sheet'!V8*'Output-Calculation-sheet'!#REF!</f>
        <v>#REF!</v>
      </c>
      <c r="W130" s="2" t="e">
        <f>W9/'Output-Calculation-sheet'!W8*'Output-Calculation-sheet'!#REF!</f>
        <v>#REF!</v>
      </c>
      <c r="X130" s="2" t="e">
        <f>X9/'Output-Calculation-sheet'!X8*'Output-Calculation-sheet'!#REF!</f>
        <v>#REF!</v>
      </c>
      <c r="Y130" s="2" t="e">
        <f>Y9/'Output-Calculation-sheet'!Y8*'Output-Calculation-sheet'!#REF!</f>
        <v>#REF!</v>
      </c>
      <c r="AA130" s="2" t="e">
        <f t="shared" si="10"/>
        <v>#REF!</v>
      </c>
    </row>
    <row r="131" spans="1:27" x14ac:dyDescent="0.25">
      <c r="A131" s="2">
        <v>2033</v>
      </c>
      <c r="B131" s="2" t="e">
        <f>B10/'Output-Calculation-sheet'!B9*'Output-Calculation-sheet'!#REF!</f>
        <v>#REF!</v>
      </c>
      <c r="C131" s="2" t="e">
        <f>C10/'Output-Calculation-sheet'!C9*'Output-Calculation-sheet'!#REF!</f>
        <v>#REF!</v>
      </c>
      <c r="D131" s="2" t="e">
        <f>D10/'Output-Calculation-sheet'!D9*'Output-Calculation-sheet'!#REF!</f>
        <v>#REF!</v>
      </c>
      <c r="E131" s="2" t="e">
        <f>E10/'Output-Calculation-sheet'!E9*'Output-Calculation-sheet'!#REF!</f>
        <v>#REF!</v>
      </c>
      <c r="F131" s="2" t="e">
        <f>F10/'Output-Calculation-sheet'!F9*'Output-Calculation-sheet'!#REF!</f>
        <v>#REF!</v>
      </c>
      <c r="G131" s="2" t="e">
        <f>G10/'Output-Calculation-sheet'!G9*'Output-Calculation-sheet'!#REF!</f>
        <v>#REF!</v>
      </c>
      <c r="H131" s="2" t="e">
        <f>H10/'Output-Calculation-sheet'!H9*'Output-Calculation-sheet'!#REF!</f>
        <v>#REF!</v>
      </c>
      <c r="I131" s="2" t="e">
        <f>I10/'Output-Calculation-sheet'!I9*'Output-Calculation-sheet'!#REF!</f>
        <v>#REF!</v>
      </c>
      <c r="J131" s="2" t="e">
        <f>J10/'Output-Calculation-sheet'!J9*'Output-Calculation-sheet'!#REF!</f>
        <v>#REF!</v>
      </c>
      <c r="K131" s="2" t="e">
        <f>K10/'Output-Calculation-sheet'!K9*'Output-Calculation-sheet'!#REF!</f>
        <v>#REF!</v>
      </c>
      <c r="L131" s="2" t="e">
        <f>L10/'Output-Calculation-sheet'!L9*'Output-Calculation-sheet'!#REF!</f>
        <v>#REF!</v>
      </c>
      <c r="M131" s="2" t="e">
        <f>M10/'Output-Calculation-sheet'!M9*'Output-Calculation-sheet'!#REF!</f>
        <v>#REF!</v>
      </c>
      <c r="N131" s="2" t="e">
        <f>N10/'Output-Calculation-sheet'!N9*'Output-Calculation-sheet'!#REF!</f>
        <v>#REF!</v>
      </c>
      <c r="O131" s="2" t="e">
        <f>O10/'Output-Calculation-sheet'!O9*'Output-Calculation-sheet'!#REF!</f>
        <v>#REF!</v>
      </c>
      <c r="P131" s="2" t="e">
        <f>P10/'Output-Calculation-sheet'!P9*'Output-Calculation-sheet'!#REF!</f>
        <v>#REF!</v>
      </c>
      <c r="Q131" s="2" t="e">
        <f>Q10/'Output-Calculation-sheet'!Q9*'Output-Calculation-sheet'!#REF!</f>
        <v>#REF!</v>
      </c>
      <c r="R131" s="2" t="e">
        <f>R10/'Output-Calculation-sheet'!R9*'Output-Calculation-sheet'!#REF!</f>
        <v>#REF!</v>
      </c>
      <c r="S131" s="2" t="e">
        <f>S10/'Output-Calculation-sheet'!S9*'Output-Calculation-sheet'!#REF!</f>
        <v>#REF!</v>
      </c>
      <c r="T131" s="2" t="e">
        <f>T10/'Output-Calculation-sheet'!T9*'Output-Calculation-sheet'!#REF!</f>
        <v>#REF!</v>
      </c>
      <c r="U131" s="2" t="e">
        <f>U10/'Output-Calculation-sheet'!U9*'Output-Calculation-sheet'!#REF!</f>
        <v>#REF!</v>
      </c>
      <c r="V131" s="2" t="e">
        <f>V10/'Output-Calculation-sheet'!V9*'Output-Calculation-sheet'!#REF!</f>
        <v>#REF!</v>
      </c>
      <c r="W131" s="2" t="e">
        <f>W10/'Output-Calculation-sheet'!W9*'Output-Calculation-sheet'!#REF!</f>
        <v>#REF!</v>
      </c>
      <c r="X131" s="2" t="e">
        <f>X10/'Output-Calculation-sheet'!X9*'Output-Calculation-sheet'!#REF!</f>
        <v>#REF!</v>
      </c>
      <c r="Y131" s="2" t="e">
        <f>Y10/'Output-Calculation-sheet'!Y9*'Output-Calculation-sheet'!#REF!</f>
        <v>#REF!</v>
      </c>
      <c r="AA131" s="2" t="e">
        <f t="shared" si="10"/>
        <v>#REF!</v>
      </c>
    </row>
    <row r="132" spans="1:27" x14ac:dyDescent="0.25">
      <c r="A132" s="2">
        <v>2034</v>
      </c>
      <c r="B132" s="2" t="e">
        <f>B11/'Output-Calculation-sheet'!B10*'Output-Calculation-sheet'!#REF!</f>
        <v>#REF!</v>
      </c>
      <c r="C132" s="2" t="e">
        <f>C11/'Output-Calculation-sheet'!C10*'Output-Calculation-sheet'!#REF!</f>
        <v>#REF!</v>
      </c>
      <c r="D132" s="2" t="e">
        <f>D11/'Output-Calculation-sheet'!D10*'Output-Calculation-sheet'!#REF!</f>
        <v>#REF!</v>
      </c>
      <c r="E132" s="2" t="e">
        <f>E11/'Output-Calculation-sheet'!E10*'Output-Calculation-sheet'!#REF!</f>
        <v>#REF!</v>
      </c>
      <c r="F132" s="2" t="e">
        <f>F11/'Output-Calculation-sheet'!F10*'Output-Calculation-sheet'!#REF!</f>
        <v>#REF!</v>
      </c>
      <c r="G132" s="2" t="e">
        <f>G11/'Output-Calculation-sheet'!G10*'Output-Calculation-sheet'!#REF!</f>
        <v>#REF!</v>
      </c>
      <c r="H132" s="2" t="e">
        <f>H11/'Output-Calculation-sheet'!H10*'Output-Calculation-sheet'!#REF!</f>
        <v>#REF!</v>
      </c>
      <c r="I132" s="2" t="e">
        <f>I11/'Output-Calculation-sheet'!I10*'Output-Calculation-sheet'!#REF!</f>
        <v>#REF!</v>
      </c>
      <c r="J132" s="2" t="e">
        <f>J11/'Output-Calculation-sheet'!J10*'Output-Calculation-sheet'!#REF!</f>
        <v>#REF!</v>
      </c>
      <c r="K132" s="2" t="e">
        <f>K11/'Output-Calculation-sheet'!K10*'Output-Calculation-sheet'!#REF!</f>
        <v>#REF!</v>
      </c>
      <c r="L132" s="2" t="e">
        <f>L11/'Output-Calculation-sheet'!L10*'Output-Calculation-sheet'!#REF!</f>
        <v>#REF!</v>
      </c>
      <c r="M132" s="2" t="e">
        <f>M11/'Output-Calculation-sheet'!M10*'Output-Calculation-sheet'!#REF!</f>
        <v>#REF!</v>
      </c>
      <c r="N132" s="2" t="e">
        <f>N11/'Output-Calculation-sheet'!N10*'Output-Calculation-sheet'!#REF!</f>
        <v>#REF!</v>
      </c>
      <c r="O132" s="2" t="e">
        <f>O11/'Output-Calculation-sheet'!O10*'Output-Calculation-sheet'!#REF!</f>
        <v>#REF!</v>
      </c>
      <c r="P132" s="2" t="e">
        <f>P11/'Output-Calculation-sheet'!P10*'Output-Calculation-sheet'!#REF!</f>
        <v>#REF!</v>
      </c>
      <c r="Q132" s="2" t="e">
        <f>Q11/'Output-Calculation-sheet'!Q10*'Output-Calculation-sheet'!#REF!</f>
        <v>#REF!</v>
      </c>
      <c r="R132" s="2" t="e">
        <f>R11/'Output-Calculation-sheet'!R10*'Output-Calculation-sheet'!#REF!</f>
        <v>#REF!</v>
      </c>
      <c r="S132" s="2" t="e">
        <f>S11/'Output-Calculation-sheet'!S10*'Output-Calculation-sheet'!#REF!</f>
        <v>#REF!</v>
      </c>
      <c r="T132" s="2" t="e">
        <f>T11/'Output-Calculation-sheet'!T10*'Output-Calculation-sheet'!#REF!</f>
        <v>#REF!</v>
      </c>
      <c r="U132" s="2" t="e">
        <f>U11/'Output-Calculation-sheet'!U10*'Output-Calculation-sheet'!#REF!</f>
        <v>#REF!</v>
      </c>
      <c r="V132" s="2" t="e">
        <f>V11/'Output-Calculation-sheet'!V10*'Output-Calculation-sheet'!#REF!</f>
        <v>#REF!</v>
      </c>
      <c r="W132" s="2" t="e">
        <f>W11/'Output-Calculation-sheet'!W10*'Output-Calculation-sheet'!#REF!</f>
        <v>#REF!</v>
      </c>
      <c r="X132" s="2" t="e">
        <f>X11/'Output-Calculation-sheet'!X10*'Output-Calculation-sheet'!#REF!</f>
        <v>#REF!</v>
      </c>
      <c r="Y132" s="2" t="e">
        <f>Y11/'Output-Calculation-sheet'!Y10*'Output-Calculation-sheet'!#REF!</f>
        <v>#REF!</v>
      </c>
      <c r="AA132" s="2" t="e">
        <f t="shared" si="10"/>
        <v>#REF!</v>
      </c>
    </row>
    <row r="133" spans="1:27" x14ac:dyDescent="0.25">
      <c r="A133" s="2">
        <v>2035</v>
      </c>
      <c r="B133" s="2" t="e">
        <f>B12/'Output-Calculation-sheet'!B11*'Output-Calculation-sheet'!#REF!</f>
        <v>#REF!</v>
      </c>
      <c r="C133" s="2" t="e">
        <f>C12/'Output-Calculation-sheet'!C11*'Output-Calculation-sheet'!#REF!</f>
        <v>#REF!</v>
      </c>
      <c r="D133" s="2" t="e">
        <f>D12/'Output-Calculation-sheet'!D11*'Output-Calculation-sheet'!#REF!</f>
        <v>#REF!</v>
      </c>
      <c r="E133" s="2" t="e">
        <f>E12/'Output-Calculation-sheet'!E11*'Output-Calculation-sheet'!#REF!</f>
        <v>#REF!</v>
      </c>
      <c r="F133" s="2" t="e">
        <f>F12/'Output-Calculation-sheet'!F11*'Output-Calculation-sheet'!#REF!</f>
        <v>#REF!</v>
      </c>
      <c r="G133" s="2" t="e">
        <f>G12/'Output-Calculation-sheet'!G11*'Output-Calculation-sheet'!#REF!</f>
        <v>#REF!</v>
      </c>
      <c r="H133" s="2" t="e">
        <f>H12/'Output-Calculation-sheet'!H11*'Output-Calculation-sheet'!#REF!</f>
        <v>#REF!</v>
      </c>
      <c r="I133" s="2" t="e">
        <f>I12/'Output-Calculation-sheet'!I11*'Output-Calculation-sheet'!#REF!</f>
        <v>#REF!</v>
      </c>
      <c r="J133" s="2" t="e">
        <f>J12/'Output-Calculation-sheet'!J11*'Output-Calculation-sheet'!#REF!</f>
        <v>#REF!</v>
      </c>
      <c r="K133" s="2" t="e">
        <f>K12/'Output-Calculation-sheet'!K11*'Output-Calculation-sheet'!#REF!</f>
        <v>#REF!</v>
      </c>
      <c r="L133" s="2" t="e">
        <f>L12/'Output-Calculation-sheet'!L11*'Output-Calculation-sheet'!#REF!</f>
        <v>#REF!</v>
      </c>
      <c r="M133" s="2" t="e">
        <f>M12/'Output-Calculation-sheet'!M11*'Output-Calculation-sheet'!#REF!</f>
        <v>#REF!</v>
      </c>
      <c r="N133" s="2" t="e">
        <f>N12/'Output-Calculation-sheet'!N11*'Output-Calculation-sheet'!#REF!</f>
        <v>#REF!</v>
      </c>
      <c r="O133" s="2" t="e">
        <f>O12/'Output-Calculation-sheet'!O11*'Output-Calculation-sheet'!#REF!</f>
        <v>#REF!</v>
      </c>
      <c r="P133" s="2" t="e">
        <f>P12/'Output-Calculation-sheet'!P11*'Output-Calculation-sheet'!#REF!</f>
        <v>#REF!</v>
      </c>
      <c r="Q133" s="2" t="e">
        <f>Q12/'Output-Calculation-sheet'!Q11*'Output-Calculation-sheet'!#REF!</f>
        <v>#REF!</v>
      </c>
      <c r="R133" s="2" t="e">
        <f>R12/'Output-Calculation-sheet'!R11*'Output-Calculation-sheet'!#REF!</f>
        <v>#REF!</v>
      </c>
      <c r="S133" s="2" t="e">
        <f>S12/'Output-Calculation-sheet'!S11*'Output-Calculation-sheet'!#REF!</f>
        <v>#REF!</v>
      </c>
      <c r="T133" s="2" t="e">
        <f>T12/'Output-Calculation-sheet'!T11*'Output-Calculation-sheet'!#REF!</f>
        <v>#REF!</v>
      </c>
      <c r="U133" s="2" t="e">
        <f>U12/'Output-Calculation-sheet'!U11*'Output-Calculation-sheet'!#REF!</f>
        <v>#REF!</v>
      </c>
      <c r="V133" s="2" t="e">
        <f>V12/'Output-Calculation-sheet'!V11*'Output-Calculation-sheet'!#REF!</f>
        <v>#REF!</v>
      </c>
      <c r="W133" s="2" t="e">
        <f>W12/'Output-Calculation-sheet'!W11*'Output-Calculation-sheet'!#REF!</f>
        <v>#REF!</v>
      </c>
      <c r="X133" s="2" t="e">
        <f>X12/'Output-Calculation-sheet'!X11*'Output-Calculation-sheet'!#REF!</f>
        <v>#REF!</v>
      </c>
      <c r="Y133" s="2" t="e">
        <f>Y12/'Output-Calculation-sheet'!Y11*'Output-Calculation-sheet'!#REF!</f>
        <v>#REF!</v>
      </c>
      <c r="AA133" s="2" t="e">
        <f t="shared" si="10"/>
        <v>#REF!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B5/'Output-Calculation-sheet'!B4*'Output-Calculation-sheet'!#REF!</f>
        <v>#REF!</v>
      </c>
      <c r="C148" s="2" t="e">
        <f>C5/'Output-Calculation-sheet'!C4*'Output-Calculation-sheet'!#REF!</f>
        <v>#REF!</v>
      </c>
      <c r="D148" s="2" t="e">
        <f>D5/'Output-Calculation-sheet'!D4*'Output-Calculation-sheet'!#REF!</f>
        <v>#REF!</v>
      </c>
      <c r="E148" s="2" t="e">
        <f>E5/'Output-Calculation-sheet'!E4*'Output-Calculation-sheet'!#REF!</f>
        <v>#REF!</v>
      </c>
      <c r="F148" s="2" t="e">
        <f>F5/'Output-Calculation-sheet'!F4*'Output-Calculation-sheet'!#REF!</f>
        <v>#REF!</v>
      </c>
      <c r="G148" s="2" t="e">
        <f>G5/'Output-Calculation-sheet'!G4*'Output-Calculation-sheet'!#REF!</f>
        <v>#REF!</v>
      </c>
      <c r="H148" s="2" t="e">
        <f>H5/'Output-Calculation-sheet'!H4*'Output-Calculation-sheet'!#REF!</f>
        <v>#REF!</v>
      </c>
      <c r="I148" s="2" t="e">
        <f>I5/'Output-Calculation-sheet'!I4*'Output-Calculation-sheet'!#REF!</f>
        <v>#REF!</v>
      </c>
      <c r="J148" s="2" t="e">
        <f>J5/'Output-Calculation-sheet'!J4*'Output-Calculation-sheet'!#REF!</f>
        <v>#REF!</v>
      </c>
      <c r="K148" s="2" t="e">
        <f>K5/'Output-Calculation-sheet'!K4*'Output-Calculation-sheet'!#REF!</f>
        <v>#REF!</v>
      </c>
      <c r="L148" s="2" t="e">
        <f>L5/'Output-Calculation-sheet'!L4*'Output-Calculation-sheet'!#REF!</f>
        <v>#REF!</v>
      </c>
      <c r="M148" s="2" t="e">
        <f>M5/'Output-Calculation-sheet'!M4*'Output-Calculation-sheet'!#REF!</f>
        <v>#REF!</v>
      </c>
      <c r="N148" s="2" t="e">
        <f>N5/'Output-Calculation-sheet'!N4*'Output-Calculation-sheet'!#REF!</f>
        <v>#REF!</v>
      </c>
      <c r="O148" s="2" t="e">
        <f>O5/'Output-Calculation-sheet'!O4*'Output-Calculation-sheet'!#REF!</f>
        <v>#REF!</v>
      </c>
      <c r="P148" s="2" t="e">
        <f>P5/'Output-Calculation-sheet'!P4*'Output-Calculation-sheet'!#REF!</f>
        <v>#REF!</v>
      </c>
      <c r="Q148" s="2" t="e">
        <f>Q5/'Output-Calculation-sheet'!Q4*'Output-Calculation-sheet'!#REF!</f>
        <v>#REF!</v>
      </c>
      <c r="R148" s="2" t="e">
        <f>R5/'Output-Calculation-sheet'!R4*'Output-Calculation-sheet'!#REF!</f>
        <v>#REF!</v>
      </c>
      <c r="S148" s="2" t="e">
        <f>S5/'Output-Calculation-sheet'!S4*'Output-Calculation-sheet'!#REF!</f>
        <v>#REF!</v>
      </c>
      <c r="T148" s="2" t="e">
        <f>T5/'Output-Calculation-sheet'!T4*'Output-Calculation-sheet'!#REF!</f>
        <v>#REF!</v>
      </c>
      <c r="U148" s="2" t="e">
        <f>U5/'Output-Calculation-sheet'!U4*'Output-Calculation-sheet'!#REF!</f>
        <v>#REF!</v>
      </c>
      <c r="V148" s="2" t="e">
        <f>V5/'Output-Calculation-sheet'!V4*'Output-Calculation-sheet'!#REF!</f>
        <v>#REF!</v>
      </c>
      <c r="W148" s="2" t="e">
        <f>W5/'Output-Calculation-sheet'!W4*'Output-Calculation-sheet'!#REF!</f>
        <v>#REF!</v>
      </c>
      <c r="X148" s="2" t="e">
        <f>X5/'Output-Calculation-sheet'!X4*'Output-Calculation-sheet'!#REF!</f>
        <v>#REF!</v>
      </c>
      <c r="Y148" s="2" t="e">
        <f>Y5/'Output-Calculation-sheet'!Y4*'Output-Calculation-sheet'!#REF!</f>
        <v>#REF!</v>
      </c>
      <c r="AA148" s="2" t="e">
        <f>SUM(B148:Y148)/10^6</f>
        <v>#REF!</v>
      </c>
    </row>
    <row r="149" spans="1:27" x14ac:dyDescent="0.25">
      <c r="A149" s="2">
        <v>2029</v>
      </c>
      <c r="B149" s="2" t="e">
        <f>B6/'Output-Calculation-sheet'!B5*'Output-Calculation-sheet'!#REF!</f>
        <v>#REF!</v>
      </c>
      <c r="C149" s="2" t="e">
        <f>C6/'Output-Calculation-sheet'!C5*'Output-Calculation-sheet'!#REF!</f>
        <v>#REF!</v>
      </c>
      <c r="D149" s="2" t="e">
        <f>D6/'Output-Calculation-sheet'!D5*'Output-Calculation-sheet'!#REF!</f>
        <v>#REF!</v>
      </c>
      <c r="E149" s="2" t="e">
        <f>E6/'Output-Calculation-sheet'!E5*'Output-Calculation-sheet'!#REF!</f>
        <v>#REF!</v>
      </c>
      <c r="F149" s="2" t="e">
        <f>F6/'Output-Calculation-sheet'!F5*'Output-Calculation-sheet'!#REF!</f>
        <v>#REF!</v>
      </c>
      <c r="G149" s="2" t="e">
        <f>G6/'Output-Calculation-sheet'!G5*'Output-Calculation-sheet'!#REF!</f>
        <v>#REF!</v>
      </c>
      <c r="H149" s="2" t="e">
        <f>H6/'Output-Calculation-sheet'!H5*'Output-Calculation-sheet'!#REF!</f>
        <v>#REF!</v>
      </c>
      <c r="I149" s="2" t="e">
        <f>I6/'Output-Calculation-sheet'!I5*'Output-Calculation-sheet'!#REF!</f>
        <v>#REF!</v>
      </c>
      <c r="J149" s="2" t="e">
        <f>J6/'Output-Calculation-sheet'!J5*'Output-Calculation-sheet'!#REF!</f>
        <v>#REF!</v>
      </c>
      <c r="K149" s="2" t="e">
        <f>K6/'Output-Calculation-sheet'!K5*'Output-Calculation-sheet'!#REF!</f>
        <v>#REF!</v>
      </c>
      <c r="L149" s="2" t="e">
        <f>L6/'Output-Calculation-sheet'!L5*'Output-Calculation-sheet'!#REF!</f>
        <v>#REF!</v>
      </c>
      <c r="M149" s="2" t="e">
        <f>M6/'Output-Calculation-sheet'!M5*'Output-Calculation-sheet'!#REF!</f>
        <v>#REF!</v>
      </c>
      <c r="N149" s="2" t="e">
        <f>N6/'Output-Calculation-sheet'!N5*'Output-Calculation-sheet'!#REF!</f>
        <v>#REF!</v>
      </c>
      <c r="O149" s="2" t="e">
        <f>O6/'Output-Calculation-sheet'!O5*'Output-Calculation-sheet'!#REF!</f>
        <v>#REF!</v>
      </c>
      <c r="P149" s="2" t="e">
        <f>P6/'Output-Calculation-sheet'!P5*'Output-Calculation-sheet'!#REF!</f>
        <v>#REF!</v>
      </c>
      <c r="Q149" s="2" t="e">
        <f>Q6/'Output-Calculation-sheet'!Q5*'Output-Calculation-sheet'!#REF!</f>
        <v>#REF!</v>
      </c>
      <c r="R149" s="2" t="e">
        <f>R6/'Output-Calculation-sheet'!R5*'Output-Calculation-sheet'!#REF!</f>
        <v>#REF!</v>
      </c>
      <c r="S149" s="2" t="e">
        <f>S6/'Output-Calculation-sheet'!S5*'Output-Calculation-sheet'!#REF!</f>
        <v>#REF!</v>
      </c>
      <c r="T149" s="2" t="e">
        <f>T6/'Output-Calculation-sheet'!T5*'Output-Calculation-sheet'!#REF!</f>
        <v>#REF!</v>
      </c>
      <c r="U149" s="2" t="e">
        <f>U6/'Output-Calculation-sheet'!U5*'Output-Calculation-sheet'!#REF!</f>
        <v>#REF!</v>
      </c>
      <c r="V149" s="2" t="e">
        <f>V6/'Output-Calculation-sheet'!V5*'Output-Calculation-sheet'!#REF!</f>
        <v>#REF!</v>
      </c>
      <c r="W149" s="2" t="e">
        <f>W6/'Output-Calculation-sheet'!W5*'Output-Calculation-sheet'!#REF!</f>
        <v>#REF!</v>
      </c>
      <c r="X149" s="2" t="e">
        <f>X6/'Output-Calculation-sheet'!X5*'Output-Calculation-sheet'!#REF!</f>
        <v>#REF!</v>
      </c>
      <c r="Y149" s="2" t="e">
        <f>Y6/'Output-Calculation-sheet'!Y5*'Output-Calculation-sheet'!#REF!</f>
        <v>#REF!</v>
      </c>
      <c r="AA149" s="2" t="e">
        <f t="shared" ref="AA149:AA155" si="12">SUM(B149:Y149)/10^6</f>
        <v>#REF!</v>
      </c>
    </row>
    <row r="150" spans="1:27" x14ac:dyDescent="0.25">
      <c r="A150" s="2">
        <v>2030</v>
      </c>
      <c r="B150" s="2" t="e">
        <f>B7/'Output-Calculation-sheet'!B6*'Output-Calculation-sheet'!#REF!</f>
        <v>#REF!</v>
      </c>
      <c r="C150" s="2" t="e">
        <f>C7/'Output-Calculation-sheet'!C6*'Output-Calculation-sheet'!#REF!</f>
        <v>#REF!</v>
      </c>
      <c r="D150" s="2" t="e">
        <f>D7/'Output-Calculation-sheet'!D6*'Output-Calculation-sheet'!#REF!</f>
        <v>#REF!</v>
      </c>
      <c r="E150" s="2" t="e">
        <f>E7/'Output-Calculation-sheet'!E6*'Output-Calculation-sheet'!#REF!</f>
        <v>#REF!</v>
      </c>
      <c r="F150" s="2" t="e">
        <f>F7/'Output-Calculation-sheet'!F6*'Output-Calculation-sheet'!#REF!</f>
        <v>#REF!</v>
      </c>
      <c r="G150" s="2" t="e">
        <f>G7/'Output-Calculation-sheet'!G6*'Output-Calculation-sheet'!#REF!</f>
        <v>#REF!</v>
      </c>
      <c r="H150" s="2" t="e">
        <f>H7/'Output-Calculation-sheet'!H6*'Output-Calculation-sheet'!#REF!</f>
        <v>#REF!</v>
      </c>
      <c r="I150" s="2" t="e">
        <f>I7/'Output-Calculation-sheet'!I6*'Output-Calculation-sheet'!#REF!</f>
        <v>#REF!</v>
      </c>
      <c r="J150" s="2" t="e">
        <f>J7/'Output-Calculation-sheet'!J6*'Output-Calculation-sheet'!#REF!</f>
        <v>#REF!</v>
      </c>
      <c r="K150" s="2" t="e">
        <f>K7/'Output-Calculation-sheet'!K6*'Output-Calculation-sheet'!#REF!</f>
        <v>#REF!</v>
      </c>
      <c r="L150" s="2" t="e">
        <f>L7/'Output-Calculation-sheet'!L6*'Output-Calculation-sheet'!#REF!</f>
        <v>#REF!</v>
      </c>
      <c r="M150" s="2" t="e">
        <f>M7/'Output-Calculation-sheet'!M6*'Output-Calculation-sheet'!#REF!</f>
        <v>#REF!</v>
      </c>
      <c r="N150" s="2" t="e">
        <f>N7/'Output-Calculation-sheet'!N6*'Output-Calculation-sheet'!#REF!</f>
        <v>#REF!</v>
      </c>
      <c r="O150" s="2" t="e">
        <f>O7/'Output-Calculation-sheet'!O6*'Output-Calculation-sheet'!#REF!</f>
        <v>#REF!</v>
      </c>
      <c r="P150" s="2" t="e">
        <f>P7/'Output-Calculation-sheet'!P6*'Output-Calculation-sheet'!#REF!</f>
        <v>#REF!</v>
      </c>
      <c r="Q150" s="2" t="e">
        <f>Q7/'Output-Calculation-sheet'!Q6*'Output-Calculation-sheet'!#REF!</f>
        <v>#REF!</v>
      </c>
      <c r="R150" s="2" t="e">
        <f>R7/'Output-Calculation-sheet'!R6*'Output-Calculation-sheet'!#REF!</f>
        <v>#REF!</v>
      </c>
      <c r="S150" s="2" t="e">
        <f>S7/'Output-Calculation-sheet'!S6*'Output-Calculation-sheet'!#REF!</f>
        <v>#REF!</v>
      </c>
      <c r="T150" s="2" t="e">
        <f>T7/'Output-Calculation-sheet'!T6*'Output-Calculation-sheet'!#REF!</f>
        <v>#REF!</v>
      </c>
      <c r="U150" s="2" t="e">
        <f>U7/'Output-Calculation-sheet'!U6*'Output-Calculation-sheet'!#REF!</f>
        <v>#REF!</v>
      </c>
      <c r="V150" s="2" t="e">
        <f>V7/'Output-Calculation-sheet'!V6*'Output-Calculation-sheet'!#REF!</f>
        <v>#REF!</v>
      </c>
      <c r="W150" s="2" t="e">
        <f>W7/'Output-Calculation-sheet'!W6*'Output-Calculation-sheet'!#REF!</f>
        <v>#REF!</v>
      </c>
      <c r="X150" s="2" t="e">
        <f>X7/'Output-Calculation-sheet'!X6*'Output-Calculation-sheet'!#REF!</f>
        <v>#REF!</v>
      </c>
      <c r="Y150" s="2" t="e">
        <f>Y7/'Output-Calculation-sheet'!Y6*'Output-Calculation-sheet'!#REF!</f>
        <v>#REF!</v>
      </c>
      <c r="AA150" s="2" t="e">
        <f t="shared" si="12"/>
        <v>#REF!</v>
      </c>
    </row>
    <row r="151" spans="1:27" x14ac:dyDescent="0.25">
      <c r="A151" s="2">
        <v>2031</v>
      </c>
      <c r="B151" s="2" t="e">
        <f>B8/'Output-Calculation-sheet'!B7*'Output-Calculation-sheet'!#REF!</f>
        <v>#REF!</v>
      </c>
      <c r="C151" s="2" t="e">
        <f>C8/'Output-Calculation-sheet'!C7*'Output-Calculation-sheet'!#REF!</f>
        <v>#REF!</v>
      </c>
      <c r="D151" s="2" t="e">
        <f>D8/'Output-Calculation-sheet'!D7*'Output-Calculation-sheet'!#REF!</f>
        <v>#REF!</v>
      </c>
      <c r="E151" s="2" t="e">
        <f>E8/'Output-Calculation-sheet'!E7*'Output-Calculation-sheet'!#REF!</f>
        <v>#REF!</v>
      </c>
      <c r="F151" s="2" t="e">
        <f>F8/'Output-Calculation-sheet'!F7*'Output-Calculation-sheet'!#REF!</f>
        <v>#REF!</v>
      </c>
      <c r="G151" s="2" t="e">
        <f>G8/'Output-Calculation-sheet'!G7*'Output-Calculation-sheet'!#REF!</f>
        <v>#REF!</v>
      </c>
      <c r="H151" s="2" t="e">
        <f>H8/'Output-Calculation-sheet'!H7*'Output-Calculation-sheet'!#REF!</f>
        <v>#REF!</v>
      </c>
      <c r="I151" s="2" t="e">
        <f>I8/'Output-Calculation-sheet'!I7*'Output-Calculation-sheet'!#REF!</f>
        <v>#REF!</v>
      </c>
      <c r="J151" s="2" t="e">
        <f>J8/'Output-Calculation-sheet'!J7*'Output-Calculation-sheet'!#REF!</f>
        <v>#REF!</v>
      </c>
      <c r="K151" s="2" t="e">
        <f>K8/'Output-Calculation-sheet'!K7*'Output-Calculation-sheet'!#REF!</f>
        <v>#REF!</v>
      </c>
      <c r="L151" s="2" t="e">
        <f>L8/'Output-Calculation-sheet'!L7*'Output-Calculation-sheet'!#REF!</f>
        <v>#REF!</v>
      </c>
      <c r="M151" s="2" t="e">
        <f>M8/'Output-Calculation-sheet'!M7*'Output-Calculation-sheet'!#REF!</f>
        <v>#REF!</v>
      </c>
      <c r="N151" s="2" t="e">
        <f>N8/'Output-Calculation-sheet'!N7*'Output-Calculation-sheet'!#REF!</f>
        <v>#REF!</v>
      </c>
      <c r="O151" s="2" t="e">
        <f>O8/'Output-Calculation-sheet'!O7*'Output-Calculation-sheet'!#REF!</f>
        <v>#REF!</v>
      </c>
      <c r="P151" s="2" t="e">
        <f>P8/'Output-Calculation-sheet'!P7*'Output-Calculation-sheet'!#REF!</f>
        <v>#REF!</v>
      </c>
      <c r="Q151" s="2" t="e">
        <f>Q8/'Output-Calculation-sheet'!Q7*'Output-Calculation-sheet'!#REF!</f>
        <v>#REF!</v>
      </c>
      <c r="R151" s="2" t="e">
        <f>R8/'Output-Calculation-sheet'!R7*'Output-Calculation-sheet'!#REF!</f>
        <v>#REF!</v>
      </c>
      <c r="S151" s="2" t="e">
        <f>S8/'Output-Calculation-sheet'!S7*'Output-Calculation-sheet'!#REF!</f>
        <v>#REF!</v>
      </c>
      <c r="T151" s="2" t="e">
        <f>T8/'Output-Calculation-sheet'!T7*'Output-Calculation-sheet'!#REF!</f>
        <v>#REF!</v>
      </c>
      <c r="U151" s="2" t="e">
        <f>U8/'Output-Calculation-sheet'!U7*'Output-Calculation-sheet'!#REF!</f>
        <v>#REF!</v>
      </c>
      <c r="V151" s="2" t="e">
        <f>V8/'Output-Calculation-sheet'!V7*'Output-Calculation-sheet'!#REF!</f>
        <v>#REF!</v>
      </c>
      <c r="W151" s="2" t="e">
        <f>W8/'Output-Calculation-sheet'!W7*'Output-Calculation-sheet'!#REF!</f>
        <v>#REF!</v>
      </c>
      <c r="X151" s="2" t="e">
        <f>X8/'Output-Calculation-sheet'!X7*'Output-Calculation-sheet'!#REF!</f>
        <v>#REF!</v>
      </c>
      <c r="Y151" s="2" t="e">
        <f>Y8/'Output-Calculation-sheet'!Y7*'Output-Calculation-sheet'!#REF!</f>
        <v>#REF!</v>
      </c>
      <c r="AA151" s="2" t="e">
        <f t="shared" si="12"/>
        <v>#REF!</v>
      </c>
    </row>
    <row r="152" spans="1:27" x14ac:dyDescent="0.25">
      <c r="A152" s="2">
        <v>2032</v>
      </c>
      <c r="B152" s="2" t="e">
        <f>B9/'Output-Calculation-sheet'!B8*'Output-Calculation-sheet'!#REF!</f>
        <v>#REF!</v>
      </c>
      <c r="C152" s="2" t="e">
        <f>C9/'Output-Calculation-sheet'!C8*'Output-Calculation-sheet'!#REF!</f>
        <v>#REF!</v>
      </c>
      <c r="D152" s="2" t="e">
        <f>D9/'Output-Calculation-sheet'!D8*'Output-Calculation-sheet'!#REF!</f>
        <v>#REF!</v>
      </c>
      <c r="E152" s="2" t="e">
        <f>E9/'Output-Calculation-sheet'!E8*'Output-Calculation-sheet'!#REF!</f>
        <v>#REF!</v>
      </c>
      <c r="F152" s="2" t="e">
        <f>F9/'Output-Calculation-sheet'!F8*'Output-Calculation-sheet'!#REF!</f>
        <v>#REF!</v>
      </c>
      <c r="G152" s="2" t="e">
        <f>G9/'Output-Calculation-sheet'!G8*'Output-Calculation-sheet'!#REF!</f>
        <v>#REF!</v>
      </c>
      <c r="H152" s="2" t="e">
        <f>H9/'Output-Calculation-sheet'!H8*'Output-Calculation-sheet'!#REF!</f>
        <v>#REF!</v>
      </c>
      <c r="I152" s="2" t="e">
        <f>I9/'Output-Calculation-sheet'!I8*'Output-Calculation-sheet'!#REF!</f>
        <v>#REF!</v>
      </c>
      <c r="J152" s="2" t="e">
        <f>J9/'Output-Calculation-sheet'!J8*'Output-Calculation-sheet'!#REF!</f>
        <v>#REF!</v>
      </c>
      <c r="K152" s="2" t="e">
        <f>K9/'Output-Calculation-sheet'!K8*'Output-Calculation-sheet'!#REF!</f>
        <v>#REF!</v>
      </c>
      <c r="L152" s="2" t="e">
        <f>L9/'Output-Calculation-sheet'!L8*'Output-Calculation-sheet'!#REF!</f>
        <v>#REF!</v>
      </c>
      <c r="M152" s="2" t="e">
        <f>M9/'Output-Calculation-sheet'!M8*'Output-Calculation-sheet'!#REF!</f>
        <v>#REF!</v>
      </c>
      <c r="N152" s="2" t="e">
        <f>N9/'Output-Calculation-sheet'!N8*'Output-Calculation-sheet'!#REF!</f>
        <v>#REF!</v>
      </c>
      <c r="O152" s="2" t="e">
        <f>O9/'Output-Calculation-sheet'!O8*'Output-Calculation-sheet'!#REF!</f>
        <v>#REF!</v>
      </c>
      <c r="P152" s="2" t="e">
        <f>P9/'Output-Calculation-sheet'!P8*'Output-Calculation-sheet'!#REF!</f>
        <v>#REF!</v>
      </c>
      <c r="Q152" s="2" t="e">
        <f>Q9/'Output-Calculation-sheet'!Q8*'Output-Calculation-sheet'!#REF!</f>
        <v>#REF!</v>
      </c>
      <c r="R152" s="2" t="e">
        <f>R9/'Output-Calculation-sheet'!R8*'Output-Calculation-sheet'!#REF!</f>
        <v>#REF!</v>
      </c>
      <c r="S152" s="2" t="e">
        <f>S9/'Output-Calculation-sheet'!S8*'Output-Calculation-sheet'!#REF!</f>
        <v>#REF!</v>
      </c>
      <c r="T152" s="2" t="e">
        <f>T9/'Output-Calculation-sheet'!T8*'Output-Calculation-sheet'!#REF!</f>
        <v>#REF!</v>
      </c>
      <c r="U152" s="2" t="e">
        <f>U9/'Output-Calculation-sheet'!U8*'Output-Calculation-sheet'!#REF!</f>
        <v>#REF!</v>
      </c>
      <c r="V152" s="2" t="e">
        <f>V9/'Output-Calculation-sheet'!V8*'Output-Calculation-sheet'!#REF!</f>
        <v>#REF!</v>
      </c>
      <c r="W152" s="2" t="e">
        <f>W9/'Output-Calculation-sheet'!W8*'Output-Calculation-sheet'!#REF!</f>
        <v>#REF!</v>
      </c>
      <c r="X152" s="2" t="e">
        <f>X9/'Output-Calculation-sheet'!X8*'Output-Calculation-sheet'!#REF!</f>
        <v>#REF!</v>
      </c>
      <c r="Y152" s="2" t="e">
        <f>Y9/'Output-Calculation-sheet'!Y8*'Output-Calculation-sheet'!#REF!</f>
        <v>#REF!</v>
      </c>
      <c r="AA152" s="2" t="e">
        <f t="shared" si="12"/>
        <v>#REF!</v>
      </c>
    </row>
    <row r="153" spans="1:27" x14ac:dyDescent="0.25">
      <c r="A153" s="2">
        <v>2033</v>
      </c>
      <c r="B153" s="2" t="e">
        <f>B10/'Output-Calculation-sheet'!B9*'Output-Calculation-sheet'!#REF!</f>
        <v>#REF!</v>
      </c>
      <c r="C153" s="2" t="e">
        <f>C10/'Output-Calculation-sheet'!C9*'Output-Calculation-sheet'!#REF!</f>
        <v>#REF!</v>
      </c>
      <c r="D153" s="2" t="e">
        <f>D10/'Output-Calculation-sheet'!D9*'Output-Calculation-sheet'!#REF!</f>
        <v>#REF!</v>
      </c>
      <c r="E153" s="2" t="e">
        <f>E10/'Output-Calculation-sheet'!E9*'Output-Calculation-sheet'!#REF!</f>
        <v>#REF!</v>
      </c>
      <c r="F153" s="2" t="e">
        <f>F10/'Output-Calculation-sheet'!F9*'Output-Calculation-sheet'!#REF!</f>
        <v>#REF!</v>
      </c>
      <c r="G153" s="2" t="e">
        <f>G10/'Output-Calculation-sheet'!G9*'Output-Calculation-sheet'!#REF!</f>
        <v>#REF!</v>
      </c>
      <c r="H153" s="2" t="e">
        <f>H10/'Output-Calculation-sheet'!H9*'Output-Calculation-sheet'!#REF!</f>
        <v>#REF!</v>
      </c>
      <c r="I153" s="2" t="e">
        <f>I10/'Output-Calculation-sheet'!I9*'Output-Calculation-sheet'!#REF!</f>
        <v>#REF!</v>
      </c>
      <c r="J153" s="2" t="e">
        <f>J10/'Output-Calculation-sheet'!J9*'Output-Calculation-sheet'!#REF!</f>
        <v>#REF!</v>
      </c>
      <c r="K153" s="2" t="e">
        <f>K10/'Output-Calculation-sheet'!K9*'Output-Calculation-sheet'!#REF!</f>
        <v>#REF!</v>
      </c>
      <c r="L153" s="2" t="e">
        <f>L10/'Output-Calculation-sheet'!L9*'Output-Calculation-sheet'!#REF!</f>
        <v>#REF!</v>
      </c>
      <c r="M153" s="2" t="e">
        <f>M10/'Output-Calculation-sheet'!M9*'Output-Calculation-sheet'!#REF!</f>
        <v>#REF!</v>
      </c>
      <c r="N153" s="2" t="e">
        <f>N10/'Output-Calculation-sheet'!N9*'Output-Calculation-sheet'!#REF!</f>
        <v>#REF!</v>
      </c>
      <c r="O153" s="2" t="e">
        <f>O10/'Output-Calculation-sheet'!O9*'Output-Calculation-sheet'!#REF!</f>
        <v>#REF!</v>
      </c>
      <c r="P153" s="2" t="e">
        <f>P10/'Output-Calculation-sheet'!P9*'Output-Calculation-sheet'!#REF!</f>
        <v>#REF!</v>
      </c>
      <c r="Q153" s="2" t="e">
        <f>Q10/'Output-Calculation-sheet'!Q9*'Output-Calculation-sheet'!#REF!</f>
        <v>#REF!</v>
      </c>
      <c r="R153" s="2" t="e">
        <f>R10/'Output-Calculation-sheet'!R9*'Output-Calculation-sheet'!#REF!</f>
        <v>#REF!</v>
      </c>
      <c r="S153" s="2" t="e">
        <f>S10/'Output-Calculation-sheet'!S9*'Output-Calculation-sheet'!#REF!</f>
        <v>#REF!</v>
      </c>
      <c r="T153" s="2" t="e">
        <f>T10/'Output-Calculation-sheet'!T9*'Output-Calculation-sheet'!#REF!</f>
        <v>#REF!</v>
      </c>
      <c r="U153" s="2" t="e">
        <f>U10/'Output-Calculation-sheet'!U9*'Output-Calculation-sheet'!#REF!</f>
        <v>#REF!</v>
      </c>
      <c r="V153" s="2" t="e">
        <f>V10/'Output-Calculation-sheet'!V9*'Output-Calculation-sheet'!#REF!</f>
        <v>#REF!</v>
      </c>
      <c r="W153" s="2" t="e">
        <f>W10/'Output-Calculation-sheet'!W9*'Output-Calculation-sheet'!#REF!</f>
        <v>#REF!</v>
      </c>
      <c r="X153" s="2" t="e">
        <f>X10/'Output-Calculation-sheet'!X9*'Output-Calculation-sheet'!#REF!</f>
        <v>#REF!</v>
      </c>
      <c r="Y153" s="2" t="e">
        <f>Y10/'Output-Calculation-sheet'!Y9*'Output-Calculation-sheet'!#REF!</f>
        <v>#REF!</v>
      </c>
      <c r="AA153" s="2" t="e">
        <f t="shared" si="12"/>
        <v>#REF!</v>
      </c>
    </row>
    <row r="154" spans="1:27" x14ac:dyDescent="0.25">
      <c r="A154" s="2">
        <v>2034</v>
      </c>
      <c r="B154" s="2" t="e">
        <f>B11/'Output-Calculation-sheet'!B10*'Output-Calculation-sheet'!#REF!</f>
        <v>#REF!</v>
      </c>
      <c r="C154" s="2" t="e">
        <f>C11/'Output-Calculation-sheet'!C10*'Output-Calculation-sheet'!#REF!</f>
        <v>#REF!</v>
      </c>
      <c r="D154" s="2" t="e">
        <f>D11/'Output-Calculation-sheet'!D10*'Output-Calculation-sheet'!#REF!</f>
        <v>#REF!</v>
      </c>
      <c r="E154" s="2" t="e">
        <f>E11/'Output-Calculation-sheet'!E10*'Output-Calculation-sheet'!#REF!</f>
        <v>#REF!</v>
      </c>
      <c r="F154" s="2" t="e">
        <f>F11/'Output-Calculation-sheet'!F10*'Output-Calculation-sheet'!#REF!</f>
        <v>#REF!</v>
      </c>
      <c r="G154" s="2" t="e">
        <f>G11/'Output-Calculation-sheet'!G10*'Output-Calculation-sheet'!#REF!</f>
        <v>#REF!</v>
      </c>
      <c r="H154" s="2" t="e">
        <f>H11/'Output-Calculation-sheet'!H10*'Output-Calculation-sheet'!#REF!</f>
        <v>#REF!</v>
      </c>
      <c r="I154" s="2" t="e">
        <f>I11/'Output-Calculation-sheet'!I10*'Output-Calculation-sheet'!#REF!</f>
        <v>#REF!</v>
      </c>
      <c r="J154" s="2" t="e">
        <f>J11/'Output-Calculation-sheet'!J10*'Output-Calculation-sheet'!#REF!</f>
        <v>#REF!</v>
      </c>
      <c r="K154" s="2" t="e">
        <f>K11/'Output-Calculation-sheet'!K10*'Output-Calculation-sheet'!#REF!</f>
        <v>#REF!</v>
      </c>
      <c r="L154" s="2" t="e">
        <f>L11/'Output-Calculation-sheet'!L10*'Output-Calculation-sheet'!#REF!</f>
        <v>#REF!</v>
      </c>
      <c r="M154" s="2" t="e">
        <f>M11/'Output-Calculation-sheet'!M10*'Output-Calculation-sheet'!#REF!</f>
        <v>#REF!</v>
      </c>
      <c r="N154" s="2" t="e">
        <f>N11/'Output-Calculation-sheet'!N10*'Output-Calculation-sheet'!#REF!</f>
        <v>#REF!</v>
      </c>
      <c r="O154" s="2" t="e">
        <f>O11/'Output-Calculation-sheet'!O10*'Output-Calculation-sheet'!#REF!</f>
        <v>#REF!</v>
      </c>
      <c r="P154" s="2" t="e">
        <f>P11/'Output-Calculation-sheet'!P10*'Output-Calculation-sheet'!#REF!</f>
        <v>#REF!</v>
      </c>
      <c r="Q154" s="2" t="e">
        <f>Q11/'Output-Calculation-sheet'!Q10*'Output-Calculation-sheet'!#REF!</f>
        <v>#REF!</v>
      </c>
      <c r="R154" s="2" t="e">
        <f>R11/'Output-Calculation-sheet'!R10*'Output-Calculation-sheet'!#REF!</f>
        <v>#REF!</v>
      </c>
      <c r="S154" s="2" t="e">
        <f>S11/'Output-Calculation-sheet'!S10*'Output-Calculation-sheet'!#REF!</f>
        <v>#REF!</v>
      </c>
      <c r="T154" s="2" t="e">
        <f>T11/'Output-Calculation-sheet'!T10*'Output-Calculation-sheet'!#REF!</f>
        <v>#REF!</v>
      </c>
      <c r="U154" s="2" t="e">
        <f>U11/'Output-Calculation-sheet'!U10*'Output-Calculation-sheet'!#REF!</f>
        <v>#REF!</v>
      </c>
      <c r="V154" s="2" t="e">
        <f>V11/'Output-Calculation-sheet'!V10*'Output-Calculation-sheet'!#REF!</f>
        <v>#REF!</v>
      </c>
      <c r="W154" s="2" t="e">
        <f>W11/'Output-Calculation-sheet'!W10*'Output-Calculation-sheet'!#REF!</f>
        <v>#REF!</v>
      </c>
      <c r="X154" s="2" t="e">
        <f>X11/'Output-Calculation-sheet'!X10*'Output-Calculation-sheet'!#REF!</f>
        <v>#REF!</v>
      </c>
      <c r="Y154" s="2" t="e">
        <f>Y11/'Output-Calculation-sheet'!Y10*'Output-Calculation-sheet'!#REF!</f>
        <v>#REF!</v>
      </c>
      <c r="AA154" s="2" t="e">
        <f t="shared" si="12"/>
        <v>#REF!</v>
      </c>
    </row>
    <row r="155" spans="1:27" x14ac:dyDescent="0.25">
      <c r="A155" s="2">
        <v>2035</v>
      </c>
      <c r="B155" s="2" t="e">
        <f>B12/'Output-Calculation-sheet'!B11*'Output-Calculation-sheet'!#REF!</f>
        <v>#REF!</v>
      </c>
      <c r="C155" s="2" t="e">
        <f>C12/'Output-Calculation-sheet'!C11*'Output-Calculation-sheet'!#REF!</f>
        <v>#REF!</v>
      </c>
      <c r="D155" s="2" t="e">
        <f>D12/'Output-Calculation-sheet'!D11*'Output-Calculation-sheet'!#REF!</f>
        <v>#REF!</v>
      </c>
      <c r="E155" s="2" t="e">
        <f>E12/'Output-Calculation-sheet'!E11*'Output-Calculation-sheet'!#REF!</f>
        <v>#REF!</v>
      </c>
      <c r="F155" s="2" t="e">
        <f>F12/'Output-Calculation-sheet'!F11*'Output-Calculation-sheet'!#REF!</f>
        <v>#REF!</v>
      </c>
      <c r="G155" s="2" t="e">
        <f>G12/'Output-Calculation-sheet'!G11*'Output-Calculation-sheet'!#REF!</f>
        <v>#REF!</v>
      </c>
      <c r="H155" s="2" t="e">
        <f>H12/'Output-Calculation-sheet'!H11*'Output-Calculation-sheet'!#REF!</f>
        <v>#REF!</v>
      </c>
      <c r="I155" s="2" t="e">
        <f>I12/'Output-Calculation-sheet'!I11*'Output-Calculation-sheet'!#REF!</f>
        <v>#REF!</v>
      </c>
      <c r="J155" s="2" t="e">
        <f>J12/'Output-Calculation-sheet'!J11*'Output-Calculation-sheet'!#REF!</f>
        <v>#REF!</v>
      </c>
      <c r="K155" s="2" t="e">
        <f>K12/'Output-Calculation-sheet'!K11*'Output-Calculation-sheet'!#REF!</f>
        <v>#REF!</v>
      </c>
      <c r="L155" s="2" t="e">
        <f>L12/'Output-Calculation-sheet'!L11*'Output-Calculation-sheet'!#REF!</f>
        <v>#REF!</v>
      </c>
      <c r="M155" s="2" t="e">
        <f>M12/'Output-Calculation-sheet'!M11*'Output-Calculation-sheet'!#REF!</f>
        <v>#REF!</v>
      </c>
      <c r="N155" s="2" t="e">
        <f>N12/'Output-Calculation-sheet'!N11*'Output-Calculation-sheet'!#REF!</f>
        <v>#REF!</v>
      </c>
      <c r="O155" s="2" t="e">
        <f>O12/'Output-Calculation-sheet'!O11*'Output-Calculation-sheet'!#REF!</f>
        <v>#REF!</v>
      </c>
      <c r="P155" s="2" t="e">
        <f>P12/'Output-Calculation-sheet'!P11*'Output-Calculation-sheet'!#REF!</f>
        <v>#REF!</v>
      </c>
      <c r="Q155" s="2" t="e">
        <f>Q12/'Output-Calculation-sheet'!Q11*'Output-Calculation-sheet'!#REF!</f>
        <v>#REF!</v>
      </c>
      <c r="R155" s="2" t="e">
        <f>R12/'Output-Calculation-sheet'!R11*'Output-Calculation-sheet'!#REF!</f>
        <v>#REF!</v>
      </c>
      <c r="S155" s="2" t="e">
        <f>S12/'Output-Calculation-sheet'!S11*'Output-Calculation-sheet'!#REF!</f>
        <v>#REF!</v>
      </c>
      <c r="T155" s="2" t="e">
        <f>T12/'Output-Calculation-sheet'!T11*'Output-Calculation-sheet'!#REF!</f>
        <v>#REF!</v>
      </c>
      <c r="U155" s="2" t="e">
        <f>U12/'Output-Calculation-sheet'!U11*'Output-Calculation-sheet'!#REF!</f>
        <v>#REF!</v>
      </c>
      <c r="V155" s="2" t="e">
        <f>V12/'Output-Calculation-sheet'!V11*'Output-Calculation-sheet'!#REF!</f>
        <v>#REF!</v>
      </c>
      <c r="W155" s="2" t="e">
        <f>W12/'Output-Calculation-sheet'!W11*'Output-Calculation-sheet'!#REF!</f>
        <v>#REF!</v>
      </c>
      <c r="X155" s="2" t="e">
        <f>X12/'Output-Calculation-sheet'!X11*'Output-Calculation-sheet'!#REF!</f>
        <v>#REF!</v>
      </c>
      <c r="Y155" s="2" t="e">
        <f>Y12/'Output-Calculation-sheet'!Y11*'Output-Calculation-sheet'!#REF!</f>
        <v>#REF!</v>
      </c>
      <c r="AA155" s="2" t="e">
        <f t="shared" si="12"/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2026-02-20T16:06:41Z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