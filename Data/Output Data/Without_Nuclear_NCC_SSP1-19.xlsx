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NCC\SSP1-19\"/>
    </mc:Choice>
  </mc:AlternateContent>
  <xr:revisionPtr revIDLastSave="0" documentId="13_ncr:1_{C6231533-C533-4613-A043-C2075793EE4E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A95" i="23" l="1"/>
  <c r="AA99" i="23"/>
  <c r="AA95" i="24"/>
  <c r="AA99" i="24"/>
  <c r="AA40" i="23"/>
  <c r="AA44" i="23"/>
  <c r="AA40" i="24"/>
  <c r="AA44" i="24"/>
  <c r="AA73" i="23"/>
  <c r="AA77" i="23"/>
  <c r="AA73" i="24"/>
  <c r="AA77" i="24"/>
  <c r="AA51" i="23"/>
  <c r="AA55" i="23"/>
  <c r="AA51" i="24"/>
  <c r="AA55" i="24"/>
  <c r="AA84" i="23"/>
  <c r="AA88" i="23"/>
  <c r="AA84" i="24"/>
  <c r="AA88" i="24"/>
  <c r="AA29" i="23"/>
  <c r="AA29" i="24"/>
  <c r="AA33" i="24"/>
  <c r="AA33" i="23"/>
  <c r="AA18" i="23"/>
  <c r="AA22" i="23"/>
  <c r="AA18" i="24"/>
  <c r="AA22" i="24"/>
  <c r="AA18" i="25"/>
  <c r="AA22" i="25"/>
  <c r="AA18" i="14"/>
  <c r="AA19" i="23"/>
  <c r="AA23" i="23"/>
  <c r="AA30" i="23"/>
  <c r="AA34" i="23"/>
  <c r="AA41" i="23"/>
  <c r="AA45" i="23"/>
  <c r="AA52" i="23"/>
  <c r="AA56" i="23"/>
  <c r="AA74" i="23"/>
  <c r="AA78" i="23"/>
  <c r="AA85" i="23"/>
  <c r="AA89" i="23"/>
  <c r="AA96" i="23"/>
  <c r="AA100" i="23"/>
  <c r="AA19" i="24"/>
  <c r="AA23" i="24"/>
  <c r="AA30" i="24"/>
  <c r="AA34" i="24"/>
  <c r="AA41" i="24"/>
  <c r="AA45" i="24"/>
  <c r="AA52" i="24"/>
  <c r="AA56" i="24"/>
  <c r="AA74" i="24"/>
  <c r="AA78" i="24"/>
  <c r="AA85" i="24"/>
  <c r="AA89" i="24"/>
  <c r="AA96" i="24"/>
  <c r="AA100" i="24"/>
  <c r="AA19" i="25"/>
  <c r="AA23" i="25"/>
  <c r="AA30" i="25"/>
  <c r="AA34" i="25"/>
  <c r="AA41" i="25"/>
  <c r="AA45" i="25"/>
  <c r="AA52" i="25"/>
  <c r="AA56" i="25"/>
  <c r="AA74" i="25"/>
  <c r="AA78" i="25"/>
  <c r="AA85" i="25"/>
  <c r="AA89" i="25"/>
  <c r="AA96" i="25"/>
  <c r="AA100" i="25"/>
  <c r="AA19" i="26"/>
  <c r="AA23" i="26"/>
  <c r="AA30" i="26"/>
  <c r="AA34" i="26"/>
  <c r="AA41" i="26"/>
  <c r="AA45" i="26"/>
  <c r="AA52" i="26"/>
  <c r="AA56" i="26"/>
  <c r="AA74" i="26"/>
  <c r="AA78" i="26"/>
  <c r="AA85" i="26"/>
  <c r="AA89" i="26"/>
  <c r="AA96" i="26"/>
  <c r="AA100" i="26"/>
  <c r="AA19" i="27"/>
  <c r="AA23" i="27"/>
  <c r="AA30" i="27"/>
  <c r="AA34" i="27"/>
  <c r="AA41" i="27"/>
  <c r="AA45" i="27"/>
  <c r="AA52" i="27"/>
  <c r="AA56" i="27"/>
  <c r="AA74" i="27"/>
  <c r="AA78" i="27"/>
  <c r="AA85" i="27"/>
  <c r="AA89" i="27"/>
  <c r="AA29" i="25"/>
  <c r="AA33" i="25"/>
  <c r="AA40" i="25"/>
  <c r="AA44" i="25"/>
  <c r="AA51" i="25"/>
  <c r="AA55" i="25"/>
  <c r="AA73" i="25"/>
  <c r="AA77" i="25"/>
  <c r="AA84" i="25"/>
  <c r="AA88" i="25"/>
  <c r="AA95" i="25"/>
  <c r="AA99" i="25"/>
  <c r="AA18" i="26"/>
  <c r="AA22" i="26"/>
  <c r="AA29" i="26"/>
  <c r="AA33" i="26"/>
  <c r="AA40" i="26"/>
  <c r="AA44" i="26"/>
  <c r="AA51" i="26"/>
  <c r="AA55" i="26"/>
  <c r="AA73" i="26"/>
  <c r="AA77" i="26"/>
  <c r="AA84" i="26"/>
  <c r="AA88" i="26"/>
  <c r="AA95" i="26"/>
  <c r="AA99" i="26"/>
  <c r="AA18" i="27"/>
  <c r="AA22" i="27"/>
  <c r="AA29" i="27"/>
  <c r="AA33" i="27"/>
  <c r="AA40" i="27"/>
  <c r="AA44" i="27"/>
  <c r="AA51" i="27"/>
  <c r="AA55" i="27"/>
  <c r="AA73" i="27"/>
  <c r="AA77" i="27"/>
  <c r="AA84" i="27"/>
  <c r="AA88" i="27"/>
  <c r="AA95" i="27"/>
  <c r="AA99" i="27"/>
  <c r="AA18" i="28"/>
  <c r="AA22" i="28"/>
  <c r="AA29" i="28"/>
  <c r="AA33" i="28"/>
  <c r="AA40" i="28"/>
  <c r="AA44" i="28"/>
  <c r="AA51" i="28"/>
  <c r="AA55" i="28"/>
  <c r="AA73" i="28"/>
  <c r="AA77" i="28"/>
  <c r="AA84" i="28"/>
  <c r="AA88" i="28"/>
  <c r="AA95" i="28"/>
  <c r="AA72" i="26"/>
  <c r="AA17" i="23"/>
  <c r="AA21" i="23"/>
  <c r="AA39" i="23"/>
  <c r="AA43" i="23"/>
  <c r="AA50" i="23"/>
  <c r="AA72" i="23"/>
  <c r="AA83" i="23"/>
  <c r="AA87" i="23"/>
  <c r="AA94" i="23"/>
  <c r="AA98" i="23"/>
  <c r="AA21" i="24"/>
  <c r="AA28" i="24"/>
  <c r="AA32" i="24"/>
  <c r="AA50" i="24"/>
  <c r="AA54" i="24"/>
  <c r="AA87" i="24"/>
  <c r="AA94" i="24"/>
  <c r="AA98" i="26"/>
  <c r="AA17" i="27"/>
  <c r="AA39" i="24"/>
  <c r="AA28" i="23"/>
  <c r="AA54" i="23"/>
  <c r="AA83" i="24"/>
  <c r="AA17" i="25"/>
  <c r="AA21" i="27"/>
  <c r="AA32" i="23"/>
  <c r="AA76" i="23"/>
  <c r="AA17" i="24"/>
  <c r="AA43" i="24"/>
  <c r="AA72" i="24"/>
  <c r="AA76" i="24"/>
  <c r="AA98" i="24"/>
  <c r="AA21" i="25"/>
  <c r="AA28" i="25"/>
  <c r="AA39" i="25"/>
  <c r="AA76" i="26"/>
  <c r="AA32" i="25"/>
  <c r="AA43" i="25"/>
  <c r="AA50" i="25"/>
  <c r="AA54" i="25"/>
  <c r="AA72" i="25"/>
  <c r="AA76" i="25"/>
  <c r="AA83" i="25"/>
  <c r="AA87" i="25"/>
  <c r="AA94" i="25"/>
  <c r="AA98" i="25"/>
  <c r="AA17" i="26"/>
  <c r="AA21" i="26"/>
  <c r="AA28" i="26"/>
  <c r="AA32" i="26"/>
  <c r="AA39" i="26"/>
  <c r="AA43" i="26"/>
  <c r="AA50" i="26"/>
  <c r="AA54" i="26"/>
  <c r="AA96" i="27"/>
  <c r="AA100" i="27"/>
  <c r="AA19" i="28"/>
  <c r="AA23" i="28"/>
  <c r="AA30" i="28"/>
  <c r="AA34" i="28"/>
  <c r="AA41" i="28"/>
  <c r="AA45" i="28"/>
  <c r="AA52" i="28"/>
  <c r="AA56" i="28"/>
  <c r="AA74" i="28"/>
  <c r="AA78" i="28"/>
  <c r="AA85" i="28"/>
  <c r="AA89" i="28"/>
  <c r="AA96" i="28"/>
  <c r="AA100" i="28"/>
  <c r="AA19" i="29"/>
  <c r="AA23" i="29"/>
  <c r="AA30" i="29"/>
  <c r="AA34" i="29"/>
  <c r="AA41" i="29"/>
  <c r="AA45" i="29"/>
  <c r="AA52" i="29"/>
  <c r="AA56" i="29"/>
  <c r="AA74" i="29"/>
  <c r="AA78" i="29"/>
  <c r="AA85" i="29"/>
  <c r="AA89" i="29"/>
  <c r="AA96" i="29"/>
  <c r="AA100" i="29"/>
  <c r="AA19" i="30"/>
  <c r="AA23" i="30"/>
  <c r="AA30" i="30"/>
  <c r="AA34" i="30"/>
  <c r="AA41" i="30"/>
  <c r="AA45" i="30"/>
  <c r="AA52" i="30"/>
  <c r="AA56" i="30"/>
  <c r="AA74" i="30"/>
  <c r="AA78" i="30"/>
  <c r="AA85" i="30"/>
  <c r="AA89" i="30"/>
  <c r="AA96" i="30"/>
  <c r="AA100" i="30"/>
  <c r="AA19" i="31"/>
  <c r="AA23" i="31"/>
  <c r="AA30" i="31"/>
  <c r="AA34" i="31"/>
  <c r="AA41" i="31"/>
  <c r="AA45" i="31"/>
  <c r="AA52" i="31"/>
  <c r="AA56" i="31"/>
  <c r="AA74" i="31"/>
  <c r="AA78" i="31"/>
  <c r="AA85" i="31"/>
  <c r="AA89" i="31"/>
  <c r="AA96" i="31"/>
  <c r="AA100" i="31"/>
  <c r="AA19" i="32"/>
  <c r="AA23" i="32"/>
  <c r="AA30" i="32"/>
  <c r="AA34" i="32"/>
  <c r="AA41" i="32"/>
  <c r="AA45" i="32"/>
  <c r="AA52" i="32"/>
  <c r="AA56" i="32"/>
  <c r="AA74" i="32"/>
  <c r="AA78" i="32"/>
  <c r="AA85" i="32"/>
  <c r="AA89" i="32"/>
  <c r="AA96" i="32"/>
  <c r="AA100" i="32"/>
  <c r="AA99" i="28"/>
  <c r="AA18" i="29"/>
  <c r="AA22" i="29"/>
  <c r="AA29" i="29"/>
  <c r="AA33" i="29"/>
  <c r="AA40" i="29"/>
  <c r="AA44" i="29"/>
  <c r="AA51" i="29"/>
  <c r="AA55" i="29"/>
  <c r="AA73" i="29"/>
  <c r="AA77" i="29"/>
  <c r="AA84" i="29"/>
  <c r="AA88" i="29"/>
  <c r="AA95" i="29"/>
  <c r="AA99" i="29"/>
  <c r="AA18" i="30"/>
  <c r="AA22" i="30"/>
  <c r="AA29" i="30"/>
  <c r="AA33" i="30"/>
  <c r="AA40" i="30"/>
  <c r="AA44" i="30"/>
  <c r="AA51" i="30"/>
  <c r="AA55" i="30"/>
  <c r="AA73" i="30"/>
  <c r="AA77" i="30"/>
  <c r="AA84" i="30"/>
  <c r="AA88" i="30"/>
  <c r="AA95" i="30"/>
  <c r="AA99" i="30"/>
  <c r="AA18" i="31"/>
  <c r="AA22" i="31"/>
  <c r="AA29" i="31"/>
  <c r="AA33" i="31"/>
  <c r="AA40" i="31"/>
  <c r="AA44" i="31"/>
  <c r="AA51" i="31"/>
  <c r="AA55" i="31"/>
  <c r="AA73" i="31"/>
  <c r="AA77" i="31"/>
  <c r="AA84" i="31"/>
  <c r="AA88" i="31"/>
  <c r="AA95" i="31"/>
  <c r="AA99" i="31"/>
  <c r="AA18" i="32"/>
  <c r="AA22" i="32"/>
  <c r="AA29" i="32"/>
  <c r="AA33" i="32"/>
  <c r="AA40" i="32"/>
  <c r="AA44" i="32"/>
  <c r="AA51" i="32"/>
  <c r="AA55" i="32"/>
  <c r="AA73" i="32"/>
  <c r="AA77" i="32"/>
  <c r="AA84" i="32"/>
  <c r="AA88" i="32"/>
  <c r="AA95" i="32"/>
  <c r="AA99" i="32"/>
  <c r="AA83" i="26"/>
  <c r="AA87" i="26"/>
  <c r="AA94" i="26"/>
  <c r="AA28" i="27"/>
  <c r="AA32" i="27"/>
  <c r="AA39" i="27"/>
  <c r="AA43" i="27"/>
  <c r="AA50" i="27"/>
  <c r="AA54" i="27"/>
  <c r="AA72" i="27"/>
  <c r="AA76" i="27"/>
  <c r="AA83" i="27"/>
  <c r="AA87" i="27"/>
  <c r="AA94" i="27"/>
  <c r="AA98" i="27"/>
  <c r="AA17" i="28"/>
  <c r="AA21" i="28"/>
  <c r="AA28" i="28"/>
  <c r="AA32" i="28"/>
  <c r="AA39" i="28"/>
  <c r="AA43" i="28"/>
  <c r="AA50" i="28"/>
  <c r="AA54" i="28"/>
  <c r="AA72" i="28"/>
  <c r="AA76" i="28"/>
  <c r="AA83" i="28"/>
  <c r="AA87" i="28"/>
  <c r="AA94" i="28"/>
  <c r="AA98" i="28"/>
  <c r="AA17" i="29"/>
  <c r="AA21" i="29"/>
  <c r="AA28" i="29"/>
  <c r="AA32" i="29"/>
  <c r="AA39" i="29"/>
  <c r="AA43" i="29"/>
  <c r="AA50" i="29"/>
  <c r="AA54" i="29"/>
  <c r="AA72" i="29"/>
  <c r="AA76" i="29"/>
  <c r="AA83" i="29"/>
  <c r="AA87" i="29"/>
  <c r="AA94" i="29"/>
  <c r="AA98" i="29"/>
  <c r="AA17" i="30"/>
  <c r="AA21" i="30"/>
  <c r="AA28" i="30"/>
  <c r="AA32" i="30"/>
  <c r="AA39" i="30"/>
  <c r="AA43" i="30"/>
  <c r="AA50" i="30"/>
  <c r="AA54" i="30"/>
  <c r="AA72" i="30"/>
  <c r="AA76" i="30"/>
  <c r="AA83" i="30"/>
  <c r="AA87" i="30"/>
  <c r="AA94" i="30"/>
  <c r="AA98" i="30"/>
  <c r="AA17" i="31"/>
  <c r="AA21" i="31"/>
  <c r="AA28" i="31"/>
  <c r="AA32" i="31"/>
  <c r="AA39" i="31"/>
  <c r="AA43" i="31"/>
  <c r="AA50" i="31"/>
  <c r="AA54" i="31"/>
  <c r="AA72" i="31"/>
  <c r="AA76" i="31"/>
  <c r="AA83" i="31"/>
  <c r="AA87" i="31"/>
  <c r="AA94" i="31"/>
  <c r="AA98" i="31"/>
  <c r="AA17" i="32"/>
  <c r="AA21" i="32"/>
  <c r="AA28" i="32"/>
  <c r="AA32" i="32"/>
  <c r="AA39" i="32"/>
  <c r="AA43" i="32"/>
  <c r="AA50" i="32"/>
  <c r="AA54" i="32"/>
  <c r="AA72" i="32"/>
  <c r="AA76" i="32"/>
  <c r="AA83" i="32"/>
  <c r="AA87" i="32"/>
  <c r="AA94" i="32"/>
  <c r="AA98" i="32"/>
  <c r="AA31" i="23"/>
  <c r="AA75" i="23"/>
  <c r="AA82" i="23"/>
  <c r="AA97" i="23"/>
  <c r="AA16" i="24"/>
  <c r="AA20" i="24"/>
  <c r="AA31" i="24"/>
  <c r="AA38" i="24"/>
  <c r="AA49" i="24"/>
  <c r="AA82" i="24"/>
  <c r="AA86" i="24"/>
  <c r="AA38" i="25"/>
  <c r="AA42" i="23"/>
  <c r="AA49" i="23"/>
  <c r="AA53" i="23"/>
  <c r="AA86" i="23"/>
  <c r="AA93" i="23"/>
  <c r="AA27" i="24"/>
  <c r="AA53" i="24"/>
  <c r="AA71" i="24"/>
  <c r="AA75" i="24"/>
  <c r="AA27" i="25"/>
  <c r="AA75" i="25"/>
  <c r="AA97" i="25"/>
  <c r="AA16" i="26"/>
  <c r="AA20" i="26"/>
  <c r="AA27" i="26"/>
  <c r="AA49" i="26"/>
  <c r="AA82" i="26"/>
  <c r="AA16" i="23"/>
  <c r="AA20" i="23"/>
  <c r="AA27" i="23"/>
  <c r="AA38" i="23"/>
  <c r="AA71" i="23"/>
  <c r="AA42" i="24"/>
  <c r="AA93" i="24"/>
  <c r="AA97" i="24"/>
  <c r="AA16" i="25"/>
  <c r="AA20" i="25"/>
  <c r="AA31" i="25"/>
  <c r="AA42" i="25"/>
  <c r="AA49" i="25"/>
  <c r="AA53" i="25"/>
  <c r="AA71" i="25"/>
  <c r="AA82" i="25"/>
  <c r="AA86" i="25"/>
  <c r="AA93" i="25"/>
  <c r="AA31" i="26"/>
  <c r="AA38" i="26"/>
  <c r="AA42" i="26"/>
  <c r="AA53" i="26"/>
  <c r="AA71" i="26"/>
  <c r="AA75" i="26"/>
  <c r="AA97" i="26"/>
  <c r="AA93" i="26"/>
  <c r="AA17" i="14"/>
  <c r="AA86" i="26"/>
  <c r="AA16" i="27"/>
  <c r="AA20" i="27"/>
  <c r="AA27" i="27"/>
  <c r="AA31" i="27"/>
  <c r="AA38" i="27"/>
  <c r="AA42" i="27"/>
  <c r="AA49" i="27"/>
  <c r="AA53" i="27"/>
  <c r="AA71" i="27"/>
  <c r="AA75" i="27"/>
  <c r="AA82" i="27"/>
  <c r="AA86" i="27"/>
  <c r="AA93" i="27"/>
  <c r="AA97" i="27"/>
  <c r="AA16" i="28"/>
  <c r="AA20" i="28"/>
  <c r="AA27" i="28"/>
  <c r="AA31" i="28"/>
  <c r="AA38" i="28"/>
  <c r="AA42" i="28"/>
  <c r="AA49" i="28"/>
  <c r="AA53" i="28"/>
  <c r="AA71" i="28"/>
  <c r="AA75" i="28"/>
  <c r="AA82" i="28"/>
  <c r="AA86" i="28"/>
  <c r="AA93" i="28"/>
  <c r="AA97" i="28"/>
  <c r="AA16" i="29"/>
  <c r="AA20" i="29"/>
  <c r="AA27" i="29"/>
  <c r="AA31" i="29"/>
  <c r="AA38" i="29"/>
  <c r="AA42" i="29"/>
  <c r="AA49" i="29"/>
  <c r="AA53" i="29"/>
  <c r="AA71" i="29"/>
  <c r="AA75" i="29"/>
  <c r="AA82" i="29"/>
  <c r="AA86" i="29"/>
  <c r="AA93" i="29"/>
  <c r="AA97" i="29"/>
  <c r="AA16" i="30"/>
  <c r="AA20" i="30"/>
  <c r="AA27" i="30"/>
  <c r="AA31" i="30"/>
  <c r="AA38" i="30"/>
  <c r="AA42" i="30"/>
  <c r="AA49" i="30"/>
  <c r="AA53" i="30"/>
  <c r="AA71" i="30"/>
  <c r="AA75" i="30"/>
  <c r="AA82" i="30"/>
  <c r="AA86" i="30"/>
  <c r="AA93" i="30"/>
  <c r="AA97" i="30"/>
  <c r="AA16" i="31"/>
  <c r="AA20" i="31"/>
  <c r="AA27" i="31"/>
  <c r="AA31" i="31"/>
  <c r="AA38" i="31"/>
  <c r="AA42" i="31"/>
  <c r="AA49" i="31"/>
  <c r="AA53" i="31"/>
  <c r="AA71" i="31"/>
  <c r="AA75" i="31"/>
  <c r="AA82" i="31"/>
  <c r="AA86" i="31"/>
  <c r="AA93" i="31"/>
  <c r="AA97" i="31"/>
  <c r="AA16" i="32"/>
  <c r="AA20" i="32"/>
  <c r="AA27" i="32"/>
  <c r="AA31" i="32"/>
  <c r="AA38" i="32"/>
  <c r="AA42" i="32"/>
  <c r="AA49" i="32"/>
  <c r="AA53" i="32"/>
  <c r="AA71" i="32"/>
  <c r="AA75" i="32"/>
  <c r="AA82" i="32"/>
  <c r="AA86" i="32"/>
  <c r="AA93" i="32"/>
  <c r="AA97" i="32"/>
  <c r="AA16" i="14"/>
  <c r="AA63" i="23"/>
  <c r="AA67" i="23"/>
  <c r="AA63" i="24"/>
  <c r="AA67" i="24"/>
  <c r="AA63" i="25"/>
  <c r="AA67" i="25"/>
  <c r="AA63" i="26"/>
  <c r="AA67" i="26"/>
  <c r="AA63" i="27"/>
  <c r="AA67" i="27"/>
  <c r="AA63" i="28"/>
  <c r="AA67" i="28"/>
  <c r="AA63" i="29"/>
  <c r="AA67" i="29"/>
  <c r="AA63" i="30"/>
  <c r="AA67" i="30"/>
  <c r="AA63" i="31"/>
  <c r="AA67" i="31"/>
  <c r="AA63" i="32"/>
  <c r="AA67" i="32"/>
  <c r="AA62" i="23"/>
  <c r="AA66" i="23"/>
  <c r="AA62" i="27"/>
  <c r="AA66" i="31"/>
  <c r="AA62" i="32"/>
  <c r="AA62" i="24"/>
  <c r="AA66" i="24"/>
  <c r="AA66" i="25"/>
  <c r="AA66" i="26"/>
  <c r="AA62" i="28"/>
  <c r="AA62" i="29"/>
  <c r="AA62" i="30"/>
  <c r="AA62" i="31"/>
  <c r="AA62" i="25"/>
  <c r="AA62" i="26"/>
  <c r="AA66" i="27"/>
  <c r="AA66" i="28"/>
  <c r="AA66" i="29"/>
  <c r="AA66" i="30"/>
  <c r="AA66" i="32"/>
  <c r="AA61" i="23"/>
  <c r="AA65" i="23"/>
  <c r="AA61" i="24"/>
  <c r="AA65" i="24"/>
  <c r="AA61" i="25"/>
  <c r="AA65" i="25"/>
  <c r="AA61" i="26"/>
  <c r="AA65" i="26"/>
  <c r="AA61" i="27"/>
  <c r="AA65" i="27"/>
  <c r="AA61" i="28"/>
  <c r="AA65" i="28"/>
  <c r="AA61" i="29"/>
  <c r="AA65" i="29"/>
  <c r="AA61" i="30"/>
  <c r="AA65" i="30"/>
  <c r="AA61" i="31"/>
  <c r="AA65" i="31"/>
  <c r="AA61" i="32"/>
  <c r="AA65" i="32"/>
  <c r="AA60" i="24"/>
  <c r="AA64" i="24"/>
  <c r="AA60" i="25"/>
  <c r="AA64" i="25"/>
  <c r="AA60" i="26"/>
  <c r="AA64" i="26"/>
  <c r="AA60" i="27"/>
  <c r="AA64" i="27"/>
  <c r="AA60" i="28"/>
  <c r="AA64" i="28"/>
  <c r="AA60" i="29"/>
  <c r="AA64" i="29"/>
  <c r="AA60" i="30"/>
  <c r="AA64" i="30"/>
  <c r="AA60" i="31"/>
  <c r="AA64" i="31"/>
  <c r="AA60" i="32"/>
  <c r="AA64" i="32"/>
  <c r="AA60" i="23"/>
  <c r="AA64" i="23"/>
  <c r="N68" i="29"/>
  <c r="B68" i="31"/>
  <c r="V68" i="31"/>
  <c r="S68" i="31"/>
  <c r="C68" i="32"/>
  <c r="W68" i="32"/>
  <c r="T68" i="31"/>
  <c r="D68" i="32"/>
  <c r="X68" i="32"/>
  <c r="L68" i="29"/>
  <c r="P68" i="30"/>
  <c r="M68" i="29"/>
  <c r="Q68" i="30"/>
  <c r="U68" i="31"/>
  <c r="E68" i="32"/>
  <c r="Y68" i="32"/>
  <c r="F68" i="32"/>
  <c r="G68" i="27"/>
  <c r="L68" i="28"/>
  <c r="I68" i="26"/>
  <c r="R68" i="23"/>
  <c r="B68" i="24"/>
  <c r="V68" i="24"/>
  <c r="F68" i="25"/>
  <c r="O68" i="29"/>
  <c r="S68" i="30"/>
  <c r="U68" i="23"/>
  <c r="E68" i="24"/>
  <c r="Y68" i="24"/>
  <c r="I68" i="25"/>
  <c r="M68" i="28"/>
  <c r="O68" i="28"/>
  <c r="F68" i="26"/>
  <c r="V68" i="30"/>
  <c r="H68" i="25"/>
  <c r="C68" i="23"/>
  <c r="W68" i="23"/>
  <c r="G68" i="24"/>
  <c r="I68" i="27"/>
  <c r="G68" i="25"/>
  <c r="D68" i="23"/>
  <c r="X68" i="23"/>
  <c r="H68" i="24"/>
  <c r="G68" i="30"/>
  <c r="H68" i="27"/>
  <c r="B68" i="30"/>
  <c r="N68" i="28"/>
  <c r="G68" i="26"/>
  <c r="H68" i="26"/>
  <c r="H68" i="32"/>
  <c r="K68" i="32"/>
  <c r="L68" i="32"/>
  <c r="M68" i="32"/>
  <c r="O68" i="32"/>
  <c r="P68" i="32"/>
  <c r="G68" i="32"/>
  <c r="N68" i="32"/>
  <c r="Q68" i="32"/>
  <c r="R68" i="32"/>
  <c r="S68" i="32"/>
  <c r="T68" i="32"/>
  <c r="U68" i="32"/>
  <c r="I68" i="32"/>
  <c r="J68" i="32"/>
  <c r="B68" i="32"/>
  <c r="V68" i="32"/>
  <c r="F68" i="31"/>
  <c r="G68" i="31"/>
  <c r="H68" i="31"/>
  <c r="I68" i="31"/>
  <c r="K68" i="31"/>
  <c r="L68" i="31"/>
  <c r="M68" i="31"/>
  <c r="W68" i="31"/>
  <c r="X68" i="31"/>
  <c r="N68" i="31"/>
  <c r="E68" i="31"/>
  <c r="J68" i="31"/>
  <c r="O68" i="31"/>
  <c r="C68" i="31"/>
  <c r="Y68" i="31"/>
  <c r="P68" i="31"/>
  <c r="Q68" i="31"/>
  <c r="D68" i="31"/>
  <c r="R68" i="31"/>
  <c r="R68" i="30"/>
  <c r="T68" i="30"/>
  <c r="U68" i="30"/>
  <c r="F68" i="30"/>
  <c r="H68" i="30"/>
  <c r="I68" i="30"/>
  <c r="J68" i="30"/>
  <c r="C68" i="30"/>
  <c r="D68" i="30"/>
  <c r="Y68" i="30"/>
  <c r="K68" i="30"/>
  <c r="W68" i="30"/>
  <c r="X68" i="30"/>
  <c r="E68" i="30"/>
  <c r="L68" i="30"/>
  <c r="M68" i="30"/>
  <c r="N68" i="30"/>
  <c r="O68" i="30"/>
  <c r="Q68" i="29"/>
  <c r="S68" i="29"/>
  <c r="T68" i="29"/>
  <c r="U68" i="29"/>
  <c r="B68" i="29"/>
  <c r="V68" i="29"/>
  <c r="C68" i="29"/>
  <c r="W68" i="29"/>
  <c r="D68" i="29"/>
  <c r="X68" i="29"/>
  <c r="E68" i="29"/>
  <c r="Y68" i="29"/>
  <c r="G68" i="29"/>
  <c r="P68" i="29"/>
  <c r="F68" i="29"/>
  <c r="H68" i="29"/>
  <c r="R68" i="29"/>
  <c r="I68" i="29"/>
  <c r="J68" i="29"/>
  <c r="K68" i="29"/>
  <c r="I68" i="28"/>
  <c r="J68" i="28"/>
  <c r="K68" i="28"/>
  <c r="Q68" i="28"/>
  <c r="R68" i="28"/>
  <c r="S68" i="28"/>
  <c r="U68" i="28"/>
  <c r="B68" i="28"/>
  <c r="V68" i="28"/>
  <c r="C68" i="28"/>
  <c r="W68" i="28"/>
  <c r="T68" i="28"/>
  <c r="D68" i="28"/>
  <c r="X68" i="28"/>
  <c r="P68" i="28"/>
  <c r="E68" i="28"/>
  <c r="Y68" i="28"/>
  <c r="F68" i="28"/>
  <c r="G68" i="28"/>
  <c r="H68" i="28"/>
  <c r="K68" i="27"/>
  <c r="O68" i="27"/>
  <c r="P68" i="27"/>
  <c r="Q68" i="27"/>
  <c r="J68" i="27"/>
  <c r="R68" i="27"/>
  <c r="S68" i="27"/>
  <c r="T68" i="27"/>
  <c r="U68" i="27"/>
  <c r="L68" i="27"/>
  <c r="M68" i="27"/>
  <c r="B68" i="27"/>
  <c r="V68" i="27"/>
  <c r="N68" i="27"/>
  <c r="C68" i="27"/>
  <c r="W68" i="27"/>
  <c r="D68" i="27"/>
  <c r="X68" i="27"/>
  <c r="E68" i="27"/>
  <c r="Y68" i="27"/>
  <c r="F68" i="27"/>
  <c r="K68" i="26"/>
  <c r="L68" i="26"/>
  <c r="M68" i="26"/>
  <c r="N68" i="26"/>
  <c r="O68" i="26"/>
  <c r="P68" i="26"/>
  <c r="S68" i="26"/>
  <c r="U68" i="26"/>
  <c r="J68" i="26"/>
  <c r="Q68" i="26"/>
  <c r="R68" i="26"/>
  <c r="T68" i="26"/>
  <c r="B68" i="26"/>
  <c r="V68" i="26"/>
  <c r="C68" i="26"/>
  <c r="W68" i="26"/>
  <c r="D68" i="26"/>
  <c r="X68" i="26"/>
  <c r="E68" i="26"/>
  <c r="Y68" i="26"/>
  <c r="B68" i="25"/>
  <c r="V68" i="25"/>
  <c r="C68" i="25"/>
  <c r="W68" i="25"/>
  <c r="D68" i="25"/>
  <c r="X68" i="25"/>
  <c r="E68" i="25"/>
  <c r="Y68" i="25"/>
  <c r="K68" i="25"/>
  <c r="L68" i="25"/>
  <c r="N68" i="25"/>
  <c r="O68" i="25"/>
  <c r="M68" i="25"/>
  <c r="P68" i="25"/>
  <c r="Q68" i="25"/>
  <c r="R68" i="25"/>
  <c r="S68" i="25"/>
  <c r="T68" i="25"/>
  <c r="J68" i="25"/>
  <c r="U68" i="25"/>
  <c r="C68" i="24"/>
  <c r="W68" i="24"/>
  <c r="D68" i="24"/>
  <c r="X68" i="24"/>
  <c r="I68" i="24"/>
  <c r="J68" i="24"/>
  <c r="K68" i="24"/>
  <c r="L68" i="24"/>
  <c r="M68" i="24"/>
  <c r="N68" i="24"/>
  <c r="F68" i="24"/>
  <c r="O68" i="24"/>
  <c r="P68" i="24"/>
  <c r="Q68" i="24"/>
  <c r="R68" i="24"/>
  <c r="S68" i="24"/>
  <c r="T68" i="24"/>
  <c r="U68" i="24"/>
  <c r="S68" i="23"/>
  <c r="T68" i="23"/>
  <c r="B68" i="23"/>
  <c r="E68" i="23"/>
  <c r="F68" i="23"/>
  <c r="G68" i="23"/>
  <c r="H68" i="23"/>
  <c r="I68" i="23"/>
  <c r="L68" i="23"/>
  <c r="V68" i="23"/>
  <c r="J68" i="23"/>
  <c r="K68" i="23"/>
  <c r="M68" i="23"/>
  <c r="Y68" i="23"/>
  <c r="N68" i="23"/>
  <c r="O68" i="23"/>
  <c r="P68" i="23"/>
  <c r="Q68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4" i="12" l="1"/>
  <c r="AA108" i="12"/>
  <c r="AA115" i="12"/>
  <c r="AA119" i="12"/>
  <c r="AA126" i="12"/>
  <c r="AA130" i="12"/>
  <c r="AA137" i="12"/>
  <c r="AA141" i="12"/>
  <c r="AA148" i="12"/>
  <c r="AA152" i="12"/>
  <c r="AA107" i="12"/>
  <c r="AA111" i="12"/>
  <c r="AA118" i="12"/>
  <c r="AA122" i="12"/>
  <c r="AA129" i="12"/>
  <c r="AA133" i="12"/>
  <c r="AA140" i="12"/>
  <c r="AA144" i="12"/>
  <c r="AA151" i="12"/>
  <c r="AA155" i="12"/>
  <c r="AA154" i="12"/>
  <c r="AA110" i="12"/>
  <c r="AA132" i="12"/>
  <c r="AA139" i="12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7" i="14" l="1"/>
  <c r="AA63" i="14"/>
  <c r="AA66" i="15"/>
  <c r="AA62" i="15"/>
  <c r="AA65" i="16"/>
  <c r="AA61" i="16"/>
  <c r="AA64" i="17"/>
  <c r="AA67" i="18"/>
  <c r="AA63" i="18"/>
  <c r="AA66" i="19"/>
  <c r="AA62" i="19"/>
  <c r="AA65" i="20"/>
  <c r="AA61" i="20"/>
  <c r="AA64" i="21"/>
  <c r="AA67" i="22"/>
  <c r="AA63" i="22"/>
  <c r="AA64" i="14"/>
  <c r="AA67" i="15"/>
  <c r="AA63" i="15"/>
  <c r="AA66" i="16"/>
  <c r="AA62" i="16"/>
  <c r="AA65" i="17"/>
  <c r="AA61" i="17"/>
  <c r="AA64" i="18"/>
  <c r="AA67" i="19"/>
  <c r="AA63" i="19"/>
  <c r="AA66" i="20"/>
  <c r="AA62" i="20"/>
  <c r="AA65" i="21"/>
  <c r="AA61" i="21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AA66" i="14"/>
  <c r="AA62" i="14"/>
  <c r="AA65" i="15"/>
  <c r="AA61" i="15"/>
  <c r="AA64" i="16"/>
  <c r="AA67" i="17"/>
  <c r="AA63" i="17"/>
  <c r="AA66" i="18"/>
  <c r="AA62" i="18"/>
  <c r="AA65" i="19"/>
  <c r="AA61" i="19"/>
  <c r="AA64" i="20"/>
  <c r="AA67" i="21"/>
  <c r="AA63" i="21"/>
  <c r="AA66" i="22"/>
  <c r="AA62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39" i="14" l="1"/>
  <c r="AA32" i="14"/>
  <c r="AA43" i="14"/>
  <c r="AA50" i="14"/>
  <c r="AA54" i="14"/>
  <c r="AA71" i="14"/>
  <c r="AA75" i="14"/>
  <c r="AA82" i="14"/>
  <c r="AA86" i="14"/>
  <c r="AA93" i="14"/>
  <c r="AA97" i="14"/>
  <c r="AA16" i="15"/>
  <c r="AA20" i="15"/>
  <c r="AA27" i="15"/>
  <c r="AA31" i="15"/>
  <c r="AA38" i="15"/>
  <c r="AA42" i="15"/>
  <c r="AA49" i="15"/>
  <c r="AA53" i="15"/>
  <c r="AA74" i="15"/>
  <c r="AA78" i="15"/>
  <c r="AA85" i="15"/>
  <c r="AA89" i="15"/>
  <c r="AA96" i="15"/>
  <c r="AA100" i="15"/>
  <c r="AA19" i="16"/>
  <c r="AA23" i="16"/>
  <c r="AA30" i="16"/>
  <c r="AA34" i="16"/>
  <c r="AA41" i="16"/>
  <c r="AA45" i="16"/>
  <c r="AA52" i="16"/>
  <c r="AA56" i="16"/>
  <c r="AA73" i="16"/>
  <c r="AA77" i="16"/>
  <c r="AA84" i="16"/>
  <c r="AA88" i="16"/>
  <c r="AA95" i="16"/>
  <c r="AA21" i="14"/>
  <c r="AA28" i="14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31" i="14"/>
  <c r="AA38" i="14"/>
  <c r="AA42" i="14"/>
  <c r="AA53" i="14"/>
  <c r="AA74" i="14"/>
  <c r="AA78" i="14"/>
  <c r="AA85" i="14"/>
  <c r="AA89" i="14"/>
  <c r="AA96" i="14"/>
  <c r="AA30" i="15"/>
  <c r="AA34" i="15"/>
  <c r="AA41" i="15"/>
  <c r="AA45" i="15"/>
  <c r="AA52" i="15"/>
  <c r="AA56" i="15"/>
  <c r="AA73" i="15"/>
  <c r="AA77" i="15"/>
  <c r="AA84" i="15"/>
  <c r="AA88" i="15"/>
  <c r="AA95" i="15"/>
  <c r="AA99" i="15"/>
  <c r="AA18" i="16"/>
  <c r="AA22" i="16"/>
  <c r="AA29" i="16"/>
  <c r="AA33" i="16"/>
  <c r="AA40" i="16"/>
  <c r="AA44" i="16"/>
  <c r="AA51" i="16"/>
  <c r="AA55" i="16"/>
  <c r="AA72" i="16"/>
  <c r="AA76" i="16"/>
  <c r="AA83" i="16"/>
  <c r="AA87" i="16"/>
  <c r="AA94" i="16"/>
  <c r="AA27" i="14"/>
  <c r="AA20" i="14"/>
  <c r="AA100" i="14"/>
  <c r="AA23" i="15"/>
  <c r="AA49" i="14"/>
  <c r="AA19" i="15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00" i="22"/>
  <c r="AA30" i="14"/>
  <c r="AA45" i="14"/>
  <c r="AA52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7" i="16"/>
  <c r="AA19" i="14"/>
  <c r="AA23" i="14"/>
  <c r="AA34" i="14"/>
  <c r="AA41" i="14"/>
  <c r="AA56" i="14"/>
  <c r="AA22" i="14"/>
  <c r="AA29" i="14"/>
  <c r="AA33" i="14"/>
  <c r="AA40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99" i="17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16"/>
  <c r="AA60" i="20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<sst xmlns="http://schemas.openxmlformats.org/spreadsheetml/2006/main" count="887" uniqueCount="55">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</sst>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 t="shared" ref="AA16:AA23" si="0"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459.6433598666672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si="0"/>
        <v>15.312229693881967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2643.6358698585964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589.15072180780328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19.466858248764144</v>
      </c>
    </row>
    <row r="19" spans="1:27" x14ac:dyDescent="0.25">
      <c r="A19" s="2">
        <v>2031</v>
      </c>
      <c r="B19" s="2">
        <f>B8/'Output-Calculation-sheet'!B7*'Output-Calculation-sheet'!B25</f>
        <v>4118.9357857203613</v>
      </c>
      <c r="C19" s="2">
        <f>C8/'Output-Calculation-sheet'!C7*'Output-Calculation-sheet'!C25</f>
        <v>6221.0113867320224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3338.7473193370433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678.75021409870749</v>
      </c>
      <c r="M19" s="2">
        <f>M8/'Output-Calculation-sheet'!M7*'Output-Calculation-sheet'!M25</f>
        <v>4403.6238179730817</v>
      </c>
      <c r="N19" s="2">
        <f>N8/'Output-Calculation-sheet'!N7*'Output-Calculation-sheet'!N25</f>
        <v>2248.2073835859082</v>
      </c>
      <c r="O19" s="2">
        <f>O8/'Output-Calculation-sheet'!O7*'Output-Calculation-sheet'!O25</f>
        <v>1215.1872149243036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429.87544412293033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306.20956918354346</v>
      </c>
      <c r="Y19" s="2">
        <f>Y8/'Output-Calculation-sheet'!Y7*'Output-Calculation-sheet'!Y25</f>
        <v>0</v>
      </c>
      <c r="AA19" s="2">
        <f t="shared" si="0"/>
        <v>22.960548135677897</v>
      </c>
    </row>
    <row r="20" spans="1:27" x14ac:dyDescent="0.25">
      <c r="A20" s="2">
        <v>2032</v>
      </c>
      <c r="B20" s="2">
        <f>B9/'Output-Calculation-sheet'!B8*'Output-Calculation-sheet'!B26</f>
        <v>5176.8108547477987</v>
      </c>
      <c r="C20" s="2">
        <f>C9/'Output-Calculation-sheet'!C8*'Output-Calculation-sheet'!C26</f>
        <v>6412.6987572424432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4223.5090439391979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733.89795128827518</v>
      </c>
      <c r="M20" s="2">
        <f>M9/'Output-Calculation-sheet'!M8*'Output-Calculation-sheet'!M26</f>
        <v>4466.2139044382511</v>
      </c>
      <c r="N20" s="2">
        <f>N9/'Output-Calculation-sheet'!N8*'Output-Calculation-sheet'!N26</f>
        <v>2515.4518603039432</v>
      </c>
      <c r="O20" s="2">
        <f>O9/'Output-Calculation-sheet'!O8*'Output-Calculation-sheet'!O26</f>
        <v>1251.5204236405607</v>
      </c>
      <c r="P20" s="2">
        <f>P9/'Output-Calculation-sheet'!P8*'Output-Calculation-sheet'!P26</f>
        <v>0</v>
      </c>
      <c r="Q20" s="2">
        <f>Q9/'Output-Calculation-sheet'!Q8*'Output-Calculation-sheet'!Q26</f>
        <v>75.638904730228219</v>
      </c>
      <c r="R20" s="2">
        <f>R9/'Output-Calculation-sheet'!R8*'Output-Calculation-sheet'!R26</f>
        <v>0</v>
      </c>
      <c r="S20" s="2">
        <f>S9/'Output-Calculation-sheet'!S8*'Output-Calculation-sheet'!S26</f>
        <v>534.07351126484923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412.92706788487573</v>
      </c>
      <c r="Y20" s="2">
        <f>Y9/'Output-Calculation-sheet'!Y8*'Output-Calculation-sheet'!Y26</f>
        <v>0</v>
      </c>
      <c r="AA20" s="2">
        <f t="shared" si="0"/>
        <v>25.802742279480427</v>
      </c>
    </row>
    <row r="21" spans="1:27" x14ac:dyDescent="0.25">
      <c r="A21" s="2">
        <v>2033</v>
      </c>
      <c r="B21" s="2">
        <f>B10/'Output-Calculation-sheet'!B9*'Output-Calculation-sheet'!B27</f>
        <v>6594.0266812890432</v>
      </c>
      <c r="C21" s="2">
        <f>C10/'Output-Calculation-sheet'!C9*'Output-Calculation-sheet'!C27</f>
        <v>6618.0653064797643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5802.0092425823295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805.47743454156694</v>
      </c>
      <c r="M21" s="2">
        <f>M10/'Output-Calculation-sheet'!M9*'Output-Calculation-sheet'!M27</f>
        <v>4515.9092422380954</v>
      </c>
      <c r="N21" s="2">
        <f>N10/'Output-Calculation-sheet'!N9*'Output-Calculation-sheet'!N27</f>
        <v>2632.0195438786359</v>
      </c>
      <c r="O21" s="2">
        <f>O10/'Output-Calculation-sheet'!O9*'Output-Calculation-sheet'!O27</f>
        <v>1287.654575493144</v>
      </c>
      <c r="P21" s="2">
        <f>P10/'Output-Calculation-sheet'!P9*'Output-Calculation-sheet'!P27</f>
        <v>0</v>
      </c>
      <c r="Q21" s="2">
        <f>Q10/'Output-Calculation-sheet'!Q9*'Output-Calculation-sheet'!Q27</f>
        <v>196.12829099895066</v>
      </c>
      <c r="R21" s="2">
        <f>R10/'Output-Calculation-sheet'!R9*'Output-Calculation-sheet'!R27</f>
        <v>0</v>
      </c>
      <c r="S21" s="2">
        <f>S10/'Output-Calculation-sheet'!S9*'Output-Calculation-sheet'!S27</f>
        <v>668.5814736985044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421.36518078016729</v>
      </c>
      <c r="Y21" s="2">
        <f>Y10/'Output-Calculation-sheet'!Y9*'Output-Calculation-sheet'!Y27</f>
        <v>0</v>
      </c>
      <c r="AA21" s="2">
        <f t="shared" si="0"/>
        <v>29.541236971980204</v>
      </c>
    </row>
    <row r="22" spans="1:27" x14ac:dyDescent="0.25">
      <c r="A22" s="2">
        <v>2034</v>
      </c>
      <c r="B22" s="2">
        <f>B11/'Output-Calculation-sheet'!B10*'Output-Calculation-sheet'!B28</f>
        <v>8398.2581539653365</v>
      </c>
      <c r="C22" s="2">
        <f>C11/'Output-Calculation-sheet'!C10*'Output-Calculation-sheet'!C28</f>
        <v>6848.4107288695659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5951.0764276329755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876.78928090898</v>
      </c>
      <c r="M22" s="2">
        <f>M11/'Output-Calculation-sheet'!M10*'Output-Calculation-sheet'!M28</f>
        <v>4624.2892280726264</v>
      </c>
      <c r="N22" s="2">
        <f>N11/'Output-Calculation-sheet'!N10*'Output-Calculation-sheet'!N28</f>
        <v>2773.7000406706338</v>
      </c>
      <c r="O22" s="2">
        <f>O11/'Output-Calculation-sheet'!O10*'Output-Calculation-sheet'!O28</f>
        <v>1324.4517102828568</v>
      </c>
      <c r="P22" s="2">
        <f>P11/'Output-Calculation-sheet'!P10*'Output-Calculation-sheet'!P28</f>
        <v>0</v>
      </c>
      <c r="Q22" s="2">
        <f>Q11/'Output-Calculation-sheet'!Q10*'Output-Calculation-sheet'!Q28</f>
        <v>380.21260368718163</v>
      </c>
      <c r="R22" s="2">
        <f>R11/'Output-Calculation-sheet'!R10*'Output-Calculation-sheet'!R28</f>
        <v>0</v>
      </c>
      <c r="S22" s="2">
        <f>S11/'Output-Calculation-sheet'!S10*'Output-Calculation-sheet'!S28</f>
        <v>812.57634700244932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432.44701936606322</v>
      </c>
      <c r="Y22" s="2">
        <f>Y11/'Output-Calculation-sheet'!Y10*'Output-Calculation-sheet'!Y28</f>
        <v>0</v>
      </c>
      <c r="AA22" s="2">
        <f t="shared" si="0"/>
        <v>32.422211540458676</v>
      </c>
    </row>
    <row r="23" spans="1:27" x14ac:dyDescent="0.25">
      <c r="A23" s="2">
        <v>2035</v>
      </c>
      <c r="B23" s="2">
        <f>B12/'Output-Calculation-sheet'!B11*'Output-Calculation-sheet'!B29</f>
        <v>10367.811746091566</v>
      </c>
      <c r="C23" s="2">
        <f>C12/'Output-Calculation-sheet'!C11*'Output-Calculation-sheet'!C29</f>
        <v>7268.1047691134208</v>
      </c>
      <c r="D23" s="2">
        <f>D12/'Output-Calculation-sheet'!D11*'Output-Calculation-sheet'!D29</f>
        <v>0</v>
      </c>
      <c r="E23" s="2">
        <f>E12/'Output-Calculation-sheet'!E11*'Output-Calculation-sheet'!E29</f>
        <v>95.012288502380173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6069.3173598743724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956.76139285588613</v>
      </c>
      <c r="M23" s="2">
        <f>M12/'Output-Calculation-sheet'!M11*'Output-Calculation-sheet'!M29</f>
        <v>4720.2708589107278</v>
      </c>
      <c r="N23" s="2">
        <f>N12/'Output-Calculation-sheet'!N11*'Output-Calculation-sheet'!N29</f>
        <v>2897.4562152567787</v>
      </c>
      <c r="O23" s="2">
        <f>O12/'Output-Calculation-sheet'!O11*'Output-Calculation-sheet'!O29</f>
        <v>1473.9784711391621</v>
      </c>
      <c r="P23" s="2">
        <f>P12/'Output-Calculation-sheet'!P11*'Output-Calculation-sheet'!P29</f>
        <v>0</v>
      </c>
      <c r="Q23" s="2">
        <f>Q12/'Output-Calculation-sheet'!Q11*'Output-Calculation-sheet'!Q29</f>
        <v>569.75479951628733</v>
      </c>
      <c r="R23" s="2">
        <f>R12/'Output-Calculation-sheet'!R11*'Output-Calculation-sheet'!R29</f>
        <v>0</v>
      </c>
      <c r="S23" s="2">
        <f>S12/'Output-Calculation-sheet'!S11*'Output-Calculation-sheet'!S29</f>
        <v>965.62786571597519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446.19669566344743</v>
      </c>
      <c r="Y23" s="2">
        <f>Y12/'Output-Calculation-sheet'!Y11*'Output-Calculation-sheet'!Y29</f>
        <v>0</v>
      </c>
      <c r="AA23" s="2">
        <f t="shared" si="0"/>
        <v>35.830292462640003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346.61823643386697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 t="shared" ref="AA27:AA34" si="1">SUM(B27:Y27)/1000</f>
        <v>34.509072877412116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1781.3634960862469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437.35217414940757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si="1"/>
        <v>43.582619948502625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2036.6566800409385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1763.7069692654914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488.30899083105572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50.862486449941706</v>
      </c>
    </row>
    <row r="30" spans="1:27" x14ac:dyDescent="0.25">
      <c r="A30" s="2">
        <v>2031</v>
      </c>
      <c r="B30" s="2">
        <f>B8/'Output-Calculation-sheet'!B7*'Output-Calculation-sheet'!B16</f>
        <v>19710.359745990052</v>
      </c>
      <c r="C30" s="2">
        <f>C8/'Output-Calculation-sheet'!C7*'Output-Calculation-sheet'!C16</f>
        <v>0</v>
      </c>
      <c r="D30" s="2">
        <f>D8/'Output-Calculation-sheet'!D7*'Output-Calculation-sheet'!D16</f>
        <v>5387.3026529880462</v>
      </c>
      <c r="E30" s="2">
        <f>E8/'Output-Calculation-sheet'!E7*'Output-Calculation-sheet'!E16</f>
        <v>6578.2860463528996</v>
      </c>
      <c r="F30" s="2">
        <f>F8/'Output-Calculation-sheet'!F7*'Output-Calculation-sheet'!F16</f>
        <v>2958.7245403944848</v>
      </c>
      <c r="G30" s="2">
        <f>G8/'Output-Calculation-sheet'!G7*'Output-Calculation-sheet'!G16</f>
        <v>1703.7371934384357</v>
      </c>
      <c r="H30" s="2">
        <f>H8/'Output-Calculation-sheet'!H7*'Output-Calculation-sheet'!H16</f>
        <v>0</v>
      </c>
      <c r="I30" s="2">
        <f>I8/'Output-Calculation-sheet'!I7*'Output-Calculation-sheet'!I16</f>
        <v>1807.8147841220264</v>
      </c>
      <c r="J30" s="2">
        <f>J8/'Output-Calculation-sheet'!J7*'Output-Calculation-sheet'!J16</f>
        <v>1838.545408568177</v>
      </c>
      <c r="K30" s="2">
        <f>K8/'Output-Calculation-sheet'!K7*'Output-Calculation-sheet'!K16</f>
        <v>2395.6098667269807</v>
      </c>
      <c r="L30" s="2">
        <f>L8/'Output-Calculation-sheet'!L7*'Output-Calculation-sheet'!L16</f>
        <v>2176.8759417210076</v>
      </c>
      <c r="M30" s="2">
        <f>M8/'Output-Calculation-sheet'!M7*'Output-Calculation-sheet'!M16</f>
        <v>0</v>
      </c>
      <c r="N30" s="2">
        <f>N8/'Output-Calculation-sheet'!N7*'Output-Calculation-sheet'!N16</f>
        <v>1285.3128333146219</v>
      </c>
      <c r="O30" s="2">
        <f>O8/'Output-Calculation-sheet'!O7*'Output-Calculation-sheet'!O16</f>
        <v>0</v>
      </c>
      <c r="P30" s="2">
        <f>P8/'Output-Calculation-sheet'!P7*'Output-Calculation-sheet'!P16</f>
        <v>1934.4434148765331</v>
      </c>
      <c r="Q30" s="2">
        <f>Q8/'Output-Calculation-sheet'!Q7*'Output-Calculation-sheet'!Q16</f>
        <v>2157.4264617683421</v>
      </c>
      <c r="R30" s="2">
        <f>R8/'Output-Calculation-sheet'!R7*'Output-Calculation-sheet'!R16</f>
        <v>1760.0032680687118</v>
      </c>
      <c r="S30" s="2">
        <f>S8/'Output-Calculation-sheet'!S7*'Output-Calculation-sheet'!S16</f>
        <v>947.38022960195792</v>
      </c>
      <c r="T30" s="2">
        <f>T8/'Output-Calculation-sheet'!T7*'Output-Calculation-sheet'!T16</f>
        <v>558.1484416269933</v>
      </c>
      <c r="U30" s="2">
        <f>U8/'Output-Calculation-sheet'!U7*'Output-Calculation-sheet'!U16</f>
        <v>446.7877362690304</v>
      </c>
      <c r="V30" s="2">
        <f>V8/'Output-Calculation-sheet'!V7*'Output-Calculation-sheet'!V16</f>
        <v>526.06915819689493</v>
      </c>
      <c r="W30" s="2">
        <f>W8/'Output-Calculation-sheet'!W7*'Output-Calculation-sheet'!W16</f>
        <v>242.76048610303243</v>
      </c>
      <c r="X30" s="2">
        <f>X8/'Output-Calculation-sheet'!X7*'Output-Calculation-sheet'!X16</f>
        <v>0</v>
      </c>
      <c r="Y30" s="2">
        <f>Y8/'Output-Calculation-sheet'!Y7*'Output-Calculation-sheet'!Y16</f>
        <v>186.67839845013401</v>
      </c>
      <c r="AA30" s="2">
        <f t="shared" si="1"/>
        <v>54.602266608578368</v>
      </c>
    </row>
    <row r="31" spans="1:27" x14ac:dyDescent="0.25">
      <c r="A31" s="2">
        <v>2032</v>
      </c>
      <c r="B31" s="2">
        <f>B9/'Output-Calculation-sheet'!B8*'Output-Calculation-sheet'!B17</f>
        <v>19406.343289978606</v>
      </c>
      <c r="C31" s="2">
        <f>C9/'Output-Calculation-sheet'!C8*'Output-Calculation-sheet'!C17</f>
        <v>0</v>
      </c>
      <c r="D31" s="2">
        <f>D9/'Output-Calculation-sheet'!D8*'Output-Calculation-sheet'!D17</f>
        <v>5398.375310119136</v>
      </c>
      <c r="E31" s="2">
        <f>E9/'Output-Calculation-sheet'!E8*'Output-Calculation-sheet'!E17</f>
        <v>6622.9185751402956</v>
      </c>
      <c r="F31" s="2">
        <f>F9/'Output-Calculation-sheet'!F8*'Output-Calculation-sheet'!F17</f>
        <v>2982.9555378651507</v>
      </c>
      <c r="G31" s="2">
        <f>G9/'Output-Calculation-sheet'!G8*'Output-Calculation-sheet'!G17</f>
        <v>1716.9045447908534</v>
      </c>
      <c r="H31" s="2">
        <f>H9/'Output-Calculation-sheet'!H8*'Output-Calculation-sheet'!H17</f>
        <v>0</v>
      </c>
      <c r="I31" s="2">
        <f>I9/'Output-Calculation-sheet'!I8*'Output-Calculation-sheet'!I17</f>
        <v>1820.1283007584495</v>
      </c>
      <c r="J31" s="2">
        <f>J9/'Output-Calculation-sheet'!J8*'Output-Calculation-sheet'!J17</f>
        <v>1846.6773735608901</v>
      </c>
      <c r="K31" s="2">
        <f>K9/'Output-Calculation-sheet'!K8*'Output-Calculation-sheet'!K17</f>
        <v>2401.7640933823873</v>
      </c>
      <c r="L31" s="2">
        <f>L9/'Output-Calculation-sheet'!L8*'Output-Calculation-sheet'!L17</f>
        <v>2172.675658217951</v>
      </c>
      <c r="M31" s="2">
        <f>M9/'Output-Calculation-sheet'!M8*'Output-Calculation-sheet'!M17</f>
        <v>0</v>
      </c>
      <c r="N31" s="2">
        <f>N9/'Output-Calculation-sheet'!N8*'Output-Calculation-sheet'!N17</f>
        <v>1213.1650010441413</v>
      </c>
      <c r="O31" s="2">
        <f>O9/'Output-Calculation-sheet'!O8*'Output-Calculation-sheet'!O17</f>
        <v>0</v>
      </c>
      <c r="P31" s="2">
        <f>P9/'Output-Calculation-sheet'!P8*'Output-Calculation-sheet'!P17</f>
        <v>1971.1433092045502</v>
      </c>
      <c r="Q31" s="2">
        <f>Q9/'Output-Calculation-sheet'!Q8*'Output-Calculation-sheet'!Q17</f>
        <v>2142.2662099248537</v>
      </c>
      <c r="R31" s="2">
        <f>R9/'Output-Calculation-sheet'!R8*'Output-Calculation-sheet'!R17</f>
        <v>1778.3925731741133</v>
      </c>
      <c r="S31" s="2">
        <f>S9/'Output-Calculation-sheet'!S8*'Output-Calculation-sheet'!S17</f>
        <v>923.8812842830564</v>
      </c>
      <c r="T31" s="2">
        <f>T9/'Output-Calculation-sheet'!T8*'Output-Calculation-sheet'!T17</f>
        <v>560.26132401378231</v>
      </c>
      <c r="U31" s="2">
        <f>U9/'Output-Calculation-sheet'!U8*'Output-Calculation-sheet'!U17</f>
        <v>450.11806981026143</v>
      </c>
      <c r="V31" s="2">
        <f>V9/'Output-Calculation-sheet'!V8*'Output-Calculation-sheet'!V17</f>
        <v>529.11020350843603</v>
      </c>
      <c r="W31" s="2">
        <f>W9/'Output-Calculation-sheet'!W8*'Output-Calculation-sheet'!W17</f>
        <v>244.73164431586108</v>
      </c>
      <c r="X31" s="2">
        <f>X9/'Output-Calculation-sheet'!X8*'Output-Calculation-sheet'!X17</f>
        <v>0</v>
      </c>
      <c r="Y31" s="2">
        <f>Y9/'Output-Calculation-sheet'!Y8*'Output-Calculation-sheet'!Y17</f>
        <v>188.33678668477643</v>
      </c>
      <c r="AA31" s="2">
        <f t="shared" si="1"/>
        <v>54.370149089777541</v>
      </c>
    </row>
    <row r="32" spans="1:27" x14ac:dyDescent="0.25">
      <c r="A32" s="2">
        <v>2033</v>
      </c>
      <c r="B32" s="2">
        <f>B10/'Output-Calculation-sheet'!B9*'Output-Calculation-sheet'!B18</f>
        <v>18837.253437974814</v>
      </c>
      <c r="C32" s="2">
        <f>C10/'Output-Calculation-sheet'!C9*'Output-Calculation-sheet'!C18</f>
        <v>0</v>
      </c>
      <c r="D32" s="2">
        <f>D10/'Output-Calculation-sheet'!D9*'Output-Calculation-sheet'!D18</f>
        <v>5385.2301954486311</v>
      </c>
      <c r="E32" s="2">
        <f>E10/'Output-Calculation-sheet'!E9*'Output-Calculation-sheet'!E18</f>
        <v>6655.4019580938384</v>
      </c>
      <c r="F32" s="2">
        <f>F10/'Output-Calculation-sheet'!F9*'Output-Calculation-sheet'!F18</f>
        <v>2993.772278016937</v>
      </c>
      <c r="G32" s="2">
        <f>G10/'Output-Calculation-sheet'!G9*'Output-Calculation-sheet'!G18</f>
        <v>1722.5976556079879</v>
      </c>
      <c r="H32" s="2">
        <f>H10/'Output-Calculation-sheet'!H9*'Output-Calculation-sheet'!H18</f>
        <v>0</v>
      </c>
      <c r="I32" s="2">
        <f>I10/'Output-Calculation-sheet'!I9*'Output-Calculation-sheet'!I18</f>
        <v>1824.7102227659186</v>
      </c>
      <c r="J32" s="2">
        <f>J10/'Output-Calculation-sheet'!J9*'Output-Calculation-sheet'!J18</f>
        <v>1836.8193655679615</v>
      </c>
      <c r="K32" s="2">
        <f>K10/'Output-Calculation-sheet'!K9*'Output-Calculation-sheet'!K18</f>
        <v>2424.9158405559306</v>
      </c>
      <c r="L32" s="2">
        <f>L10/'Output-Calculation-sheet'!L9*'Output-Calculation-sheet'!L18</f>
        <v>2115.8761943156101</v>
      </c>
      <c r="M32" s="2">
        <f>M10/'Output-Calculation-sheet'!M9*'Output-Calculation-sheet'!M18</f>
        <v>0</v>
      </c>
      <c r="N32" s="2">
        <f>N10/'Output-Calculation-sheet'!N9*'Output-Calculation-sheet'!N18</f>
        <v>1186.9354416294411</v>
      </c>
      <c r="O32" s="2">
        <f>O10/'Output-Calculation-sheet'!O9*'Output-Calculation-sheet'!O18</f>
        <v>0</v>
      </c>
      <c r="P32" s="2">
        <f>P10/'Output-Calculation-sheet'!P9*'Output-Calculation-sheet'!P18</f>
        <v>1995.1818300045757</v>
      </c>
      <c r="Q32" s="2">
        <f>Q10/'Output-Calculation-sheet'!Q9*'Output-Calculation-sheet'!Q18</f>
        <v>2102.9485895586199</v>
      </c>
      <c r="R32" s="2">
        <f>R10/'Output-Calculation-sheet'!R9*'Output-Calculation-sheet'!R18</f>
        <v>1782.0376481732033</v>
      </c>
      <c r="S32" s="2">
        <f>S10/'Output-Calculation-sheet'!S9*'Output-Calculation-sheet'!S18</f>
        <v>889.39012544236562</v>
      </c>
      <c r="T32" s="2">
        <f>T10/'Output-Calculation-sheet'!T9*'Output-Calculation-sheet'!T18</f>
        <v>561.31156522920855</v>
      </c>
      <c r="U32" s="2">
        <f>U10/'Output-Calculation-sheet'!U9*'Output-Calculation-sheet'!U18</f>
        <v>450.06173019119899</v>
      </c>
      <c r="V32" s="2">
        <f>V10/'Output-Calculation-sheet'!V9*'Output-Calculation-sheet'!V18</f>
        <v>523.66913392981814</v>
      </c>
      <c r="W32" s="2">
        <f>W10/'Output-Calculation-sheet'!W9*'Output-Calculation-sheet'!W18</f>
        <v>244.39833077147992</v>
      </c>
      <c r="X32" s="2">
        <f>X10/'Output-Calculation-sheet'!X9*'Output-Calculation-sheet'!X18</f>
        <v>0</v>
      </c>
      <c r="Y32" s="2">
        <f>Y10/'Output-Calculation-sheet'!Y9*'Output-Calculation-sheet'!Y18</f>
        <v>189.05392704615889</v>
      </c>
      <c r="AA32" s="2">
        <f t="shared" si="1"/>
        <v>53.721565470323718</v>
      </c>
    </row>
    <row r="33" spans="1:27" x14ac:dyDescent="0.25">
      <c r="A33" s="2">
        <v>2034</v>
      </c>
      <c r="B33" s="2">
        <f>B11/'Output-Calculation-sheet'!B10*'Output-Calculation-sheet'!B19</f>
        <v>18551.512726656463</v>
      </c>
      <c r="C33" s="2">
        <f>C11/'Output-Calculation-sheet'!C10*'Output-Calculation-sheet'!C19</f>
        <v>0</v>
      </c>
      <c r="D33" s="2">
        <f>D11/'Output-Calculation-sheet'!D10*'Output-Calculation-sheet'!D19</f>
        <v>5369.0810229224362</v>
      </c>
      <c r="E33" s="2">
        <f>E11/'Output-Calculation-sheet'!E10*'Output-Calculation-sheet'!E19</f>
        <v>6678.8154638988608</v>
      </c>
      <c r="F33" s="2">
        <f>F11/'Output-Calculation-sheet'!F10*'Output-Calculation-sheet'!F19</f>
        <v>3005.2548340764188</v>
      </c>
      <c r="G33" s="2">
        <f>G11/'Output-Calculation-sheet'!G10*'Output-Calculation-sheet'!G19</f>
        <v>1724.2653267114358</v>
      </c>
      <c r="H33" s="2">
        <f>H11/'Output-Calculation-sheet'!H10*'Output-Calculation-sheet'!H19</f>
        <v>0</v>
      </c>
      <c r="I33" s="2">
        <f>I11/'Output-Calculation-sheet'!I10*'Output-Calculation-sheet'!I19</f>
        <v>1833.7065106385824</v>
      </c>
      <c r="J33" s="2">
        <f>J11/'Output-Calculation-sheet'!J10*'Output-Calculation-sheet'!J19</f>
        <v>1835.251122397204</v>
      </c>
      <c r="K33" s="2">
        <f>K11/'Output-Calculation-sheet'!K10*'Output-Calculation-sheet'!K19</f>
        <v>2409.9416815944983</v>
      </c>
      <c r="L33" s="2">
        <f>L11/'Output-Calculation-sheet'!L10*'Output-Calculation-sheet'!L19</f>
        <v>2070.6971002264122</v>
      </c>
      <c r="M33" s="2">
        <f>M11/'Output-Calculation-sheet'!M10*'Output-Calculation-sheet'!M19</f>
        <v>0</v>
      </c>
      <c r="N33" s="2">
        <f>N11/'Output-Calculation-sheet'!N10*'Output-Calculation-sheet'!N19</f>
        <v>1130.4456461072336</v>
      </c>
      <c r="O33" s="2">
        <f>O11/'Output-Calculation-sheet'!O10*'Output-Calculation-sheet'!O19</f>
        <v>0</v>
      </c>
      <c r="P33" s="2">
        <f>P11/'Output-Calculation-sheet'!P10*'Output-Calculation-sheet'!P19</f>
        <v>2022.7297198165818</v>
      </c>
      <c r="Q33" s="2">
        <f>Q11/'Output-Calculation-sheet'!Q10*'Output-Calculation-sheet'!Q19</f>
        <v>2018.0060745727944</v>
      </c>
      <c r="R33" s="2">
        <f>R11/'Output-Calculation-sheet'!R10*'Output-Calculation-sheet'!R19</f>
        <v>1782.9972240891814</v>
      </c>
      <c r="S33" s="2">
        <f>S11/'Output-Calculation-sheet'!S10*'Output-Calculation-sheet'!S19</f>
        <v>869.05756502636939</v>
      </c>
      <c r="T33" s="2">
        <f>T11/'Output-Calculation-sheet'!T10*'Output-Calculation-sheet'!T19</f>
        <v>563.29996860042979</v>
      </c>
      <c r="U33" s="2">
        <f>U11/'Output-Calculation-sheet'!U10*'Output-Calculation-sheet'!U19</f>
        <v>454.46032072834015</v>
      </c>
      <c r="V33" s="2">
        <f>V11/'Output-Calculation-sheet'!V10*'Output-Calculation-sheet'!V19</f>
        <v>521.52820874618908</v>
      </c>
      <c r="W33" s="2">
        <f>W11/'Output-Calculation-sheet'!W10*'Output-Calculation-sheet'!W19</f>
        <v>245.48788289341246</v>
      </c>
      <c r="X33" s="2">
        <f>X11/'Output-Calculation-sheet'!X10*'Output-Calculation-sheet'!X19</f>
        <v>0</v>
      </c>
      <c r="Y33" s="2">
        <f>Y11/'Output-Calculation-sheet'!Y10*'Output-Calculation-sheet'!Y19</f>
        <v>189.8229482822324</v>
      </c>
      <c r="AA33" s="2">
        <f t="shared" si="1"/>
        <v>53.276361347985087</v>
      </c>
    </row>
    <row r="34" spans="1:27" x14ac:dyDescent="0.25">
      <c r="A34" s="2">
        <v>2035</v>
      </c>
      <c r="B34" s="2">
        <f>B12/'Output-Calculation-sheet'!B11*'Output-Calculation-sheet'!B20</f>
        <v>17904.713157379432</v>
      </c>
      <c r="C34" s="2">
        <f>C12/'Output-Calculation-sheet'!C11*'Output-Calculation-sheet'!C20</f>
        <v>0</v>
      </c>
      <c r="D34" s="2">
        <f>D12/'Output-Calculation-sheet'!D11*'Output-Calculation-sheet'!D20</f>
        <v>5397.1297937229619</v>
      </c>
      <c r="E34" s="2">
        <f>E12/'Output-Calculation-sheet'!E11*'Output-Calculation-sheet'!E20</f>
        <v>6644.2641404262731</v>
      </c>
      <c r="F34" s="2">
        <f>F12/'Output-Calculation-sheet'!F11*'Output-Calculation-sheet'!F20</f>
        <v>3017.1550035458258</v>
      </c>
      <c r="G34" s="2">
        <f>G12/'Output-Calculation-sheet'!G11*'Output-Calculation-sheet'!G20</f>
        <v>1728.7292425184887</v>
      </c>
      <c r="H34" s="2">
        <f>H12/'Output-Calculation-sheet'!H11*'Output-Calculation-sheet'!H20</f>
        <v>0</v>
      </c>
      <c r="I34" s="2">
        <f>I12/'Output-Calculation-sheet'!I11*'Output-Calculation-sheet'!I20</f>
        <v>1844.3567388447259</v>
      </c>
      <c r="J34" s="2">
        <f>J12/'Output-Calculation-sheet'!J11*'Output-Calculation-sheet'!J20</f>
        <v>1835.8111267573743</v>
      </c>
      <c r="K34" s="2">
        <f>K12/'Output-Calculation-sheet'!K11*'Output-Calculation-sheet'!K20</f>
        <v>2410.5505751797268</v>
      </c>
      <c r="L34" s="2">
        <f>L12/'Output-Calculation-sheet'!L11*'Output-Calculation-sheet'!L20</f>
        <v>2042.1065926873055</v>
      </c>
      <c r="M34" s="2">
        <f>M12/'Output-Calculation-sheet'!M11*'Output-Calculation-sheet'!M20</f>
        <v>0</v>
      </c>
      <c r="N34" s="2">
        <f>N12/'Output-Calculation-sheet'!N11*'Output-Calculation-sheet'!N20</f>
        <v>1111.282929219298</v>
      </c>
      <c r="O34" s="2">
        <f>O12/'Output-Calculation-sheet'!O11*'Output-Calculation-sheet'!O20</f>
        <v>0</v>
      </c>
      <c r="P34" s="2">
        <f>P12/'Output-Calculation-sheet'!P11*'Output-Calculation-sheet'!P20</f>
        <v>2035.2308129304879</v>
      </c>
      <c r="Q34" s="2">
        <f>Q12/'Output-Calculation-sheet'!Q11*'Output-Calculation-sheet'!Q20</f>
        <v>1944.072589452489</v>
      </c>
      <c r="R34" s="2">
        <f>R12/'Output-Calculation-sheet'!R11*'Output-Calculation-sheet'!R20</f>
        <v>1788.4535130361367</v>
      </c>
      <c r="S34" s="2">
        <f>S12/'Output-Calculation-sheet'!S11*'Output-Calculation-sheet'!S20</f>
        <v>835.31759708199536</v>
      </c>
      <c r="T34" s="2">
        <f>T12/'Output-Calculation-sheet'!T11*'Output-Calculation-sheet'!T20</f>
        <v>564.47465089451521</v>
      </c>
      <c r="U34" s="2">
        <f>U12/'Output-Calculation-sheet'!U11*'Output-Calculation-sheet'!U20</f>
        <v>454.67296443363597</v>
      </c>
      <c r="V34" s="2">
        <f>V12/'Output-Calculation-sheet'!V11*'Output-Calculation-sheet'!V20</f>
        <v>521.96177864508456</v>
      </c>
      <c r="W34" s="2">
        <f>W12/'Output-Calculation-sheet'!W11*'Output-Calculation-sheet'!W20</f>
        <v>246.62318266896838</v>
      </c>
      <c r="X34" s="2">
        <f>X12/'Output-Calculation-sheet'!X11*'Output-Calculation-sheet'!X20</f>
        <v>0</v>
      </c>
      <c r="Y34" s="2">
        <f>Y12/'Output-Calculation-sheet'!Y11*'Output-Calculation-sheet'!Y20</f>
        <v>191.5233640336312</v>
      </c>
      <c r="AA34" s="2">
        <f t="shared" si="1"/>
        <v>52.518429753458356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si="3"/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937.18435574075579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26.719421864848687</v>
      </c>
    </row>
    <row r="52" spans="1:27" x14ac:dyDescent="0.25">
      <c r="A52" s="2">
        <v>2031</v>
      </c>
      <c r="B52" s="2">
        <f>B8/'Output-Calculation-sheet'!B7*'Output-Calculation-sheet'!B43</f>
        <v>870.96439521840239</v>
      </c>
      <c r="C52" s="2">
        <f>C8/'Output-Calculation-sheet'!C7*'Output-Calculation-sheet'!C43</f>
        <v>0</v>
      </c>
      <c r="D52" s="2">
        <f>D8/'Output-Calculation-sheet'!D7*'Output-Calculation-sheet'!D43</f>
        <v>1891.9519467399564</v>
      </c>
      <c r="E52" s="2">
        <f>E8/'Output-Calculation-sheet'!E7*'Output-Calculation-sheet'!E43</f>
        <v>1358.0877508581038</v>
      </c>
      <c r="F52" s="2">
        <f>F8/'Output-Calculation-sheet'!F7*'Output-Calculation-sheet'!F43</f>
        <v>0</v>
      </c>
      <c r="G52" s="2">
        <f>G8/'Output-Calculation-sheet'!G7*'Output-Calculation-sheet'!G43</f>
        <v>481.64657683203234</v>
      </c>
      <c r="H52" s="2">
        <f>H8/'Output-Calculation-sheet'!H7*'Output-Calculation-sheet'!H43</f>
        <v>3690.2781233263177</v>
      </c>
      <c r="I52" s="2">
        <f>I8/'Output-Calculation-sheet'!I7*'Output-Calculation-sheet'!I43</f>
        <v>157.53175981108424</v>
      </c>
      <c r="J52" s="2">
        <f>J8/'Output-Calculation-sheet'!J7*'Output-Calculation-sheet'!J43</f>
        <v>857.47597016174973</v>
      </c>
      <c r="K52" s="2">
        <f>K8/'Output-Calculation-sheet'!K7*'Output-Calculation-sheet'!K43</f>
        <v>1722.4717698087854</v>
      </c>
      <c r="L52" s="2">
        <f>L8/'Output-Calculation-sheet'!L7*'Output-Calculation-sheet'!L43</f>
        <v>1600.4630269411321</v>
      </c>
      <c r="M52" s="2">
        <f>M8/'Output-Calculation-sheet'!M7*'Output-Calculation-sheet'!M43</f>
        <v>10448.960251029741</v>
      </c>
      <c r="N52" s="2">
        <f>N8/'Output-Calculation-sheet'!N7*'Output-Calculation-sheet'!N43</f>
        <v>5981.0678423893823</v>
      </c>
      <c r="O52" s="2">
        <f>O8/'Output-Calculation-sheet'!O7*'Output-Calculation-sheet'!O43</f>
        <v>0</v>
      </c>
      <c r="P52" s="2">
        <f>P8/'Output-Calculation-sheet'!P7*'Output-Calculation-sheet'!P43</f>
        <v>1272.0412068425258</v>
      </c>
      <c r="Q52" s="2">
        <f>Q8/'Output-Calculation-sheet'!Q7*'Output-Calculation-sheet'!Q43</f>
        <v>289.03417223331974</v>
      </c>
      <c r="R52" s="2">
        <f>R8/'Output-Calculation-sheet'!R7*'Output-Calculation-sheet'!R43</f>
        <v>2317.9746639154014</v>
      </c>
      <c r="S52" s="2">
        <f>S8/'Output-Calculation-sheet'!S7*'Output-Calculation-sheet'!S43</f>
        <v>386.43076034308251</v>
      </c>
      <c r="T52" s="2">
        <f>T8/'Output-Calculation-sheet'!T7*'Output-Calculation-sheet'!T43</f>
        <v>686.97746371509527</v>
      </c>
      <c r="U52" s="2">
        <f>U8/'Output-Calculation-sheet'!U7*'Output-Calculation-sheet'!U43</f>
        <v>256.61095315682303</v>
      </c>
      <c r="V52" s="2">
        <f>V8/'Output-Calculation-sheet'!V7*'Output-Calculation-sheet'!V43</f>
        <v>670.90404767872758</v>
      </c>
      <c r="W52" s="2">
        <f>W8/'Output-Calculation-sheet'!W7*'Output-Calculation-sheet'!W43</f>
        <v>8.031600718033209</v>
      </c>
      <c r="X52" s="2">
        <f>X8/'Output-Calculation-sheet'!X7*'Output-Calculation-sheet'!X43</f>
        <v>544.32133719391004</v>
      </c>
      <c r="Y52" s="2">
        <f>Y8/'Output-Calculation-sheet'!Y7*'Output-Calculation-sheet'!Y43</f>
        <v>0</v>
      </c>
      <c r="AA52" s="2">
        <f t="shared" si="3"/>
        <v>35.49322561891362</v>
      </c>
    </row>
    <row r="53" spans="1:27" x14ac:dyDescent="0.25">
      <c r="A53" s="2">
        <v>2032</v>
      </c>
      <c r="B53" s="2">
        <f>B9/'Output-Calculation-sheet'!B8*'Output-Calculation-sheet'!B44</f>
        <v>2766.3237214593369</v>
      </c>
      <c r="C53" s="2">
        <f>C9/'Output-Calculation-sheet'!C8*'Output-Calculation-sheet'!C44</f>
        <v>0</v>
      </c>
      <c r="D53" s="2">
        <f>D9/'Output-Calculation-sheet'!D8*'Output-Calculation-sheet'!D44</f>
        <v>2448.5481455143549</v>
      </c>
      <c r="E53" s="2">
        <f>E9/'Output-Calculation-sheet'!E8*'Output-Calculation-sheet'!E44</f>
        <v>1605.4027015207344</v>
      </c>
      <c r="F53" s="2">
        <f>F9/'Output-Calculation-sheet'!F8*'Output-Calculation-sheet'!F44</f>
        <v>0</v>
      </c>
      <c r="G53" s="2">
        <f>G9/'Output-Calculation-sheet'!G8*'Output-Calculation-sheet'!G44</f>
        <v>592.88410893427431</v>
      </c>
      <c r="H53" s="2">
        <f>H9/'Output-Calculation-sheet'!H8*'Output-Calculation-sheet'!H44</f>
        <v>7445.2304259380362</v>
      </c>
      <c r="I53" s="2">
        <f>I9/'Output-Calculation-sheet'!I8*'Output-Calculation-sheet'!I44</f>
        <v>217.25564595189616</v>
      </c>
      <c r="J53" s="2">
        <f>J9/'Output-Calculation-sheet'!J8*'Output-Calculation-sheet'!J44</f>
        <v>996.87270895894619</v>
      </c>
      <c r="K53" s="2">
        <f>K9/'Output-Calculation-sheet'!K8*'Output-Calculation-sheet'!K44</f>
        <v>1805.2830457500486</v>
      </c>
      <c r="L53" s="2">
        <f>L9/'Output-Calculation-sheet'!L8*'Output-Calculation-sheet'!L44</f>
        <v>1759.613991353048</v>
      </c>
      <c r="M53" s="2">
        <f>M9/'Output-Calculation-sheet'!M8*'Output-Calculation-sheet'!M44</f>
        <v>10582.75156135123</v>
      </c>
      <c r="N53" s="2">
        <f>N9/'Output-Calculation-sheet'!N8*'Output-Calculation-sheet'!N44</f>
        <v>7049.1865255324883</v>
      </c>
      <c r="O53" s="2">
        <f>O9/'Output-Calculation-sheet'!O8*'Output-Calculation-sheet'!O44</f>
        <v>0</v>
      </c>
      <c r="P53" s="2">
        <f>P9/'Output-Calculation-sheet'!P8*'Output-Calculation-sheet'!P44</f>
        <v>1461.9175544951354</v>
      </c>
      <c r="Q53" s="2">
        <f>Q9/'Output-Calculation-sheet'!Q8*'Output-Calculation-sheet'!Q44</f>
        <v>441.15341868988293</v>
      </c>
      <c r="R53" s="2">
        <f>R9/'Output-Calculation-sheet'!R8*'Output-Calculation-sheet'!R44</f>
        <v>2474.9200813100902</v>
      </c>
      <c r="S53" s="2">
        <f>S9/'Output-Calculation-sheet'!S8*'Output-Calculation-sheet'!S44</f>
        <v>717.45279681364173</v>
      </c>
      <c r="T53" s="2">
        <f>T9/'Output-Calculation-sheet'!T8*'Output-Calculation-sheet'!T44</f>
        <v>735.28142529026422</v>
      </c>
      <c r="U53" s="2">
        <f>U9/'Output-Calculation-sheet'!U8*'Output-Calculation-sheet'!U44</f>
        <v>317.70390717983889</v>
      </c>
      <c r="V53" s="2">
        <f>V9/'Output-Calculation-sheet'!V8*'Output-Calculation-sheet'!V44</f>
        <v>685.31967563773605</v>
      </c>
      <c r="W53" s="2">
        <f>W9/'Output-Calculation-sheet'!W8*'Output-Calculation-sheet'!W44</f>
        <v>18.796593265427116</v>
      </c>
      <c r="X53" s="2">
        <f>X9/'Output-Calculation-sheet'!X8*'Output-Calculation-sheet'!X44</f>
        <v>1018.0425929747361</v>
      </c>
      <c r="Y53" s="2">
        <f>Y9/'Output-Calculation-sheet'!Y8*'Output-Calculation-sheet'!Y44</f>
        <v>0</v>
      </c>
      <c r="AA53" s="2">
        <f t="shared" si="3"/>
        <v>45.139940627921142</v>
      </c>
    </row>
    <row r="54" spans="1:27" x14ac:dyDescent="0.25">
      <c r="A54" s="2">
        <v>2033</v>
      </c>
      <c r="B54" s="2">
        <f>B10/'Output-Calculation-sheet'!B9*'Output-Calculation-sheet'!B45</f>
        <v>5375.7626354014456</v>
      </c>
      <c r="C54" s="2">
        <f>C10/'Output-Calculation-sheet'!C9*'Output-Calculation-sheet'!C45</f>
        <v>0</v>
      </c>
      <c r="D54" s="2">
        <f>D10/'Output-Calculation-sheet'!D9*'Output-Calculation-sheet'!D45</f>
        <v>3054.2713707327844</v>
      </c>
      <c r="E54" s="2">
        <f>E10/'Output-Calculation-sheet'!E9*'Output-Calculation-sheet'!E45</f>
        <v>2038.9580958906818</v>
      </c>
      <c r="F54" s="2">
        <f>F10/'Output-Calculation-sheet'!F9*'Output-Calculation-sheet'!F45</f>
        <v>0</v>
      </c>
      <c r="G54" s="2">
        <f>G10/'Output-Calculation-sheet'!G9*'Output-Calculation-sheet'!G45</f>
        <v>723.11762370965755</v>
      </c>
      <c r="H54" s="2">
        <f>H10/'Output-Calculation-sheet'!H9*'Output-Calculation-sheet'!H45</f>
        <v>14349.796937659032</v>
      </c>
      <c r="I54" s="2">
        <f>I10/'Output-Calculation-sheet'!I9*'Output-Calculation-sheet'!I45</f>
        <v>295.63687694680152</v>
      </c>
      <c r="J54" s="2">
        <f>J10/'Output-Calculation-sheet'!J9*'Output-Calculation-sheet'!J45</f>
        <v>1209.3449082523296</v>
      </c>
      <c r="K54" s="2">
        <f>K10/'Output-Calculation-sheet'!K9*'Output-Calculation-sheet'!K45</f>
        <v>2053.3225685510706</v>
      </c>
      <c r="L54" s="2">
        <f>L10/'Output-Calculation-sheet'!L9*'Output-Calculation-sheet'!L45</f>
        <v>1956.1638847053009</v>
      </c>
      <c r="M54" s="2">
        <f>M10/'Output-Calculation-sheet'!M9*'Output-Calculation-sheet'!M45</f>
        <v>10677.427737179498</v>
      </c>
      <c r="N54" s="2">
        <f>N10/'Output-Calculation-sheet'!N9*'Output-Calculation-sheet'!N45</f>
        <v>7479.4490147309334</v>
      </c>
      <c r="O54" s="2">
        <f>O10/'Output-Calculation-sheet'!O9*'Output-Calculation-sheet'!O45</f>
        <v>0</v>
      </c>
      <c r="P54" s="2">
        <f>P10/'Output-Calculation-sheet'!P9*'Output-Calculation-sheet'!P45</f>
        <v>1697.5756064915295</v>
      </c>
      <c r="Q54" s="2">
        <f>Q10/'Output-Calculation-sheet'!Q9*'Output-Calculation-sheet'!Q45</f>
        <v>654.05445597033497</v>
      </c>
      <c r="R54" s="2">
        <f>R10/'Output-Calculation-sheet'!R9*'Output-Calculation-sheet'!R45</f>
        <v>2519.6273802276737</v>
      </c>
      <c r="S54" s="2">
        <f>S10/'Output-Calculation-sheet'!S9*'Output-Calculation-sheet'!S45</f>
        <v>1119.1851758037099</v>
      </c>
      <c r="T54" s="2">
        <f>T10/'Output-Calculation-sheet'!T9*'Output-Calculation-sheet'!T45</f>
        <v>812.1908618435541</v>
      </c>
      <c r="U54" s="2">
        <f>U10/'Output-Calculation-sheet'!U9*'Output-Calculation-sheet'!U45</f>
        <v>365.19583624527723</v>
      </c>
      <c r="V54" s="2">
        <f>V10/'Output-Calculation-sheet'!V9*'Output-Calculation-sheet'!V45</f>
        <v>708.63952152700153</v>
      </c>
      <c r="W54" s="2">
        <f>W10/'Output-Calculation-sheet'!W9*'Output-Calculation-sheet'!W45</f>
        <v>24.11640528625346</v>
      </c>
      <c r="X54" s="2">
        <f>X10/'Output-Calculation-sheet'!X9*'Output-Calculation-sheet'!X45</f>
        <v>1028.7282803631986</v>
      </c>
      <c r="Y54" s="2">
        <f>Y10/'Output-Calculation-sheet'!Y9*'Output-Calculation-sheet'!Y45</f>
        <v>7.7316345103124027</v>
      </c>
      <c r="AA54" s="2">
        <f t="shared" si="3"/>
        <v>58.150296812028387</v>
      </c>
    </row>
    <row r="55" spans="1:27" x14ac:dyDescent="0.25">
      <c r="A55" s="2">
        <v>2034</v>
      </c>
      <c r="B55" s="2">
        <f>B11/'Output-Calculation-sheet'!B10*'Output-Calculation-sheet'!B46</f>
        <v>10887.97513478652</v>
      </c>
      <c r="C55" s="2">
        <f>C11/'Output-Calculation-sheet'!C10*'Output-Calculation-sheet'!C46</f>
        <v>0</v>
      </c>
      <c r="D55" s="2">
        <f>D11/'Output-Calculation-sheet'!D10*'Output-Calculation-sheet'!D46</f>
        <v>3479.0443842686823</v>
      </c>
      <c r="E55" s="2">
        <f>E11/'Output-Calculation-sheet'!E10*'Output-Calculation-sheet'!E46</f>
        <v>2279.839976201431</v>
      </c>
      <c r="F55" s="2">
        <f>F11/'Output-Calculation-sheet'!F10*'Output-Calculation-sheet'!F46</f>
        <v>0</v>
      </c>
      <c r="G55" s="2">
        <f>G11/'Output-Calculation-sheet'!G10*'Output-Calculation-sheet'!G46</f>
        <v>875.79506639142426</v>
      </c>
      <c r="H55" s="2">
        <f>H11/'Output-Calculation-sheet'!H10*'Output-Calculation-sheet'!H46</f>
        <v>14486.626392491571</v>
      </c>
      <c r="I55" s="2">
        <f>I11/'Output-Calculation-sheet'!I10*'Output-Calculation-sheet'!I46</f>
        <v>393.86268673638381</v>
      </c>
      <c r="J55" s="2">
        <f>J11/'Output-Calculation-sheet'!J10*'Output-Calculation-sheet'!J46</f>
        <v>1364.2816180938171</v>
      </c>
      <c r="K55" s="2">
        <f>K11/'Output-Calculation-sheet'!K10*'Output-Calculation-sheet'!K46</f>
        <v>2322.6301434519023</v>
      </c>
      <c r="L55" s="2">
        <f>L11/'Output-Calculation-sheet'!L10*'Output-Calculation-sheet'!L46</f>
        <v>2216.2130323133774</v>
      </c>
      <c r="M55" s="2">
        <f>M11/'Output-Calculation-sheet'!M10*'Output-Calculation-sheet'!M46</f>
        <v>10756.333237880628</v>
      </c>
      <c r="N55" s="2">
        <f>N11/'Output-Calculation-sheet'!N10*'Output-Calculation-sheet'!N46</f>
        <v>7918.0539621763382</v>
      </c>
      <c r="O55" s="2">
        <f>O11/'Output-Calculation-sheet'!O10*'Output-Calculation-sheet'!O46</f>
        <v>0</v>
      </c>
      <c r="P55" s="2">
        <f>P11/'Output-Calculation-sheet'!P10*'Output-Calculation-sheet'!P46</f>
        <v>1841.9653373242109</v>
      </c>
      <c r="Q55" s="2">
        <f>Q11/'Output-Calculation-sheet'!Q10*'Output-Calculation-sheet'!Q46</f>
        <v>1030.5567547796547</v>
      </c>
      <c r="R55" s="2">
        <f>R11/'Output-Calculation-sheet'!R10*'Output-Calculation-sheet'!R46</f>
        <v>2579.8995203862755</v>
      </c>
      <c r="S55" s="2">
        <f>S11/'Output-Calculation-sheet'!S10*'Output-Calculation-sheet'!S46</f>
        <v>1660.9704528798725</v>
      </c>
      <c r="T55" s="2">
        <f>T11/'Output-Calculation-sheet'!T10*'Output-Calculation-sheet'!T46</f>
        <v>853.03068956803929</v>
      </c>
      <c r="U55" s="2">
        <f>U11/'Output-Calculation-sheet'!U10*'Output-Calculation-sheet'!U46</f>
        <v>404.9983887904209</v>
      </c>
      <c r="V55" s="2">
        <f>V11/'Output-Calculation-sheet'!V10*'Output-Calculation-sheet'!V46</f>
        <v>745.16839473194318</v>
      </c>
      <c r="W55" s="2">
        <f>W11/'Output-Calculation-sheet'!W10*'Output-Calculation-sheet'!W46</f>
        <v>37.483971299491472</v>
      </c>
      <c r="X55" s="2">
        <f>X11/'Output-Calculation-sheet'!X10*'Output-Calculation-sheet'!X46</f>
        <v>1042.3033562287148</v>
      </c>
      <c r="Y55" s="2">
        <f>Y11/'Output-Calculation-sheet'!Y10*'Output-Calculation-sheet'!Y46</f>
        <v>12.360578446957513</v>
      </c>
      <c r="AA55" s="2">
        <f t="shared" si="3"/>
        <v>67.189393079227656</v>
      </c>
    </row>
    <row r="56" spans="1:27" x14ac:dyDescent="0.25">
      <c r="A56" s="2">
        <v>2035</v>
      </c>
      <c r="B56" s="2">
        <f>B12/'Output-Calculation-sheet'!B11*'Output-Calculation-sheet'!B47</f>
        <v>18579.527398598853</v>
      </c>
      <c r="C56" s="2">
        <f>C12/'Output-Calculation-sheet'!C11*'Output-Calculation-sheet'!C47</f>
        <v>1102.2822614983529</v>
      </c>
      <c r="D56" s="2">
        <f>D12/'Output-Calculation-sheet'!D11*'Output-Calculation-sheet'!D47</f>
        <v>3966.7726157533248</v>
      </c>
      <c r="E56" s="2">
        <f>E12/'Output-Calculation-sheet'!E11*'Output-Calculation-sheet'!E47</f>
        <v>2861.5237476469783</v>
      </c>
      <c r="F56" s="2">
        <f>F12/'Output-Calculation-sheet'!F11*'Output-Calculation-sheet'!F47</f>
        <v>61.006854649503104</v>
      </c>
      <c r="G56" s="2">
        <f>G12/'Output-Calculation-sheet'!G11*'Output-Calculation-sheet'!G47</f>
        <v>1050.8060790062616</v>
      </c>
      <c r="H56" s="2">
        <f>H12/'Output-Calculation-sheet'!H11*'Output-Calculation-sheet'!H47</f>
        <v>14696.659318609805</v>
      </c>
      <c r="I56" s="2">
        <f>I12/'Output-Calculation-sheet'!I11*'Output-Calculation-sheet'!I47</f>
        <v>452.8783041532721</v>
      </c>
      <c r="J56" s="2">
        <f>J12/'Output-Calculation-sheet'!J11*'Output-Calculation-sheet'!J47</f>
        <v>1481.0114496116048</v>
      </c>
      <c r="K56" s="2">
        <f>K12/'Output-Calculation-sheet'!K11*'Output-Calculation-sheet'!K47</f>
        <v>2438.4182118870067</v>
      </c>
      <c r="L56" s="2">
        <f>L12/'Output-Calculation-sheet'!L11*'Output-Calculation-sheet'!L47</f>
        <v>2508.2767516768708</v>
      </c>
      <c r="M56" s="2">
        <f>M12/'Output-Calculation-sheet'!M11*'Output-Calculation-sheet'!M47</f>
        <v>10871.560061237871</v>
      </c>
      <c r="N56" s="2">
        <f>N12/'Output-Calculation-sheet'!N11*'Output-Calculation-sheet'!N47</f>
        <v>8332.8650397688798</v>
      </c>
      <c r="O56" s="2">
        <f>O12/'Output-Calculation-sheet'!O11*'Output-Calculation-sheet'!O47</f>
        <v>521.97548691934378</v>
      </c>
      <c r="P56" s="2">
        <f>P12/'Output-Calculation-sheet'!P11*'Output-Calculation-sheet'!P47</f>
        <v>1921.2040406945091</v>
      </c>
      <c r="Q56" s="2">
        <f>Q12/'Output-Calculation-sheet'!Q11*'Output-Calculation-sheet'!Q47</f>
        <v>1482.7874626259215</v>
      </c>
      <c r="R56" s="2">
        <f>R12/'Output-Calculation-sheet'!R11*'Output-Calculation-sheet'!R47</f>
        <v>2641.8438437245572</v>
      </c>
      <c r="S56" s="2">
        <f>S12/'Output-Calculation-sheet'!S11*'Output-Calculation-sheet'!S47</f>
        <v>2260.9037144696831</v>
      </c>
      <c r="T56" s="2">
        <f>T12/'Output-Calculation-sheet'!T11*'Output-Calculation-sheet'!T47</f>
        <v>922.06547186637238</v>
      </c>
      <c r="U56" s="2">
        <f>U12/'Output-Calculation-sheet'!U11*'Output-Calculation-sheet'!U47</f>
        <v>461.0718397046677</v>
      </c>
      <c r="V56" s="2">
        <f>V12/'Output-Calculation-sheet'!V11*'Output-Calculation-sheet'!V47</f>
        <v>763.61275402218666</v>
      </c>
      <c r="W56" s="2">
        <f>W12/'Output-Calculation-sheet'!W11*'Output-Calculation-sheet'!W47</f>
        <v>48.186890507912409</v>
      </c>
      <c r="X56" s="2">
        <f>X12/'Output-Calculation-sheet'!X11*'Output-Calculation-sheet'!X47</f>
        <v>1054.9634134204871</v>
      </c>
      <c r="Y56" s="2">
        <f>Y12/'Output-Calculation-sheet'!Y11*'Output-Calculation-sheet'!Y47</f>
        <v>18.538256651773136</v>
      </c>
      <c r="AA56" s="2">
        <f t="shared" si="3"/>
        <v>80.500741268706022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0.33029772076894037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0.24064403094731232</v>
      </c>
      <c r="S60" s="2">
        <f>S5*'Output-Calculation-sheet'!S49/10^9</f>
        <v>0.22089670235816944</v>
      </c>
      <c r="T60" s="2">
        <f>T5*'Output-Calculation-sheet'!T49/10^9</f>
        <v>7.4415258778333854E-2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 t="shared" ref="AA60:AA67" si="4">SUM(B60:Y60)</f>
        <v>12.612767806324056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0.38739631633848098</v>
      </c>
      <c r="L61" s="2">
        <f>L6*'Output-Calculation-sheet'!L50/10^9</f>
        <v>0.40710486548104613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9.1334532565932949E-2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si="4"/>
        <v>15.659679331174424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0.95755697039264487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0.46189257895535707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0.39489470345233774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8.587835717082791E-2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17.911752751120328</v>
      </c>
    </row>
    <row r="63" spans="1:27" x14ac:dyDescent="0.25">
      <c r="A63" s="2">
        <v>2031</v>
      </c>
      <c r="B63" s="2">
        <f>B8*'Output-Calculation-sheet'!B52/10^9</f>
        <v>5.3806855444044732</v>
      </c>
      <c r="C63" s="2">
        <f>C8*'Output-Calculation-sheet'!C52/10^9</f>
        <v>3.3057689233713039</v>
      </c>
      <c r="D63" s="2">
        <f>D8*'Output-Calculation-sheet'!D52/10^9</f>
        <v>1.1646856923937194</v>
      </c>
      <c r="E63" s="2">
        <f>E8*'Output-Calculation-sheet'!E52/10^9</f>
        <v>1.3927957847771246</v>
      </c>
      <c r="F63" s="2">
        <f>F8*'Output-Calculation-sheet'!F52/10^9</f>
        <v>0.54075280069748044</v>
      </c>
      <c r="G63" s="2">
        <f>G8*'Output-Calculation-sheet'!G52/10^9</f>
        <v>0.38166520034209073</v>
      </c>
      <c r="H63" s="2">
        <f>H8*'Output-Calculation-sheet'!H52/10^9</f>
        <v>1.0169026166262778</v>
      </c>
      <c r="I63" s="2">
        <f>I8*'Output-Calculation-sheet'!I52/10^9</f>
        <v>0.37392848854746125</v>
      </c>
      <c r="J63" s="2">
        <f>J8*'Output-Calculation-sheet'!J52/10^9</f>
        <v>0.38929724405119748</v>
      </c>
      <c r="K63" s="2">
        <f>K8*'Output-Calculation-sheet'!K52/10^9</f>
        <v>0.46960468637901215</v>
      </c>
      <c r="L63" s="2">
        <f>L8*'Output-Calculation-sheet'!L52/10^9</f>
        <v>0.49019866743412405</v>
      </c>
      <c r="M63" s="2">
        <f>M8*'Output-Calculation-sheet'!M52/10^9</f>
        <v>0.76734505976427281</v>
      </c>
      <c r="N63" s="2">
        <f>N8*'Output-Calculation-sheet'!N52/10^9</f>
        <v>0.65983226205269929</v>
      </c>
      <c r="O63" s="2">
        <f>O8*'Output-Calculation-sheet'!O52/10^9</f>
        <v>0.69190558415100589</v>
      </c>
      <c r="P63" s="2">
        <f>P8*'Output-Calculation-sheet'!P52/10^9</f>
        <v>0.42126550450204503</v>
      </c>
      <c r="Q63" s="2">
        <f>Q8*'Output-Calculation-sheet'!Q52/10^9</f>
        <v>0.45864879230413341</v>
      </c>
      <c r="R63" s="2">
        <f>R8*'Output-Calculation-sheet'!R52/10^9</f>
        <v>0.35379751857850861</v>
      </c>
      <c r="S63" s="2">
        <f>S8*'Output-Calculation-sheet'!S52/10^9</f>
        <v>0.33694085215363156</v>
      </c>
      <c r="T63" s="2">
        <f>T8*'Output-Calculation-sheet'!T52/10^9</f>
        <v>0.10964461548135526</v>
      </c>
      <c r="U63" s="2">
        <f>U8*'Output-Calculation-sheet'!U52/10^9</f>
        <v>0.10692523041278758</v>
      </c>
      <c r="V63" s="2">
        <f>V8*'Output-Calculation-sheet'!V52/10^9</f>
        <v>9.1168319190849972E-2</v>
      </c>
      <c r="W63" s="2">
        <f>W8*'Output-Calculation-sheet'!W52/10^9</f>
        <v>4.6964047381247598E-2</v>
      </c>
      <c r="X63" s="2">
        <f>X8*'Output-Calculation-sheet'!X52/10^9</f>
        <v>8.878916778779479E-2</v>
      </c>
      <c r="Y63" s="2">
        <f>Y8*'Output-Calculation-sheet'!Y52/10^9</f>
        <v>4.2774532166770352E-2</v>
      </c>
      <c r="AA63" s="2">
        <f t="shared" si="4"/>
        <v>19.082287134951368</v>
      </c>
    </row>
    <row r="64" spans="1:27" x14ac:dyDescent="0.25">
      <c r="A64" s="2">
        <v>2032</v>
      </c>
      <c r="B64" s="2">
        <f>B9*'Output-Calculation-sheet'!B53/10^9</f>
        <v>5.3576893639508398</v>
      </c>
      <c r="C64" s="2">
        <f>C9*'Output-Calculation-sheet'!C53/10^9</f>
        <v>3.2907290189792775</v>
      </c>
      <c r="D64" s="2">
        <f>D9*'Output-Calculation-sheet'!D53/10^9</f>
        <v>1.1605110063317512</v>
      </c>
      <c r="E64" s="2">
        <f>E9*'Output-Calculation-sheet'!E53/10^9</f>
        <v>1.3884834563507484</v>
      </c>
      <c r="F64" s="2">
        <f>F9*'Output-Calculation-sheet'!F53/10^9</f>
        <v>0.53908778402385593</v>
      </c>
      <c r="G64" s="2">
        <f>G9*'Output-Calculation-sheet'!G53/10^9</f>
        <v>0.38047381428797961</v>
      </c>
      <c r="H64" s="2">
        <f>H9*'Output-Calculation-sheet'!H53/10^9</f>
        <v>1.0036401145079867</v>
      </c>
      <c r="I64" s="2">
        <f>I9*'Output-Calculation-sheet'!I53/10^9</f>
        <v>0.37288815030414041</v>
      </c>
      <c r="J64" s="2">
        <f>J9*'Output-Calculation-sheet'!J53/10^9</f>
        <v>0.38768358194092856</v>
      </c>
      <c r="K64" s="2">
        <f>K9*'Output-Calculation-sheet'!K53/10^9</f>
        <v>0.46699453599810031</v>
      </c>
      <c r="L64" s="2">
        <f>L9*'Output-Calculation-sheet'!L53/10^9</f>
        <v>0.48538235113417427</v>
      </c>
      <c r="M64" s="2">
        <f>M9*'Output-Calculation-sheet'!M53/10^9</f>
        <v>0.74709805694253673</v>
      </c>
      <c r="N64" s="2">
        <f>N9*'Output-Calculation-sheet'!N53/10^9</f>
        <v>0.64758442443877706</v>
      </c>
      <c r="O64" s="2">
        <f>O9*'Output-Calculation-sheet'!O53/10^9</f>
        <v>0.68873415601287213</v>
      </c>
      <c r="P64" s="2">
        <f>P9*'Output-Calculation-sheet'!P53/10^9</f>
        <v>0.41934576999008633</v>
      </c>
      <c r="Q64" s="2">
        <f>Q9*'Output-Calculation-sheet'!Q53/10^9</f>
        <v>0.45727013557274343</v>
      </c>
      <c r="R64" s="2">
        <f>R9*'Output-Calculation-sheet'!R53/10^9</f>
        <v>0.35103564470329673</v>
      </c>
      <c r="S64" s="2">
        <f>S9*'Output-Calculation-sheet'!S53/10^9</f>
        <v>0.33484757711411217</v>
      </c>
      <c r="T64" s="2">
        <f>T9*'Output-Calculation-sheet'!T53/10^9</f>
        <v>0.10879886401764073</v>
      </c>
      <c r="U64" s="2">
        <f>U9*'Output-Calculation-sheet'!U53/10^9</f>
        <v>0.10652364701256348</v>
      </c>
      <c r="V64" s="2">
        <f>V9*'Output-Calculation-sheet'!V53/10^9</f>
        <v>9.0343019278662229E-2</v>
      </c>
      <c r="W64" s="2">
        <f>W9*'Output-Calculation-sheet'!W53/10^9</f>
        <v>4.6824293424418018E-2</v>
      </c>
      <c r="X64" s="2">
        <f>X9*'Output-Calculation-sheet'!X53/10^9</f>
        <v>8.7069165827486583E-2</v>
      </c>
      <c r="Y64" s="2">
        <f>Y9*'Output-Calculation-sheet'!Y53/10^9</f>
        <v>4.2695453472306057E-2</v>
      </c>
      <c r="AA64" s="2">
        <f t="shared" si="4"/>
        <v>18.961733385617279</v>
      </c>
    </row>
    <row r="65" spans="1:27" x14ac:dyDescent="0.25">
      <c r="A65" s="2">
        <v>2033</v>
      </c>
      <c r="B65" s="2">
        <f>B10*'Output-Calculation-sheet'!B54/10^9</f>
        <v>5.3017356089513425</v>
      </c>
      <c r="C65" s="2">
        <f>C10*'Output-Calculation-sheet'!C54/10^9</f>
        <v>3.2581156800768434</v>
      </c>
      <c r="D65" s="2">
        <f>D10*'Output-Calculation-sheet'!D54/10^9</f>
        <v>1.1500214103374609</v>
      </c>
      <c r="E65" s="2">
        <f>E10*'Output-Calculation-sheet'!E54/10^9</f>
        <v>1.3768649289134691</v>
      </c>
      <c r="F65" s="2">
        <f>F10*'Output-Calculation-sheet'!F54/10^9</f>
        <v>0.53466269437145952</v>
      </c>
      <c r="G65" s="2">
        <f>G10*'Output-Calculation-sheet'!G54/10^9</f>
        <v>0.37725503549357881</v>
      </c>
      <c r="H65" s="2">
        <f>H10*'Output-Calculation-sheet'!H54/10^9</f>
        <v>0.97663958470991419</v>
      </c>
      <c r="I65" s="2">
        <f>I10*'Output-Calculation-sheet'!I54/10^9</f>
        <v>0.36989643352377111</v>
      </c>
      <c r="J65" s="2">
        <f>J10*'Output-Calculation-sheet'!J54/10^9</f>
        <v>0.38403617388200589</v>
      </c>
      <c r="K65" s="2">
        <f>K10*'Output-Calculation-sheet'!K54/10^9</f>
        <v>0.46190888888222803</v>
      </c>
      <c r="L65" s="2">
        <f>L10*'Output-Calculation-sheet'!L54/10^9</f>
        <v>0.4777386866066386</v>
      </c>
      <c r="M65" s="2">
        <f>M10*'Output-Calculation-sheet'!M54/10^9</f>
        <v>0.72308517211766121</v>
      </c>
      <c r="N65" s="2">
        <f>N10*'Output-Calculation-sheet'!N54/10^9</f>
        <v>0.63099019710494042</v>
      </c>
      <c r="O65" s="2">
        <f>O10*'Output-Calculation-sheet'!O54/10^9</f>
        <v>0.68190467961494139</v>
      </c>
      <c r="P65" s="2">
        <f>P10*'Output-Calculation-sheet'!P54/10^9</f>
        <v>0.41512352263527269</v>
      </c>
      <c r="Q65" s="2">
        <f>Q10*'Output-Calculation-sheet'!Q54/10^9</f>
        <v>0.45314022521732555</v>
      </c>
      <c r="R65" s="2">
        <f>R10*'Output-Calculation-sheet'!R54/10^9</f>
        <v>0.34648189147383335</v>
      </c>
      <c r="S65" s="2">
        <f>S10*'Output-Calculation-sheet'!S54/10^9</f>
        <v>0.33040132730456445</v>
      </c>
      <c r="T65" s="2">
        <f>T10*'Output-Calculation-sheet'!T54/10^9</f>
        <v>0.10737516836582049</v>
      </c>
      <c r="U65" s="2">
        <f>U10*'Output-Calculation-sheet'!U54/10^9</f>
        <v>0.10555086438696494</v>
      </c>
      <c r="V65" s="2">
        <f>V10*'Output-Calculation-sheet'!V54/10^9</f>
        <v>8.906445586049086E-2</v>
      </c>
      <c r="W65" s="2">
        <f>W10*'Output-Calculation-sheet'!W54/10^9</f>
        <v>4.6439483367246459E-2</v>
      </c>
      <c r="X65" s="2">
        <f>X10*'Output-Calculation-sheet'!X54/10^9</f>
        <v>8.4612474931507087E-2</v>
      </c>
      <c r="Y65" s="2">
        <f>Y10*'Output-Calculation-sheet'!Y54/10^9</f>
        <v>4.2391044531933583E-2</v>
      </c>
      <c r="AA65" s="2">
        <f t="shared" si="4"/>
        <v>18.725435632661217</v>
      </c>
    </row>
    <row r="66" spans="1:27" x14ac:dyDescent="0.25">
      <c r="A66" s="2">
        <v>2034</v>
      </c>
      <c r="B66" s="2">
        <f>B11*'Output-Calculation-sheet'!B55/10^9</f>
        <v>5.2451855096502573</v>
      </c>
      <c r="C66" s="2">
        <f>C11*'Output-Calculation-sheet'!C55/10^9</f>
        <v>3.2289232918344846</v>
      </c>
      <c r="D66" s="2">
        <f>D11*'Output-Calculation-sheet'!D55/10^9</f>
        <v>1.1408740946821465</v>
      </c>
      <c r="E66" s="2">
        <f>E11*'Output-Calculation-sheet'!E55/10^9</f>
        <v>1.3668726364882746</v>
      </c>
      <c r="F66" s="2">
        <f>F11*'Output-Calculation-sheet'!F55/10^9</f>
        <v>0.5309178324617454</v>
      </c>
      <c r="G66" s="2">
        <f>G11*'Output-Calculation-sheet'!G55/10^9</f>
        <v>0.37444816747189641</v>
      </c>
      <c r="H66" s="2">
        <f>H11*'Output-Calculation-sheet'!H55/10^9</f>
        <v>0.94657812403181063</v>
      </c>
      <c r="I66" s="2">
        <f>I11*'Output-Calculation-sheet'!I55/10^9</f>
        <v>0.36730670535714033</v>
      </c>
      <c r="J66" s="2">
        <f>J11*'Output-Calculation-sheet'!J55/10^9</f>
        <v>0.380727096728184</v>
      </c>
      <c r="K66" s="2">
        <f>K11*'Output-Calculation-sheet'!K55/10^9</f>
        <v>0.4573401785352415</v>
      </c>
      <c r="L66" s="2">
        <f>L11*'Output-Calculation-sheet'!L55/10^9</f>
        <v>0.47038791143487962</v>
      </c>
      <c r="M66" s="2">
        <f>M11*'Output-Calculation-sheet'!M55/10^9</f>
        <v>0.69993604826878508</v>
      </c>
      <c r="N66" s="2">
        <f>N11*'Output-Calculation-sheet'!N55/10^9</f>
        <v>0.61472889710940992</v>
      </c>
      <c r="O66" s="2">
        <f>O11*'Output-Calculation-sheet'!O55/10^9</f>
        <v>0.67581802801743995</v>
      </c>
      <c r="P66" s="2">
        <f>P11*'Output-Calculation-sheet'!P55/10^9</f>
        <v>0.41127867600731155</v>
      </c>
      <c r="Q66" s="2">
        <f>Q11*'Output-Calculation-sheet'!Q55/10^9</f>
        <v>0.4489303465137271</v>
      </c>
      <c r="R66" s="2">
        <f>R11*'Output-Calculation-sheet'!R55/10^9</f>
        <v>0.34241964630042832</v>
      </c>
      <c r="S66" s="2">
        <f>S11*'Output-Calculation-sheet'!S55/10^9</f>
        <v>0.32562000321674606</v>
      </c>
      <c r="T66" s="2">
        <f>T11*'Output-Calculation-sheet'!T55/10^9</f>
        <v>0.10607185806000734</v>
      </c>
      <c r="U66" s="2">
        <f>U11*'Output-Calculation-sheet'!U55/10^9</f>
        <v>0.10468488011358031</v>
      </c>
      <c r="V66" s="2">
        <f>V11*'Output-Calculation-sheet'!V55/10^9</f>
        <v>8.7910965276483649E-2</v>
      </c>
      <c r="W66" s="2">
        <f>W11*'Output-Calculation-sheet'!W55/10^9</f>
        <v>4.610741250120854E-2</v>
      </c>
      <c r="X66" s="2">
        <f>X11*'Output-Calculation-sheet'!X55/10^9</f>
        <v>8.2254713298726995E-2</v>
      </c>
      <c r="Y66" s="2">
        <f>Y11*'Output-Calculation-sheet'!Y55/10^9</f>
        <v>4.2140380826380087E-2</v>
      </c>
      <c r="AA66" s="2">
        <f t="shared" si="4"/>
        <v>18.497463404186302</v>
      </c>
    </row>
    <row r="67" spans="1:27" x14ac:dyDescent="0.25">
      <c r="A67" s="2">
        <v>2035</v>
      </c>
      <c r="B67" s="2">
        <f>B12*'Output-Calculation-sheet'!B56/10^9</f>
        <v>5.1814414054298625</v>
      </c>
      <c r="C67" s="2">
        <f>C12*'Output-Calculation-sheet'!C56/10^9</f>
        <v>3.2005999677232921</v>
      </c>
      <c r="D67" s="2">
        <f>D12*'Output-Calculation-sheet'!D56/10^9</f>
        <v>1.1321245963810094</v>
      </c>
      <c r="E67" s="2">
        <f>E12*'Output-Calculation-sheet'!E56/10^9</f>
        <v>1.357514691907473</v>
      </c>
      <c r="F67" s="2">
        <f>F12*'Output-Calculation-sheet'!F56/10^9</f>
        <v>0.52746581518394975</v>
      </c>
      <c r="G67" s="2">
        <f>G12*'Output-Calculation-sheet'!G56/10^9</f>
        <v>0.37180218246920704</v>
      </c>
      <c r="H67" s="2">
        <f>H12*'Output-Calculation-sheet'!H56/10^9</f>
        <v>0.91699624555023018</v>
      </c>
      <c r="I67" s="2">
        <f>I12*'Output-Calculation-sheet'!I56/10^9</f>
        <v>0.36490618983252926</v>
      </c>
      <c r="J67" s="2">
        <f>J12*'Output-Calculation-sheet'!J56/10^9</f>
        <v>0.37765187580132842</v>
      </c>
      <c r="K67" s="2">
        <f>K12*'Output-Calculation-sheet'!K56/10^9</f>
        <v>0.45293874723987826</v>
      </c>
      <c r="L67" s="2">
        <f>L12*'Output-Calculation-sheet'!L56/10^9</f>
        <v>0.46298501306633116</v>
      </c>
      <c r="M67" s="2">
        <f>M12*'Output-Calculation-sheet'!M56/10^9</f>
        <v>0.6771631097509182</v>
      </c>
      <c r="N67" s="2">
        <f>N12*'Output-Calculation-sheet'!N56/10^9</f>
        <v>0.59835838675832176</v>
      </c>
      <c r="O67" s="2">
        <f>O12*'Output-Calculation-sheet'!O56/10^9</f>
        <v>0.66956580525792753</v>
      </c>
      <c r="P67" s="2">
        <f>P12*'Output-Calculation-sheet'!P56/10^9</f>
        <v>0.40767726616241856</v>
      </c>
      <c r="Q67" s="2">
        <f>Q12*'Output-Calculation-sheet'!Q56/10^9</f>
        <v>0.44422217422768795</v>
      </c>
      <c r="R67" s="2">
        <f>R12*'Output-Calculation-sheet'!R56/10^9</f>
        <v>0.33860945094186823</v>
      </c>
      <c r="S67" s="2">
        <f>S12*'Output-Calculation-sheet'!S56/10^9</f>
        <v>0.32022405832531864</v>
      </c>
      <c r="T67" s="2">
        <f>T12*'Output-Calculation-sheet'!T56/10^9</f>
        <v>0.10482161388933516</v>
      </c>
      <c r="U67" s="2">
        <f>U12*'Output-Calculation-sheet'!U56/10^9</f>
        <v>0.10387137130210247</v>
      </c>
      <c r="V67" s="2">
        <f>V12*'Output-Calculation-sheet'!V56/10^9</f>
        <v>8.68072129157519E-2</v>
      </c>
      <c r="W67" s="2">
        <f>W12*'Output-Calculation-sheet'!W56/10^9</f>
        <v>4.5798740292845766E-2</v>
      </c>
      <c r="X67" s="2">
        <f>X12*'Output-Calculation-sheet'!X56/10^9</f>
        <v>7.992032446673536E-2</v>
      </c>
      <c r="Y67" s="2">
        <f>Y12*'Output-Calculation-sheet'!Y56/10^9</f>
        <v>4.1912409510378557E-2</v>
      </c>
      <c r="AA67" s="2">
        <f t="shared" si="4"/>
        <v>18.265378654386698</v>
      </c>
    </row>
    <row r="68" spans="1:27" x14ac:dyDescent="0.25">
      <c r="B68" s="2">
        <f>SUM(B60:B67)</f>
        <v>39.429704079034892</v>
      </c>
      <c r="C68" s="2">
        <f t="shared" ref="C68:Y68" si="5">SUM(C60:C67)</f>
        <v>24.230284044268629</v>
      </c>
      <c r="D68" s="2">
        <f t="shared" si="5"/>
        <v>8.5576078334621304</v>
      </c>
      <c r="E68" s="2">
        <f t="shared" si="5"/>
        <v>10.240463847076558</v>
      </c>
      <c r="F68" s="2">
        <f t="shared" si="5"/>
        <v>3.9771083661647211</v>
      </c>
      <c r="G68" s="2">
        <f t="shared" si="5"/>
        <v>2.8051776111531161</v>
      </c>
      <c r="H68" s="2">
        <f t="shared" si="5"/>
        <v>7.322518504382062</v>
      </c>
      <c r="I68" s="2">
        <f t="shared" si="5"/>
        <v>2.749408741683637</v>
      </c>
      <c r="J68" s="2">
        <f t="shared" si="5"/>
        <v>2.8604616264099803</v>
      </c>
      <c r="K68" s="2">
        <f t="shared" si="5"/>
        <v>3.4502256970638161</v>
      </c>
      <c r="L68" s="2">
        <f t="shared" si="5"/>
        <v>3.5859877948814916</v>
      </c>
      <c r="M68" s="2">
        <f t="shared" si="5"/>
        <v>5.5772563323338833</v>
      </c>
      <c r="N68" s="2">
        <f t="shared" si="5"/>
        <v>4.7784909252030543</v>
      </c>
      <c r="O68" s="2">
        <f t="shared" si="5"/>
        <v>5.0711743499884179</v>
      </c>
      <c r="P68" s="2">
        <f t="shared" si="5"/>
        <v>3.0934805880188594</v>
      </c>
      <c r="Q68" s="2">
        <f t="shared" si="5"/>
        <v>3.3668468089981545</v>
      </c>
      <c r="R68" s="2">
        <f t="shared" si="5"/>
        <v>2.6005794951256926</v>
      </c>
      <c r="S68" s="2">
        <f t="shared" si="5"/>
        <v>2.4599500862361001</v>
      </c>
      <c r="T68" s="2">
        <f t="shared" si="5"/>
        <v>0.8055725180540716</v>
      </c>
      <c r="U68" s="2">
        <f t="shared" si="5"/>
        <v>0.78546294806759942</v>
      </c>
      <c r="V68" s="2">
        <f t="shared" si="5"/>
        <v>0.67041009333889923</v>
      </c>
      <c r="W68" s="2">
        <f t="shared" si="5"/>
        <v>0.34531661415289244</v>
      </c>
      <c r="X68" s="2">
        <f t="shared" si="5"/>
        <v>0.63827787659681146</v>
      </c>
      <c r="Y68" s="2">
        <f t="shared" si="5"/>
        <v>0.31473131872620919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72.859756880802479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1.3265536068073576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221.6267754789057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117.39840662202793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si="6"/>
        <v>3.3160196896770411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432.03333996815604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319.87459881802965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237.58856555338343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114.16472693854665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5.9097517415539222</v>
      </c>
    </row>
    <row r="74" spans="1:27" x14ac:dyDescent="0.25">
      <c r="A74" s="2">
        <v>2031</v>
      </c>
      <c r="B74" s="2">
        <f>B8/'Output-Calculation-sheet'!B7*'Output-Calculation-sheet'!B61</f>
        <v>319.06329011500804</v>
      </c>
      <c r="C74" s="2">
        <f>C8/'Output-Calculation-sheet'!C7*'Output-Calculation-sheet'!C61</f>
        <v>0</v>
      </c>
      <c r="D74" s="2">
        <f>D8/'Output-Calculation-sheet'!D7*'Output-Calculation-sheet'!D61</f>
        <v>522.11770659226852</v>
      </c>
      <c r="E74" s="2">
        <f>E8/'Output-Calculation-sheet'!E7*'Output-Calculation-sheet'!E61</f>
        <v>387.49153720019251</v>
      </c>
      <c r="F74" s="2">
        <f>F8/'Output-Calculation-sheet'!F7*'Output-Calculation-sheet'!F61</f>
        <v>0</v>
      </c>
      <c r="G74" s="2">
        <f>G8/'Output-Calculation-sheet'!G7*'Output-Calculation-sheet'!G61</f>
        <v>176.43589830406128</v>
      </c>
      <c r="H74" s="2">
        <f>H8/'Output-Calculation-sheet'!H7*'Output-Calculation-sheet'!H61</f>
        <v>847.36420769758445</v>
      </c>
      <c r="I74" s="2">
        <f>I8/'Output-Calculation-sheet'!I7*'Output-Calculation-sheet'!I61</f>
        <v>62.205353655401886</v>
      </c>
      <c r="J74" s="2">
        <f>J8/'Output-Calculation-sheet'!J7*'Output-Calculation-sheet'!J61</f>
        <v>259.34750479346735</v>
      </c>
      <c r="K74" s="2">
        <f>K8/'Output-Calculation-sheet'!K7*'Output-Calculation-sheet'!K61</f>
        <v>435.55311437692933</v>
      </c>
      <c r="L74" s="2">
        <f>L8/'Output-Calculation-sheet'!L7*'Output-Calculation-sheet'!L61</f>
        <v>377.87855410134136</v>
      </c>
      <c r="M74" s="2">
        <f>M8/'Output-Calculation-sheet'!M7*'Output-Calculation-sheet'!M61</f>
        <v>1892.4584740684843</v>
      </c>
      <c r="N74" s="2">
        <f>N8/'Output-Calculation-sheet'!N7*'Output-Calculation-sheet'!N61</f>
        <v>1067.4413212621166</v>
      </c>
      <c r="O74" s="2">
        <f>O8/'Output-Calculation-sheet'!O7*'Output-Calculation-sheet'!O61</f>
        <v>0</v>
      </c>
      <c r="P74" s="2">
        <f>P8/'Output-Calculation-sheet'!P7*'Output-Calculation-sheet'!P61</f>
        <v>301.68577288948569</v>
      </c>
      <c r="Q74" s="2">
        <f>Q8/'Output-Calculation-sheet'!Q7*'Output-Calculation-sheet'!Q61</f>
        <v>79.534664176725244</v>
      </c>
      <c r="R74" s="2">
        <f>R8/'Output-Calculation-sheet'!R7*'Output-Calculation-sheet'!R61</f>
        <v>524.65985672493764</v>
      </c>
      <c r="S74" s="2">
        <f>S8/'Output-Calculation-sheet'!S7*'Output-Calculation-sheet'!S61</f>
        <v>92.842045655193346</v>
      </c>
      <c r="T74" s="2">
        <f>T8/'Output-Calculation-sheet'!T7*'Output-Calculation-sheet'!T61</f>
        <v>177.69202316496489</v>
      </c>
      <c r="U74" s="2">
        <f>U8/'Output-Calculation-sheet'!U7*'Output-Calculation-sheet'!U61</f>
        <v>70.403620726260243</v>
      </c>
      <c r="V74" s="2">
        <f>V8/'Output-Calculation-sheet'!V7*'Output-Calculation-sheet'!V61</f>
        <v>123.66276543342738</v>
      </c>
      <c r="W74" s="2">
        <f>W8/'Output-Calculation-sheet'!W7*'Output-Calculation-sheet'!W61</f>
        <v>2.9422430630394989</v>
      </c>
      <c r="X74" s="2">
        <f>X8/'Output-Calculation-sheet'!X7*'Output-Calculation-sheet'!X61</f>
        <v>105.67518478086944</v>
      </c>
      <c r="Y74" s="2">
        <f>Y8/'Output-Calculation-sheet'!Y7*'Output-Calculation-sheet'!Y61</f>
        <v>0</v>
      </c>
      <c r="AA74" s="2">
        <f t="shared" si="6"/>
        <v>7.8264551387817587</v>
      </c>
    </row>
    <row r="75" spans="1:27" x14ac:dyDescent="0.25">
      <c r="A75" s="2">
        <v>2032</v>
      </c>
      <c r="B75" s="2">
        <f>B9/'Output-Calculation-sheet'!B8*'Output-Calculation-sheet'!B62</f>
        <v>784.32557302639191</v>
      </c>
      <c r="C75" s="2">
        <f>C9/'Output-Calculation-sheet'!C8*'Output-Calculation-sheet'!C62</f>
        <v>0</v>
      </c>
      <c r="D75" s="2">
        <f>D9/'Output-Calculation-sheet'!D8*'Output-Calculation-sheet'!D62</f>
        <v>641.58082782839892</v>
      </c>
      <c r="E75" s="2">
        <f>E9/'Output-Calculation-sheet'!E8*'Output-Calculation-sheet'!E62</f>
        <v>451.16680769403905</v>
      </c>
      <c r="F75" s="2">
        <f>F9/'Output-Calculation-sheet'!F8*'Output-Calculation-sheet'!F62</f>
        <v>0</v>
      </c>
      <c r="G75" s="2">
        <f>G9/'Output-Calculation-sheet'!G8*'Output-Calculation-sheet'!G62</f>
        <v>208.4536609671506</v>
      </c>
      <c r="H75" s="2">
        <f>H9/'Output-Calculation-sheet'!H8*'Output-Calculation-sheet'!H62</f>
        <v>1471.6242459909122</v>
      </c>
      <c r="I75" s="2">
        <f>I9/'Output-Calculation-sheet'!I8*'Output-Calculation-sheet'!I62</f>
        <v>89.134066380082487</v>
      </c>
      <c r="J75" s="2">
        <f>J9/'Output-Calculation-sheet'!J8*'Output-Calculation-sheet'!J62</f>
        <v>292.14234329608644</v>
      </c>
      <c r="K75" s="2">
        <f>K9/'Output-Calculation-sheet'!K8*'Output-Calculation-sheet'!K62</f>
        <v>458.17307235310108</v>
      </c>
      <c r="L75" s="2">
        <f>L9/'Output-Calculation-sheet'!L8*'Output-Calculation-sheet'!L62</f>
        <v>397.85798457119444</v>
      </c>
      <c r="M75" s="2">
        <f>M9/'Output-Calculation-sheet'!M8*'Output-Calculation-sheet'!M62</f>
        <v>1915.5951308237857</v>
      </c>
      <c r="N75" s="2">
        <f>N9/'Output-Calculation-sheet'!N8*'Output-Calculation-sheet'!N62</f>
        <v>1238.2543506370569</v>
      </c>
      <c r="O75" s="2">
        <f>O9/'Output-Calculation-sheet'!O8*'Output-Calculation-sheet'!O62</f>
        <v>0</v>
      </c>
      <c r="P75" s="2">
        <f>P9/'Output-Calculation-sheet'!P8*'Output-Calculation-sheet'!P62</f>
        <v>341.70329312385843</v>
      </c>
      <c r="Q75" s="2">
        <f>Q9/'Output-Calculation-sheet'!Q8*'Output-Calculation-sheet'!Q62</f>
        <v>121.19114630580641</v>
      </c>
      <c r="R75" s="2">
        <f>R9/'Output-Calculation-sheet'!R8*'Output-Calculation-sheet'!R62</f>
        <v>543.99493362978001</v>
      </c>
      <c r="S75" s="2">
        <f>S9/'Output-Calculation-sheet'!S8*'Output-Calculation-sheet'!S62</f>
        <v>157.50975194414434</v>
      </c>
      <c r="T75" s="2">
        <f>T9/'Output-Calculation-sheet'!T8*'Output-Calculation-sheet'!T62</f>
        <v>182.1278217209545</v>
      </c>
      <c r="U75" s="2">
        <f>U9/'Output-Calculation-sheet'!U8*'Output-Calculation-sheet'!U62</f>
        <v>84.726404005884135</v>
      </c>
      <c r="V75" s="2">
        <f>V9/'Output-Calculation-sheet'!V8*'Output-Calculation-sheet'!V62</f>
        <v>126.36550580198075</v>
      </c>
      <c r="W75" s="2">
        <f>W9/'Output-Calculation-sheet'!W8*'Output-Calculation-sheet'!W62</f>
        <v>6.8849235903650188</v>
      </c>
      <c r="X75" s="2">
        <f>X9/'Output-Calculation-sheet'!X8*'Output-Calculation-sheet'!X62</f>
        <v>181.50222146957941</v>
      </c>
      <c r="Y75" s="2">
        <f>Y9/'Output-Calculation-sheet'!Y8*'Output-Calculation-sheet'!Y62</f>
        <v>0</v>
      </c>
      <c r="AA75" s="2">
        <f t="shared" si="6"/>
        <v>9.6943140651605511</v>
      </c>
    </row>
    <row r="76" spans="1:27" x14ac:dyDescent="0.25">
      <c r="A76" s="2">
        <v>2033</v>
      </c>
      <c r="B76" s="2">
        <f>B10/'Output-Calculation-sheet'!B9*'Output-Calculation-sheet'!B63</f>
        <v>1411.9367916440879</v>
      </c>
      <c r="C76" s="2">
        <f>C10/'Output-Calculation-sheet'!C9*'Output-Calculation-sheet'!C63</f>
        <v>0</v>
      </c>
      <c r="D76" s="2">
        <f>D10/'Output-Calculation-sheet'!D9*'Output-Calculation-sheet'!D63</f>
        <v>754.95479741772965</v>
      </c>
      <c r="E76" s="2">
        <f>E10/'Output-Calculation-sheet'!E9*'Output-Calculation-sheet'!E63</f>
        <v>560.13091691396869</v>
      </c>
      <c r="F76" s="2">
        <f>F10/'Output-Calculation-sheet'!F9*'Output-Calculation-sheet'!F63</f>
        <v>0</v>
      </c>
      <c r="G76" s="2">
        <f>G10/'Output-Calculation-sheet'!G9*'Output-Calculation-sheet'!G63</f>
        <v>251.20667994568228</v>
      </c>
      <c r="H76" s="2">
        <f>H10/'Output-Calculation-sheet'!H9*'Output-Calculation-sheet'!H63</f>
        <v>2576.2131005150522</v>
      </c>
      <c r="I76" s="2">
        <f>I10/'Output-Calculation-sheet'!I9*'Output-Calculation-sheet'!I63</f>
        <v>116.55976601755896</v>
      </c>
      <c r="J76" s="2">
        <f>J10/'Output-Calculation-sheet'!J9*'Output-Calculation-sheet'!J63</f>
        <v>350.69051783013924</v>
      </c>
      <c r="K76" s="2">
        <f>K10/'Output-Calculation-sheet'!K9*'Output-Calculation-sheet'!K63</f>
        <v>484.00299714921744</v>
      </c>
      <c r="L76" s="2">
        <f>L10/'Output-Calculation-sheet'!L9*'Output-Calculation-sheet'!L63</f>
        <v>447.99233532798172</v>
      </c>
      <c r="M76" s="2">
        <f>M10/'Output-Calculation-sheet'!M9*'Output-Calculation-sheet'!M63</f>
        <v>1926.8009919214214</v>
      </c>
      <c r="N76" s="2">
        <f>N10/'Output-Calculation-sheet'!N9*'Output-Calculation-sheet'!N63</f>
        <v>1309.9946296414826</v>
      </c>
      <c r="O76" s="2">
        <f>O10/'Output-Calculation-sheet'!O9*'Output-Calculation-sheet'!O63</f>
        <v>0</v>
      </c>
      <c r="P76" s="2">
        <f>P10/'Output-Calculation-sheet'!P9*'Output-Calculation-sheet'!P63</f>
        <v>378.5593602476111</v>
      </c>
      <c r="Q76" s="2">
        <f>Q10/'Output-Calculation-sheet'!Q9*'Output-Calculation-sheet'!Q63</f>
        <v>166.39396919291465</v>
      </c>
      <c r="R76" s="2">
        <f>R10/'Output-Calculation-sheet'!R9*'Output-Calculation-sheet'!R63</f>
        <v>553.07068336284681</v>
      </c>
      <c r="S76" s="2">
        <f>S10/'Output-Calculation-sheet'!S9*'Output-Calculation-sheet'!S63</f>
        <v>234.42814781706088</v>
      </c>
      <c r="T76" s="2">
        <f>T10/'Output-Calculation-sheet'!T9*'Output-Calculation-sheet'!T63</f>
        <v>194.2335987215636</v>
      </c>
      <c r="U76" s="2">
        <f>U10/'Output-Calculation-sheet'!U9*'Output-Calculation-sheet'!U63</f>
        <v>95.247889862037468</v>
      </c>
      <c r="V76" s="2">
        <f>V10/'Output-Calculation-sheet'!V9*'Output-Calculation-sheet'!V63</f>
        <v>126.74126149860874</v>
      </c>
      <c r="W76" s="2">
        <f>W10/'Output-Calculation-sheet'!W9*'Output-Calculation-sheet'!W63</f>
        <v>8.8346431365308522</v>
      </c>
      <c r="X76" s="2">
        <f>X10/'Output-Calculation-sheet'!X9*'Output-Calculation-sheet'!X63</f>
        <v>183.86995750018116</v>
      </c>
      <c r="Y76" s="2">
        <f>Y10/'Output-Calculation-sheet'!Y9*'Output-Calculation-sheet'!Y63</f>
        <v>2.8328708845784645</v>
      </c>
      <c r="AA76" s="2">
        <f t="shared" si="6"/>
        <v>12.134695906548256</v>
      </c>
    </row>
    <row r="77" spans="1:27" x14ac:dyDescent="0.25">
      <c r="A77" s="2">
        <v>2034</v>
      </c>
      <c r="B77" s="2">
        <f>B11/'Output-Calculation-sheet'!B10*'Output-Calculation-sheet'!B64</f>
        <v>2436.7288351652232</v>
      </c>
      <c r="C77" s="2">
        <f>C11/'Output-Calculation-sheet'!C10*'Output-Calculation-sheet'!C64</f>
        <v>0</v>
      </c>
      <c r="D77" s="2">
        <f>D11/'Output-Calculation-sheet'!D10*'Output-Calculation-sheet'!D64</f>
        <v>865.48858541982304</v>
      </c>
      <c r="E77" s="2">
        <f>E11/'Output-Calculation-sheet'!E10*'Output-Calculation-sheet'!E64</f>
        <v>605.51579623239286</v>
      </c>
      <c r="F77" s="2">
        <f>F11/'Output-Calculation-sheet'!F10*'Output-Calculation-sheet'!F64</f>
        <v>0</v>
      </c>
      <c r="G77" s="2">
        <f>G11/'Output-Calculation-sheet'!G10*'Output-Calculation-sheet'!G64</f>
        <v>281.26158557160591</v>
      </c>
      <c r="H77" s="2">
        <f>H11/'Output-Calculation-sheet'!H10*'Output-Calculation-sheet'!H64</f>
        <v>2634.4449746790747</v>
      </c>
      <c r="I77" s="2">
        <f>I11/'Output-Calculation-sheet'!I10*'Output-Calculation-sheet'!I64</f>
        <v>149.25426513875266</v>
      </c>
      <c r="J77" s="2">
        <f>J11/'Output-Calculation-sheet'!J10*'Output-Calculation-sheet'!J64</f>
        <v>376.81458291751227</v>
      </c>
      <c r="K77" s="2">
        <f>K11/'Output-Calculation-sheet'!K10*'Output-Calculation-sheet'!K64</f>
        <v>530.4113037596328</v>
      </c>
      <c r="L77" s="2">
        <f>L11/'Output-Calculation-sheet'!L10*'Output-Calculation-sheet'!L64</f>
        <v>465.48168862720905</v>
      </c>
      <c r="M77" s="2">
        <f>M11/'Output-Calculation-sheet'!M10*'Output-Calculation-sheet'!M64</f>
        <v>1971.5906387680545</v>
      </c>
      <c r="N77" s="2">
        <f>N11/'Output-Calculation-sheet'!N10*'Output-Calculation-sheet'!N64</f>
        <v>1386.5487900215385</v>
      </c>
      <c r="O77" s="2">
        <f>O11/'Output-Calculation-sheet'!O10*'Output-Calculation-sheet'!O64</f>
        <v>0</v>
      </c>
      <c r="P77" s="2">
        <f>P11/'Output-Calculation-sheet'!P10*'Output-Calculation-sheet'!P64</f>
        <v>405.65642378538661</v>
      </c>
      <c r="Q77" s="2">
        <f>Q11/'Output-Calculation-sheet'!Q10*'Output-Calculation-sheet'!Q64</f>
        <v>247.81119622860035</v>
      </c>
      <c r="R77" s="2">
        <f>R11/'Output-Calculation-sheet'!R10*'Output-Calculation-sheet'!R64</f>
        <v>571.06761364299098</v>
      </c>
      <c r="S77" s="2">
        <f>S11/'Output-Calculation-sheet'!S10*'Output-Calculation-sheet'!S64</f>
        <v>336.42874296821776</v>
      </c>
      <c r="T77" s="2">
        <f>T11/'Output-Calculation-sheet'!T10*'Output-Calculation-sheet'!T64</f>
        <v>201.28296590115468</v>
      </c>
      <c r="U77" s="2">
        <f>U11/'Output-Calculation-sheet'!U10*'Output-Calculation-sheet'!U64</f>
        <v>104.77027626055562</v>
      </c>
      <c r="V77" s="2">
        <f>V11/'Output-Calculation-sheet'!V10*'Output-Calculation-sheet'!V64</f>
        <v>133.83966445795392</v>
      </c>
      <c r="W77" s="2">
        <f>W11/'Output-Calculation-sheet'!W10*'Output-Calculation-sheet'!W64</f>
        <v>13.729843201699449</v>
      </c>
      <c r="X77" s="2">
        <f>X11/'Output-Calculation-sheet'!X10*'Output-Calculation-sheet'!X64</f>
        <v>185.21458456512127</v>
      </c>
      <c r="Y77" s="2">
        <f>Y11/'Output-Calculation-sheet'!Y10*'Output-Calculation-sheet'!Y64</f>
        <v>4.3200221672116506</v>
      </c>
      <c r="AA77" s="2">
        <f t="shared" si="6"/>
        <v>13.90766237947971</v>
      </c>
    </row>
    <row r="78" spans="1:27" x14ac:dyDescent="0.25">
      <c r="A78" s="2">
        <v>2035</v>
      </c>
      <c r="B78" s="2">
        <f>B12/'Output-Calculation-sheet'!B11*'Output-Calculation-sheet'!B65</f>
        <v>3669.4566612232738</v>
      </c>
      <c r="C78" s="2">
        <f>C12/'Output-Calculation-sheet'!C11*'Output-Calculation-sheet'!C65</f>
        <v>302.85205134667245</v>
      </c>
      <c r="D78" s="2">
        <f>D12/'Output-Calculation-sheet'!D11*'Output-Calculation-sheet'!D65</f>
        <v>946.89913701582441</v>
      </c>
      <c r="E78" s="2">
        <f>E12/'Output-Calculation-sheet'!E11*'Output-Calculation-sheet'!E65</f>
        <v>741.37715265307975</v>
      </c>
      <c r="F78" s="2">
        <f>F12/'Output-Calculation-sheet'!F11*'Output-Calculation-sheet'!F65</f>
        <v>33.523266629901954</v>
      </c>
      <c r="G78" s="2">
        <f>G12/'Output-Calculation-sheet'!G11*'Output-Calculation-sheet'!G65</f>
        <v>311.41075987216817</v>
      </c>
      <c r="H78" s="2">
        <f>H12/'Output-Calculation-sheet'!H11*'Output-Calculation-sheet'!H65</f>
        <v>2685.1199513811589</v>
      </c>
      <c r="I78" s="2">
        <f>I12/'Output-Calculation-sheet'!I11*'Output-Calculation-sheet'!I65</f>
        <v>170.02626766797846</v>
      </c>
      <c r="J78" s="2">
        <f>J12/'Output-Calculation-sheet'!J11*'Output-Calculation-sheet'!J65</f>
        <v>406.86892179527234</v>
      </c>
      <c r="K78" s="2">
        <f>K12/'Output-Calculation-sheet'!K11*'Output-Calculation-sheet'!K65</f>
        <v>547.61841382354464</v>
      </c>
      <c r="L78" s="2">
        <f>L12/'Output-Calculation-sheet'!L11*'Output-Calculation-sheet'!L65</f>
        <v>494.9614829305923</v>
      </c>
      <c r="M78" s="2">
        <f>M12/'Output-Calculation-sheet'!M11*'Output-Calculation-sheet'!M65</f>
        <v>2012.1871367034764</v>
      </c>
      <c r="N78" s="2">
        <f>N12/'Output-Calculation-sheet'!N11*'Output-Calculation-sheet'!N65</f>
        <v>1460.0728515981953</v>
      </c>
      <c r="O78" s="2">
        <f>O12/'Output-Calculation-sheet'!O11*'Output-Calculation-sheet'!O65</f>
        <v>147.23723927178719</v>
      </c>
      <c r="P78" s="2">
        <f>P12/'Output-Calculation-sheet'!P11*'Output-Calculation-sheet'!P65</f>
        <v>417.47101320139717</v>
      </c>
      <c r="Q78" s="2">
        <f>Q12/'Output-Calculation-sheet'!Q11*'Output-Calculation-sheet'!Q65</f>
        <v>310.35495552487299</v>
      </c>
      <c r="R78" s="2">
        <f>R12/'Output-Calculation-sheet'!R11*'Output-Calculation-sheet'!R65</f>
        <v>581.41749158800303</v>
      </c>
      <c r="S78" s="2">
        <f>S12/'Output-Calculation-sheet'!S11*'Output-Calculation-sheet'!S65</f>
        <v>425.26365648966845</v>
      </c>
      <c r="T78" s="2">
        <f>T12/'Output-Calculation-sheet'!T11*'Output-Calculation-sheet'!T65</f>
        <v>209.8528807420677</v>
      </c>
      <c r="U78" s="2">
        <f>U12/'Output-Calculation-sheet'!U11*'Output-Calculation-sheet'!U65</f>
        <v>113.05882441592979</v>
      </c>
      <c r="V78" s="2">
        <f>V12/'Output-Calculation-sheet'!V11*'Output-Calculation-sheet'!V65</f>
        <v>137.61414785339917</v>
      </c>
      <c r="W78" s="2">
        <f>W12/'Output-Calculation-sheet'!W11*'Output-Calculation-sheet'!W65</f>
        <v>17.15721007028948</v>
      </c>
      <c r="X78" s="2">
        <f>X12/'Output-Calculation-sheet'!X11*'Output-Calculation-sheet'!X65</f>
        <v>190.23599737543273</v>
      </c>
      <c r="Y78" s="2">
        <f>Y12/'Output-Calculation-sheet'!Y11*'Output-Calculation-sheet'!Y65</f>
        <v>6.0712790534557017</v>
      </c>
      <c r="AA78" s="2">
        <f t="shared" si="6"/>
        <v>16.338108750227441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6468280804.426857</v>
      </c>
      <c r="C93" s="2">
        <f>C5/'Output-Calculation-sheet'!C4*'Output-Calculation-sheet'!C76</f>
        <v>696449461.03899705</v>
      </c>
      <c r="D93" s="2">
        <f>D5/'Output-Calculation-sheet'!D4*'Output-Calculation-sheet'!D76</f>
        <v>2222250272.7195272</v>
      </c>
      <c r="E93" s="2">
        <f>E5/'Output-Calculation-sheet'!E4*'Output-Calculation-sheet'!E76</f>
        <v>5420013102.5177393</v>
      </c>
      <c r="F93" s="2">
        <f>F5/'Output-Calculation-sheet'!F4*'Output-Calculation-sheet'!F76</f>
        <v>2079852594.5518641</v>
      </c>
      <c r="G93" s="2">
        <f>G5/'Output-Calculation-sheet'!G4*'Output-Calculation-sheet'!G76</f>
        <v>1367227434.4384944</v>
      </c>
      <c r="H93" s="2">
        <f>H5/'Output-Calculation-sheet'!H4*'Output-Calculation-sheet'!H76</f>
        <v>543392594.61305165</v>
      </c>
      <c r="I93" s="2">
        <f>I5/'Output-Calculation-sheet'!I4*'Output-Calculation-sheet'!I76</f>
        <v>976222120.93396699</v>
      </c>
      <c r="J93" s="2">
        <f>J5/'Output-Calculation-sheet'!J4*'Output-Calculation-sheet'!J76</f>
        <v>739933390.27189016</v>
      </c>
      <c r="K93" s="2">
        <f>K5/'Output-Calculation-sheet'!K4*'Output-Calculation-sheet'!K76</f>
        <v>978361909.7401886</v>
      </c>
      <c r="L93" s="2">
        <f>L5/'Output-Calculation-sheet'!L4*'Output-Calculation-sheet'!L76</f>
        <v>801202273.69040048</v>
      </c>
      <c r="M93" s="2">
        <f>M5/'Output-Calculation-sheet'!M4*'Output-Calculation-sheet'!M76</f>
        <v>736815744.8556428</v>
      </c>
      <c r="N93" s="2">
        <f>N5/'Output-Calculation-sheet'!N4*'Output-Calculation-sheet'!N76</f>
        <v>510091600.75664139</v>
      </c>
      <c r="O93" s="2">
        <f>O5/'Output-Calculation-sheet'!O4*'Output-Calculation-sheet'!O76</f>
        <v>91608038.781838536</v>
      </c>
      <c r="P93" s="2">
        <f>P5/'Output-Calculation-sheet'!P4*'Output-Calculation-sheet'!P76</f>
        <v>1141337201.5075669</v>
      </c>
      <c r="Q93" s="2">
        <f>Q5/'Output-Calculation-sheet'!Q4*'Output-Calculation-sheet'!Q76</f>
        <v>519924326.2239446</v>
      </c>
      <c r="R93" s="2">
        <f>R5/'Output-Calculation-sheet'!R4*'Output-Calculation-sheet'!R76</f>
        <v>793943734.42013812</v>
      </c>
      <c r="S93" s="2">
        <f>S5/'Output-Calculation-sheet'!S4*'Output-Calculation-sheet'!S76</f>
        <v>305896407.95836294</v>
      </c>
      <c r="T93" s="2">
        <f>T5/'Output-Calculation-sheet'!T4*'Output-Calculation-sheet'!T76</f>
        <v>327411655.48904604</v>
      </c>
      <c r="U93" s="2">
        <f>U5/'Output-Calculation-sheet'!U4*'Output-Calculation-sheet'!U76</f>
        <v>193038055.94497949</v>
      </c>
      <c r="V93" s="2">
        <f>V5/'Output-Calculation-sheet'!V4*'Output-Calculation-sheet'!V76</f>
        <v>126291499.1854641</v>
      </c>
      <c r="W93" s="2">
        <f>W5/'Output-Calculation-sheet'!W4*'Output-Calculation-sheet'!W76</f>
        <v>326544958.78770542</v>
      </c>
      <c r="X93" s="2">
        <f>X5/'Output-Calculation-sheet'!X4*'Output-Calculation-sheet'!X76</f>
        <v>44612342.531533517</v>
      </c>
      <c r="Y93" s="2">
        <f>Y5/'Output-Calculation-sheet'!Y4*'Output-Calculation-sheet'!Y76</f>
        <v>161647551.90049013</v>
      </c>
      <c r="AA93" s="2">
        <f t="shared" ref="AA93:AA100" si="8">SUM(B93:Y93)/10^9</f>
        <v>27.572349077286333</v>
      </c>
    </row>
    <row r="94" spans="1:27" x14ac:dyDescent="0.25">
      <c r="A94" s="2">
        <v>2029</v>
      </c>
      <c r="B94" s="2">
        <f>B6/'Output-Calculation-sheet'!B5*'Output-Calculation-sheet'!B77</f>
        <v>7669422750.8999004</v>
      </c>
      <c r="C94" s="2">
        <f>C6/'Output-Calculation-sheet'!C5*'Output-Calculation-sheet'!C77</f>
        <v>789924398.77722394</v>
      </c>
      <c r="D94" s="2">
        <f>D6/'Output-Calculation-sheet'!D5*'Output-Calculation-sheet'!D77</f>
        <v>2376261579.6927013</v>
      </c>
      <c r="E94" s="2">
        <f>E6/'Output-Calculation-sheet'!E5*'Output-Calculation-sheet'!E77</f>
        <v>6668197339.2815514</v>
      </c>
      <c r="F94" s="2">
        <f>F6/'Output-Calculation-sheet'!F5*'Output-Calculation-sheet'!F77</f>
        <v>2354979035.5527134</v>
      </c>
      <c r="G94" s="2">
        <f>G6/'Output-Calculation-sheet'!G5*'Output-Calculation-sheet'!G77</f>
        <v>1524449344.4487116</v>
      </c>
      <c r="H94" s="2">
        <f>H6/'Output-Calculation-sheet'!H5*'Output-Calculation-sheet'!H77</f>
        <v>664771809.00630581</v>
      </c>
      <c r="I94" s="2">
        <f>I6/'Output-Calculation-sheet'!I5*'Output-Calculation-sheet'!I77</f>
        <v>1073341112.7577524</v>
      </c>
      <c r="J94" s="2">
        <f>J6/'Output-Calculation-sheet'!J5*'Output-Calculation-sheet'!J77</f>
        <v>848946219.39684606</v>
      </c>
      <c r="K94" s="2">
        <f>K6/'Output-Calculation-sheet'!K5*'Output-Calculation-sheet'!K77</f>
        <v>1084897505.0617921</v>
      </c>
      <c r="L94" s="2">
        <f>L6/'Output-Calculation-sheet'!L5*'Output-Calculation-sheet'!L77</f>
        <v>938414627.16291678</v>
      </c>
      <c r="M94" s="2">
        <f>M6/'Output-Calculation-sheet'!M5*'Output-Calculation-sheet'!M77</f>
        <v>1221161259.5268242</v>
      </c>
      <c r="N94" s="2">
        <f>N6/'Output-Calculation-sheet'!N5*'Output-Calculation-sheet'!N77</f>
        <v>665353747.0934186</v>
      </c>
      <c r="O94" s="2">
        <f>O6/'Output-Calculation-sheet'!O5*'Output-Calculation-sheet'!O77</f>
        <v>104707680.89045906</v>
      </c>
      <c r="P94" s="2">
        <f>P6/'Output-Calculation-sheet'!P5*'Output-Calculation-sheet'!P77</f>
        <v>1406522965.7890286</v>
      </c>
      <c r="Q94" s="2">
        <f>Q6/'Output-Calculation-sheet'!Q5*'Output-Calculation-sheet'!Q77</f>
        <v>609919509.50642049</v>
      </c>
      <c r="R94" s="2">
        <f>R6/'Output-Calculation-sheet'!R5*'Output-Calculation-sheet'!R77</f>
        <v>946847252.97797525</v>
      </c>
      <c r="S94" s="2">
        <f>S6/'Output-Calculation-sheet'!S5*'Output-Calculation-sheet'!S77</f>
        <v>357703797.12341309</v>
      </c>
      <c r="T94" s="2">
        <f>T6/'Output-Calculation-sheet'!T5*'Output-Calculation-sheet'!T77</f>
        <v>370850339.55165058</v>
      </c>
      <c r="U94" s="2">
        <f>U6/'Output-Calculation-sheet'!U5*'Output-Calculation-sheet'!U77</f>
        <v>225065773.5107362</v>
      </c>
      <c r="V94" s="2">
        <f>V6/'Output-Calculation-sheet'!V5*'Output-Calculation-sheet'!V77</f>
        <v>141410063.65650854</v>
      </c>
      <c r="W94" s="2">
        <f>W6/'Output-Calculation-sheet'!W5*'Output-Calculation-sheet'!W77</f>
        <v>376830575.65778303</v>
      </c>
      <c r="X94" s="2">
        <f>X6/'Output-Calculation-sheet'!X5*'Output-Calculation-sheet'!X77</f>
        <v>57500650.574304156</v>
      </c>
      <c r="Y94" s="2">
        <f>Y6/'Output-Calculation-sheet'!Y5*'Output-Calculation-sheet'!Y77</f>
        <v>191388637.11050394</v>
      </c>
      <c r="AA94" s="2">
        <f t="shared" si="8"/>
        <v>32.66886797500743</v>
      </c>
    </row>
    <row r="95" spans="1:27" x14ac:dyDescent="0.25">
      <c r="A95" s="2">
        <v>2030</v>
      </c>
      <c r="B95" s="2">
        <f>B7/'Output-Calculation-sheet'!B6*'Output-Calculation-sheet'!B78</f>
        <v>8346584081.0379057</v>
      </c>
      <c r="C95" s="2">
        <f>C7/'Output-Calculation-sheet'!C6*'Output-Calculation-sheet'!C78</f>
        <v>824677059.15602672</v>
      </c>
      <c r="D95" s="2">
        <f>D7/'Output-Calculation-sheet'!D6*'Output-Calculation-sheet'!D78</f>
        <v>2350889684.4565091</v>
      </c>
      <c r="E95" s="2">
        <f>E7/'Output-Calculation-sheet'!E6*'Output-Calculation-sheet'!E78</f>
        <v>7533575119.0808258</v>
      </c>
      <c r="F95" s="2">
        <f>F7/'Output-Calculation-sheet'!F6*'Output-Calculation-sheet'!F78</f>
        <v>2439183983.7584777</v>
      </c>
      <c r="G95" s="2">
        <f>G7/'Output-Calculation-sheet'!G6*'Output-Calculation-sheet'!G78</f>
        <v>1573567426.2590327</v>
      </c>
      <c r="H95" s="2">
        <f>H7/'Output-Calculation-sheet'!H6*'Output-Calculation-sheet'!H78</f>
        <v>851192129.82768095</v>
      </c>
      <c r="I95" s="2">
        <f>I7/'Output-Calculation-sheet'!I6*'Output-Calculation-sheet'!I78</f>
        <v>1082966249.1271925</v>
      </c>
      <c r="J95" s="2">
        <f>J7/'Output-Calculation-sheet'!J6*'Output-Calculation-sheet'!J78</f>
        <v>894072549.79478896</v>
      </c>
      <c r="K95" s="2">
        <f>K7/'Output-Calculation-sheet'!K6*'Output-Calculation-sheet'!K78</f>
        <v>1106267790.6791627</v>
      </c>
      <c r="L95" s="2">
        <f>L7/'Output-Calculation-sheet'!L6*'Output-Calculation-sheet'!L78</f>
        <v>1006519116.9200716</v>
      </c>
      <c r="M95" s="2">
        <f>M7/'Output-Calculation-sheet'!M6*'Output-Calculation-sheet'!M78</f>
        <v>1362203669.1679292</v>
      </c>
      <c r="N95" s="2">
        <f>N7/'Output-Calculation-sheet'!N6*'Output-Calculation-sheet'!N78</f>
        <v>827095560.6212815</v>
      </c>
      <c r="O95" s="2">
        <f>O7/'Output-Calculation-sheet'!O6*'Output-Calculation-sheet'!O78</f>
        <v>110404167.61576152</v>
      </c>
      <c r="P95" s="2">
        <f>P7/'Output-Calculation-sheet'!P6*'Output-Calculation-sheet'!P78</f>
        <v>1587659354.3142107</v>
      </c>
      <c r="Q95" s="2">
        <f>Q7/'Output-Calculation-sheet'!Q6*'Output-Calculation-sheet'!Q78</f>
        <v>669878205.04245389</v>
      </c>
      <c r="R95" s="2">
        <f>R7/'Output-Calculation-sheet'!R6*'Output-Calculation-sheet'!R78</f>
        <v>1037274791.0529257</v>
      </c>
      <c r="S95" s="2">
        <f>S7/'Output-Calculation-sheet'!S6*'Output-Calculation-sheet'!S78</f>
        <v>390530625.17846072</v>
      </c>
      <c r="T95" s="2">
        <f>T7/'Output-Calculation-sheet'!T6*'Output-Calculation-sheet'!T78</f>
        <v>383119331.97800183</v>
      </c>
      <c r="U95" s="2">
        <f>U7/'Output-Calculation-sheet'!U6*'Output-Calculation-sheet'!U78</f>
        <v>242620753.25797796</v>
      </c>
      <c r="V95" s="2">
        <f>V7/'Output-Calculation-sheet'!V6*'Output-Calculation-sheet'!V78</f>
        <v>145911975.77046177</v>
      </c>
      <c r="W95" s="2">
        <f>W7/'Output-Calculation-sheet'!W6*'Output-Calculation-sheet'!W78</f>
        <v>397151413.19232512</v>
      </c>
      <c r="X95" s="2">
        <f>X7/'Output-Calculation-sheet'!X6*'Output-Calculation-sheet'!X78</f>
        <v>80844300.517394885</v>
      </c>
      <c r="Y95" s="2">
        <f>Y7/'Output-Calculation-sheet'!Y6*'Output-Calculation-sheet'!Y78</f>
        <v>207651928.84204856</v>
      </c>
      <c r="AA95" s="2">
        <f t="shared" si="8"/>
        <v>35.451841266648906</v>
      </c>
    </row>
    <row r="96" spans="1:27" x14ac:dyDescent="0.25">
      <c r="A96" s="2">
        <v>2031</v>
      </c>
      <c r="B96" s="2">
        <f>B8/'Output-Calculation-sheet'!B7*'Output-Calculation-sheet'!B79</f>
        <v>8358324495.6921015</v>
      </c>
      <c r="C96" s="2">
        <f>C8/'Output-Calculation-sheet'!C7*'Output-Calculation-sheet'!C79</f>
        <v>813591440.88449979</v>
      </c>
      <c r="D96" s="2">
        <f>D8/'Output-Calculation-sheet'!D7*'Output-Calculation-sheet'!D79</f>
        <v>2142164422.6175542</v>
      </c>
      <c r="E96" s="2">
        <f>E8/'Output-Calculation-sheet'!E7*'Output-Calculation-sheet'!E79</f>
        <v>7711164045.6115618</v>
      </c>
      <c r="F96" s="2">
        <f>F8/'Output-Calculation-sheet'!F7*'Output-Calculation-sheet'!F79</f>
        <v>2350587692.5296183</v>
      </c>
      <c r="G96" s="2">
        <f>G8/'Output-Calculation-sheet'!G7*'Output-Calculation-sheet'!G79</f>
        <v>1454204421.3317232</v>
      </c>
      <c r="H96" s="2">
        <f>H8/'Output-Calculation-sheet'!H7*'Output-Calculation-sheet'!H79</f>
        <v>975633609.39551568</v>
      </c>
      <c r="I96" s="2">
        <f>I8/'Output-Calculation-sheet'!I7*'Output-Calculation-sheet'!I79</f>
        <v>1045163167.363116</v>
      </c>
      <c r="J96" s="2">
        <f>J8/'Output-Calculation-sheet'!J7*'Output-Calculation-sheet'!J79</f>
        <v>849589724.68799162</v>
      </c>
      <c r="K96" s="2">
        <f>K8/'Output-Calculation-sheet'!K7*'Output-Calculation-sheet'!K79</f>
        <v>1039102964.7225417</v>
      </c>
      <c r="L96" s="2">
        <f>L8/'Output-Calculation-sheet'!L7*'Output-Calculation-sheet'!L79</f>
        <v>999313571.06380045</v>
      </c>
      <c r="M96" s="2">
        <f>M8/'Output-Calculation-sheet'!M7*'Output-Calculation-sheet'!M79</f>
        <v>1373935972.4358861</v>
      </c>
      <c r="N96" s="2">
        <f>N8/'Output-Calculation-sheet'!N7*'Output-Calculation-sheet'!N79</f>
        <v>861368146.82542098</v>
      </c>
      <c r="O96" s="2">
        <f>O8/'Output-Calculation-sheet'!O7*'Output-Calculation-sheet'!O79</f>
        <v>107375569.06531529</v>
      </c>
      <c r="P96" s="2">
        <f>P8/'Output-Calculation-sheet'!P7*'Output-Calculation-sheet'!P79</f>
        <v>1550820962.7083793</v>
      </c>
      <c r="Q96" s="2">
        <f>Q8/'Output-Calculation-sheet'!Q7*'Output-Calculation-sheet'!Q79</f>
        <v>648983632.62627292</v>
      </c>
      <c r="R96" s="2">
        <f>R8/'Output-Calculation-sheet'!R7*'Output-Calculation-sheet'!R79</f>
        <v>1018938542.9435699</v>
      </c>
      <c r="S96" s="2">
        <f>S8/'Output-Calculation-sheet'!S7*'Output-Calculation-sheet'!S79</f>
        <v>395011578.70546669</v>
      </c>
      <c r="T96" s="2">
        <f>T8/'Output-Calculation-sheet'!T7*'Output-Calculation-sheet'!T79</f>
        <v>359520987.73172605</v>
      </c>
      <c r="U96" s="2">
        <f>U8/'Output-Calculation-sheet'!U7*'Output-Calculation-sheet'!U79</f>
        <v>232239488.2625995</v>
      </c>
      <c r="V96" s="2">
        <f>V8/'Output-Calculation-sheet'!V7*'Output-Calculation-sheet'!V79</f>
        <v>138216158.25496557</v>
      </c>
      <c r="W96" s="2">
        <f>W8/'Output-Calculation-sheet'!W7*'Output-Calculation-sheet'!W79</f>
        <v>381086871.22955084</v>
      </c>
      <c r="X96" s="2">
        <f>X8/'Output-Calculation-sheet'!X7*'Output-Calculation-sheet'!X79</f>
        <v>105894514.2608564</v>
      </c>
      <c r="Y96" s="2">
        <f>Y8/'Output-Calculation-sheet'!Y7*'Output-Calculation-sheet'!Y79</f>
        <v>203420468.43560612</v>
      </c>
      <c r="AA96" s="2">
        <f t="shared" si="8"/>
        <v>35.115652449385642</v>
      </c>
    </row>
    <row r="97" spans="1:27" x14ac:dyDescent="0.25">
      <c r="A97" s="2">
        <v>2032</v>
      </c>
      <c r="B97" s="2">
        <f>B9/'Output-Calculation-sheet'!B8*'Output-Calculation-sheet'!B80</f>
        <v>7816614576.8664131</v>
      </c>
      <c r="C97" s="2">
        <f>C9/'Output-Calculation-sheet'!C8*'Output-Calculation-sheet'!C80</f>
        <v>744225205.24762666</v>
      </c>
      <c r="D97" s="2">
        <f>D9/'Output-Calculation-sheet'!D8*'Output-Calculation-sheet'!D80</f>
        <v>1820118469.7755139</v>
      </c>
      <c r="E97" s="2">
        <f>E9/'Output-Calculation-sheet'!E8*'Output-Calculation-sheet'!E80</f>
        <v>7356256799.4816236</v>
      </c>
      <c r="F97" s="2">
        <f>F9/'Output-Calculation-sheet'!F8*'Output-Calculation-sheet'!F80</f>
        <v>2104984519.666285</v>
      </c>
      <c r="G97" s="2">
        <f>G9/'Output-Calculation-sheet'!G8*'Output-Calculation-sheet'!G80</f>
        <v>1246339234.7176373</v>
      </c>
      <c r="H97" s="2">
        <f>H9/'Output-Calculation-sheet'!H8*'Output-Calculation-sheet'!H80</f>
        <v>1117435489.7508018</v>
      </c>
      <c r="I97" s="2">
        <f>I9/'Output-Calculation-sheet'!I8*'Output-Calculation-sheet'!I80</f>
        <v>938374536.09808362</v>
      </c>
      <c r="J97" s="2">
        <f>J9/'Output-Calculation-sheet'!J8*'Output-Calculation-sheet'!J80</f>
        <v>751995032.77315915</v>
      </c>
      <c r="K97" s="2">
        <f>K9/'Output-Calculation-sheet'!K8*'Output-Calculation-sheet'!K80</f>
        <v>903507282.27115822</v>
      </c>
      <c r="L97" s="2">
        <f>L9/'Output-Calculation-sheet'!L8*'Output-Calculation-sheet'!L80</f>
        <v>925899003.71528566</v>
      </c>
      <c r="M97" s="2">
        <f>M9/'Output-Calculation-sheet'!M8*'Output-Calculation-sheet'!M80</f>
        <v>1282885495.2175229</v>
      </c>
      <c r="N97" s="2">
        <f>N9/'Output-Calculation-sheet'!N8*'Output-Calculation-sheet'!N80</f>
        <v>806432261.37604821</v>
      </c>
      <c r="O97" s="2">
        <f>O9/'Output-Calculation-sheet'!O8*'Output-Calculation-sheet'!O80</f>
        <v>96923309.143486485</v>
      </c>
      <c r="P97" s="2">
        <f>P9/'Output-Calculation-sheet'!P8*'Output-Calculation-sheet'!P80</f>
        <v>1389539345.3880401</v>
      </c>
      <c r="Q97" s="2">
        <f>Q9/'Output-Calculation-sheet'!Q8*'Output-Calculation-sheet'!Q80</f>
        <v>590666236.34407806</v>
      </c>
      <c r="R97" s="2">
        <f>R9/'Output-Calculation-sheet'!R8*'Output-Calculation-sheet'!R80</f>
        <v>931298052.06116116</v>
      </c>
      <c r="S97" s="2">
        <f>S9/'Output-Calculation-sheet'!S8*'Output-Calculation-sheet'!S80</f>
        <v>369654606.42155075</v>
      </c>
      <c r="T97" s="2">
        <f>T9/'Output-Calculation-sheet'!T8*'Output-Calculation-sheet'!T80</f>
        <v>312359434.20080733</v>
      </c>
      <c r="U97" s="2">
        <f>U9/'Output-Calculation-sheet'!U8*'Output-Calculation-sheet'!U80</f>
        <v>205444478.26406088</v>
      </c>
      <c r="V97" s="2">
        <f>V9/'Output-Calculation-sheet'!V8*'Output-Calculation-sheet'!V80</f>
        <v>121713053.4827226</v>
      </c>
      <c r="W97" s="2">
        <f>W9/'Output-Calculation-sheet'!W8*'Output-Calculation-sheet'!W80</f>
        <v>338057535.44698954</v>
      </c>
      <c r="X97" s="2">
        <f>X9/'Output-Calculation-sheet'!X8*'Output-Calculation-sheet'!X80</f>
        <v>134092026.08710839</v>
      </c>
      <c r="Y97" s="2">
        <f>Y9/'Output-Calculation-sheet'!Y8*'Output-Calculation-sheet'!Y80</f>
        <v>184613160.10277101</v>
      </c>
      <c r="AA97" s="2">
        <f t="shared" si="8"/>
        <v>32.489429143899933</v>
      </c>
    </row>
    <row r="98" spans="1:27" x14ac:dyDescent="0.25">
      <c r="A98" s="2">
        <v>2033</v>
      </c>
      <c r="B98" s="2">
        <f>B10/'Output-Calculation-sheet'!B9*'Output-Calculation-sheet'!B81</f>
        <v>7263083928.5293646</v>
      </c>
      <c r="C98" s="2">
        <f>C10/'Output-Calculation-sheet'!C9*'Output-Calculation-sheet'!C81</f>
        <v>677634400.92047536</v>
      </c>
      <c r="D98" s="2">
        <f>D10/'Output-Calculation-sheet'!D9*'Output-Calculation-sheet'!D81</f>
        <v>1536267345.9106092</v>
      </c>
      <c r="E98" s="2">
        <f>E10/'Output-Calculation-sheet'!E9*'Output-Calculation-sheet'!E81</f>
        <v>6970323890.6662874</v>
      </c>
      <c r="F98" s="2">
        <f>F10/'Output-Calculation-sheet'!F9*'Output-Calculation-sheet'!F81</f>
        <v>1867170203.1024339</v>
      </c>
      <c r="G98" s="2">
        <f>G10/'Output-Calculation-sheet'!G9*'Output-Calculation-sheet'!G81</f>
        <v>1057272249.7648641</v>
      </c>
      <c r="H98" s="2">
        <f>H10/'Output-Calculation-sheet'!H9*'Output-Calculation-sheet'!H81</f>
        <v>1372313960.719064</v>
      </c>
      <c r="I98" s="2">
        <f>I10/'Output-Calculation-sheet'!I9*'Output-Calculation-sheet'!I81</f>
        <v>836369338.72258461</v>
      </c>
      <c r="J98" s="2">
        <f>J10/'Output-Calculation-sheet'!J9*'Output-Calculation-sheet'!J81</f>
        <v>661327922.41022205</v>
      </c>
      <c r="K98" s="2">
        <f>K10/'Output-Calculation-sheet'!K9*'Output-Calculation-sheet'!K81</f>
        <v>784496488.44382381</v>
      </c>
      <c r="L98" s="2">
        <f>L10/'Output-Calculation-sheet'!L9*'Output-Calculation-sheet'!L81</f>
        <v>849333242.57878876</v>
      </c>
      <c r="M98" s="2">
        <f>M10/'Output-Calculation-sheet'!M9*'Output-Calculation-sheet'!M81</f>
        <v>1188972038.8288248</v>
      </c>
      <c r="N98" s="2">
        <f>N10/'Output-Calculation-sheet'!N9*'Output-Calculation-sheet'!N81</f>
        <v>731674587.57511771</v>
      </c>
      <c r="O98" s="2">
        <f>O10/'Output-Calculation-sheet'!O9*'Output-Calculation-sheet'!O81</f>
        <v>87141995.182961509</v>
      </c>
      <c r="P98" s="2">
        <f>P10/'Output-Calculation-sheet'!P9*'Output-Calculation-sheet'!P81</f>
        <v>1226112177.2396531</v>
      </c>
      <c r="Q98" s="2">
        <f>Q10/'Output-Calculation-sheet'!Q9*'Output-Calculation-sheet'!Q81</f>
        <v>536044794.05634123</v>
      </c>
      <c r="R98" s="2">
        <f>R10/'Output-Calculation-sheet'!R9*'Output-Calculation-sheet'!R81</f>
        <v>839271914.39816141</v>
      </c>
      <c r="S98" s="2">
        <f>S10/'Output-Calculation-sheet'!S9*'Output-Calculation-sheet'!S81</f>
        <v>345035161.41605073</v>
      </c>
      <c r="T98" s="2">
        <f>T10/'Output-Calculation-sheet'!T9*'Output-Calculation-sheet'!T81</f>
        <v>269403939.6095472</v>
      </c>
      <c r="U98" s="2">
        <f>U10/'Output-Calculation-sheet'!U9*'Output-Calculation-sheet'!U81</f>
        <v>179098740.04025021</v>
      </c>
      <c r="V98" s="2">
        <f>V10/'Output-Calculation-sheet'!V9*'Output-Calculation-sheet'!V81</f>
        <v>106018847.08163744</v>
      </c>
      <c r="W98" s="2">
        <f>W10/'Output-Calculation-sheet'!W9*'Output-Calculation-sheet'!W81</f>
        <v>294678892.11284852</v>
      </c>
      <c r="X98" s="2">
        <f>X10/'Output-Calculation-sheet'!X9*'Output-Calculation-sheet'!X81</f>
        <v>128108894.77705327</v>
      </c>
      <c r="Y98" s="2">
        <f>Y10/'Output-Calculation-sheet'!Y9*'Output-Calculation-sheet'!Y81</f>
        <v>165833973.01940826</v>
      </c>
      <c r="AA98" s="2">
        <f t="shared" si="8"/>
        <v>29.972988927106378</v>
      </c>
    </row>
    <row r="99" spans="1:27" x14ac:dyDescent="0.25">
      <c r="A99" s="2">
        <v>2034</v>
      </c>
      <c r="B99" s="2">
        <f>B11/'Output-Calculation-sheet'!B10*'Output-Calculation-sheet'!B82</f>
        <v>6854505873.6146202</v>
      </c>
      <c r="C99" s="2">
        <f>C11/'Output-Calculation-sheet'!C10*'Output-Calculation-sheet'!C82</f>
        <v>616279971.2245959</v>
      </c>
      <c r="D99" s="2">
        <f>D11/'Output-Calculation-sheet'!D10*'Output-Calculation-sheet'!D82</f>
        <v>1294260663.9450293</v>
      </c>
      <c r="E99" s="2">
        <f>E11/'Output-Calculation-sheet'!E10*'Output-Calculation-sheet'!E82</f>
        <v>6569198817.5537539</v>
      </c>
      <c r="F99" s="2">
        <f>F11/'Output-Calculation-sheet'!F10*'Output-Calculation-sheet'!F82</f>
        <v>1650683840.172976</v>
      </c>
      <c r="G99" s="2">
        <f>G11/'Output-Calculation-sheet'!G10*'Output-Calculation-sheet'!G82</f>
        <v>892787899.11585045</v>
      </c>
      <c r="H99" s="2">
        <f>H11/'Output-Calculation-sheet'!H10*'Output-Calculation-sheet'!H82</f>
        <v>1245089268.8429503</v>
      </c>
      <c r="I99" s="2">
        <f>I11/'Output-Calculation-sheet'!I10*'Output-Calculation-sheet'!I82</f>
        <v>745056259.3051815</v>
      </c>
      <c r="J99" s="2">
        <f>J11/'Output-Calculation-sheet'!J10*'Output-Calculation-sheet'!J82</f>
        <v>581099578.74501824</v>
      </c>
      <c r="K99" s="2">
        <f>K11/'Output-Calculation-sheet'!K10*'Output-Calculation-sheet'!K82</f>
        <v>676746873.97521222</v>
      </c>
      <c r="L99" s="2">
        <f>L11/'Output-Calculation-sheet'!L10*'Output-Calculation-sheet'!L82</f>
        <v>778278611.62265038</v>
      </c>
      <c r="M99" s="2">
        <f>M11/'Output-Calculation-sheet'!M10*'Output-Calculation-sheet'!M82</f>
        <v>1103952399.4481089</v>
      </c>
      <c r="N99" s="2">
        <f>N11/'Output-Calculation-sheet'!N10*'Output-Calculation-sheet'!N82</f>
        <v>660773508.91316009</v>
      </c>
      <c r="O99" s="2">
        <f>O11/'Output-Calculation-sheet'!O10*'Output-Calculation-sheet'!O82</f>
        <v>78272979.222547084</v>
      </c>
      <c r="P99" s="2">
        <f>P11/'Output-Calculation-sheet'!P10*'Output-Calculation-sheet'!P82</f>
        <v>1068357387.6929723</v>
      </c>
      <c r="Q99" s="2">
        <f>Q11/'Output-Calculation-sheet'!Q10*'Output-Calculation-sheet'!Q82</f>
        <v>487242206.55369985</v>
      </c>
      <c r="R99" s="2">
        <f>R11/'Output-Calculation-sheet'!R10*'Output-Calculation-sheet'!R82</f>
        <v>753259743.87418854</v>
      </c>
      <c r="S99" s="2">
        <f>S11/'Output-Calculation-sheet'!S10*'Output-Calculation-sheet'!S82</f>
        <v>324352172.1556204</v>
      </c>
      <c r="T99" s="2">
        <f>T11/'Output-Calculation-sheet'!T10*'Output-Calculation-sheet'!T82</f>
        <v>230965759.53163624</v>
      </c>
      <c r="U99" s="2">
        <f>U11/'Output-Calculation-sheet'!U10*'Output-Calculation-sheet'!U82</f>
        <v>155718512.18648532</v>
      </c>
      <c r="V99" s="2">
        <f>V11/'Output-Calculation-sheet'!V10*'Output-Calculation-sheet'!V82</f>
        <v>92220556.379205897</v>
      </c>
      <c r="W99" s="2">
        <f>W11/'Output-Calculation-sheet'!W10*'Output-Calculation-sheet'!W82</f>
        <v>255417627.85903466</v>
      </c>
      <c r="X99" s="2">
        <f>X11/'Output-Calculation-sheet'!X10*'Output-Calculation-sheet'!X82</f>
        <v>122469011.25484119</v>
      </c>
      <c r="Y99" s="2">
        <f>Y11/'Output-Calculation-sheet'!Y10*'Output-Calculation-sheet'!Y82</f>
        <v>147760888.67351174</v>
      </c>
      <c r="AA99" s="2">
        <f t="shared" si="8"/>
        <v>27.384750411862846</v>
      </c>
    </row>
    <row r="100" spans="1:27" x14ac:dyDescent="0.25">
      <c r="A100" s="2">
        <v>2035</v>
      </c>
      <c r="B100" s="2">
        <f>B12/'Output-Calculation-sheet'!B11*'Output-Calculation-sheet'!B83</f>
        <v>6426137429.492836</v>
      </c>
      <c r="C100" s="2">
        <f>C12/'Output-Calculation-sheet'!C11*'Output-Calculation-sheet'!C83</f>
        <v>577958869.28179538</v>
      </c>
      <c r="D100" s="2">
        <f>D12/'Output-Calculation-sheet'!D11*'Output-Calculation-sheet'!D83</f>
        <v>1092114138.6606121</v>
      </c>
      <c r="E100" s="2">
        <f>E12/'Output-Calculation-sheet'!E11*'Output-Calculation-sheet'!E83</f>
        <v>6182370557.193799</v>
      </c>
      <c r="F100" s="2">
        <f>F12/'Output-Calculation-sheet'!F11*'Output-Calculation-sheet'!F83</f>
        <v>1455945363.0954201</v>
      </c>
      <c r="G100" s="2">
        <f>G12/'Output-Calculation-sheet'!G11*'Output-Calculation-sheet'!G83</f>
        <v>751471489.07913983</v>
      </c>
      <c r="H100" s="2">
        <f>H12/'Output-Calculation-sheet'!H11*'Output-Calculation-sheet'!H83</f>
        <v>1121805549.0747583</v>
      </c>
      <c r="I100" s="2">
        <f>I12/'Output-Calculation-sheet'!I11*'Output-Calculation-sheet'!I83</f>
        <v>661901134.97744679</v>
      </c>
      <c r="J100" s="2">
        <f>J12/'Output-Calculation-sheet'!J11*'Output-Calculation-sheet'!J83</f>
        <v>509985902.93390095</v>
      </c>
      <c r="K100" s="2">
        <f>K12/'Output-Calculation-sheet'!K11*'Output-Calculation-sheet'!K83</f>
        <v>581940698.35789359</v>
      </c>
      <c r="L100" s="2">
        <f>L12/'Output-Calculation-sheet'!L11*'Output-Calculation-sheet'!L83</f>
        <v>712630970.49718559</v>
      </c>
      <c r="M100" s="2">
        <f>M12/'Output-Calculation-sheet'!M11*'Output-Calculation-sheet'!M83</f>
        <v>1021149730.5111783</v>
      </c>
      <c r="N100" s="2">
        <f>N12/'Output-Calculation-sheet'!N11*'Output-Calculation-sheet'!N83</f>
        <v>597016792.85401595</v>
      </c>
      <c r="O100" s="2">
        <f>O12/'Output-Calculation-sheet'!O11*'Output-Calculation-sheet'!O83</f>
        <v>76714954.03943491</v>
      </c>
      <c r="P100" s="2">
        <f>P12/'Output-Calculation-sheet'!P11*'Output-Calculation-sheet'!P83</f>
        <v>916826525.0506326</v>
      </c>
      <c r="Q100" s="2">
        <f>Q12/'Output-Calculation-sheet'!Q11*'Output-Calculation-sheet'!Q83</f>
        <v>443284087.0302887</v>
      </c>
      <c r="R100" s="2">
        <f>R12/'Output-Calculation-sheet'!R11*'Output-Calculation-sheet'!R83</f>
        <v>673595535.59964931</v>
      </c>
      <c r="S100" s="2">
        <f>S12/'Output-Calculation-sheet'!S11*'Output-Calculation-sheet'!S83</f>
        <v>301700253.39838815</v>
      </c>
      <c r="T100" s="2">
        <f>T12/'Output-Calculation-sheet'!T11*'Output-Calculation-sheet'!T83</f>
        <v>197587934.66148996</v>
      </c>
      <c r="U100" s="2">
        <f>U12/'Output-Calculation-sheet'!U11*'Output-Calculation-sheet'!U83</f>
        <v>134483670.10410556</v>
      </c>
      <c r="V100" s="2">
        <f>V12/'Output-Calculation-sheet'!V11*'Output-Calculation-sheet'!V83</f>
        <v>79942990.204536095</v>
      </c>
      <c r="W100" s="2">
        <f>W12/'Output-Calculation-sheet'!W11*'Output-Calculation-sheet'!W83</f>
        <v>219441894.70077041</v>
      </c>
      <c r="X100" s="2">
        <f>X12/'Output-Calculation-sheet'!X11*'Output-Calculation-sheet'!X83</f>
        <v>117062166.18273471</v>
      </c>
      <c r="Y100" s="2">
        <f>Y12/'Output-Calculation-sheet'!Y11*'Output-Calculation-sheet'!Y83</f>
        <v>131043661.17937581</v>
      </c>
      <c r="AA100" s="2">
        <f t="shared" si="8"/>
        <v>24.984112298161392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5218.7069170097047</v>
      </c>
      <c r="C19" s="2">
        <f>C8/'Output-Calculation-sheet'!C7*'Output-Calculation-sheet'!C25</f>
        <v>7882.0444997679469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4230.2052365025065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859.97903864365469</v>
      </c>
      <c r="M19" s="2">
        <f>M8/'Output-Calculation-sheet'!M7*'Output-Calculation-sheet'!M25</f>
        <v>5579.4077097382124</v>
      </c>
      <c r="N19" s="2">
        <f>N8/'Output-Calculation-sheet'!N7*'Output-Calculation-sheet'!N25</f>
        <v>2848.4870932602148</v>
      </c>
      <c r="O19" s="2">
        <f>O8/'Output-Calculation-sheet'!O7*'Output-Calculation-sheet'!O25</f>
        <v>1539.6467082523645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544.65378204593878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387.96865983994519</v>
      </c>
      <c r="Y19" s="2">
        <f>Y8/'Output-Calculation-sheet'!Y7*'Output-Calculation-sheet'!Y25</f>
        <v>0</v>
      </c>
      <c r="AA19" s="2">
        <f t="shared" si="0"/>
        <v>29.091099645060485</v>
      </c>
    </row>
    <row r="20" spans="1:27" x14ac:dyDescent="0.25">
      <c r="A20" s="2">
        <v>2032</v>
      </c>
      <c r="B20" s="2">
        <f>B9/'Output-Calculation-sheet'!B8*'Output-Calculation-sheet'!B26</f>
        <v>6898.5516376882224</v>
      </c>
      <c r="C20" s="2">
        <f>C9/'Output-Calculation-sheet'!C8*'Output-Calculation-sheet'!C26</f>
        <v>8545.4799788954733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5628.1938918313463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977.98298137790664</v>
      </c>
      <c r="M20" s="2">
        <f>M9/'Output-Calculation-sheet'!M8*'Output-Calculation-sheet'!M26</f>
        <v>5951.6192708627386</v>
      </c>
      <c r="N20" s="2">
        <f>N9/'Output-Calculation-sheet'!N8*'Output-Calculation-sheet'!N26</f>
        <v>3352.0588326132784</v>
      </c>
      <c r="O20" s="2">
        <f>O9/'Output-Calculation-sheet'!O8*'Output-Calculation-sheet'!O26</f>
        <v>1667.7600380527056</v>
      </c>
      <c r="P20" s="2">
        <f>P9/'Output-Calculation-sheet'!P8*'Output-Calculation-sheet'!P26</f>
        <v>0</v>
      </c>
      <c r="Q20" s="2">
        <f>Q9/'Output-Calculation-sheet'!Q8*'Output-Calculation-sheet'!Q26</f>
        <v>100.79543269793271</v>
      </c>
      <c r="R20" s="2">
        <f>R9/'Output-Calculation-sheet'!R8*'Output-Calculation-sheet'!R26</f>
        <v>0</v>
      </c>
      <c r="S20" s="2">
        <f>S9/'Output-Calculation-sheet'!S8*'Output-Calculation-sheet'!S26</f>
        <v>711.69949978045247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550.26130572077523</v>
      </c>
      <c r="Y20" s="2">
        <f>Y9/'Output-Calculation-sheet'!Y8*'Output-Calculation-sheet'!Y26</f>
        <v>0</v>
      </c>
      <c r="AA20" s="2">
        <f t="shared" si="0"/>
        <v>34.384402869520834</v>
      </c>
    </row>
    <row r="21" spans="1:27" x14ac:dyDescent="0.25">
      <c r="A21" s="2">
        <v>2033</v>
      </c>
      <c r="B21" s="2">
        <f>B10/'Output-Calculation-sheet'!B9*'Output-Calculation-sheet'!B27</f>
        <v>8865.7309669696424</v>
      </c>
      <c r="C21" s="2">
        <f>C10/'Output-Calculation-sheet'!C9*'Output-Calculation-sheet'!C27</f>
        <v>8898.051124903106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7800.856062437193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1082.9719956811634</v>
      </c>
      <c r="M21" s="2">
        <f>M10/'Output-Calculation-sheet'!M9*'Output-Calculation-sheet'!M27</f>
        <v>6071.6825011554301</v>
      </c>
      <c r="N21" s="2">
        <f>N10/'Output-Calculation-sheet'!N9*'Output-Calculation-sheet'!N27</f>
        <v>3538.7750616854505</v>
      </c>
      <c r="O21" s="2">
        <f>O10/'Output-Calculation-sheet'!O9*'Output-Calculation-sheet'!O27</f>
        <v>1731.2637022084427</v>
      </c>
      <c r="P21" s="2">
        <f>P10/'Output-Calculation-sheet'!P9*'Output-Calculation-sheet'!P27</f>
        <v>0</v>
      </c>
      <c r="Q21" s="2">
        <f>Q10/'Output-Calculation-sheet'!Q9*'Output-Calculation-sheet'!Q27</f>
        <v>263.69633412952987</v>
      </c>
      <c r="R21" s="2">
        <f>R10/'Output-Calculation-sheet'!R9*'Output-Calculation-sheet'!R27</f>
        <v>0</v>
      </c>
      <c r="S21" s="2">
        <f>S10/'Output-Calculation-sheet'!S9*'Output-Calculation-sheet'!S27</f>
        <v>898.9140872193575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566.52945342878263</v>
      </c>
      <c r="Y21" s="2">
        <f>Y10/'Output-Calculation-sheet'!Y9*'Output-Calculation-sheet'!Y27</f>
        <v>0</v>
      </c>
      <c r="AA21" s="2">
        <f t="shared" si="0"/>
        <v>39.718471289818105</v>
      </c>
    </row>
    <row r="22" spans="1:27" x14ac:dyDescent="0.25">
      <c r="A22" s="2">
        <v>2034</v>
      </c>
      <c r="B22" s="2">
        <f>B11/'Output-Calculation-sheet'!B10*'Output-Calculation-sheet'!B28</f>
        <v>10868.899095074881</v>
      </c>
      <c r="C22" s="2">
        <f>C11/'Output-Calculation-sheet'!C10*'Output-Calculation-sheet'!C28</f>
        <v>8863.1099222124212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7701.7933972988558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1134.7274693316488</v>
      </c>
      <c r="M22" s="2">
        <f>M11/'Output-Calculation-sheet'!M10*'Output-Calculation-sheet'!M28</f>
        <v>5984.6854055839904</v>
      </c>
      <c r="N22" s="2">
        <f>N11/'Output-Calculation-sheet'!N10*'Output-Calculation-sheet'!N28</f>
        <v>3589.6807777717486</v>
      </c>
      <c r="O22" s="2">
        <f>O11/'Output-Calculation-sheet'!O10*'Output-Calculation-sheet'!O28</f>
        <v>1714.0854367005616</v>
      </c>
      <c r="P22" s="2">
        <f>P11/'Output-Calculation-sheet'!P10*'Output-Calculation-sheet'!P28</f>
        <v>0</v>
      </c>
      <c r="Q22" s="2">
        <f>Q11/'Output-Calculation-sheet'!Q10*'Output-Calculation-sheet'!Q28</f>
        <v>492.06541980380388</v>
      </c>
      <c r="R22" s="2">
        <f>R11/'Output-Calculation-sheet'!R10*'Output-Calculation-sheet'!R28</f>
        <v>0</v>
      </c>
      <c r="S22" s="2">
        <f>S11/'Output-Calculation-sheet'!S10*'Output-Calculation-sheet'!S28</f>
        <v>1051.624058310726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559.66641311643514</v>
      </c>
      <c r="Y22" s="2">
        <f>Y11/'Output-Calculation-sheet'!Y10*'Output-Calculation-sheet'!Y28</f>
        <v>0</v>
      </c>
      <c r="AA22" s="2">
        <f t="shared" si="0"/>
        <v>41.960337395205066</v>
      </c>
    </row>
    <row r="23" spans="1:27" x14ac:dyDescent="0.25">
      <c r="A23" s="2">
        <v>2035</v>
      </c>
      <c r="B23" s="2">
        <f>B12/'Output-Calculation-sheet'!B11*'Output-Calculation-sheet'!B29</f>
        <v>12281.011076739062</v>
      </c>
      <c r="C23" s="2">
        <f>C12/'Output-Calculation-sheet'!C11*'Output-Calculation-sheet'!C29</f>
        <v>8609.3070902865184</v>
      </c>
      <c r="D23" s="2">
        <f>D12/'Output-Calculation-sheet'!D11*'Output-Calculation-sheet'!D29</f>
        <v>0</v>
      </c>
      <c r="E23" s="2">
        <f>E12/'Output-Calculation-sheet'!E11*'Output-Calculation-sheet'!E29</f>
        <v>112.54515379910654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7189.3043151522097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1133.3150669801582</v>
      </c>
      <c r="M23" s="2">
        <f>M12/'Output-Calculation-sheet'!M11*'Output-Calculation-sheet'!M29</f>
        <v>5591.3147463682062</v>
      </c>
      <c r="N23" s="2">
        <f>N12/'Output-Calculation-sheet'!N11*'Output-Calculation-sheet'!N29</f>
        <v>3432.1313643980088</v>
      </c>
      <c r="O23" s="2">
        <f>O12/'Output-Calculation-sheet'!O11*'Output-Calculation-sheet'!O29</f>
        <v>1745.9755611167411</v>
      </c>
      <c r="P23" s="2">
        <f>P12/'Output-Calculation-sheet'!P11*'Output-Calculation-sheet'!P29</f>
        <v>0</v>
      </c>
      <c r="Q23" s="2">
        <f>Q12/'Output-Calculation-sheet'!Q11*'Output-Calculation-sheet'!Q29</f>
        <v>674.89313803585856</v>
      </c>
      <c r="R23" s="2">
        <f>R12/'Output-Calculation-sheet'!R11*'Output-Calculation-sheet'!R29</f>
        <v>0</v>
      </c>
      <c r="S23" s="2">
        <f>S12/'Output-Calculation-sheet'!S11*'Output-Calculation-sheet'!S29</f>
        <v>1143.8176931922335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528.53453516002639</v>
      </c>
      <c r="Y23" s="2">
        <f>Y12/'Output-Calculation-sheet'!Y11*'Output-Calculation-sheet'!Y29</f>
        <v>0</v>
      </c>
      <c r="AA23" s="2">
        <f t="shared" si="0"/>
        <v>42.442149741228128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24973.098900875018</v>
      </c>
      <c r="C30" s="2">
        <f>C8/'Output-Calculation-sheet'!C7*'Output-Calculation-sheet'!C16</f>
        <v>0</v>
      </c>
      <c r="D30" s="2">
        <f>D8/'Output-Calculation-sheet'!D7*'Output-Calculation-sheet'!D16</f>
        <v>6825.7324420163186</v>
      </c>
      <c r="E30" s="2">
        <f>E8/'Output-Calculation-sheet'!E7*'Output-Calculation-sheet'!E16</f>
        <v>8334.7128185845922</v>
      </c>
      <c r="F30" s="2">
        <f>F8/'Output-Calculation-sheet'!F7*'Output-Calculation-sheet'!F16</f>
        <v>3748.7149661359981</v>
      </c>
      <c r="G30" s="2">
        <f>G8/'Output-Calculation-sheet'!G7*'Output-Calculation-sheet'!G16</f>
        <v>2158.641342986818</v>
      </c>
      <c r="H30" s="2">
        <f>H8/'Output-Calculation-sheet'!H7*'Output-Calculation-sheet'!H16</f>
        <v>0</v>
      </c>
      <c r="I30" s="2">
        <f>I8/'Output-Calculation-sheet'!I7*'Output-Calculation-sheet'!I16</f>
        <v>2290.5080363907723</v>
      </c>
      <c r="J30" s="2">
        <f>J8/'Output-Calculation-sheet'!J7*'Output-Calculation-sheet'!J16</f>
        <v>2329.4438515392244</v>
      </c>
      <c r="K30" s="2">
        <f>K8/'Output-Calculation-sheet'!K7*'Output-Calculation-sheet'!K16</f>
        <v>3035.2465860931879</v>
      </c>
      <c r="L30" s="2">
        <f>L8/'Output-Calculation-sheet'!L7*'Output-Calculation-sheet'!L16</f>
        <v>2758.1098918599919</v>
      </c>
      <c r="M30" s="2">
        <f>M8/'Output-Calculation-sheet'!M7*'Output-Calculation-sheet'!M16</f>
        <v>0</v>
      </c>
      <c r="N30" s="2">
        <f>N8/'Output-Calculation-sheet'!N7*'Output-Calculation-sheet'!N16</f>
        <v>1628.4961268380769</v>
      </c>
      <c r="O30" s="2">
        <f>O8/'Output-Calculation-sheet'!O7*'Output-Calculation-sheet'!O16</f>
        <v>0</v>
      </c>
      <c r="P30" s="2">
        <f>P8/'Output-Calculation-sheet'!P7*'Output-Calculation-sheet'!P16</f>
        <v>2450.9469812029297</v>
      </c>
      <c r="Q30" s="2">
        <f>Q8/'Output-Calculation-sheet'!Q7*'Output-Calculation-sheet'!Q16</f>
        <v>2733.4673286248217</v>
      </c>
      <c r="R30" s="2">
        <f>R8/'Output-Calculation-sheet'!R7*'Output-Calculation-sheet'!R16</f>
        <v>2229.9306682256311</v>
      </c>
      <c r="S30" s="2">
        <f>S8/'Output-Calculation-sheet'!S7*'Output-Calculation-sheet'!S16</f>
        <v>1200.3342645938594</v>
      </c>
      <c r="T30" s="2">
        <f>T8/'Output-Calculation-sheet'!T7*'Output-Calculation-sheet'!T16</f>
        <v>707.17614562848905</v>
      </c>
      <c r="U30" s="2">
        <f>U8/'Output-Calculation-sheet'!U7*'Output-Calculation-sheet'!U16</f>
        <v>566.081718920149</v>
      </c>
      <c r="V30" s="2">
        <f>V8/'Output-Calculation-sheet'!V7*'Output-Calculation-sheet'!V16</f>
        <v>666.53157454540519</v>
      </c>
      <c r="W30" s="2">
        <f>W8/'Output-Calculation-sheet'!W7*'Output-Calculation-sheet'!W16</f>
        <v>307.57843625400585</v>
      </c>
      <c r="X30" s="2">
        <f>X8/'Output-Calculation-sheet'!X7*'Output-Calculation-sheet'!X16</f>
        <v>0</v>
      </c>
      <c r="Y30" s="2">
        <f>Y8/'Output-Calculation-sheet'!Y7*'Output-Calculation-sheet'!Y16</f>
        <v>236.52222319790951</v>
      </c>
      <c r="AA30" s="2">
        <f t="shared" si="1"/>
        <v>69.181274304513181</v>
      </c>
    </row>
    <row r="31" spans="1:27" x14ac:dyDescent="0.25">
      <c r="A31" s="2">
        <v>2032</v>
      </c>
      <c r="B31" s="2">
        <f>B9/'Output-Calculation-sheet'!B8*'Output-Calculation-sheet'!B17</f>
        <v>25860.643751710693</v>
      </c>
      <c r="C31" s="2">
        <f>C9/'Output-Calculation-sheet'!C8*'Output-Calculation-sheet'!C17</f>
        <v>0</v>
      </c>
      <c r="D31" s="2">
        <f>D9/'Output-Calculation-sheet'!D8*'Output-Calculation-sheet'!D17</f>
        <v>7193.8055844407163</v>
      </c>
      <c r="E31" s="2">
        <f>E9/'Output-Calculation-sheet'!E8*'Output-Calculation-sheet'!E17</f>
        <v>8825.6162074972417</v>
      </c>
      <c r="F31" s="2">
        <f>F9/'Output-Calculation-sheet'!F8*'Output-Calculation-sheet'!F17</f>
        <v>3975.0482272339655</v>
      </c>
      <c r="G31" s="2">
        <f>G9/'Output-Calculation-sheet'!G8*'Output-Calculation-sheet'!G17</f>
        <v>2287.9249390305008</v>
      </c>
      <c r="H31" s="2">
        <f>H9/'Output-Calculation-sheet'!H8*'Output-Calculation-sheet'!H17</f>
        <v>0</v>
      </c>
      <c r="I31" s="2">
        <f>I9/'Output-Calculation-sheet'!I8*'Output-Calculation-sheet'!I17</f>
        <v>2425.4795901001858</v>
      </c>
      <c r="J31" s="2">
        <f>J9/'Output-Calculation-sheet'!J8*'Output-Calculation-sheet'!J17</f>
        <v>2460.8585434363713</v>
      </c>
      <c r="K31" s="2">
        <f>K9/'Output-Calculation-sheet'!K8*'Output-Calculation-sheet'!K17</f>
        <v>3200.5599749792332</v>
      </c>
      <c r="L31" s="2">
        <f>L9/'Output-Calculation-sheet'!L8*'Output-Calculation-sheet'!L17</f>
        <v>2895.279669416273</v>
      </c>
      <c r="M31" s="2">
        <f>M9/'Output-Calculation-sheet'!M8*'Output-Calculation-sheet'!M17</f>
        <v>0</v>
      </c>
      <c r="N31" s="2">
        <f>N9/'Output-Calculation-sheet'!N8*'Output-Calculation-sheet'!N17</f>
        <v>1616.6480946592003</v>
      </c>
      <c r="O31" s="2">
        <f>O9/'Output-Calculation-sheet'!O8*'Output-Calculation-sheet'!O17</f>
        <v>0</v>
      </c>
      <c r="P31" s="2">
        <f>P9/'Output-Calculation-sheet'!P8*'Output-Calculation-sheet'!P17</f>
        <v>2626.7202502405694</v>
      </c>
      <c r="Q31" s="2">
        <f>Q9/'Output-Calculation-sheet'!Q8*'Output-Calculation-sheet'!Q17</f>
        <v>2854.7564292961238</v>
      </c>
      <c r="R31" s="2">
        <f>R9/'Output-Calculation-sheet'!R8*'Output-Calculation-sheet'!R17</f>
        <v>2369.8630957071214</v>
      </c>
      <c r="S31" s="2">
        <f>S9/'Output-Calculation-sheet'!S8*'Output-Calculation-sheet'!S17</f>
        <v>1231.1523301793254</v>
      </c>
      <c r="T31" s="2">
        <f>T9/'Output-Calculation-sheet'!T8*'Output-Calculation-sheet'!T17</f>
        <v>746.5970426105016</v>
      </c>
      <c r="U31" s="2">
        <f>U9/'Output-Calculation-sheet'!U8*'Output-Calculation-sheet'!U17</f>
        <v>599.82155708756659</v>
      </c>
      <c r="V31" s="2">
        <f>V9/'Output-Calculation-sheet'!V8*'Output-Calculation-sheet'!V17</f>
        <v>705.08545962869493</v>
      </c>
      <c r="W31" s="2">
        <f>W9/'Output-Calculation-sheet'!W8*'Output-Calculation-sheet'!W17</f>
        <v>326.12624510724265</v>
      </c>
      <c r="X31" s="2">
        <f>X9/'Output-Calculation-sheet'!X8*'Output-Calculation-sheet'!X17</f>
        <v>0</v>
      </c>
      <c r="Y31" s="2">
        <f>Y9/'Output-Calculation-sheet'!Y8*'Output-Calculation-sheet'!Y17</f>
        <v>250.97518234215994</v>
      </c>
      <c r="AA31" s="2">
        <f t="shared" si="1"/>
        <v>72.452962174703657</v>
      </c>
    </row>
    <row r="32" spans="1:27" x14ac:dyDescent="0.25">
      <c r="A32" s="2">
        <v>2033</v>
      </c>
      <c r="B32" s="2">
        <f>B10/'Output-Calculation-sheet'!B9*'Output-Calculation-sheet'!B18</f>
        <v>25326.864632137225</v>
      </c>
      <c r="C32" s="2">
        <f>C10/'Output-Calculation-sheet'!C9*'Output-Calculation-sheet'!C18</f>
        <v>0</v>
      </c>
      <c r="D32" s="2">
        <f>D10/'Output-Calculation-sheet'!D9*'Output-Calculation-sheet'!D18</f>
        <v>7240.492708882336</v>
      </c>
      <c r="E32" s="2">
        <f>E10/'Output-Calculation-sheet'!E9*'Output-Calculation-sheet'!E18</f>
        <v>8948.2506045863101</v>
      </c>
      <c r="F32" s="2">
        <f>F10/'Output-Calculation-sheet'!F9*'Output-Calculation-sheet'!F18</f>
        <v>4025.1550192516675</v>
      </c>
      <c r="G32" s="2">
        <f>G10/'Output-Calculation-sheet'!G9*'Output-Calculation-sheet'!G18</f>
        <v>2316.0487691517137</v>
      </c>
      <c r="H32" s="2">
        <f>H10/'Output-Calculation-sheet'!H9*'Output-Calculation-sheet'!H18</f>
        <v>0</v>
      </c>
      <c r="I32" s="2">
        <f>I10/'Output-Calculation-sheet'!I9*'Output-Calculation-sheet'!I18</f>
        <v>2453.3400772590476</v>
      </c>
      <c r="J32" s="2">
        <f>J10/'Output-Calculation-sheet'!J9*'Output-Calculation-sheet'!J18</f>
        <v>2469.6209337845694</v>
      </c>
      <c r="K32" s="2">
        <f>K10/'Output-Calculation-sheet'!K9*'Output-Calculation-sheet'!K18</f>
        <v>3260.3221823344579</v>
      </c>
      <c r="L32" s="2">
        <f>L10/'Output-Calculation-sheet'!L9*'Output-Calculation-sheet'!L18</f>
        <v>2844.8154678304536</v>
      </c>
      <c r="M32" s="2">
        <f>M10/'Output-Calculation-sheet'!M9*'Output-Calculation-sheet'!M18</f>
        <v>0</v>
      </c>
      <c r="N32" s="2">
        <f>N10/'Output-Calculation-sheet'!N9*'Output-Calculation-sheet'!N18</f>
        <v>1595.8458782867424</v>
      </c>
      <c r="O32" s="2">
        <f>O10/'Output-Calculation-sheet'!O9*'Output-Calculation-sheet'!O18</f>
        <v>0</v>
      </c>
      <c r="P32" s="2">
        <f>P10/'Output-Calculation-sheet'!P9*'Output-Calculation-sheet'!P18</f>
        <v>2682.5407584715472</v>
      </c>
      <c r="Q32" s="2">
        <f>Q10/'Output-Calculation-sheet'!Q9*'Output-Calculation-sheet'!Q18</f>
        <v>2827.4341814992945</v>
      </c>
      <c r="R32" s="2">
        <f>R10/'Output-Calculation-sheet'!R9*'Output-Calculation-sheet'!R18</f>
        <v>2395.9663988842726</v>
      </c>
      <c r="S32" s="2">
        <f>S10/'Output-Calculation-sheet'!S9*'Output-Calculation-sheet'!S18</f>
        <v>1195.7933987779932</v>
      </c>
      <c r="T32" s="2">
        <f>T10/'Output-Calculation-sheet'!T9*'Output-Calculation-sheet'!T18</f>
        <v>754.68868515375311</v>
      </c>
      <c r="U32" s="2">
        <f>U10/'Output-Calculation-sheet'!U9*'Output-Calculation-sheet'!U18</f>
        <v>605.11223433873533</v>
      </c>
      <c r="V32" s="2">
        <f>V10/'Output-Calculation-sheet'!V9*'Output-Calculation-sheet'!V18</f>
        <v>704.07808180420875</v>
      </c>
      <c r="W32" s="2">
        <f>W10/'Output-Calculation-sheet'!W9*'Output-Calculation-sheet'!W18</f>
        <v>328.59585714821901</v>
      </c>
      <c r="X32" s="2">
        <f>X10/'Output-Calculation-sheet'!X9*'Output-Calculation-sheet'!X18</f>
        <v>0</v>
      </c>
      <c r="Y32" s="2">
        <f>Y10/'Output-Calculation-sheet'!Y9*'Output-Calculation-sheet'!Y18</f>
        <v>254.1847851778324</v>
      </c>
      <c r="AA32" s="2">
        <f t="shared" si="1"/>
        <v>72.229150654760389</v>
      </c>
    </row>
    <row r="33" spans="1:27" x14ac:dyDescent="0.25">
      <c r="A33" s="2">
        <v>2034</v>
      </c>
      <c r="B33" s="2">
        <f>B11/'Output-Calculation-sheet'!B10*'Output-Calculation-sheet'!B19</f>
        <v>24009.0880978483</v>
      </c>
      <c r="C33" s="2">
        <f>C11/'Output-Calculation-sheet'!C10*'Output-Calculation-sheet'!C19</f>
        <v>0</v>
      </c>
      <c r="D33" s="2">
        <f>D11/'Output-Calculation-sheet'!D10*'Output-Calculation-sheet'!D19</f>
        <v>6948.5837183835465</v>
      </c>
      <c r="E33" s="2">
        <f>E11/'Output-Calculation-sheet'!E10*'Output-Calculation-sheet'!E19</f>
        <v>8643.6222870176443</v>
      </c>
      <c r="F33" s="2">
        <f>F11/'Output-Calculation-sheet'!F10*'Output-Calculation-sheet'!F19</f>
        <v>3889.3555005974654</v>
      </c>
      <c r="G33" s="2">
        <f>G11/'Output-Calculation-sheet'!G10*'Output-Calculation-sheet'!G19</f>
        <v>2231.518191699573</v>
      </c>
      <c r="H33" s="2">
        <f>H11/'Output-Calculation-sheet'!H10*'Output-Calculation-sheet'!H19</f>
        <v>0</v>
      </c>
      <c r="I33" s="2">
        <f>I11/'Output-Calculation-sheet'!I10*'Output-Calculation-sheet'!I19</f>
        <v>2373.1553220595206</v>
      </c>
      <c r="J33" s="2">
        <f>J11/'Output-Calculation-sheet'!J10*'Output-Calculation-sheet'!J19</f>
        <v>2375.1543353117627</v>
      </c>
      <c r="K33" s="2">
        <f>K11/'Output-Calculation-sheet'!K10*'Output-Calculation-sheet'!K19</f>
        <v>3118.9101932878966</v>
      </c>
      <c r="L33" s="2">
        <f>L11/'Output-Calculation-sheet'!L10*'Output-Calculation-sheet'!L19</f>
        <v>2679.8649703567958</v>
      </c>
      <c r="M33" s="2">
        <f>M11/'Output-Calculation-sheet'!M10*'Output-Calculation-sheet'!M19</f>
        <v>0</v>
      </c>
      <c r="N33" s="2">
        <f>N11/'Output-Calculation-sheet'!N10*'Output-Calculation-sheet'!N19</f>
        <v>1463.0057131793385</v>
      </c>
      <c r="O33" s="2">
        <f>O11/'Output-Calculation-sheet'!O10*'Output-Calculation-sheet'!O19</f>
        <v>0</v>
      </c>
      <c r="P33" s="2">
        <f>P11/'Output-Calculation-sheet'!P10*'Output-Calculation-sheet'!P19</f>
        <v>2617.7863097617578</v>
      </c>
      <c r="Q33" s="2">
        <f>Q11/'Output-Calculation-sheet'!Q10*'Output-Calculation-sheet'!Q19</f>
        <v>2611.6730392984759</v>
      </c>
      <c r="R33" s="2">
        <f>R11/'Output-Calculation-sheet'!R10*'Output-Calculation-sheet'!R19</f>
        <v>2307.5281278742077</v>
      </c>
      <c r="S33" s="2">
        <f>S11/'Output-Calculation-sheet'!S10*'Output-Calculation-sheet'!S19</f>
        <v>1124.7211991957149</v>
      </c>
      <c r="T33" s="2">
        <f>T11/'Output-Calculation-sheet'!T10*'Output-Calculation-sheet'!T19</f>
        <v>729.01432734431171</v>
      </c>
      <c r="U33" s="2">
        <f>U11/'Output-Calculation-sheet'!U10*'Output-Calculation-sheet'!U19</f>
        <v>588.1556958783724</v>
      </c>
      <c r="V33" s="2">
        <f>V11/'Output-Calculation-sheet'!V10*'Output-Calculation-sheet'!V19</f>
        <v>674.95394547035437</v>
      </c>
      <c r="W33" s="2">
        <f>W11/'Output-Calculation-sheet'!W10*'Output-Calculation-sheet'!W19</f>
        <v>317.7067171925699</v>
      </c>
      <c r="X33" s="2">
        <f>X11/'Output-Calculation-sheet'!X10*'Output-Calculation-sheet'!X19</f>
        <v>0</v>
      </c>
      <c r="Y33" s="2">
        <f>Y11/'Output-Calculation-sheet'!Y10*'Output-Calculation-sheet'!Y19</f>
        <v>245.66599799448335</v>
      </c>
      <c r="AA33" s="2">
        <f t="shared" si="1"/>
        <v>68.949463689752079</v>
      </c>
    </row>
    <row r="34" spans="1:27" x14ac:dyDescent="0.25">
      <c r="A34" s="2">
        <v>2035</v>
      </c>
      <c r="B34" s="2">
        <f>B12/'Output-Calculation-sheet'!B11*'Output-Calculation-sheet'!B20</f>
        <v>21208.716554339953</v>
      </c>
      <c r="C34" s="2">
        <f>C12/'Output-Calculation-sheet'!C11*'Output-Calculation-sheet'!C20</f>
        <v>0</v>
      </c>
      <c r="D34" s="2">
        <f>D12/'Output-Calculation-sheet'!D11*'Output-Calculation-sheet'!D20</f>
        <v>6393.0762250092985</v>
      </c>
      <c r="E34" s="2">
        <f>E12/'Output-Calculation-sheet'!E11*'Output-Calculation-sheet'!E20</f>
        <v>7870.3475240198068</v>
      </c>
      <c r="F34" s="2">
        <f>F12/'Output-Calculation-sheet'!F11*'Output-Calculation-sheet'!F20</f>
        <v>3573.9184821477297</v>
      </c>
      <c r="G34" s="2">
        <f>G12/'Output-Calculation-sheet'!G11*'Output-Calculation-sheet'!G20</f>
        <v>2047.7361564802463</v>
      </c>
      <c r="H34" s="2">
        <f>H12/'Output-Calculation-sheet'!H11*'Output-Calculation-sheet'!H20</f>
        <v>0</v>
      </c>
      <c r="I34" s="2">
        <f>I12/'Output-Calculation-sheet'!I11*'Output-Calculation-sheet'!I20</f>
        <v>2184.7006961473016</v>
      </c>
      <c r="J34" s="2">
        <f>J12/'Output-Calculation-sheet'!J11*'Output-Calculation-sheet'!J20</f>
        <v>2174.5781399828497</v>
      </c>
      <c r="K34" s="2">
        <f>K12/'Output-Calculation-sheet'!K11*'Output-Calculation-sheet'!K20</f>
        <v>2855.3757571825117</v>
      </c>
      <c r="L34" s="2">
        <f>L12/'Output-Calculation-sheet'!L11*'Output-Calculation-sheet'!L20</f>
        <v>2418.9418460582046</v>
      </c>
      <c r="M34" s="2">
        <f>M12/'Output-Calculation-sheet'!M11*'Output-Calculation-sheet'!M20</f>
        <v>0</v>
      </c>
      <c r="N34" s="2">
        <f>N12/'Output-Calculation-sheet'!N11*'Output-Calculation-sheet'!N20</f>
        <v>1316.3508652901712</v>
      </c>
      <c r="O34" s="2">
        <f>O12/'Output-Calculation-sheet'!O11*'Output-Calculation-sheet'!O20</f>
        <v>0</v>
      </c>
      <c r="P34" s="2">
        <f>P12/'Output-Calculation-sheet'!P11*'Output-Calculation-sheet'!P20</f>
        <v>2410.7972607375336</v>
      </c>
      <c r="Q34" s="2">
        <f>Q12/'Output-Calculation-sheet'!Q11*'Output-Calculation-sheet'!Q20</f>
        <v>2302.8173726294003</v>
      </c>
      <c r="R34" s="2">
        <f>R12/'Output-Calculation-sheet'!R11*'Output-Calculation-sheet'!R20</f>
        <v>2118.4815023391639</v>
      </c>
      <c r="S34" s="2">
        <f>S12/'Output-Calculation-sheet'!S11*'Output-Calculation-sheet'!S20</f>
        <v>989.46093096513744</v>
      </c>
      <c r="T34" s="2">
        <f>T12/'Output-Calculation-sheet'!T11*'Output-Calculation-sheet'!T20</f>
        <v>668.63862982343278</v>
      </c>
      <c r="U34" s="2">
        <f>U12/'Output-Calculation-sheet'!U11*'Output-Calculation-sheet'!U20</f>
        <v>538.5749519042198</v>
      </c>
      <c r="V34" s="2">
        <f>V12/'Output-Calculation-sheet'!V11*'Output-Calculation-sheet'!V20</f>
        <v>618.28074642570732</v>
      </c>
      <c r="W34" s="2">
        <f>W12/'Output-Calculation-sheet'!W11*'Output-Calculation-sheet'!W20</f>
        <v>292.13320151959994</v>
      </c>
      <c r="X34" s="2">
        <f>X12/'Output-Calculation-sheet'!X11*'Output-Calculation-sheet'!X20</f>
        <v>0</v>
      </c>
      <c r="Y34" s="2">
        <f>Y12/'Output-Calculation-sheet'!Y11*'Output-Calculation-sheet'!Y20</f>
        <v>226.86566970489628</v>
      </c>
      <c r="AA34" s="2">
        <f t="shared" si="1"/>
        <v>62.209792512707168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1103.5151190152678</v>
      </c>
      <c r="C52" s="2">
        <f>C8/'Output-Calculation-sheet'!C7*'Output-Calculation-sheet'!C43</f>
        <v>0</v>
      </c>
      <c r="D52" s="2">
        <f>D8/'Output-Calculation-sheet'!D7*'Output-Calculation-sheet'!D43</f>
        <v>2397.1101334795389</v>
      </c>
      <c r="E52" s="2">
        <f>E8/'Output-Calculation-sheet'!E7*'Output-Calculation-sheet'!E43</f>
        <v>1720.7022172766917</v>
      </c>
      <c r="F52" s="2">
        <f>F8/'Output-Calculation-sheet'!F7*'Output-Calculation-sheet'!F43</f>
        <v>0</v>
      </c>
      <c r="G52" s="2">
        <f>G8/'Output-Calculation-sheet'!G7*'Output-Calculation-sheet'!G43</f>
        <v>610.24799919957343</v>
      </c>
      <c r="H52" s="2">
        <f>H8/'Output-Calculation-sheet'!H7*'Output-Calculation-sheet'!H43</f>
        <v>4675.5960689308304</v>
      </c>
      <c r="I52" s="2">
        <f>I8/'Output-Calculation-sheet'!I7*'Output-Calculation-sheet'!I43</f>
        <v>199.59332394181467</v>
      </c>
      <c r="J52" s="2">
        <f>J8/'Output-Calculation-sheet'!J7*'Output-Calculation-sheet'!J43</f>
        <v>1086.4252344419863</v>
      </c>
      <c r="K52" s="2">
        <f>K8/'Output-Calculation-sheet'!K7*'Output-Calculation-sheet'!K43</f>
        <v>2182.3781207317256</v>
      </c>
      <c r="L52" s="2">
        <f>L8/'Output-Calculation-sheet'!L7*'Output-Calculation-sheet'!L43</f>
        <v>2027.7925910066679</v>
      </c>
      <c r="M52" s="2">
        <f>M8/'Output-Calculation-sheet'!M7*'Output-Calculation-sheet'!M43</f>
        <v>13238.871391647976</v>
      </c>
      <c r="N52" s="2">
        <f>N8/'Output-Calculation-sheet'!N7*'Output-Calculation-sheet'!N43</f>
        <v>7578.0351391719651</v>
      </c>
      <c r="O52" s="2">
        <f>O8/'Output-Calculation-sheet'!O7*'Output-Calculation-sheet'!O43</f>
        <v>0</v>
      </c>
      <c r="P52" s="2">
        <f>P8/'Output-Calculation-sheet'!P7*'Output-Calculation-sheet'!P43</f>
        <v>1611.6809268755007</v>
      </c>
      <c r="Q52" s="2">
        <f>Q8/'Output-Calculation-sheet'!Q7*'Output-Calculation-sheet'!Q43</f>
        <v>366.20736820309475</v>
      </c>
      <c r="R52" s="2">
        <f>R8/'Output-Calculation-sheet'!R7*'Output-Calculation-sheet'!R43</f>
        <v>2936.8824961938394</v>
      </c>
      <c r="S52" s="2">
        <f>S8/'Output-Calculation-sheet'!S7*'Output-Calculation-sheet'!S43</f>
        <v>489.6092065671931</v>
      </c>
      <c r="T52" s="2">
        <f>T8/'Output-Calculation-sheet'!T7*'Output-Calculation-sheet'!T43</f>
        <v>870.40299442122671</v>
      </c>
      <c r="U52" s="2">
        <f>U8/'Output-Calculation-sheet'!U7*'Output-Calculation-sheet'!U43</f>
        <v>325.12702938041957</v>
      </c>
      <c r="V52" s="2">
        <f>V8/'Output-Calculation-sheet'!V7*'Output-Calculation-sheet'!V43</f>
        <v>850.03791668931035</v>
      </c>
      <c r="W52" s="2">
        <f>W8/'Output-Calculation-sheet'!W7*'Output-Calculation-sheet'!W43</f>
        <v>10.176067897725085</v>
      </c>
      <c r="X52" s="2">
        <f>X8/'Output-Calculation-sheet'!X7*'Output-Calculation-sheet'!X43</f>
        <v>689.65715302915987</v>
      </c>
      <c r="Y52" s="2">
        <f>Y8/'Output-Calculation-sheet'!Y7*'Output-Calculation-sheet'!Y43</f>
        <v>0</v>
      </c>
      <c r="AA52" s="2">
        <f t="shared" si="3"/>
        <v>44.970048498101505</v>
      </c>
    </row>
    <row r="53" spans="1:27" x14ac:dyDescent="0.25">
      <c r="A53" s="2">
        <v>2032</v>
      </c>
      <c r="B53" s="2">
        <f>B9/'Output-Calculation-sheet'!B8*'Output-Calculation-sheet'!B44</f>
        <v>3686.3674517964964</v>
      </c>
      <c r="C53" s="2">
        <f>C9/'Output-Calculation-sheet'!C8*'Output-Calculation-sheet'!C44</f>
        <v>0</v>
      </c>
      <c r="D53" s="2">
        <f>D9/'Output-Calculation-sheet'!D8*'Output-Calculation-sheet'!D44</f>
        <v>3262.9038018078068</v>
      </c>
      <c r="E53" s="2">
        <f>E9/'Output-Calculation-sheet'!E8*'Output-Calculation-sheet'!E44</f>
        <v>2139.3390151714361</v>
      </c>
      <c r="F53" s="2">
        <f>F9/'Output-Calculation-sheet'!F8*'Output-Calculation-sheet'!F44</f>
        <v>0</v>
      </c>
      <c r="G53" s="2">
        <f>G9/'Output-Calculation-sheet'!G8*'Output-Calculation-sheet'!G44</f>
        <v>790.069746685214</v>
      </c>
      <c r="H53" s="2">
        <f>H9/'Output-Calculation-sheet'!H8*'Output-Calculation-sheet'!H44</f>
        <v>9921.4184154934155</v>
      </c>
      <c r="I53" s="2">
        <f>I9/'Output-Calculation-sheet'!I8*'Output-Calculation-sheet'!I44</f>
        <v>289.51208267613657</v>
      </c>
      <c r="J53" s="2">
        <f>J9/'Output-Calculation-sheet'!J8*'Output-Calculation-sheet'!J44</f>
        <v>1328.4197649694624</v>
      </c>
      <c r="K53" s="2">
        <f>K9/'Output-Calculation-sheet'!K8*'Output-Calculation-sheet'!K44</f>
        <v>2405.696993995447</v>
      </c>
      <c r="L53" s="2">
        <f>L9/'Output-Calculation-sheet'!L8*'Output-Calculation-sheet'!L44</f>
        <v>2344.8389988239292</v>
      </c>
      <c r="M53" s="2">
        <f>M9/'Output-Calculation-sheet'!M8*'Output-Calculation-sheet'!M44</f>
        <v>14102.438772290006</v>
      </c>
      <c r="N53" s="2">
        <f>N9/'Output-Calculation-sheet'!N8*'Output-Calculation-sheet'!N44</f>
        <v>9393.6554018547376</v>
      </c>
      <c r="O53" s="2">
        <f>O9/'Output-Calculation-sheet'!O8*'Output-Calculation-sheet'!O44</f>
        <v>0</v>
      </c>
      <c r="P53" s="2">
        <f>P9/'Output-Calculation-sheet'!P8*'Output-Calculation-sheet'!P44</f>
        <v>1948.1325516226341</v>
      </c>
      <c r="Q53" s="2">
        <f>Q9/'Output-Calculation-sheet'!Q8*'Output-Calculation-sheet'!Q44</f>
        <v>587.8753781749117</v>
      </c>
      <c r="R53" s="2">
        <f>R9/'Output-Calculation-sheet'!R8*'Output-Calculation-sheet'!R44</f>
        <v>3298.0467046445642</v>
      </c>
      <c r="S53" s="2">
        <f>S9/'Output-Calculation-sheet'!S8*'Output-Calculation-sheet'!S44</f>
        <v>956.06837979864065</v>
      </c>
      <c r="T53" s="2">
        <f>T9/'Output-Calculation-sheet'!T8*'Output-Calculation-sheet'!T44</f>
        <v>979.82658105923701</v>
      </c>
      <c r="U53" s="2">
        <f>U9/'Output-Calculation-sheet'!U8*'Output-Calculation-sheet'!U44</f>
        <v>423.36814511300105</v>
      </c>
      <c r="V53" s="2">
        <f>V9/'Output-Calculation-sheet'!V8*'Output-Calculation-sheet'!V44</f>
        <v>913.24819533917207</v>
      </c>
      <c r="W53" s="2">
        <f>W9/'Output-Calculation-sheet'!W8*'Output-Calculation-sheet'!W44</f>
        <v>25.048098702553201</v>
      </c>
      <c r="X53" s="2">
        <f>X9/'Output-Calculation-sheet'!X8*'Output-Calculation-sheet'!X44</f>
        <v>1356.630480435889</v>
      </c>
      <c r="Y53" s="2">
        <f>Y9/'Output-Calculation-sheet'!Y8*'Output-Calculation-sheet'!Y44</f>
        <v>0</v>
      </c>
      <c r="AA53" s="2">
        <f t="shared" si="3"/>
        <v>60.152904960454691</v>
      </c>
    </row>
    <row r="54" spans="1:27" x14ac:dyDescent="0.25">
      <c r="A54" s="2">
        <v>2033</v>
      </c>
      <c r="B54" s="2">
        <f>B10/'Output-Calculation-sheet'!B9*'Output-Calculation-sheet'!B45</f>
        <v>7227.7634852457149</v>
      </c>
      <c r="C54" s="2">
        <f>C10/'Output-Calculation-sheet'!C9*'Output-Calculation-sheet'!C45</f>
        <v>0</v>
      </c>
      <c r="D54" s="2">
        <f>D10/'Output-Calculation-sheet'!D9*'Output-Calculation-sheet'!D45</f>
        <v>4106.4966191099802</v>
      </c>
      <c r="E54" s="2">
        <f>E10/'Output-Calculation-sheet'!E9*'Output-Calculation-sheet'!E45</f>
        <v>2741.3983601834161</v>
      </c>
      <c r="F54" s="2">
        <f>F10/'Output-Calculation-sheet'!F9*'Output-Calculation-sheet'!F45</f>
        <v>0</v>
      </c>
      <c r="G54" s="2">
        <f>G10/'Output-Calculation-sheet'!G9*'Output-Calculation-sheet'!G45</f>
        <v>972.23845445996221</v>
      </c>
      <c r="H54" s="2">
        <f>H10/'Output-Calculation-sheet'!H9*'Output-Calculation-sheet'!H45</f>
        <v>19293.437110427305</v>
      </c>
      <c r="I54" s="2">
        <f>I10/'Output-Calculation-sheet'!I9*'Output-Calculation-sheet'!I45</f>
        <v>397.48656497899935</v>
      </c>
      <c r="J54" s="2">
        <f>J10/'Output-Calculation-sheet'!J9*'Output-Calculation-sheet'!J45</f>
        <v>1625.9756171844588</v>
      </c>
      <c r="K54" s="2">
        <f>K10/'Output-Calculation-sheet'!K9*'Output-Calculation-sheet'!K45</f>
        <v>2760.71152894125</v>
      </c>
      <c r="L54" s="2">
        <f>L10/'Output-Calculation-sheet'!L9*'Output-Calculation-sheet'!L45</f>
        <v>2630.0807635963542</v>
      </c>
      <c r="M54" s="2">
        <f>M10/'Output-Calculation-sheet'!M9*'Output-Calculation-sheet'!M45</f>
        <v>14355.902138780471</v>
      </c>
      <c r="N54" s="2">
        <f>N10/'Output-Calculation-sheet'!N9*'Output-Calculation-sheet'!N45</f>
        <v>10056.189632039488</v>
      </c>
      <c r="O54" s="2">
        <f>O10/'Output-Calculation-sheet'!O9*'Output-Calculation-sheet'!O45</f>
        <v>0</v>
      </c>
      <c r="P54" s="2">
        <f>P10/'Output-Calculation-sheet'!P9*'Output-Calculation-sheet'!P45</f>
        <v>2282.4063884894845</v>
      </c>
      <c r="Q54" s="2">
        <f>Q10/'Output-Calculation-sheet'!Q9*'Output-Calculation-sheet'!Q45</f>
        <v>879.38237508725422</v>
      </c>
      <c r="R54" s="2">
        <f>R10/'Output-Calculation-sheet'!R9*'Output-Calculation-sheet'!R45</f>
        <v>3387.6627392933506</v>
      </c>
      <c r="S54" s="2">
        <f>S10/'Output-Calculation-sheet'!S9*'Output-Calculation-sheet'!S45</f>
        <v>1504.7550079000619</v>
      </c>
      <c r="T54" s="2">
        <f>T10/'Output-Calculation-sheet'!T9*'Output-Calculation-sheet'!T45</f>
        <v>1091.9982619070213</v>
      </c>
      <c r="U54" s="2">
        <f>U10/'Output-Calculation-sheet'!U9*'Output-Calculation-sheet'!U45</f>
        <v>491.00924077170959</v>
      </c>
      <c r="V54" s="2">
        <f>V10/'Output-Calculation-sheet'!V9*'Output-Calculation-sheet'!V45</f>
        <v>952.77250973942432</v>
      </c>
      <c r="W54" s="2">
        <f>W10/'Output-Calculation-sheet'!W9*'Output-Calculation-sheet'!W45</f>
        <v>32.42473400434146</v>
      </c>
      <c r="X54" s="2">
        <f>X10/'Output-Calculation-sheet'!X9*'Output-Calculation-sheet'!X45</f>
        <v>1383.1348601747723</v>
      </c>
      <c r="Y54" s="2">
        <f>Y10/'Output-Calculation-sheet'!Y9*'Output-Calculation-sheet'!Y45</f>
        <v>10.395255405604138</v>
      </c>
      <c r="AA54" s="2">
        <f t="shared" si="3"/>
        <v>78.183621647720429</v>
      </c>
    </row>
    <row r="55" spans="1:27" x14ac:dyDescent="0.25">
      <c r="A55" s="2">
        <v>2034</v>
      </c>
      <c r="B55" s="2">
        <f>B11/'Output-Calculation-sheet'!B10*'Output-Calculation-sheet'!B46</f>
        <v>14091.053277970892</v>
      </c>
      <c r="C55" s="2">
        <f>C11/'Output-Calculation-sheet'!C10*'Output-Calculation-sheet'!C46</f>
        <v>0</v>
      </c>
      <c r="D55" s="2">
        <f>D11/'Output-Calculation-sheet'!D10*'Output-Calculation-sheet'!D46</f>
        <v>4502.5267938506031</v>
      </c>
      <c r="E55" s="2">
        <f>E11/'Output-Calculation-sheet'!E10*'Output-Calculation-sheet'!E46</f>
        <v>2950.5345275140662</v>
      </c>
      <c r="F55" s="2">
        <f>F11/'Output-Calculation-sheet'!F10*'Output-Calculation-sheet'!F46</f>
        <v>0</v>
      </c>
      <c r="G55" s="2">
        <f>G11/'Output-Calculation-sheet'!G10*'Output-Calculation-sheet'!G46</f>
        <v>1133.4407718912908</v>
      </c>
      <c r="H55" s="2">
        <f>H11/'Output-Calculation-sheet'!H10*'Output-Calculation-sheet'!H46</f>
        <v>18748.373484291609</v>
      </c>
      <c r="I55" s="2">
        <f>I11/'Output-Calculation-sheet'!I10*'Output-Calculation-sheet'!I46</f>
        <v>509.73115150450428</v>
      </c>
      <c r="J55" s="2">
        <f>J11/'Output-Calculation-sheet'!J10*'Output-Calculation-sheet'!J46</f>
        <v>1765.6327029344595</v>
      </c>
      <c r="K55" s="2">
        <f>K11/'Output-Calculation-sheet'!K10*'Output-Calculation-sheet'!K46</f>
        <v>3005.9129168872437</v>
      </c>
      <c r="L55" s="2">
        <f>L11/'Output-Calculation-sheet'!L10*'Output-Calculation-sheet'!L46</f>
        <v>2868.189495940976</v>
      </c>
      <c r="M55" s="2">
        <f>M11/'Output-Calculation-sheet'!M10*'Output-Calculation-sheet'!M46</f>
        <v>13920.684319560294</v>
      </c>
      <c r="N55" s="2">
        <f>N11/'Output-Calculation-sheet'!N10*'Output-Calculation-sheet'!N46</f>
        <v>10247.426069371064</v>
      </c>
      <c r="O55" s="2">
        <f>O11/'Output-Calculation-sheet'!O10*'Output-Calculation-sheet'!O46</f>
        <v>0</v>
      </c>
      <c r="P55" s="2">
        <f>P11/'Output-Calculation-sheet'!P10*'Output-Calculation-sheet'!P46</f>
        <v>2383.8437710502708</v>
      </c>
      <c r="Q55" s="2">
        <f>Q11/'Output-Calculation-sheet'!Q10*'Output-Calculation-sheet'!Q46</f>
        <v>1333.7310158963382</v>
      </c>
      <c r="R55" s="2">
        <f>R11/'Output-Calculation-sheet'!R10*'Output-Calculation-sheet'!R46</f>
        <v>3338.8670660559274</v>
      </c>
      <c r="S55" s="2">
        <f>S11/'Output-Calculation-sheet'!S10*'Output-Calculation-sheet'!S46</f>
        <v>2149.6029201874749</v>
      </c>
      <c r="T55" s="2">
        <f>T11/'Output-Calculation-sheet'!T10*'Output-Calculation-sheet'!T46</f>
        <v>1103.9794585904117</v>
      </c>
      <c r="U55" s="2">
        <f>U11/'Output-Calculation-sheet'!U10*'Output-Calculation-sheet'!U46</f>
        <v>524.14280922676676</v>
      </c>
      <c r="V55" s="2">
        <f>V11/'Output-Calculation-sheet'!V10*'Output-Calculation-sheet'!V46</f>
        <v>964.38570268958745</v>
      </c>
      <c r="W55" s="2">
        <f>W11/'Output-Calculation-sheet'!W10*'Output-Calculation-sheet'!W46</f>
        <v>48.511190566878746</v>
      </c>
      <c r="X55" s="2">
        <f>X11/'Output-Calculation-sheet'!X10*'Output-Calculation-sheet'!X46</f>
        <v>1348.9332904060368</v>
      </c>
      <c r="Y55" s="2">
        <f>Y11/'Output-Calculation-sheet'!Y10*'Output-Calculation-sheet'!Y46</f>
        <v>15.996874284378316</v>
      </c>
      <c r="AA55" s="2">
        <f t="shared" si="3"/>
        <v>86.955499610671083</v>
      </c>
    </row>
    <row r="56" spans="1:27" x14ac:dyDescent="0.25">
      <c r="A56" s="2">
        <v>2035</v>
      </c>
      <c r="B56" s="2">
        <f>B12/'Output-Calculation-sheet'!B11*'Output-Calculation-sheet'!B47</f>
        <v>22008.056026748985</v>
      </c>
      <c r="C56" s="2">
        <f>C12/'Output-Calculation-sheet'!C11*'Output-Calculation-sheet'!C47</f>
        <v>1305.6892808897173</v>
      </c>
      <c r="D56" s="2">
        <f>D12/'Output-Calculation-sheet'!D11*'Output-Calculation-sheet'!D47</f>
        <v>4698.7715080124426</v>
      </c>
      <c r="E56" s="2">
        <f>E12/'Output-Calculation-sheet'!E11*'Output-Calculation-sheet'!E47</f>
        <v>3389.5681848633412</v>
      </c>
      <c r="F56" s="2">
        <f>F12/'Output-Calculation-sheet'!F11*'Output-Calculation-sheet'!F47</f>
        <v>72.264608584352345</v>
      </c>
      <c r="G56" s="2">
        <f>G12/'Output-Calculation-sheet'!G11*'Output-Calculation-sheet'!G47</f>
        <v>1244.7140642426816</v>
      </c>
      <c r="H56" s="2">
        <f>H12/'Output-Calculation-sheet'!H11*'Output-Calculation-sheet'!H47</f>
        <v>17408.672177226603</v>
      </c>
      <c r="I56" s="2">
        <f>I12/'Output-Calculation-sheet'!I11*'Output-Calculation-sheet'!I47</f>
        <v>536.4491182835967</v>
      </c>
      <c r="J56" s="2">
        <f>J12/'Output-Calculation-sheet'!J11*'Output-Calculation-sheet'!J47</f>
        <v>1754.3063534418523</v>
      </c>
      <c r="K56" s="2">
        <f>K12/'Output-Calculation-sheet'!K11*'Output-Calculation-sheet'!K47</f>
        <v>2888.3858815430031</v>
      </c>
      <c r="L56" s="2">
        <f>L12/'Output-Calculation-sheet'!L11*'Output-Calculation-sheet'!L47</f>
        <v>2971.13559980323</v>
      </c>
      <c r="M56" s="2">
        <f>M12/'Output-Calculation-sheet'!M11*'Output-Calculation-sheet'!M47</f>
        <v>12877.717381763616</v>
      </c>
      <c r="N56" s="2">
        <f>N12/'Output-Calculation-sheet'!N11*'Output-Calculation-sheet'!N47</f>
        <v>9870.5503495423436</v>
      </c>
      <c r="O56" s="2">
        <f>O12/'Output-Calculation-sheet'!O11*'Output-Calculation-sheet'!O47</f>
        <v>618.29698432355315</v>
      </c>
      <c r="P56" s="2">
        <f>P12/'Output-Calculation-sheet'!P11*'Output-Calculation-sheet'!P47</f>
        <v>2275.7288309502387</v>
      </c>
      <c r="Q56" s="2">
        <f>Q12/'Output-Calculation-sheet'!Q11*'Output-Calculation-sheet'!Q47</f>
        <v>1756.4100987678107</v>
      </c>
      <c r="R56" s="2">
        <f>R12/'Output-Calculation-sheet'!R11*'Output-Calculation-sheet'!R47</f>
        <v>3129.3501755591824</v>
      </c>
      <c r="S56" s="2">
        <f>S12/'Output-Calculation-sheet'!S11*'Output-Calculation-sheet'!S47</f>
        <v>2678.114171132584</v>
      </c>
      <c r="T56" s="2">
        <f>T12/'Output-Calculation-sheet'!T11*'Output-Calculation-sheet'!T47</f>
        <v>1092.2166172373268</v>
      </c>
      <c r="U56" s="2">
        <f>U12/'Output-Calculation-sheet'!U11*'Output-Calculation-sheet'!U47</f>
        <v>546.15462831104094</v>
      </c>
      <c r="V56" s="2">
        <f>V12/'Output-Calculation-sheet'!V11*'Output-Calculation-sheet'!V47</f>
        <v>904.52420627920571</v>
      </c>
      <c r="W56" s="2">
        <f>W12/'Output-Calculation-sheet'!W11*'Output-Calculation-sheet'!W47</f>
        <v>57.078943037750868</v>
      </c>
      <c r="X56" s="2">
        <f>X12/'Output-Calculation-sheet'!X11*'Output-Calculation-sheet'!X47</f>
        <v>1249.6385624146374</v>
      </c>
      <c r="Y56" s="2">
        <f>Y12/'Output-Calculation-sheet'!Y11*'Output-Calculation-sheet'!Y47</f>
        <v>21.959169481417668</v>
      </c>
      <c r="AA56" s="2">
        <f t="shared" si="3"/>
        <v>95.355752922440516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6.8173485408990908</v>
      </c>
      <c r="C63" s="2">
        <f>C8*'Output-Calculation-sheet'!C52/10^9</f>
        <v>4.1884214865020954</v>
      </c>
      <c r="D63" s="2">
        <f>D8*'Output-Calculation-sheet'!D52/10^9</f>
        <v>1.4756610919037019</v>
      </c>
      <c r="E63" s="2">
        <f>E8*'Output-Calculation-sheet'!E52/10^9</f>
        <v>1.7646774249788735</v>
      </c>
      <c r="F63" s="2">
        <f>F8*'Output-Calculation-sheet'!F52/10^9</f>
        <v>0.68513580405302821</v>
      </c>
      <c r="G63" s="2">
        <f>G8*'Output-Calculation-sheet'!G52/10^9</f>
        <v>0.48357122437120431</v>
      </c>
      <c r="H63" s="2">
        <f>H8*'Output-Calculation-sheet'!H52/10^9</f>
        <v>1.2884193868015583</v>
      </c>
      <c r="I63" s="2">
        <f>I8*'Output-Calculation-sheet'!I52/10^9</f>
        <v>0.4737687818331297</v>
      </c>
      <c r="J63" s="2">
        <f>J8*'Output-Calculation-sheet'!J52/10^9</f>
        <v>0.49324105205672381</v>
      </c>
      <c r="K63" s="2">
        <f>K8*'Output-Calculation-sheet'!K52/10^9</f>
        <v>0.59499087933406936</v>
      </c>
      <c r="L63" s="2">
        <f>L8*'Output-Calculation-sheet'!L52/10^9</f>
        <v>0.62108352971081793</v>
      </c>
      <c r="M63" s="2">
        <f>M8*'Output-Calculation-sheet'!M52/10^9</f>
        <v>0.97222903668664018</v>
      </c>
      <c r="N63" s="2">
        <f>N8*'Output-Calculation-sheet'!N52/10^9</f>
        <v>0.8360099232375755</v>
      </c>
      <c r="O63" s="2">
        <f>O8*'Output-Calculation-sheet'!O52/10^9</f>
        <v>0.87664694129116949</v>
      </c>
      <c r="P63" s="2">
        <f>P8*'Output-Calculation-sheet'!P52/10^9</f>
        <v>0.53374495661332966</v>
      </c>
      <c r="Q63" s="2">
        <f>Q8*'Output-Calculation-sheet'!Q52/10^9</f>
        <v>0.58110972090746471</v>
      </c>
      <c r="R63" s="2">
        <f>R8*'Output-Calculation-sheet'!R52/10^9</f>
        <v>0.44826276821978206</v>
      </c>
      <c r="S63" s="2">
        <f>S8*'Output-Calculation-sheet'!S52/10^9</f>
        <v>0.42690530934066873</v>
      </c>
      <c r="T63" s="2">
        <f>T8*'Output-Calculation-sheet'!T52/10^9</f>
        <v>0.13892013446996365</v>
      </c>
      <c r="U63" s="2">
        <f>U8*'Output-Calculation-sheet'!U52/10^9</f>
        <v>0.13547466350230569</v>
      </c>
      <c r="V63" s="2">
        <f>V8*'Output-Calculation-sheet'!V52/10^9</f>
        <v>0.11551059854414018</v>
      </c>
      <c r="W63" s="2">
        <f>W8*'Output-Calculation-sheet'!W52/10^9</f>
        <v>5.9503622214499806E-2</v>
      </c>
      <c r="X63" s="2">
        <f>X8*'Output-Calculation-sheet'!X52/10^9</f>
        <v>0.1124962048925611</v>
      </c>
      <c r="Y63" s="2">
        <f>Y8*'Output-Calculation-sheet'!Y52/10^9</f>
        <v>5.4195490899486852E-2</v>
      </c>
      <c r="AA63" s="2">
        <f t="shared" si="4"/>
        <v>24.177328573263878</v>
      </c>
    </row>
    <row r="64" spans="1:27" x14ac:dyDescent="0.25">
      <c r="A64" s="2">
        <v>2032</v>
      </c>
      <c r="B64" s="2">
        <f>B9*'Output-Calculation-sheet'!B53/10^9</f>
        <v>7.139588015275951</v>
      </c>
      <c r="C64" s="2">
        <f>C9*'Output-Calculation-sheet'!C53/10^9</f>
        <v>4.385183214149631</v>
      </c>
      <c r="D64" s="2">
        <f>D9*'Output-Calculation-sheet'!D53/10^9</f>
        <v>1.5464820577600829</v>
      </c>
      <c r="E64" s="2">
        <f>E9*'Output-Calculation-sheet'!E53/10^9</f>
        <v>1.8502752158554767</v>
      </c>
      <c r="F64" s="2">
        <f>F9*'Output-Calculation-sheet'!F53/10^9</f>
        <v>0.71838145523991004</v>
      </c>
      <c r="G64" s="2">
        <f>G9*'Output-Calculation-sheet'!G53/10^9</f>
        <v>0.50701451690988919</v>
      </c>
      <c r="H64" s="2">
        <f>H9*'Output-Calculation-sheet'!H53/10^9</f>
        <v>1.3374379226621311</v>
      </c>
      <c r="I64" s="2">
        <f>I9*'Output-Calculation-sheet'!I53/10^9</f>
        <v>0.49690595853930991</v>
      </c>
      <c r="J64" s="2">
        <f>J9*'Output-Calculation-sheet'!J53/10^9</f>
        <v>0.51662216065912681</v>
      </c>
      <c r="K64" s="2">
        <f>K9*'Output-Calculation-sheet'!K53/10^9</f>
        <v>0.62231091911471703</v>
      </c>
      <c r="L64" s="2">
        <f>L9*'Output-Calculation-sheet'!L53/10^9</f>
        <v>0.64681428533373464</v>
      </c>
      <c r="M64" s="2">
        <f>M9*'Output-Calculation-sheet'!M53/10^9</f>
        <v>0.99557327258882644</v>
      </c>
      <c r="N64" s="2">
        <f>N9*'Output-Calculation-sheet'!N53/10^9</f>
        <v>0.86296268438247803</v>
      </c>
      <c r="O64" s="2">
        <f>O9*'Output-Calculation-sheet'!O53/10^9</f>
        <v>0.9177982880206822</v>
      </c>
      <c r="P64" s="2">
        <f>P9*'Output-Calculation-sheet'!P53/10^9</f>
        <v>0.55881478568404686</v>
      </c>
      <c r="Q64" s="2">
        <f>Q9*'Output-Calculation-sheet'!Q53/10^9</f>
        <v>0.60935230803887341</v>
      </c>
      <c r="R64" s="2">
        <f>R9*'Output-Calculation-sheet'!R53/10^9</f>
        <v>0.46778559031839384</v>
      </c>
      <c r="S64" s="2">
        <f>S9*'Output-Calculation-sheet'!S53/10^9</f>
        <v>0.44621357941983908</v>
      </c>
      <c r="T64" s="2">
        <f>T9*'Output-Calculation-sheet'!T53/10^9</f>
        <v>0.14498396843283523</v>
      </c>
      <c r="U64" s="2">
        <f>U9*'Output-Calculation-sheet'!U53/10^9</f>
        <v>0.14195204348195997</v>
      </c>
      <c r="V64" s="2">
        <f>V9*'Output-Calculation-sheet'!V53/10^9</f>
        <v>0.12038994683897455</v>
      </c>
      <c r="W64" s="2">
        <f>W9*'Output-Calculation-sheet'!W53/10^9</f>
        <v>6.239745185790635E-2</v>
      </c>
      <c r="X64" s="2">
        <f>X9*'Output-Calculation-sheet'!X53/10^9</f>
        <v>0.11602725178967685</v>
      </c>
      <c r="Y64" s="2">
        <f>Y9*'Output-Calculation-sheet'!Y53/10^9</f>
        <v>5.6895412781614439E-2</v>
      </c>
      <c r="AA64" s="2">
        <f t="shared" si="4"/>
        <v>25.268162305136062</v>
      </c>
    </row>
    <row r="65" spans="1:27" x14ac:dyDescent="0.25">
      <c r="A65" s="2">
        <v>2033</v>
      </c>
      <c r="B65" s="2">
        <f>B10*'Output-Calculation-sheet'!B54/10^9</f>
        <v>7.1282334510931902</v>
      </c>
      <c r="C65" s="2">
        <f>C10*'Output-Calculation-sheet'!C54/10^9</f>
        <v>4.3805672125639434</v>
      </c>
      <c r="D65" s="2">
        <f>D10*'Output-Calculation-sheet'!D54/10^9</f>
        <v>1.5462146156062853</v>
      </c>
      <c r="E65" s="2">
        <f>E10*'Output-Calculation-sheet'!E54/10^9</f>
        <v>1.8512078624492785</v>
      </c>
      <c r="F65" s="2">
        <f>F10*'Output-Calculation-sheet'!F54/10^9</f>
        <v>0.71885902734106533</v>
      </c>
      <c r="G65" s="2">
        <f>G10*'Output-Calculation-sheet'!G54/10^9</f>
        <v>0.50722294771892262</v>
      </c>
      <c r="H65" s="2">
        <f>H10*'Output-Calculation-sheet'!H54/10^9</f>
        <v>1.3131011183652677</v>
      </c>
      <c r="I65" s="2">
        <f>I10*'Output-Calculation-sheet'!I54/10^9</f>
        <v>0.49732923807676299</v>
      </c>
      <c r="J65" s="2">
        <f>J10*'Output-Calculation-sheet'!J54/10^9</f>
        <v>0.51634025213811441</v>
      </c>
      <c r="K65" s="2">
        <f>K10*'Output-Calculation-sheet'!K54/10^9</f>
        <v>0.62104085075997295</v>
      </c>
      <c r="L65" s="2">
        <f>L10*'Output-Calculation-sheet'!L54/10^9</f>
        <v>0.64232416286491234</v>
      </c>
      <c r="M65" s="2">
        <f>M10*'Output-Calculation-sheet'!M54/10^9</f>
        <v>0.97219482298893622</v>
      </c>
      <c r="N65" s="2">
        <f>N10*'Output-Calculation-sheet'!N54/10^9</f>
        <v>0.84837226185350534</v>
      </c>
      <c r="O65" s="2">
        <f>O10*'Output-Calculation-sheet'!O54/10^9</f>
        <v>0.91682726303465167</v>
      </c>
      <c r="P65" s="2">
        <f>P10*'Output-Calculation-sheet'!P54/10^9</f>
        <v>0.55813748527714435</v>
      </c>
      <c r="Q65" s="2">
        <f>Q10*'Output-Calculation-sheet'!Q54/10^9</f>
        <v>0.60925129989062943</v>
      </c>
      <c r="R65" s="2">
        <f>R10*'Output-Calculation-sheet'!R54/10^9</f>
        <v>0.46584816580288396</v>
      </c>
      <c r="S65" s="2">
        <f>S10*'Output-Calculation-sheet'!S54/10^9</f>
        <v>0.44422769585144001</v>
      </c>
      <c r="T65" s="2">
        <f>T10*'Output-Calculation-sheet'!T54/10^9</f>
        <v>0.14436692498768272</v>
      </c>
      <c r="U65" s="2">
        <f>U10*'Output-Calculation-sheet'!U54/10^9</f>
        <v>0.14191413110918669</v>
      </c>
      <c r="V65" s="2">
        <f>V10*'Output-Calculation-sheet'!V54/10^9</f>
        <v>0.1197479995977654</v>
      </c>
      <c r="W65" s="2">
        <f>W10*'Output-Calculation-sheet'!W54/10^9</f>
        <v>6.2438322693984437E-2</v>
      </c>
      <c r="X65" s="2">
        <f>X10*'Output-Calculation-sheet'!X54/10^9</f>
        <v>0.1137622693157742</v>
      </c>
      <c r="Y65" s="2">
        <f>Y10*'Output-Calculation-sheet'!Y54/10^9</f>
        <v>5.6995158556968947E-2</v>
      </c>
      <c r="AA65" s="2">
        <f t="shared" si="4"/>
        <v>25.176524539938267</v>
      </c>
    </row>
    <row r="66" spans="1:27" x14ac:dyDescent="0.25">
      <c r="A66" s="2">
        <v>2034</v>
      </c>
      <c r="B66" s="2">
        <f>B11*'Output-Calculation-sheet'!B55/10^9</f>
        <v>6.788240012891233</v>
      </c>
      <c r="C66" s="2">
        <f>C11*'Output-Calculation-sheet'!C55/10^9</f>
        <v>4.1788238467182142</v>
      </c>
      <c r="D66" s="2">
        <f>D11*'Output-Calculation-sheet'!D55/10^9</f>
        <v>1.4765020541111051</v>
      </c>
      <c r="E66" s="2">
        <f>E11*'Output-Calculation-sheet'!E55/10^9</f>
        <v>1.768985959879716</v>
      </c>
      <c r="F66" s="2">
        <f>F11*'Output-Calculation-sheet'!F55/10^9</f>
        <v>0.68710585492992682</v>
      </c>
      <c r="G66" s="2">
        <f>G11*'Output-Calculation-sheet'!G55/10^9</f>
        <v>0.48460517335563452</v>
      </c>
      <c r="H66" s="2">
        <f>H11*'Output-Calculation-sheet'!H55/10^9</f>
        <v>1.225047138000789</v>
      </c>
      <c r="I66" s="2">
        <f>I11*'Output-Calculation-sheet'!I55/10^9</f>
        <v>0.47536280074769849</v>
      </c>
      <c r="J66" s="2">
        <f>J11*'Output-Calculation-sheet'!J55/10^9</f>
        <v>0.4927312689412387</v>
      </c>
      <c r="K66" s="2">
        <f>K11*'Output-Calculation-sheet'!K55/10^9</f>
        <v>0.59188276443682042</v>
      </c>
      <c r="L66" s="2">
        <f>L11*'Output-Calculation-sheet'!L55/10^9</f>
        <v>0.6087689436546736</v>
      </c>
      <c r="M66" s="2">
        <f>M11*'Output-Calculation-sheet'!M55/10^9</f>
        <v>0.90584668179637962</v>
      </c>
      <c r="N66" s="2">
        <f>N11*'Output-Calculation-sheet'!N55/10^9</f>
        <v>0.79557287130476373</v>
      </c>
      <c r="O66" s="2">
        <f>O11*'Output-Calculation-sheet'!O55/10^9</f>
        <v>0.8746335035778614</v>
      </c>
      <c r="P66" s="2">
        <f>P11*'Output-Calculation-sheet'!P55/10^9</f>
        <v>0.53227066226451147</v>
      </c>
      <c r="Q66" s="2">
        <f>Q11*'Output-Calculation-sheet'!Q55/10^9</f>
        <v>0.58099888661684518</v>
      </c>
      <c r="R66" s="2">
        <f>R11*'Output-Calculation-sheet'!R55/10^9</f>
        <v>0.4431543441009051</v>
      </c>
      <c r="S66" s="2">
        <f>S11*'Output-Calculation-sheet'!S55/10^9</f>
        <v>0.42141249928471514</v>
      </c>
      <c r="T66" s="2">
        <f>T11*'Output-Calculation-sheet'!T55/10^9</f>
        <v>0.13727659961690711</v>
      </c>
      <c r="U66" s="2">
        <f>U11*'Output-Calculation-sheet'!U55/10^9</f>
        <v>0.13548159366800192</v>
      </c>
      <c r="V66" s="2">
        <f>V11*'Output-Calculation-sheet'!V55/10^9</f>
        <v>0.11377304596067746</v>
      </c>
      <c r="W66" s="2">
        <f>W11*'Output-Calculation-sheet'!W55/10^9</f>
        <v>5.9671518167610994E-2</v>
      </c>
      <c r="X66" s="2">
        <f>X11*'Output-Calculation-sheet'!X55/10^9</f>
        <v>0.10645280992178795</v>
      </c>
      <c r="Y66" s="2">
        <f>Y11*'Output-Calculation-sheet'!Y55/10^9</f>
        <v>5.453744557896141E-2</v>
      </c>
      <c r="AA66" s="2">
        <f t="shared" si="4"/>
        <v>23.939138279526979</v>
      </c>
    </row>
    <row r="67" spans="1:27" x14ac:dyDescent="0.25">
      <c r="A67" s="2">
        <v>2035</v>
      </c>
      <c r="B67" s="2">
        <f>B12*'Output-Calculation-sheet'!B56/10^9</f>
        <v>6.137586296119518</v>
      </c>
      <c r="C67" s="2">
        <f>C12*'Output-Calculation-sheet'!C56/10^9</f>
        <v>3.7912150238104165</v>
      </c>
      <c r="D67" s="2">
        <f>D12*'Output-Calculation-sheet'!D56/10^9</f>
        <v>1.3410384996279741</v>
      </c>
      <c r="E67" s="2">
        <f>E12*'Output-Calculation-sheet'!E56/10^9</f>
        <v>1.6080204170794805</v>
      </c>
      <c r="F67" s="2">
        <f>F12*'Output-Calculation-sheet'!F56/10^9</f>
        <v>0.62480045717624833</v>
      </c>
      <c r="G67" s="2">
        <f>G12*'Output-Calculation-sheet'!G56/10^9</f>
        <v>0.44041180849772005</v>
      </c>
      <c r="H67" s="2">
        <f>H12*'Output-Calculation-sheet'!H56/10^9</f>
        <v>1.0862119533734684</v>
      </c>
      <c r="I67" s="2">
        <f>I12*'Output-Calculation-sheet'!I56/10^9</f>
        <v>0.43224328036177295</v>
      </c>
      <c r="J67" s="2">
        <f>J12*'Output-Calculation-sheet'!J56/10^9</f>
        <v>0.44734096099071274</v>
      </c>
      <c r="K67" s="2">
        <f>K12*'Output-Calculation-sheet'!K56/10^9</f>
        <v>0.53652071509055099</v>
      </c>
      <c r="L67" s="2">
        <f>L12*'Output-Calculation-sheet'!L56/10^9</f>
        <v>0.54842084454082229</v>
      </c>
      <c r="M67" s="2">
        <f>M12*'Output-Calculation-sheet'!M56/10^9</f>
        <v>0.80212178377420273</v>
      </c>
      <c r="N67" s="2">
        <f>N12*'Output-Calculation-sheet'!N56/10^9</f>
        <v>0.70877501980192359</v>
      </c>
      <c r="O67" s="2">
        <f>O12*'Output-Calculation-sheet'!O56/10^9</f>
        <v>0.79312252887675994</v>
      </c>
      <c r="P67" s="2">
        <f>P12*'Output-Calculation-sheet'!P56/10^9</f>
        <v>0.48290701491206883</v>
      </c>
      <c r="Q67" s="2">
        <f>Q12*'Output-Calculation-sheet'!Q56/10^9</f>
        <v>0.52619565013610015</v>
      </c>
      <c r="R67" s="2">
        <f>R12*'Output-Calculation-sheet'!R56/10^9</f>
        <v>0.40109393568737078</v>
      </c>
      <c r="S67" s="2">
        <f>S12*'Output-Calculation-sheet'!S56/10^9</f>
        <v>0.3793158386401167</v>
      </c>
      <c r="T67" s="2">
        <f>T12*'Output-Calculation-sheet'!T56/10^9</f>
        <v>0.12416461957286982</v>
      </c>
      <c r="U67" s="2">
        <f>U12*'Output-Calculation-sheet'!U56/10^9</f>
        <v>0.12303902624370924</v>
      </c>
      <c r="V67" s="2">
        <f>V12*'Output-Calculation-sheet'!V56/10^9</f>
        <v>0.10282597422364312</v>
      </c>
      <c r="W67" s="2">
        <f>W12*'Output-Calculation-sheet'!W56/10^9</f>
        <v>5.4250101237531399E-2</v>
      </c>
      <c r="X67" s="2">
        <f>X12*'Output-Calculation-sheet'!X56/10^9</f>
        <v>9.466823029484131E-2</v>
      </c>
      <c r="Y67" s="2">
        <f>Y12*'Output-Calculation-sheet'!Y56/10^9</f>
        <v>4.9646615704015205E-2</v>
      </c>
      <c r="AA67" s="2">
        <f t="shared" si="4"/>
        <v>21.635936595773835</v>
      </c>
    </row>
    <row r="68" spans="1:27" x14ac:dyDescent="0.25">
      <c r="B68" s="2">
        <f>SUM(B60:B67)</f>
        <v>48.869411637036386</v>
      </c>
      <c r="C68" s="2">
        <f t="shared" ref="C68:Y68" si="5">SUM(C60:C67)</f>
        <v>30.033287699220601</v>
      </c>
      <c r="D68" s="2">
        <f t="shared" si="5"/>
        <v>10.605926321282324</v>
      </c>
      <c r="E68" s="2">
        <f t="shared" si="5"/>
        <v>12.691921587229084</v>
      </c>
      <c r="F68" s="2">
        <f t="shared" si="5"/>
        <v>4.9291085211109538</v>
      </c>
      <c r="G68" s="2">
        <f t="shared" si="5"/>
        <v>3.4767912747438476</v>
      </c>
      <c r="H68" s="2">
        <f t="shared" si="5"/>
        <v>9.0720274720346712</v>
      </c>
      <c r="I68" s="2">
        <f t="shared" si="5"/>
        <v>3.4077404802888167</v>
      </c>
      <c r="J68" s="2">
        <f t="shared" si="5"/>
        <v>3.5448277874056986</v>
      </c>
      <c r="K68" s="2">
        <f t="shared" si="5"/>
        <v>4.2747445531352684</v>
      </c>
      <c r="L68" s="2">
        <f t="shared" si="5"/>
        <v>4.4415702123959644</v>
      </c>
      <c r="M68" s="2">
        <f t="shared" si="5"/>
        <v>6.8943551756090402</v>
      </c>
      <c r="N68" s="2">
        <f t="shared" si="5"/>
        <v>5.9159014626111173</v>
      </c>
      <c r="O68" s="2">
        <f t="shared" si="5"/>
        <v>6.2856928921239357</v>
      </c>
      <c r="P68" s="2">
        <f t="shared" si="5"/>
        <v>3.8335136406535284</v>
      </c>
      <c r="Q68" s="2">
        <f t="shared" si="5"/>
        <v>4.1730376971765963</v>
      </c>
      <c r="R68" s="2">
        <f t="shared" si="5"/>
        <v>3.2207782837295049</v>
      </c>
      <c r="S68" s="2">
        <f t="shared" si="5"/>
        <v>3.0487356198355151</v>
      </c>
      <c r="T68" s="2">
        <f t="shared" si="5"/>
        <v>0.99772454424398982</v>
      </c>
      <c r="U68" s="2">
        <f t="shared" si="5"/>
        <v>0.97346715198671274</v>
      </c>
      <c r="V68" s="2">
        <f t="shared" si="5"/>
        <v>0.83008948345706812</v>
      </c>
      <c r="W68" s="2">
        <f t="shared" si="5"/>
        <v>0.42798752684168612</v>
      </c>
      <c r="X68" s="2">
        <f t="shared" si="5"/>
        <v>0.79057042401333621</v>
      </c>
      <c r="Y68" s="2">
        <f t="shared" si="5"/>
        <v>0.39012378505320444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404.25437193259313</v>
      </c>
      <c r="C74" s="2">
        <f>C8/'Output-Calculation-sheet'!C7*'Output-Calculation-sheet'!C61</f>
        <v>0</v>
      </c>
      <c r="D74" s="2">
        <f>D8/'Output-Calculation-sheet'!D7*'Output-Calculation-sheet'!D61</f>
        <v>661.52507070701472</v>
      </c>
      <c r="E74" s="2">
        <f>E8/'Output-Calculation-sheet'!E7*'Output-Calculation-sheet'!E61</f>
        <v>490.95321477941036</v>
      </c>
      <c r="F74" s="2">
        <f>F8/'Output-Calculation-sheet'!F7*'Output-Calculation-sheet'!F61</f>
        <v>0</v>
      </c>
      <c r="G74" s="2">
        <f>G8/'Output-Calculation-sheet'!G7*'Output-Calculation-sheet'!G61</f>
        <v>223.54493752497098</v>
      </c>
      <c r="H74" s="2">
        <f>H8/'Output-Calculation-sheet'!H7*'Output-Calculation-sheet'!H61</f>
        <v>1073.6135938969103</v>
      </c>
      <c r="I74" s="2">
        <f>I8/'Output-Calculation-sheet'!I7*'Output-Calculation-sheet'!I61</f>
        <v>78.814413791524061</v>
      </c>
      <c r="J74" s="2">
        <f>J8/'Output-Calculation-sheet'!J7*'Output-Calculation-sheet'!J61</f>
        <v>328.59425045349894</v>
      </c>
      <c r="K74" s="2">
        <f>K8/'Output-Calculation-sheet'!K7*'Output-Calculation-sheet'!K61</f>
        <v>551.84741131536498</v>
      </c>
      <c r="L74" s="2">
        <f>L8/'Output-Calculation-sheet'!L7*'Output-Calculation-sheet'!L61</f>
        <v>478.77352954008393</v>
      </c>
      <c r="M74" s="2">
        <f>M8/'Output-Calculation-sheet'!M7*'Output-Calculation-sheet'!M61</f>
        <v>2397.7519054834165</v>
      </c>
      <c r="N74" s="2">
        <f>N8/'Output-Calculation-sheet'!N7*'Output-Calculation-sheet'!N61</f>
        <v>1352.4521130154819</v>
      </c>
      <c r="O74" s="2">
        <f>O8/'Output-Calculation-sheet'!O7*'Output-Calculation-sheet'!O61</f>
        <v>0</v>
      </c>
      <c r="P74" s="2">
        <f>P8/'Output-Calculation-sheet'!P7*'Output-Calculation-sheet'!P61</f>
        <v>382.23699315730624</v>
      </c>
      <c r="Q74" s="2">
        <f>Q8/'Output-Calculation-sheet'!Q7*'Output-Calculation-sheet'!Q61</f>
        <v>100.77071449379942</v>
      </c>
      <c r="R74" s="2">
        <f>R8/'Output-Calculation-sheet'!R7*'Output-Calculation-sheet'!R61</f>
        <v>664.74598435355188</v>
      </c>
      <c r="S74" s="2">
        <f>S8/'Output-Calculation-sheet'!S7*'Output-Calculation-sheet'!S61</f>
        <v>117.6312161820584</v>
      </c>
      <c r="T74" s="2">
        <f>T8/'Output-Calculation-sheet'!T7*'Output-Calculation-sheet'!T61</f>
        <v>225.13645238251058</v>
      </c>
      <c r="U74" s="2">
        <f>U8/'Output-Calculation-sheet'!U7*'Output-Calculation-sheet'!U61</f>
        <v>89.201648576418563</v>
      </c>
      <c r="V74" s="2">
        <f>V8/'Output-Calculation-sheet'!V7*'Output-Calculation-sheet'!V61</f>
        <v>156.68118245041029</v>
      </c>
      <c r="W74" s="2">
        <f>W8/'Output-Calculation-sheet'!W7*'Output-Calculation-sheet'!W61</f>
        <v>3.7278328731999562</v>
      </c>
      <c r="X74" s="2">
        <f>X8/'Output-Calculation-sheet'!X7*'Output-Calculation-sheet'!X61</f>
        <v>133.89085105043759</v>
      </c>
      <c r="Y74" s="2">
        <f>Y8/'Output-Calculation-sheet'!Y7*'Output-Calculation-sheet'!Y61</f>
        <v>0</v>
      </c>
      <c r="AA74" s="2">
        <f t="shared" si="6"/>
        <v>9.9161476879599633</v>
      </c>
    </row>
    <row r="75" spans="1:27" x14ac:dyDescent="0.25">
      <c r="A75" s="2">
        <v>2032</v>
      </c>
      <c r="B75" s="2">
        <f>B9/'Output-Calculation-sheet'!B8*'Output-Calculation-sheet'!B62</f>
        <v>1045.1821822540908</v>
      </c>
      <c r="C75" s="2">
        <f>C9/'Output-Calculation-sheet'!C8*'Output-Calculation-sheet'!C62</f>
        <v>0</v>
      </c>
      <c r="D75" s="2">
        <f>D9/'Output-Calculation-sheet'!D8*'Output-Calculation-sheet'!D62</f>
        <v>854.9623686686906</v>
      </c>
      <c r="E75" s="2">
        <f>E9/'Output-Calculation-sheet'!E8*'Output-Calculation-sheet'!E62</f>
        <v>601.21909171817879</v>
      </c>
      <c r="F75" s="2">
        <f>F9/'Output-Calculation-sheet'!F8*'Output-Calculation-sheet'!F62</f>
        <v>0</v>
      </c>
      <c r="G75" s="2">
        <f>G9/'Output-Calculation-sheet'!G8*'Output-Calculation-sheet'!G62</f>
        <v>277.78267056602732</v>
      </c>
      <c r="H75" s="2">
        <f>H9/'Output-Calculation-sheet'!H8*'Output-Calculation-sheet'!H62</f>
        <v>1961.0675640064285</v>
      </c>
      <c r="I75" s="2">
        <f>I9/'Output-Calculation-sheet'!I8*'Output-Calculation-sheet'!I62</f>
        <v>118.77891173794585</v>
      </c>
      <c r="J75" s="2">
        <f>J9/'Output-Calculation-sheet'!J8*'Output-Calculation-sheet'!J62</f>
        <v>389.30513347516836</v>
      </c>
      <c r="K75" s="2">
        <f>K9/'Output-Calculation-sheet'!K8*'Output-Calculation-sheet'!K62</f>
        <v>610.55554999219942</v>
      </c>
      <c r="L75" s="2">
        <f>L9/'Output-Calculation-sheet'!L8*'Output-Calculation-sheet'!L62</f>
        <v>530.18043889197895</v>
      </c>
      <c r="M75" s="2">
        <f>M9/'Output-Calculation-sheet'!M8*'Output-Calculation-sheet'!M62</f>
        <v>2552.6974613670336</v>
      </c>
      <c r="N75" s="2">
        <f>N9/'Output-Calculation-sheet'!N8*'Output-Calculation-sheet'!N62</f>
        <v>1650.0818395996791</v>
      </c>
      <c r="O75" s="2">
        <f>O9/'Output-Calculation-sheet'!O8*'Output-Calculation-sheet'!O62</f>
        <v>0</v>
      </c>
      <c r="P75" s="2">
        <f>P9/'Output-Calculation-sheet'!P8*'Output-Calculation-sheet'!P62</f>
        <v>455.34941849790494</v>
      </c>
      <c r="Q75" s="2">
        <f>Q9/'Output-Calculation-sheet'!Q8*'Output-Calculation-sheet'!Q62</f>
        <v>161.49776460433645</v>
      </c>
      <c r="R75" s="2">
        <f>R9/'Output-Calculation-sheet'!R8*'Output-Calculation-sheet'!R62</f>
        <v>724.92065976179833</v>
      </c>
      <c r="S75" s="2">
        <f>S9/'Output-Calculation-sheet'!S8*'Output-Calculation-sheet'!S62</f>
        <v>209.89547188682803</v>
      </c>
      <c r="T75" s="2">
        <f>T9/'Output-Calculation-sheet'!T8*'Output-Calculation-sheet'!T62</f>
        <v>242.70119539897479</v>
      </c>
      <c r="U75" s="2">
        <f>U9/'Output-Calculation-sheet'!U8*'Output-Calculation-sheet'!U62</f>
        <v>112.90531748405958</v>
      </c>
      <c r="V75" s="2">
        <f>V9/'Output-Calculation-sheet'!V8*'Output-Calculation-sheet'!V62</f>
        <v>168.39304959308262</v>
      </c>
      <c r="W75" s="2">
        <f>W9/'Output-Calculation-sheet'!W8*'Output-Calculation-sheet'!W62</f>
        <v>9.1747607247637717</v>
      </c>
      <c r="X75" s="2">
        <f>X9/'Output-Calculation-sheet'!X8*'Output-Calculation-sheet'!X62</f>
        <v>241.86752854118271</v>
      </c>
      <c r="Y75" s="2">
        <f>Y9/'Output-Calculation-sheet'!Y8*'Output-Calculation-sheet'!Y62</f>
        <v>0</v>
      </c>
      <c r="AA75" s="2">
        <f t="shared" si="6"/>
        <v>12.918518378770353</v>
      </c>
    </row>
    <row r="76" spans="1:27" x14ac:dyDescent="0.25">
      <c r="A76" s="2">
        <v>2033</v>
      </c>
      <c r="B76" s="2">
        <f>B10/'Output-Calculation-sheet'!B9*'Output-Calculation-sheet'!B63</f>
        <v>1898.362312151834</v>
      </c>
      <c r="C76" s="2">
        <f>C10/'Output-Calculation-sheet'!C9*'Output-Calculation-sheet'!C63</f>
        <v>0</v>
      </c>
      <c r="D76" s="2">
        <f>D10/'Output-Calculation-sheet'!D9*'Output-Calculation-sheet'!D63</f>
        <v>1015.043834311605</v>
      </c>
      <c r="E76" s="2">
        <f>E10/'Output-Calculation-sheet'!E9*'Output-Calculation-sheet'!E63</f>
        <v>753.10129237610124</v>
      </c>
      <c r="F76" s="2">
        <f>F10/'Output-Calculation-sheet'!F9*'Output-Calculation-sheet'!F63</f>
        <v>0</v>
      </c>
      <c r="G76" s="2">
        <f>G10/'Output-Calculation-sheet'!G9*'Output-Calculation-sheet'!G63</f>
        <v>337.74974672512144</v>
      </c>
      <c r="H76" s="2">
        <f>H10/'Output-Calculation-sheet'!H9*'Output-Calculation-sheet'!H63</f>
        <v>3463.7427730705303</v>
      </c>
      <c r="I76" s="2">
        <f>I10/'Output-Calculation-sheet'!I9*'Output-Calculation-sheet'!I63</f>
        <v>156.71570301905345</v>
      </c>
      <c r="J76" s="2">
        <f>J10/'Output-Calculation-sheet'!J9*'Output-Calculation-sheet'!J63</f>
        <v>471.50670357031265</v>
      </c>
      <c r="K76" s="2">
        <f>K10/'Output-Calculation-sheet'!K9*'Output-Calculation-sheet'!K63</f>
        <v>650.74658737854793</v>
      </c>
      <c r="L76" s="2">
        <f>L10/'Output-Calculation-sheet'!L9*'Output-Calculation-sheet'!L63</f>
        <v>602.32991345826747</v>
      </c>
      <c r="M76" s="2">
        <f>M10/'Output-Calculation-sheet'!M9*'Output-Calculation-sheet'!M63</f>
        <v>2590.6020777468516</v>
      </c>
      <c r="N76" s="2">
        <f>N10/'Output-Calculation-sheet'!N9*'Output-Calculation-sheet'!N63</f>
        <v>1761.3001153804901</v>
      </c>
      <c r="O76" s="2">
        <f>O10/'Output-Calculation-sheet'!O9*'Output-Calculation-sheet'!O63</f>
        <v>0</v>
      </c>
      <c r="P76" s="2">
        <f>P10/'Output-Calculation-sheet'!P9*'Output-Calculation-sheet'!P63</f>
        <v>508.97662463315504</v>
      </c>
      <c r="Q76" s="2">
        <f>Q10/'Output-Calculation-sheet'!Q9*'Output-Calculation-sheet'!Q63</f>
        <v>223.71825846210163</v>
      </c>
      <c r="R76" s="2">
        <f>R10/'Output-Calculation-sheet'!R9*'Output-Calculation-sheet'!R63</f>
        <v>743.6087418825108</v>
      </c>
      <c r="S76" s="2">
        <f>S10/'Output-Calculation-sheet'!S9*'Output-Calculation-sheet'!S63</f>
        <v>315.19085227977246</v>
      </c>
      <c r="T76" s="2">
        <f>T10/'Output-Calculation-sheet'!T9*'Output-Calculation-sheet'!T63</f>
        <v>261.14890252083256</v>
      </c>
      <c r="U76" s="2">
        <f>U10/'Output-Calculation-sheet'!U9*'Output-Calculation-sheet'!U63</f>
        <v>128.06168484039293</v>
      </c>
      <c r="V76" s="2">
        <f>V10/'Output-Calculation-sheet'!V9*'Output-Calculation-sheet'!V63</f>
        <v>170.40481956942185</v>
      </c>
      <c r="W76" s="2">
        <f>W10/'Output-Calculation-sheet'!W9*'Output-Calculation-sheet'!W63</f>
        <v>11.878260890257089</v>
      </c>
      <c r="X76" s="2">
        <f>X10/'Output-Calculation-sheet'!X9*'Output-Calculation-sheet'!X63</f>
        <v>247.21488930737505</v>
      </c>
      <c r="Y76" s="2">
        <f>Y10/'Output-Calculation-sheet'!Y9*'Output-Calculation-sheet'!Y63</f>
        <v>3.8088215806133565</v>
      </c>
      <c r="AA76" s="2">
        <f t="shared" si="6"/>
        <v>16.315212915155147</v>
      </c>
    </row>
    <row r="77" spans="1:27" x14ac:dyDescent="0.25">
      <c r="A77" s="2">
        <v>2034</v>
      </c>
      <c r="B77" s="2">
        <f>B11/'Output-Calculation-sheet'!B10*'Output-Calculation-sheet'!B64</f>
        <v>3153.5777236098857</v>
      </c>
      <c r="C77" s="2">
        <f>C11/'Output-Calculation-sheet'!C10*'Output-Calculation-sheet'!C64</f>
        <v>0</v>
      </c>
      <c r="D77" s="2">
        <f>D11/'Output-Calculation-sheet'!D10*'Output-Calculation-sheet'!D64</f>
        <v>1120.1022795930098</v>
      </c>
      <c r="E77" s="2">
        <f>E11/'Output-Calculation-sheet'!E10*'Output-Calculation-sheet'!E64</f>
        <v>783.64941504166154</v>
      </c>
      <c r="F77" s="2">
        <f>F11/'Output-Calculation-sheet'!F10*'Output-Calculation-sheet'!F64</f>
        <v>0</v>
      </c>
      <c r="G77" s="2">
        <f>G11/'Output-Calculation-sheet'!G10*'Output-Calculation-sheet'!G64</f>
        <v>364.00450389288801</v>
      </c>
      <c r="H77" s="2">
        <f>H11/'Output-Calculation-sheet'!H10*'Output-Calculation-sheet'!H64</f>
        <v>3409.4589707026703</v>
      </c>
      <c r="I77" s="2">
        <f>I11/'Output-Calculation-sheet'!I10*'Output-Calculation-sheet'!I64</f>
        <v>193.16261986263189</v>
      </c>
      <c r="J77" s="2">
        <f>J11/'Output-Calculation-sheet'!J10*'Output-Calculation-sheet'!J64</f>
        <v>487.66775255049771</v>
      </c>
      <c r="K77" s="2">
        <f>K11/'Output-Calculation-sheet'!K10*'Output-Calculation-sheet'!K64</f>
        <v>686.45031311981688</v>
      </c>
      <c r="L77" s="2">
        <f>L11/'Output-Calculation-sheet'!L10*'Output-Calculation-sheet'!L64</f>
        <v>602.41938406065856</v>
      </c>
      <c r="M77" s="2">
        <f>M11/'Output-Calculation-sheet'!M10*'Output-Calculation-sheet'!M64</f>
        <v>2551.6028820150345</v>
      </c>
      <c r="N77" s="2">
        <f>N11/'Output-Calculation-sheet'!N10*'Output-Calculation-sheet'!N64</f>
        <v>1794.4505411549742</v>
      </c>
      <c r="O77" s="2">
        <f>O11/'Output-Calculation-sheet'!O10*'Output-Calculation-sheet'!O64</f>
        <v>0</v>
      </c>
      <c r="P77" s="2">
        <f>P11/'Output-Calculation-sheet'!P10*'Output-Calculation-sheet'!P64</f>
        <v>524.99442819705666</v>
      </c>
      <c r="Q77" s="2">
        <f>Q11/'Output-Calculation-sheet'!Q10*'Output-Calculation-sheet'!Q64</f>
        <v>320.71351428590242</v>
      </c>
      <c r="R77" s="2">
        <f>R11/'Output-Calculation-sheet'!R10*'Output-Calculation-sheet'!R64</f>
        <v>739.06709645740386</v>
      </c>
      <c r="S77" s="2">
        <f>S11/'Output-Calculation-sheet'!S10*'Output-Calculation-sheet'!S64</f>
        <v>435.40100732411156</v>
      </c>
      <c r="T77" s="2">
        <f>T11/'Output-Calculation-sheet'!T10*'Output-Calculation-sheet'!T64</f>
        <v>260.49738003160672</v>
      </c>
      <c r="U77" s="2">
        <f>U11/'Output-Calculation-sheet'!U10*'Output-Calculation-sheet'!U64</f>
        <v>135.59211207402933</v>
      </c>
      <c r="V77" s="2">
        <f>V11/'Output-Calculation-sheet'!V10*'Output-Calculation-sheet'!V64</f>
        <v>173.21327604407256</v>
      </c>
      <c r="W77" s="2">
        <f>W11/'Output-Calculation-sheet'!W10*'Output-Calculation-sheet'!W64</f>
        <v>17.768956087639587</v>
      </c>
      <c r="X77" s="2">
        <f>X11/'Output-Calculation-sheet'!X10*'Output-Calculation-sheet'!X64</f>
        <v>239.70192314510098</v>
      </c>
      <c r="Y77" s="2">
        <f>Y11/'Output-Calculation-sheet'!Y10*'Output-Calculation-sheet'!Y64</f>
        <v>5.5909075623902211</v>
      </c>
      <c r="AA77" s="2">
        <f t="shared" si="6"/>
        <v>17.999086986813044</v>
      </c>
    </row>
    <row r="78" spans="1:27" x14ac:dyDescent="0.25">
      <c r="A78" s="2">
        <v>2035</v>
      </c>
      <c r="B78" s="2">
        <f>B12/'Output-Calculation-sheet'!B11*'Output-Calculation-sheet'!B65</f>
        <v>4346.5910652829252</v>
      </c>
      <c r="C78" s="2">
        <f>C12/'Output-Calculation-sheet'!C11*'Output-Calculation-sheet'!C65</f>
        <v>358.73812992444982</v>
      </c>
      <c r="D78" s="2">
        <f>D12/'Output-Calculation-sheet'!D11*'Output-Calculation-sheet'!D65</f>
        <v>1121.6329033587856</v>
      </c>
      <c r="E78" s="2">
        <f>E12/'Output-Calculation-sheet'!E11*'Output-Calculation-sheet'!E65</f>
        <v>878.18541142069546</v>
      </c>
      <c r="F78" s="2">
        <f>F12/'Output-Calculation-sheet'!F11*'Output-Calculation-sheet'!F65</f>
        <v>39.709402417101614</v>
      </c>
      <c r="G78" s="2">
        <f>G12/'Output-Calculation-sheet'!G11*'Output-Calculation-sheet'!G65</f>
        <v>368.87619924691967</v>
      </c>
      <c r="H78" s="2">
        <f>H12/'Output-Calculation-sheet'!H11*'Output-Calculation-sheet'!H65</f>
        <v>3180.612136183538</v>
      </c>
      <c r="I78" s="2">
        <f>I12/'Output-Calculation-sheet'!I11*'Output-Calculation-sheet'!I65</f>
        <v>201.40165810342859</v>
      </c>
      <c r="J78" s="2">
        <f>J12/'Output-Calculation-sheet'!J11*'Output-Calculation-sheet'!J65</f>
        <v>481.94950465147946</v>
      </c>
      <c r="K78" s="2">
        <f>K12/'Output-Calculation-sheet'!K11*'Output-Calculation-sheet'!K65</f>
        <v>648.67186738112991</v>
      </c>
      <c r="L78" s="2">
        <f>L12/'Output-Calculation-sheet'!L11*'Output-Calculation-sheet'!L65</f>
        <v>586.29801575258216</v>
      </c>
      <c r="M78" s="2">
        <f>M12/'Output-Calculation-sheet'!M11*'Output-Calculation-sheet'!M65</f>
        <v>2383.5012748609192</v>
      </c>
      <c r="N78" s="2">
        <f>N12/'Output-Calculation-sheet'!N11*'Output-Calculation-sheet'!N65</f>
        <v>1729.5039013495864</v>
      </c>
      <c r="O78" s="2">
        <f>O12/'Output-Calculation-sheet'!O11*'Output-Calculation-sheet'!O65</f>
        <v>174.40731088572841</v>
      </c>
      <c r="P78" s="2">
        <f>P12/'Output-Calculation-sheet'!P11*'Output-Calculation-sheet'!P65</f>
        <v>494.5080276246905</v>
      </c>
      <c r="Q78" s="2">
        <f>Q12/'Output-Calculation-sheet'!Q11*'Output-Calculation-sheet'!Q65</f>
        <v>367.62556457091006</v>
      </c>
      <c r="R78" s="2">
        <f>R12/'Output-Calculation-sheet'!R11*'Output-Calculation-sheet'!R65</f>
        <v>688.70797708049417</v>
      </c>
      <c r="S78" s="2">
        <f>S12/'Output-Calculation-sheet'!S11*'Output-Calculation-sheet'!S65</f>
        <v>503.73866769456009</v>
      </c>
      <c r="T78" s="2">
        <f>T12/'Output-Calculation-sheet'!T11*'Output-Calculation-sheet'!T65</f>
        <v>248.57757991704318</v>
      </c>
      <c r="U78" s="2">
        <f>U12/'Output-Calculation-sheet'!U11*'Output-Calculation-sheet'!U65</f>
        <v>133.9218640325482</v>
      </c>
      <c r="V78" s="2">
        <f>V12/'Output-Calculation-sheet'!V11*'Output-Calculation-sheet'!V65</f>
        <v>163.00844532026835</v>
      </c>
      <c r="W78" s="2">
        <f>W12/'Output-Calculation-sheet'!W11*'Output-Calculation-sheet'!W65</f>
        <v>20.323274773830295</v>
      </c>
      <c r="X78" s="2">
        <f>X12/'Output-Calculation-sheet'!X11*'Output-Calculation-sheet'!X65</f>
        <v>225.3407419210638</v>
      </c>
      <c r="Y78" s="2">
        <f>Y12/'Output-Calculation-sheet'!Y11*'Output-Calculation-sheet'!Y65</f>
        <v>7.1916280051642865</v>
      </c>
      <c r="AA78" s="2">
        <f t="shared" si="6"/>
        <v>19.353022551759846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10590028135.787355</v>
      </c>
      <c r="C96" s="2">
        <f>C8/'Output-Calculation-sheet'!C7*'Output-Calculation-sheet'!C79</f>
        <v>1030823373.0867125</v>
      </c>
      <c r="D96" s="2">
        <f>D8/'Output-Calculation-sheet'!D7*'Output-Calculation-sheet'!D79</f>
        <v>2714130268.4162083</v>
      </c>
      <c r="E96" s="2">
        <f>E8/'Output-Calculation-sheet'!E7*'Output-Calculation-sheet'!E79</f>
        <v>9770073445.3163147</v>
      </c>
      <c r="F96" s="2">
        <f>F8/'Output-Calculation-sheet'!F7*'Output-Calculation-sheet'!F79</f>
        <v>2978203324.4047809</v>
      </c>
      <c r="G96" s="2">
        <f>G8/'Output-Calculation-sheet'!G7*'Output-Calculation-sheet'!G79</f>
        <v>1842482395.2487781</v>
      </c>
      <c r="H96" s="2">
        <f>H8/'Output-Calculation-sheet'!H7*'Output-Calculation-sheet'!H79</f>
        <v>1236131401.5797555</v>
      </c>
      <c r="I96" s="2">
        <f>I8/'Output-Calculation-sheet'!I7*'Output-Calculation-sheet'!I79</f>
        <v>1324225609.3991876</v>
      </c>
      <c r="J96" s="2">
        <f>J8/'Output-Calculation-sheet'!J7*'Output-Calculation-sheet'!J79</f>
        <v>1076433332.1778581</v>
      </c>
      <c r="K96" s="2">
        <f>K8/'Output-Calculation-sheet'!K7*'Output-Calculation-sheet'!K79</f>
        <v>1316547310.1772161</v>
      </c>
      <c r="L96" s="2">
        <f>L8/'Output-Calculation-sheet'!L7*'Output-Calculation-sheet'!L79</f>
        <v>1266134000.8388238</v>
      </c>
      <c r="M96" s="2">
        <f>M8/'Output-Calculation-sheet'!M7*'Output-Calculation-sheet'!M79</f>
        <v>1740781972.7943687</v>
      </c>
      <c r="N96" s="2">
        <f>N8/'Output-Calculation-sheet'!N7*'Output-Calculation-sheet'!N79</f>
        <v>1091356636.710345</v>
      </c>
      <c r="O96" s="2">
        <f>O8/'Output-Calculation-sheet'!O7*'Output-Calculation-sheet'!O79</f>
        <v>136045244.24529538</v>
      </c>
      <c r="P96" s="2">
        <f>P8/'Output-Calculation-sheet'!P7*'Output-Calculation-sheet'!P79</f>
        <v>1964895911.5089562</v>
      </c>
      <c r="Q96" s="2">
        <f>Q8/'Output-Calculation-sheet'!Q7*'Output-Calculation-sheet'!Q79</f>
        <v>822264669.51838803</v>
      </c>
      <c r="R96" s="2">
        <f>R8/'Output-Calculation-sheet'!R7*'Output-Calculation-sheet'!R79</f>
        <v>1290998912.9965062</v>
      </c>
      <c r="S96" s="2">
        <f>S8/'Output-Calculation-sheet'!S7*'Output-Calculation-sheet'!S79</f>
        <v>500481135.25727504</v>
      </c>
      <c r="T96" s="2">
        <f>T8/'Output-Calculation-sheet'!T7*'Output-Calculation-sheet'!T79</f>
        <v>455514424.86437911</v>
      </c>
      <c r="U96" s="2">
        <f>U8/'Output-Calculation-sheet'!U7*'Output-Calculation-sheet'!U79</f>
        <v>294248292.96940756</v>
      </c>
      <c r="V96" s="2">
        <f>V8/'Output-Calculation-sheet'!V7*'Output-Calculation-sheet'!V79</f>
        <v>175120385.13160425</v>
      </c>
      <c r="W96" s="2">
        <f>W8/'Output-Calculation-sheet'!W7*'Output-Calculation-sheet'!W79</f>
        <v>482838479.24068218</v>
      </c>
      <c r="X96" s="2">
        <f>X8/'Output-Calculation-sheet'!X7*'Output-Calculation-sheet'!X79</f>
        <v>134168742.31504053</v>
      </c>
      <c r="Y96" s="2">
        <f>Y8/'Output-Calculation-sheet'!Y7*'Output-Calculation-sheet'!Y79</f>
        <v>257734487.96327621</v>
      </c>
      <c r="AA96" s="2">
        <f t="shared" si="8"/>
        <v>44.491661891948517</v>
      </c>
    </row>
    <row r="97" spans="1:27" x14ac:dyDescent="0.25">
      <c r="A97" s="2">
        <v>2032</v>
      </c>
      <c r="B97" s="2">
        <f>B9/'Output-Calculation-sheet'!B8*'Output-Calculation-sheet'!B80</f>
        <v>10416320163.786713</v>
      </c>
      <c r="C97" s="2">
        <f>C9/'Output-Calculation-sheet'!C8*'Output-Calculation-sheet'!C80</f>
        <v>991744947.328192</v>
      </c>
      <c r="D97" s="2">
        <f>D9/'Output-Calculation-sheet'!D8*'Output-Calculation-sheet'!D80</f>
        <v>2425466489.4586258</v>
      </c>
      <c r="E97" s="2">
        <f>E9/'Output-Calculation-sheet'!E8*'Output-Calculation-sheet'!E80</f>
        <v>9802853303.936554</v>
      </c>
      <c r="F97" s="2">
        <f>F9/'Output-Calculation-sheet'!F8*'Output-Calculation-sheet'!F80</f>
        <v>2805075327.8216209</v>
      </c>
      <c r="G97" s="2">
        <f>G9/'Output-Calculation-sheet'!G8*'Output-Calculation-sheet'!G80</f>
        <v>1660855652.2576118</v>
      </c>
      <c r="H97" s="2">
        <f>H9/'Output-Calculation-sheet'!H8*'Output-Calculation-sheet'!H80</f>
        <v>1489080177.762624</v>
      </c>
      <c r="I97" s="2">
        <f>I9/'Output-Calculation-sheet'!I8*'Output-Calculation-sheet'!I80</f>
        <v>1250465851.3508177</v>
      </c>
      <c r="J97" s="2">
        <f>J9/'Output-Calculation-sheet'!J8*'Output-Calculation-sheet'!J80</f>
        <v>1002098919.6684521</v>
      </c>
      <c r="K97" s="2">
        <f>K9/'Output-Calculation-sheet'!K8*'Output-Calculation-sheet'!K80</f>
        <v>1204002196.8464568</v>
      </c>
      <c r="L97" s="2">
        <f>L9/'Output-Calculation-sheet'!L8*'Output-Calculation-sheet'!L80</f>
        <v>1233841117.1727371</v>
      </c>
      <c r="M97" s="2">
        <f>M9/'Output-Calculation-sheet'!M8*'Output-Calculation-sheet'!M80</f>
        <v>1709556729.4838824</v>
      </c>
      <c r="N97" s="2">
        <f>N9/'Output-Calculation-sheet'!N8*'Output-Calculation-sheet'!N80</f>
        <v>1074641271.1405466</v>
      </c>
      <c r="O97" s="2">
        <f>O9/'Output-Calculation-sheet'!O8*'Output-Calculation-sheet'!O80</f>
        <v>129158756.57476278</v>
      </c>
      <c r="P97" s="2">
        <f>P9/'Output-Calculation-sheet'!P8*'Output-Calculation-sheet'!P80</f>
        <v>1851682280.02139</v>
      </c>
      <c r="Q97" s="2">
        <f>Q9/'Output-Calculation-sheet'!Q8*'Output-Calculation-sheet'!Q80</f>
        <v>787114238.16489613</v>
      </c>
      <c r="R97" s="2">
        <f>R9/'Output-Calculation-sheet'!R8*'Output-Calculation-sheet'!R80</f>
        <v>1241035819.6359801</v>
      </c>
      <c r="S97" s="2">
        <f>S9/'Output-Calculation-sheet'!S8*'Output-Calculation-sheet'!S80</f>
        <v>492596979.50324631</v>
      </c>
      <c r="T97" s="2">
        <f>T9/'Output-Calculation-sheet'!T8*'Output-Calculation-sheet'!T80</f>
        <v>416246169.08247536</v>
      </c>
      <c r="U97" s="2">
        <f>U9/'Output-Calculation-sheet'!U8*'Output-Calculation-sheet'!U80</f>
        <v>273772672.35535991</v>
      </c>
      <c r="V97" s="2">
        <f>V9/'Output-Calculation-sheet'!V8*'Output-Calculation-sheet'!V80</f>
        <v>162193251.40326673</v>
      </c>
      <c r="W97" s="2">
        <f>W9/'Output-Calculation-sheet'!W8*'Output-Calculation-sheet'!W80</f>
        <v>450491128.65536368</v>
      </c>
      <c r="X97" s="2">
        <f>X9/'Output-Calculation-sheet'!X8*'Output-Calculation-sheet'!X80</f>
        <v>178689311.26115468</v>
      </c>
      <c r="Y97" s="2">
        <f>Y9/'Output-Calculation-sheet'!Y8*'Output-Calculation-sheet'!Y80</f>
        <v>246013125.39702857</v>
      </c>
      <c r="AA97" s="2">
        <f t="shared" si="8"/>
        <v>43.294995880069763</v>
      </c>
    </row>
    <row r="98" spans="1:27" x14ac:dyDescent="0.25">
      <c r="A98" s="2">
        <v>2033</v>
      </c>
      <c r="B98" s="2">
        <f>B10/'Output-Calculation-sheet'!B9*'Output-Calculation-sheet'!B81</f>
        <v>9765284736.1961899</v>
      </c>
      <c r="C98" s="2">
        <f>C10/'Output-Calculation-sheet'!C9*'Output-Calculation-sheet'!C81</f>
        <v>911085833.11800456</v>
      </c>
      <c r="D98" s="2">
        <f>D10/'Output-Calculation-sheet'!D9*'Output-Calculation-sheet'!D81</f>
        <v>2065525913.1468053</v>
      </c>
      <c r="E98" s="2">
        <f>E10/'Output-Calculation-sheet'!E9*'Output-Calculation-sheet'!E81</f>
        <v>9371666108.4555912</v>
      </c>
      <c r="F98" s="2">
        <f>F10/'Output-Calculation-sheet'!F9*'Output-Calculation-sheet'!F81</f>
        <v>2510427920.6544242</v>
      </c>
      <c r="G98" s="2">
        <f>G10/'Output-Calculation-sheet'!G9*'Output-Calculation-sheet'!G81</f>
        <v>1421512495.8253319</v>
      </c>
      <c r="H98" s="2">
        <f>H10/'Output-Calculation-sheet'!H9*'Output-Calculation-sheet'!H81</f>
        <v>1845089042.8567948</v>
      </c>
      <c r="I98" s="2">
        <f>I10/'Output-Calculation-sheet'!I9*'Output-Calculation-sheet'!I81</f>
        <v>1124506451.7523615</v>
      </c>
      <c r="J98" s="2">
        <f>J10/'Output-Calculation-sheet'!J9*'Output-Calculation-sheet'!J81</f>
        <v>889161619.20773971</v>
      </c>
      <c r="K98" s="2">
        <f>K10/'Output-Calculation-sheet'!K9*'Output-Calculation-sheet'!K81</f>
        <v>1054762916.0814551</v>
      </c>
      <c r="L98" s="2">
        <f>L10/'Output-Calculation-sheet'!L9*'Output-Calculation-sheet'!L81</f>
        <v>1141936542.5642321</v>
      </c>
      <c r="M98" s="2">
        <f>M10/'Output-Calculation-sheet'!M9*'Output-Calculation-sheet'!M81</f>
        <v>1598584102.3993402</v>
      </c>
      <c r="N98" s="2">
        <f>N10/'Output-Calculation-sheet'!N9*'Output-Calculation-sheet'!N81</f>
        <v>983743372.95544207</v>
      </c>
      <c r="O98" s="2">
        <f>O10/'Output-Calculation-sheet'!O9*'Output-Calculation-sheet'!O81</f>
        <v>117163233.11359017</v>
      </c>
      <c r="P98" s="2">
        <f>P10/'Output-Calculation-sheet'!P9*'Output-Calculation-sheet'!P81</f>
        <v>1648519368.2302711</v>
      </c>
      <c r="Q98" s="2">
        <f>Q10/'Output-Calculation-sheet'!Q9*'Output-Calculation-sheet'!Q81</f>
        <v>720717273.38220823</v>
      </c>
      <c r="R98" s="2">
        <f>R10/'Output-Calculation-sheet'!R9*'Output-Calculation-sheet'!R81</f>
        <v>1128408992.0808611</v>
      </c>
      <c r="S98" s="2">
        <f>S10/'Output-Calculation-sheet'!S9*'Output-Calculation-sheet'!S81</f>
        <v>463903023.6167711</v>
      </c>
      <c r="T98" s="2">
        <f>T10/'Output-Calculation-sheet'!T9*'Output-Calculation-sheet'!T81</f>
        <v>362216133.70133793</v>
      </c>
      <c r="U98" s="2">
        <f>U10/'Output-Calculation-sheet'!U9*'Output-Calculation-sheet'!U81</f>
        <v>240799942.50337043</v>
      </c>
      <c r="V98" s="2">
        <f>V10/'Output-Calculation-sheet'!V9*'Output-Calculation-sheet'!V81</f>
        <v>142543338.24902689</v>
      </c>
      <c r="W98" s="2">
        <f>W10/'Output-Calculation-sheet'!W9*'Output-Calculation-sheet'!W81</f>
        <v>396198545.34869283</v>
      </c>
      <c r="X98" s="2">
        <f>X10/'Output-Calculation-sheet'!X9*'Output-Calculation-sheet'!X81</f>
        <v>172243615.39088395</v>
      </c>
      <c r="Y98" s="2">
        <f>Y10/'Output-Calculation-sheet'!Y9*'Output-Calculation-sheet'!Y81</f>
        <v>222965338.33350581</v>
      </c>
      <c r="AA98" s="2">
        <f t="shared" si="8"/>
        <v>40.298965859164227</v>
      </c>
    </row>
    <row r="99" spans="1:27" x14ac:dyDescent="0.25">
      <c r="A99" s="2">
        <v>2034</v>
      </c>
      <c r="B99" s="2">
        <f>B11/'Output-Calculation-sheet'!B10*'Output-Calculation-sheet'!B82</f>
        <v>8870998166.6542263</v>
      </c>
      <c r="C99" s="2">
        <f>C11/'Output-Calculation-sheet'!C10*'Output-Calculation-sheet'!C82</f>
        <v>797580248.041448</v>
      </c>
      <c r="D99" s="2">
        <f>D11/'Output-Calculation-sheet'!D10*'Output-Calculation-sheet'!D82</f>
        <v>1675012639.6747112</v>
      </c>
      <c r="E99" s="2">
        <f>E11/'Output-Calculation-sheet'!E10*'Output-Calculation-sheet'!E82</f>
        <v>8501758075.8415527</v>
      </c>
      <c r="F99" s="2">
        <f>F11/'Output-Calculation-sheet'!F10*'Output-Calculation-sheet'!F82</f>
        <v>2136290141.097851</v>
      </c>
      <c r="G99" s="2">
        <f>G11/'Output-Calculation-sheet'!G10*'Output-Calculation-sheet'!G82</f>
        <v>1155432639.8281045</v>
      </c>
      <c r="H99" s="2">
        <f>H11/'Output-Calculation-sheet'!H10*'Output-Calculation-sheet'!H82</f>
        <v>1611375761.4160671</v>
      </c>
      <c r="I99" s="2">
        <f>I11/'Output-Calculation-sheet'!I10*'Output-Calculation-sheet'!I82</f>
        <v>964240578.71076798</v>
      </c>
      <c r="J99" s="2">
        <f>J11/'Output-Calculation-sheet'!J10*'Output-Calculation-sheet'!J82</f>
        <v>752050314.45574117</v>
      </c>
      <c r="K99" s="2">
        <f>K11/'Output-Calculation-sheet'!K10*'Output-Calculation-sheet'!K82</f>
        <v>875835602.01361001</v>
      </c>
      <c r="L99" s="2">
        <f>L11/'Output-Calculation-sheet'!L10*'Output-Calculation-sheet'!L82</f>
        <v>1007236446.2370723</v>
      </c>
      <c r="M99" s="2">
        <f>M11/'Output-Calculation-sheet'!M10*'Output-Calculation-sheet'!M82</f>
        <v>1428718552.7515545</v>
      </c>
      <c r="N99" s="2">
        <f>N11/'Output-Calculation-sheet'!N10*'Output-Calculation-sheet'!N82</f>
        <v>855163113.75647461</v>
      </c>
      <c r="O99" s="2">
        <f>O11/'Output-Calculation-sheet'!O10*'Output-Calculation-sheet'!O82</f>
        <v>101299709.70695509</v>
      </c>
      <c r="P99" s="2">
        <f>P11/'Output-Calculation-sheet'!P10*'Output-Calculation-sheet'!P82</f>
        <v>1382652025.1500044</v>
      </c>
      <c r="Q99" s="2">
        <f>Q11/'Output-Calculation-sheet'!Q10*'Output-Calculation-sheet'!Q82</f>
        <v>630581518.3108331</v>
      </c>
      <c r="R99" s="2">
        <f>R11/'Output-Calculation-sheet'!R10*'Output-Calculation-sheet'!R82</f>
        <v>974857404.76849568</v>
      </c>
      <c r="S99" s="2">
        <f>S11/'Output-Calculation-sheet'!S10*'Output-Calculation-sheet'!S82</f>
        <v>419771691.43857026</v>
      </c>
      <c r="T99" s="2">
        <f>T11/'Output-Calculation-sheet'!T10*'Output-Calculation-sheet'!T82</f>
        <v>298912404.06576395</v>
      </c>
      <c r="U99" s="2">
        <f>U11/'Output-Calculation-sheet'!U10*'Output-Calculation-sheet'!U82</f>
        <v>201528550.94016954</v>
      </c>
      <c r="V99" s="2">
        <f>V11/'Output-Calculation-sheet'!V10*'Output-Calculation-sheet'!V82</f>
        <v>119350453.79665881</v>
      </c>
      <c r="W99" s="2">
        <f>W11/'Output-Calculation-sheet'!W10*'Output-Calculation-sheet'!W82</f>
        <v>330557643.43138969</v>
      </c>
      <c r="X99" s="2">
        <f>X11/'Output-Calculation-sheet'!X10*'Output-Calculation-sheet'!X82</f>
        <v>158497548.08667827</v>
      </c>
      <c r="Y99" s="2">
        <f>Y11/'Output-Calculation-sheet'!Y10*'Output-Calculation-sheet'!Y82</f>
        <v>191229914.5546867</v>
      </c>
      <c r="AA99" s="2">
        <f t="shared" si="8"/>
        <v>35.44093114472939</v>
      </c>
    </row>
    <row r="100" spans="1:27" x14ac:dyDescent="0.25">
      <c r="A100" s="2">
        <v>2035</v>
      </c>
      <c r="B100" s="2">
        <f>B12/'Output-Calculation-sheet'!B11*'Output-Calculation-sheet'!B83</f>
        <v>7611969322.4560986</v>
      </c>
      <c r="C100" s="2">
        <f>C12/'Output-Calculation-sheet'!C11*'Output-Calculation-sheet'!C83</f>
        <v>684611126.18340838</v>
      </c>
      <c r="D100" s="2">
        <f>D12/'Output-Calculation-sheet'!D11*'Output-Calculation-sheet'!D83</f>
        <v>1293644807.8361807</v>
      </c>
      <c r="E100" s="2">
        <f>E12/'Output-Calculation-sheet'!E11*'Output-Calculation-sheet'!E83</f>
        <v>7323219513.7054672</v>
      </c>
      <c r="F100" s="2">
        <f>F12/'Output-Calculation-sheet'!F11*'Output-Calculation-sheet'!F83</f>
        <v>1724614756.6329293</v>
      </c>
      <c r="G100" s="2">
        <f>G12/'Output-Calculation-sheet'!G11*'Output-Calculation-sheet'!G83</f>
        <v>890142482.06364083</v>
      </c>
      <c r="H100" s="2">
        <f>H12/'Output-Calculation-sheet'!H11*'Output-Calculation-sheet'!H83</f>
        <v>1328815251.6202893</v>
      </c>
      <c r="I100" s="2">
        <f>I12/'Output-Calculation-sheet'!I11*'Output-Calculation-sheet'!I83</f>
        <v>784043477.00743747</v>
      </c>
      <c r="J100" s="2">
        <f>J12/'Output-Calculation-sheet'!J11*'Output-Calculation-sheet'!J83</f>
        <v>604094931.14813519</v>
      </c>
      <c r="K100" s="2">
        <f>K12/'Output-Calculation-sheet'!K11*'Output-Calculation-sheet'!K83</f>
        <v>689327732.55964541</v>
      </c>
      <c r="L100" s="2">
        <f>L12/'Output-Calculation-sheet'!L11*'Output-Calculation-sheet'!L83</f>
        <v>844134621.32956767</v>
      </c>
      <c r="M100" s="2">
        <f>M12/'Output-Calculation-sheet'!M11*'Output-Calculation-sheet'!M83</f>
        <v>1209585152.4449677</v>
      </c>
      <c r="N100" s="2">
        <f>N12/'Output-Calculation-sheet'!N11*'Output-Calculation-sheet'!N83</f>
        <v>707185858.07688797</v>
      </c>
      <c r="O100" s="2">
        <f>O12/'Output-Calculation-sheet'!O11*'Output-Calculation-sheet'!O83</f>
        <v>90871364.506111249</v>
      </c>
      <c r="P100" s="2">
        <f>P12/'Output-Calculation-sheet'!P11*'Output-Calculation-sheet'!P83</f>
        <v>1086010913.9076147</v>
      </c>
      <c r="Q100" s="2">
        <f>Q12/'Output-Calculation-sheet'!Q11*'Output-Calculation-sheet'!Q83</f>
        <v>525084455.26254827</v>
      </c>
      <c r="R100" s="2">
        <f>R12/'Output-Calculation-sheet'!R11*'Output-Calculation-sheet'!R83</f>
        <v>797895875.86404622</v>
      </c>
      <c r="S100" s="2">
        <f>S12/'Output-Calculation-sheet'!S11*'Output-Calculation-sheet'!S83</f>
        <v>357373787.69800299</v>
      </c>
      <c r="T100" s="2">
        <f>T12/'Output-Calculation-sheet'!T11*'Output-Calculation-sheet'!T83</f>
        <v>234049351.36119914</v>
      </c>
      <c r="U100" s="2">
        <f>U12/'Output-Calculation-sheet'!U11*'Output-Calculation-sheet'!U83</f>
        <v>159300292.35066479</v>
      </c>
      <c r="V100" s="2">
        <f>V12/'Output-Calculation-sheet'!V11*'Output-Calculation-sheet'!V83</f>
        <v>94695078.600328565</v>
      </c>
      <c r="W100" s="2">
        <f>W12/'Output-Calculation-sheet'!W11*'Output-Calculation-sheet'!W83</f>
        <v>259936079.62034151</v>
      </c>
      <c r="X100" s="2">
        <f>X12/'Output-Calculation-sheet'!X11*'Output-Calculation-sheet'!X83</f>
        <v>138663952.89239246</v>
      </c>
      <c r="Y100" s="2">
        <f>Y12/'Output-Calculation-sheet'!Y11*'Output-Calculation-sheet'!Y83</f>
        <v>155225489.61086643</v>
      </c>
      <c r="AA100" s="2">
        <f t="shared" si="8"/>
        <v>29.594495674738781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5302.3617105289513</v>
      </c>
      <c r="C19" s="2">
        <f>C8/'Output-Calculation-sheet'!C7*'Output-Calculation-sheet'!C25</f>
        <v>8008.3920444036639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4298.0145523409255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873.7643249325115</v>
      </c>
      <c r="M19" s="2">
        <f>M8/'Output-Calculation-sheet'!M7*'Output-Calculation-sheet'!M25</f>
        <v>5668.8444624319791</v>
      </c>
      <c r="N19" s="2">
        <f>N8/'Output-Calculation-sheet'!N7*'Output-Calculation-sheet'!N25</f>
        <v>2894.1477527719126</v>
      </c>
      <c r="O19" s="2">
        <f>O8/'Output-Calculation-sheet'!O7*'Output-Calculation-sheet'!O25</f>
        <v>1564.3269268428426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553.38446962834041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394.18771728980215</v>
      </c>
      <c r="Y19" s="2">
        <f>Y8/'Output-Calculation-sheet'!Y7*'Output-Calculation-sheet'!Y25</f>
        <v>0</v>
      </c>
      <c r="AA19" s="2">
        <f t="shared" si="0"/>
        <v>29.557423961170926</v>
      </c>
    </row>
    <row r="20" spans="1:27" x14ac:dyDescent="0.25">
      <c r="A20" s="2">
        <v>2032</v>
      </c>
      <c r="B20" s="2">
        <f>B9/'Output-Calculation-sheet'!B8*'Output-Calculation-sheet'!B26</f>
        <v>7292.2046531782362</v>
      </c>
      <c r="C20" s="2">
        <f>C9/'Output-Calculation-sheet'!C8*'Output-Calculation-sheet'!C26</f>
        <v>9033.1118963147455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5949.3563058629898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1033.7897608204305</v>
      </c>
      <c r="M20" s="2">
        <f>M9/'Output-Calculation-sheet'!M8*'Output-Calculation-sheet'!M26</f>
        <v>6291.23735246468</v>
      </c>
      <c r="N20" s="2">
        <f>N9/'Output-Calculation-sheet'!N8*'Output-Calculation-sheet'!N26</f>
        <v>3543.3378338965613</v>
      </c>
      <c r="O20" s="2">
        <f>O9/'Output-Calculation-sheet'!O8*'Output-Calculation-sheet'!O26</f>
        <v>1762.9276620082171</v>
      </c>
      <c r="P20" s="2">
        <f>P9/'Output-Calculation-sheet'!P8*'Output-Calculation-sheet'!P26</f>
        <v>0</v>
      </c>
      <c r="Q20" s="2">
        <f>Q9/'Output-Calculation-sheet'!Q8*'Output-Calculation-sheet'!Q26</f>
        <v>106.54713655014289</v>
      </c>
      <c r="R20" s="2">
        <f>R9/'Output-Calculation-sheet'!R8*'Output-Calculation-sheet'!R26</f>
        <v>0</v>
      </c>
      <c r="S20" s="2">
        <f>S9/'Output-Calculation-sheet'!S8*'Output-Calculation-sheet'!S26</f>
        <v>752.31130772586584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581.66094345357988</v>
      </c>
      <c r="Y20" s="2">
        <f>Y9/'Output-Calculation-sheet'!Y8*'Output-Calculation-sheet'!Y26</f>
        <v>0</v>
      </c>
      <c r="AA20" s="2">
        <f t="shared" si="0"/>
        <v>36.346484852275445</v>
      </c>
    </row>
    <row r="21" spans="1:27" x14ac:dyDescent="0.25">
      <c r="A21" s="2">
        <v>2033</v>
      </c>
      <c r="B21" s="2">
        <f>B10/'Output-Calculation-sheet'!B9*'Output-Calculation-sheet'!B27</f>
        <v>9998.5304046065703</v>
      </c>
      <c r="C21" s="2">
        <f>C10/'Output-Calculation-sheet'!C9*'Output-Calculation-sheet'!C27</f>
        <v>10034.980200227867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8797.5934317007159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1221.3463804053015</v>
      </c>
      <c r="M21" s="2">
        <f>M10/'Output-Calculation-sheet'!M9*'Output-Calculation-sheet'!M27</f>
        <v>6847.4784900528666</v>
      </c>
      <c r="N21" s="2">
        <f>N10/'Output-Calculation-sheet'!N9*'Output-Calculation-sheet'!N27</f>
        <v>3990.9343269209789</v>
      </c>
      <c r="O21" s="2">
        <f>O10/'Output-Calculation-sheet'!O9*'Output-Calculation-sheet'!O27</f>
        <v>1952.4721457727171</v>
      </c>
      <c r="P21" s="2">
        <f>P10/'Output-Calculation-sheet'!P9*'Output-Calculation-sheet'!P27</f>
        <v>0</v>
      </c>
      <c r="Q21" s="2">
        <f>Q10/'Output-Calculation-sheet'!Q9*'Output-Calculation-sheet'!Q27</f>
        <v>297.38955808610496</v>
      </c>
      <c r="R21" s="2">
        <f>R10/'Output-Calculation-sheet'!R9*'Output-Calculation-sheet'!R27</f>
        <v>0</v>
      </c>
      <c r="S21" s="2">
        <f>S10/'Output-Calculation-sheet'!S9*'Output-Calculation-sheet'!S27</f>
        <v>1013.770874130641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638.91651870742146</v>
      </c>
      <c r="Y21" s="2">
        <f>Y10/'Output-Calculation-sheet'!Y9*'Output-Calculation-sheet'!Y27</f>
        <v>0</v>
      </c>
      <c r="AA21" s="2">
        <f t="shared" si="0"/>
        <v>44.79341233061119</v>
      </c>
    </row>
    <row r="22" spans="1:27" x14ac:dyDescent="0.25">
      <c r="A22" s="2">
        <v>2034</v>
      </c>
      <c r="B22" s="2">
        <f>B11/'Output-Calculation-sheet'!B10*'Output-Calculation-sheet'!B28</f>
        <v>13510.359162655748</v>
      </c>
      <c r="C22" s="2">
        <f>C11/'Output-Calculation-sheet'!C10*'Output-Calculation-sheet'!C28</f>
        <v>11017.104611951749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9573.5542380027291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1410.4994009327847</v>
      </c>
      <c r="M22" s="2">
        <f>M11/'Output-Calculation-sheet'!M10*'Output-Calculation-sheet'!M28</f>
        <v>7439.1388306827175</v>
      </c>
      <c r="N22" s="2">
        <f>N11/'Output-Calculation-sheet'!N10*'Output-Calculation-sheet'!N28</f>
        <v>4462.078096663352</v>
      </c>
      <c r="O22" s="2">
        <f>O11/'Output-Calculation-sheet'!O10*'Output-Calculation-sheet'!O28</f>
        <v>2130.6582831186606</v>
      </c>
      <c r="P22" s="2">
        <f>P11/'Output-Calculation-sheet'!P10*'Output-Calculation-sheet'!P28</f>
        <v>0</v>
      </c>
      <c r="Q22" s="2">
        <f>Q11/'Output-Calculation-sheet'!Q10*'Output-Calculation-sheet'!Q28</f>
        <v>611.65169488829156</v>
      </c>
      <c r="R22" s="2">
        <f>R11/'Output-Calculation-sheet'!R10*'Output-Calculation-sheet'!R28</f>
        <v>0</v>
      </c>
      <c r="S22" s="2">
        <f>S11/'Output-Calculation-sheet'!S10*'Output-Calculation-sheet'!S28</f>
        <v>1307.1994327655184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695.6817048660082</v>
      </c>
      <c r="Y22" s="2">
        <f>Y11/'Output-Calculation-sheet'!Y10*'Output-Calculation-sheet'!Y28</f>
        <v>0</v>
      </c>
      <c r="AA22" s="2">
        <f t="shared" si="0"/>
        <v>52.157925456527565</v>
      </c>
    </row>
    <row r="23" spans="1:27" x14ac:dyDescent="0.25">
      <c r="A23" s="2">
        <v>2035</v>
      </c>
      <c r="B23" s="2">
        <f>B12/'Output-Calculation-sheet'!B11*'Output-Calculation-sheet'!B29</f>
        <v>17506.786455192207</v>
      </c>
      <c r="C23" s="2">
        <f>C12/'Output-Calculation-sheet'!C11*'Output-Calculation-sheet'!C29</f>
        <v>12272.711083397116</v>
      </c>
      <c r="D23" s="2">
        <f>D12/'Output-Calculation-sheet'!D11*'Output-Calculation-sheet'!D29</f>
        <v>0</v>
      </c>
      <c r="E23" s="2">
        <f>E12/'Output-Calculation-sheet'!E11*'Output-Calculation-sheet'!E29</f>
        <v>160.43499690832385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10248.473405023689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1615.5595610244918</v>
      </c>
      <c r="M23" s="2">
        <f>M12/'Output-Calculation-sheet'!M11*'Output-Calculation-sheet'!M29</f>
        <v>7970.5125788736541</v>
      </c>
      <c r="N23" s="2">
        <f>N12/'Output-Calculation-sheet'!N11*'Output-Calculation-sheet'!N29</f>
        <v>4892.5605967809079</v>
      </c>
      <c r="O23" s="2">
        <f>O12/'Output-Calculation-sheet'!O11*'Output-Calculation-sheet'!O29</f>
        <v>2488.9173304590308</v>
      </c>
      <c r="P23" s="2">
        <f>P12/'Output-Calculation-sheet'!P11*'Output-Calculation-sheet'!P29</f>
        <v>0</v>
      </c>
      <c r="Q23" s="2">
        <f>Q12/'Output-Calculation-sheet'!Q11*'Output-Calculation-sheet'!Q29</f>
        <v>962.07144296506817</v>
      </c>
      <c r="R23" s="2">
        <f>R12/'Output-Calculation-sheet'!R11*'Output-Calculation-sheet'!R29</f>
        <v>0</v>
      </c>
      <c r="S23" s="2">
        <f>S12/'Output-Calculation-sheet'!S11*'Output-Calculation-sheet'!S29</f>
        <v>1630.5312301455922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753.43480951388938</v>
      </c>
      <c r="Y23" s="2">
        <f>Y12/'Output-Calculation-sheet'!Y11*'Output-Calculation-sheet'!Y29</f>
        <v>0</v>
      </c>
      <c r="AA23" s="2">
        <f t="shared" si="0"/>
        <v>60.501993490283972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25373.412515973658</v>
      </c>
      <c r="C30" s="2">
        <f>C8/'Output-Calculation-sheet'!C7*'Output-Calculation-sheet'!C16</f>
        <v>0</v>
      </c>
      <c r="D30" s="2">
        <f>D8/'Output-Calculation-sheet'!D7*'Output-Calculation-sheet'!D16</f>
        <v>6935.1475226358853</v>
      </c>
      <c r="E30" s="2">
        <f>E8/'Output-Calculation-sheet'!E7*'Output-Calculation-sheet'!E16</f>
        <v>8468.3165428344364</v>
      </c>
      <c r="F30" s="2">
        <f>F8/'Output-Calculation-sheet'!F7*'Output-Calculation-sheet'!F16</f>
        <v>3808.8060924325305</v>
      </c>
      <c r="G30" s="2">
        <f>G8/'Output-Calculation-sheet'!G7*'Output-Calculation-sheet'!G16</f>
        <v>2193.2439176669736</v>
      </c>
      <c r="H30" s="2">
        <f>H8/'Output-Calculation-sheet'!H7*'Output-Calculation-sheet'!H16</f>
        <v>0</v>
      </c>
      <c r="I30" s="2">
        <f>I8/'Output-Calculation-sheet'!I7*'Output-Calculation-sheet'!I16</f>
        <v>2327.2244069180979</v>
      </c>
      <c r="J30" s="2">
        <f>J8/'Output-Calculation-sheet'!J7*'Output-Calculation-sheet'!J16</f>
        <v>2366.7843551379306</v>
      </c>
      <c r="K30" s="2">
        <f>K8/'Output-Calculation-sheet'!K7*'Output-Calculation-sheet'!K16</f>
        <v>3083.9009616842045</v>
      </c>
      <c r="L30" s="2">
        <f>L8/'Output-Calculation-sheet'!L7*'Output-Calculation-sheet'!L16</f>
        <v>2802.3218235082149</v>
      </c>
      <c r="M30" s="2">
        <f>M8/'Output-Calculation-sheet'!M7*'Output-Calculation-sheet'!M16</f>
        <v>0</v>
      </c>
      <c r="N30" s="2">
        <f>N8/'Output-Calculation-sheet'!N7*'Output-Calculation-sheet'!N16</f>
        <v>1654.6005832492049</v>
      </c>
      <c r="O30" s="2">
        <f>O8/'Output-Calculation-sheet'!O7*'Output-Calculation-sheet'!O16</f>
        <v>0</v>
      </c>
      <c r="P30" s="2">
        <f>P8/'Output-Calculation-sheet'!P7*'Output-Calculation-sheet'!P16</f>
        <v>2490.2351548635102</v>
      </c>
      <c r="Q30" s="2">
        <f>Q8/'Output-Calculation-sheet'!Q7*'Output-Calculation-sheet'!Q16</f>
        <v>2777.2842450763674</v>
      </c>
      <c r="R30" s="2">
        <f>R8/'Output-Calculation-sheet'!R7*'Output-Calculation-sheet'!R16</f>
        <v>2265.6759960585914</v>
      </c>
      <c r="S30" s="2">
        <f>S8/'Output-Calculation-sheet'!S7*'Output-Calculation-sheet'!S16</f>
        <v>1219.5753748258578</v>
      </c>
      <c r="T30" s="2">
        <f>T8/'Output-Calculation-sheet'!T7*'Output-Calculation-sheet'!T16</f>
        <v>718.51203311653092</v>
      </c>
      <c r="U30" s="2">
        <f>U8/'Output-Calculation-sheet'!U7*'Output-Calculation-sheet'!U16</f>
        <v>575.15589190291143</v>
      </c>
      <c r="V30" s="2">
        <f>V8/'Output-Calculation-sheet'!V7*'Output-Calculation-sheet'!V16</f>
        <v>677.21593795752096</v>
      </c>
      <c r="W30" s="2">
        <f>W8/'Output-Calculation-sheet'!W7*'Output-Calculation-sheet'!W16</f>
        <v>312.50885503110499</v>
      </c>
      <c r="X30" s="2">
        <f>X8/'Output-Calculation-sheet'!X7*'Output-Calculation-sheet'!X16</f>
        <v>0</v>
      </c>
      <c r="Y30" s="2">
        <f>Y8/'Output-Calculation-sheet'!Y7*'Output-Calculation-sheet'!Y16</f>
        <v>240.31362556232352</v>
      </c>
      <c r="AA30" s="2">
        <f t="shared" si="1"/>
        <v>70.290235836435869</v>
      </c>
    </row>
    <row r="31" spans="1:27" x14ac:dyDescent="0.25">
      <c r="A31" s="2">
        <v>2032</v>
      </c>
      <c r="B31" s="2">
        <f>B9/'Output-Calculation-sheet'!B8*'Output-Calculation-sheet'!B17</f>
        <v>27336.333277575486</v>
      </c>
      <c r="C31" s="2">
        <f>C9/'Output-Calculation-sheet'!C8*'Output-Calculation-sheet'!C17</f>
        <v>0</v>
      </c>
      <c r="D31" s="2">
        <f>D9/'Output-Calculation-sheet'!D8*'Output-Calculation-sheet'!D17</f>
        <v>7604.3067171267339</v>
      </c>
      <c r="E31" s="2">
        <f>E9/'Output-Calculation-sheet'!E8*'Output-Calculation-sheet'!E17</f>
        <v>9329.2335776504788</v>
      </c>
      <c r="F31" s="2">
        <f>F9/'Output-Calculation-sheet'!F8*'Output-Calculation-sheet'!F17</f>
        <v>4201.8769593434881</v>
      </c>
      <c r="G31" s="2">
        <f>G9/'Output-Calculation-sheet'!G8*'Output-Calculation-sheet'!G17</f>
        <v>2418.4811193370651</v>
      </c>
      <c r="H31" s="2">
        <f>H9/'Output-Calculation-sheet'!H8*'Output-Calculation-sheet'!H17</f>
        <v>0</v>
      </c>
      <c r="I31" s="2">
        <f>I9/'Output-Calculation-sheet'!I8*'Output-Calculation-sheet'!I17</f>
        <v>2563.8850706703633</v>
      </c>
      <c r="J31" s="2">
        <f>J9/'Output-Calculation-sheet'!J8*'Output-Calculation-sheet'!J17</f>
        <v>2601.2828581614726</v>
      </c>
      <c r="K31" s="2">
        <f>K9/'Output-Calculation-sheet'!K8*'Output-Calculation-sheet'!K17</f>
        <v>3383.1939757924001</v>
      </c>
      <c r="L31" s="2">
        <f>L9/'Output-Calculation-sheet'!L8*'Output-Calculation-sheet'!L17</f>
        <v>3060.4934175204457</v>
      </c>
      <c r="M31" s="2">
        <f>M9/'Output-Calculation-sheet'!M8*'Output-Calculation-sheet'!M17</f>
        <v>0</v>
      </c>
      <c r="N31" s="2">
        <f>N9/'Output-Calculation-sheet'!N8*'Output-Calculation-sheet'!N17</f>
        <v>1708.8991106510216</v>
      </c>
      <c r="O31" s="2">
        <f>O9/'Output-Calculation-sheet'!O8*'Output-Calculation-sheet'!O17</f>
        <v>0</v>
      </c>
      <c r="P31" s="2">
        <f>P9/'Output-Calculation-sheet'!P8*'Output-Calculation-sheet'!P17</f>
        <v>2776.6091547037668</v>
      </c>
      <c r="Q31" s="2">
        <f>Q9/'Output-Calculation-sheet'!Q8*'Output-Calculation-sheet'!Q17</f>
        <v>3017.6577940902157</v>
      </c>
      <c r="R31" s="2">
        <f>R9/'Output-Calculation-sheet'!R8*'Output-Calculation-sheet'!R17</f>
        <v>2505.0949244908575</v>
      </c>
      <c r="S31" s="2">
        <f>S9/'Output-Calculation-sheet'!S8*'Output-Calculation-sheet'!S17</f>
        <v>1301.4057475278198</v>
      </c>
      <c r="T31" s="2">
        <f>T9/'Output-Calculation-sheet'!T8*'Output-Calculation-sheet'!T17</f>
        <v>789.20021391589762</v>
      </c>
      <c r="U31" s="2">
        <f>U9/'Output-Calculation-sheet'!U8*'Output-Calculation-sheet'!U17</f>
        <v>634.04925836524581</v>
      </c>
      <c r="V31" s="2">
        <f>V9/'Output-Calculation-sheet'!V8*'Output-Calculation-sheet'!V17</f>
        <v>745.31984967727237</v>
      </c>
      <c r="W31" s="2">
        <f>W9/'Output-Calculation-sheet'!W8*'Output-Calculation-sheet'!W17</f>
        <v>344.73603257560524</v>
      </c>
      <c r="X31" s="2">
        <f>X9/'Output-Calculation-sheet'!X8*'Output-Calculation-sheet'!X17</f>
        <v>0</v>
      </c>
      <c r="Y31" s="2">
        <f>Y9/'Output-Calculation-sheet'!Y8*'Output-Calculation-sheet'!Y17</f>
        <v>265.29661422104857</v>
      </c>
      <c r="AA31" s="2">
        <f t="shared" si="1"/>
        <v>76.587355673396701</v>
      </c>
    </row>
    <row r="32" spans="1:27" x14ac:dyDescent="0.25">
      <c r="A32" s="2">
        <v>2033</v>
      </c>
      <c r="B32" s="2">
        <f>B10/'Output-Calculation-sheet'!B9*'Output-Calculation-sheet'!B18</f>
        <v>28562.949521164501</v>
      </c>
      <c r="C32" s="2">
        <f>C10/'Output-Calculation-sheet'!C9*'Output-Calculation-sheet'!C18</f>
        <v>0</v>
      </c>
      <c r="D32" s="2">
        <f>D10/'Output-Calculation-sheet'!D9*'Output-Calculation-sheet'!D18</f>
        <v>8165.6308728299946</v>
      </c>
      <c r="E32" s="2">
        <f>E10/'Output-Calculation-sheet'!E9*'Output-Calculation-sheet'!E18</f>
        <v>10091.593808939646</v>
      </c>
      <c r="F32" s="2">
        <f>F10/'Output-Calculation-sheet'!F9*'Output-Calculation-sheet'!F18</f>
        <v>4539.4604227426416</v>
      </c>
      <c r="G32" s="2">
        <f>G10/'Output-Calculation-sheet'!G9*'Output-Calculation-sheet'!G18</f>
        <v>2611.9768491949008</v>
      </c>
      <c r="H32" s="2">
        <f>H10/'Output-Calculation-sheet'!H9*'Output-Calculation-sheet'!H18</f>
        <v>0</v>
      </c>
      <c r="I32" s="2">
        <f>I10/'Output-Calculation-sheet'!I9*'Output-Calculation-sheet'!I18</f>
        <v>2766.810254755434</v>
      </c>
      <c r="J32" s="2">
        <f>J10/'Output-Calculation-sheet'!J9*'Output-Calculation-sheet'!J18</f>
        <v>2785.1713622140228</v>
      </c>
      <c r="K32" s="2">
        <f>K10/'Output-Calculation-sheet'!K9*'Output-Calculation-sheet'!K18</f>
        <v>3676.9027382326099</v>
      </c>
      <c r="L32" s="2">
        <f>L10/'Output-Calculation-sheet'!L9*'Output-Calculation-sheet'!L18</f>
        <v>3208.3055595268265</v>
      </c>
      <c r="M32" s="2">
        <f>M10/'Output-Calculation-sheet'!M9*'Output-Calculation-sheet'!M18</f>
        <v>0</v>
      </c>
      <c r="N32" s="2">
        <f>N10/'Output-Calculation-sheet'!N9*'Output-Calculation-sheet'!N18</f>
        <v>1799.7516047534614</v>
      </c>
      <c r="O32" s="2">
        <f>O10/'Output-Calculation-sheet'!O9*'Output-Calculation-sheet'!O18</f>
        <v>0</v>
      </c>
      <c r="P32" s="2">
        <f>P10/'Output-Calculation-sheet'!P9*'Output-Calculation-sheet'!P18</f>
        <v>3025.2965531100322</v>
      </c>
      <c r="Q32" s="2">
        <f>Q10/'Output-Calculation-sheet'!Q9*'Output-Calculation-sheet'!Q18</f>
        <v>3188.7034172442854</v>
      </c>
      <c r="R32" s="2">
        <f>R10/'Output-Calculation-sheet'!R9*'Output-Calculation-sheet'!R18</f>
        <v>2702.1057797616045</v>
      </c>
      <c r="S32" s="2">
        <f>S10/'Output-Calculation-sheet'!S9*'Output-Calculation-sheet'!S18</f>
        <v>1348.5832922128791</v>
      </c>
      <c r="T32" s="2">
        <f>T10/'Output-Calculation-sheet'!T9*'Output-Calculation-sheet'!T18</f>
        <v>851.11738587997604</v>
      </c>
      <c r="U32" s="2">
        <f>U10/'Output-Calculation-sheet'!U9*'Output-Calculation-sheet'!U18</f>
        <v>682.42913029688577</v>
      </c>
      <c r="V32" s="2">
        <f>V10/'Output-Calculation-sheet'!V9*'Output-Calculation-sheet'!V18</f>
        <v>794.04012307207165</v>
      </c>
      <c r="W32" s="2">
        <f>W10/'Output-Calculation-sheet'!W9*'Output-Calculation-sheet'!W18</f>
        <v>370.58147610892587</v>
      </c>
      <c r="X32" s="2">
        <f>X10/'Output-Calculation-sheet'!X9*'Output-Calculation-sheet'!X18</f>
        <v>0</v>
      </c>
      <c r="Y32" s="2">
        <f>Y10/'Output-Calculation-sheet'!Y9*'Output-Calculation-sheet'!Y18</f>
        <v>286.66269171233807</v>
      </c>
      <c r="AA32" s="2">
        <f t="shared" si="1"/>
        <v>81.45807284375303</v>
      </c>
    </row>
    <row r="33" spans="1:27" x14ac:dyDescent="0.25">
      <c r="A33" s="2">
        <v>2034</v>
      </c>
      <c r="B33" s="2">
        <f>B11/'Output-Calculation-sheet'!B10*'Output-Calculation-sheet'!B19</f>
        <v>29843.998047305362</v>
      </c>
      <c r="C33" s="2">
        <f>C11/'Output-Calculation-sheet'!C10*'Output-Calculation-sheet'!C19</f>
        <v>0</v>
      </c>
      <c r="D33" s="2">
        <f>D11/'Output-Calculation-sheet'!D10*'Output-Calculation-sheet'!D19</f>
        <v>8637.2925984457252</v>
      </c>
      <c r="E33" s="2">
        <f>E11/'Output-Calculation-sheet'!E10*'Output-Calculation-sheet'!E19</f>
        <v>10744.275068011359</v>
      </c>
      <c r="F33" s="2">
        <f>F11/'Output-Calculation-sheet'!F10*'Output-Calculation-sheet'!F19</f>
        <v>4834.5825335827622</v>
      </c>
      <c r="G33" s="2">
        <f>G11/'Output-Calculation-sheet'!G10*'Output-Calculation-sheet'!G19</f>
        <v>2773.8423168840359</v>
      </c>
      <c r="H33" s="2">
        <f>H11/'Output-Calculation-sheet'!H10*'Output-Calculation-sheet'!H19</f>
        <v>0</v>
      </c>
      <c r="I33" s="2">
        <f>I11/'Output-Calculation-sheet'!I10*'Output-Calculation-sheet'!I19</f>
        <v>2949.9014085355448</v>
      </c>
      <c r="J33" s="2">
        <f>J11/'Output-Calculation-sheet'!J10*'Output-Calculation-sheet'!J19</f>
        <v>2952.3862404189263</v>
      </c>
      <c r="K33" s="2">
        <f>K11/'Output-Calculation-sheet'!K10*'Output-Calculation-sheet'!K19</f>
        <v>3876.8965043094131</v>
      </c>
      <c r="L33" s="2">
        <f>L11/'Output-Calculation-sheet'!L10*'Output-Calculation-sheet'!L19</f>
        <v>3331.1504633754871</v>
      </c>
      <c r="M33" s="2">
        <f>M11/'Output-Calculation-sheet'!M10*'Output-Calculation-sheet'!M19</f>
        <v>0</v>
      </c>
      <c r="N33" s="2">
        <f>N11/'Output-Calculation-sheet'!N10*'Output-Calculation-sheet'!N19</f>
        <v>1818.5588502727751</v>
      </c>
      <c r="O33" s="2">
        <f>O11/'Output-Calculation-sheet'!O10*'Output-Calculation-sheet'!O19</f>
        <v>0</v>
      </c>
      <c r="P33" s="2">
        <f>P11/'Output-Calculation-sheet'!P10*'Output-Calculation-sheet'!P19</f>
        <v>3253.9848743274115</v>
      </c>
      <c r="Q33" s="2">
        <f>Q11/'Output-Calculation-sheet'!Q10*'Output-Calculation-sheet'!Q19</f>
        <v>3246.3859005127747</v>
      </c>
      <c r="R33" s="2">
        <f>R11/'Output-Calculation-sheet'!R10*'Output-Calculation-sheet'!R19</f>
        <v>2868.3248885471762</v>
      </c>
      <c r="S33" s="2">
        <f>S11/'Output-Calculation-sheet'!S10*'Output-Calculation-sheet'!S19</f>
        <v>1398.0613147722208</v>
      </c>
      <c r="T33" s="2">
        <f>T11/'Output-Calculation-sheet'!T10*'Output-Calculation-sheet'!T19</f>
        <v>906.18611056998532</v>
      </c>
      <c r="U33" s="2">
        <f>U11/'Output-Calculation-sheet'!U10*'Output-Calculation-sheet'!U19</f>
        <v>731.09471579134117</v>
      </c>
      <c r="V33" s="2">
        <f>V11/'Output-Calculation-sheet'!V10*'Output-Calculation-sheet'!V19</f>
        <v>838.98747626502166</v>
      </c>
      <c r="W33" s="2">
        <f>W11/'Output-Calculation-sheet'!W10*'Output-Calculation-sheet'!W19</f>
        <v>394.91873280937318</v>
      </c>
      <c r="X33" s="2">
        <f>X11/'Output-Calculation-sheet'!X10*'Output-Calculation-sheet'!X19</f>
        <v>0</v>
      </c>
      <c r="Y33" s="2">
        <f>Y11/'Output-Calculation-sheet'!Y10*'Output-Calculation-sheet'!Y19</f>
        <v>305.37001382796171</v>
      </c>
      <c r="AA33" s="2">
        <f t="shared" si="1"/>
        <v>85.706198058564638</v>
      </c>
    </row>
    <row r="34" spans="1:27" x14ac:dyDescent="0.25">
      <c r="A34" s="2">
        <v>2035</v>
      </c>
      <c r="B34" s="2">
        <f>B12/'Output-Calculation-sheet'!B11*'Output-Calculation-sheet'!B20</f>
        <v>30233.379758836487</v>
      </c>
      <c r="C34" s="2">
        <f>C12/'Output-Calculation-sheet'!C11*'Output-Calculation-sheet'!C20</f>
        <v>0</v>
      </c>
      <c r="D34" s="2">
        <f>D12/'Output-Calculation-sheet'!D11*'Output-Calculation-sheet'!D20</f>
        <v>9113.4369608208563</v>
      </c>
      <c r="E34" s="2">
        <f>E12/'Output-Calculation-sheet'!E11*'Output-Calculation-sheet'!E20</f>
        <v>11219.311876701846</v>
      </c>
      <c r="F34" s="2">
        <f>F12/'Output-Calculation-sheet'!F11*'Output-Calculation-sheet'!F20</f>
        <v>5094.6805018140585</v>
      </c>
      <c r="G34" s="2">
        <f>G12/'Output-Calculation-sheet'!G11*'Output-Calculation-sheet'!G20</f>
        <v>2919.0821003309989</v>
      </c>
      <c r="H34" s="2">
        <f>H12/'Output-Calculation-sheet'!H11*'Output-Calculation-sheet'!H20</f>
        <v>0</v>
      </c>
      <c r="I34" s="2">
        <f>I12/'Output-Calculation-sheet'!I11*'Output-Calculation-sheet'!I20</f>
        <v>3114.3273397418184</v>
      </c>
      <c r="J34" s="2">
        <f>J12/'Output-Calculation-sheet'!J11*'Output-Calculation-sheet'!J20</f>
        <v>3099.8974668230167</v>
      </c>
      <c r="K34" s="2">
        <f>K12/'Output-Calculation-sheet'!K11*'Output-Calculation-sheet'!K20</f>
        <v>4070.3858434757044</v>
      </c>
      <c r="L34" s="2">
        <f>L12/'Output-Calculation-sheet'!L11*'Output-Calculation-sheet'!L20</f>
        <v>3448.2420121482301</v>
      </c>
      <c r="M34" s="2">
        <f>M12/'Output-Calculation-sheet'!M11*'Output-Calculation-sheet'!M20</f>
        <v>0</v>
      </c>
      <c r="N34" s="2">
        <f>N12/'Output-Calculation-sheet'!N11*'Output-Calculation-sheet'!N20</f>
        <v>1876.4801492925283</v>
      </c>
      <c r="O34" s="2">
        <f>O12/'Output-Calculation-sheet'!O11*'Output-Calculation-sheet'!O20</f>
        <v>0</v>
      </c>
      <c r="P34" s="2">
        <f>P12/'Output-Calculation-sheet'!P11*'Output-Calculation-sheet'!P20</f>
        <v>3436.6317697110139</v>
      </c>
      <c r="Q34" s="2">
        <f>Q12/'Output-Calculation-sheet'!Q11*'Output-Calculation-sheet'!Q20</f>
        <v>3282.7046353120295</v>
      </c>
      <c r="R34" s="2">
        <f>R12/'Output-Calculation-sheet'!R11*'Output-Calculation-sheet'!R20</f>
        <v>3019.9307727173159</v>
      </c>
      <c r="S34" s="2">
        <f>S12/'Output-Calculation-sheet'!S11*'Output-Calculation-sheet'!S20</f>
        <v>1410.493086922764</v>
      </c>
      <c r="T34" s="2">
        <f>T12/'Output-Calculation-sheet'!T11*'Output-Calculation-sheet'!T20</f>
        <v>953.15553702108787</v>
      </c>
      <c r="U34" s="2">
        <f>U12/'Output-Calculation-sheet'!U11*'Output-Calculation-sheet'!U20</f>
        <v>767.74759131690053</v>
      </c>
      <c r="V34" s="2">
        <f>V12/'Output-Calculation-sheet'!V11*'Output-Calculation-sheet'!V20</f>
        <v>881.36953296403908</v>
      </c>
      <c r="W34" s="2">
        <f>W12/'Output-Calculation-sheet'!W11*'Output-Calculation-sheet'!W20</f>
        <v>416.4407591132354</v>
      </c>
      <c r="X34" s="2">
        <f>X12/'Output-Calculation-sheet'!X11*'Output-Calculation-sheet'!X20</f>
        <v>0</v>
      </c>
      <c r="Y34" s="2">
        <f>Y12/'Output-Calculation-sheet'!Y11*'Output-Calculation-sheet'!Y20</f>
        <v>323.40080215874019</v>
      </c>
      <c r="AA34" s="2">
        <f t="shared" si="1"/>
        <v>88.681098497222663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1121.2042383497342</v>
      </c>
      <c r="C52" s="2">
        <f>C8/'Output-Calculation-sheet'!C7*'Output-Calculation-sheet'!C43</f>
        <v>0</v>
      </c>
      <c r="D52" s="2">
        <f>D8/'Output-Calculation-sheet'!D7*'Output-Calculation-sheet'!D43</f>
        <v>2435.5353135956184</v>
      </c>
      <c r="E52" s="2">
        <f>E8/'Output-Calculation-sheet'!E7*'Output-Calculation-sheet'!E43</f>
        <v>1748.2847182646706</v>
      </c>
      <c r="F52" s="2">
        <f>F8/'Output-Calculation-sheet'!F7*'Output-Calculation-sheet'!F43</f>
        <v>0</v>
      </c>
      <c r="G52" s="2">
        <f>G8/'Output-Calculation-sheet'!G7*'Output-Calculation-sheet'!G43</f>
        <v>620.0301485289757</v>
      </c>
      <c r="H52" s="2">
        <f>H8/'Output-Calculation-sheet'!H7*'Output-Calculation-sheet'!H43</f>
        <v>4750.544907780346</v>
      </c>
      <c r="I52" s="2">
        <f>I8/'Output-Calculation-sheet'!I7*'Output-Calculation-sheet'!I43</f>
        <v>202.79276368190642</v>
      </c>
      <c r="J52" s="2">
        <f>J8/'Output-Calculation-sheet'!J7*'Output-Calculation-sheet'!J43</f>
        <v>1103.840406458088</v>
      </c>
      <c r="K52" s="2">
        <f>K8/'Output-Calculation-sheet'!K7*'Output-Calculation-sheet'!K43</f>
        <v>2217.361191054315</v>
      </c>
      <c r="L52" s="2">
        <f>L8/'Output-Calculation-sheet'!L7*'Output-Calculation-sheet'!L43</f>
        <v>2060.2976872303357</v>
      </c>
      <c r="M52" s="2">
        <f>M8/'Output-Calculation-sheet'!M7*'Output-Calculation-sheet'!M43</f>
        <v>13451.087764459877</v>
      </c>
      <c r="N52" s="2">
        <f>N8/'Output-Calculation-sheet'!N7*'Output-Calculation-sheet'!N43</f>
        <v>7699.5094765758877</v>
      </c>
      <c r="O52" s="2">
        <f>O8/'Output-Calculation-sheet'!O7*'Output-Calculation-sheet'!O43</f>
        <v>0</v>
      </c>
      <c r="P52" s="2">
        <f>P8/'Output-Calculation-sheet'!P7*'Output-Calculation-sheet'!P43</f>
        <v>1637.5158391058144</v>
      </c>
      <c r="Q52" s="2">
        <f>Q8/'Output-Calculation-sheet'!Q7*'Output-Calculation-sheet'!Q43</f>
        <v>372.07759664462804</v>
      </c>
      <c r="R52" s="2">
        <f>R8/'Output-Calculation-sheet'!R7*'Output-Calculation-sheet'!R43</f>
        <v>2983.9601157490993</v>
      </c>
      <c r="S52" s="2">
        <f>S8/'Output-Calculation-sheet'!S7*'Output-Calculation-sheet'!S43</f>
        <v>497.45754097873152</v>
      </c>
      <c r="T52" s="2">
        <f>T8/'Output-Calculation-sheet'!T7*'Output-Calculation-sheet'!T43</f>
        <v>884.35537456725785</v>
      </c>
      <c r="U52" s="2">
        <f>U8/'Output-Calculation-sheet'!U7*'Output-Calculation-sheet'!U43</f>
        <v>330.33874847920538</v>
      </c>
      <c r="V52" s="2">
        <f>V8/'Output-Calculation-sheet'!V7*'Output-Calculation-sheet'!V43</f>
        <v>863.66384884740921</v>
      </c>
      <c r="W52" s="2">
        <f>W8/'Output-Calculation-sheet'!W7*'Output-Calculation-sheet'!W43</f>
        <v>10.339188163407643</v>
      </c>
      <c r="X52" s="2">
        <f>X8/'Output-Calculation-sheet'!X7*'Output-Calculation-sheet'!X43</f>
        <v>700.71221468584781</v>
      </c>
      <c r="Y52" s="2">
        <f>Y8/'Output-Calculation-sheet'!Y7*'Output-Calculation-sheet'!Y43</f>
        <v>0</v>
      </c>
      <c r="AA52" s="2">
        <f t="shared" si="3"/>
        <v>45.690909083201149</v>
      </c>
    </row>
    <row r="53" spans="1:27" x14ac:dyDescent="0.25">
      <c r="A53" s="2">
        <v>2032</v>
      </c>
      <c r="B53" s="2">
        <f>B9/'Output-Calculation-sheet'!B8*'Output-Calculation-sheet'!B44</f>
        <v>3896.7231525027141</v>
      </c>
      <c r="C53" s="2">
        <f>C9/'Output-Calculation-sheet'!C8*'Output-Calculation-sheet'!C44</f>
        <v>0</v>
      </c>
      <c r="D53" s="2">
        <f>D9/'Output-Calculation-sheet'!D8*'Output-Calculation-sheet'!D44</f>
        <v>3449.0953371176606</v>
      </c>
      <c r="E53" s="2">
        <f>E9/'Output-Calculation-sheet'!E8*'Output-Calculation-sheet'!E44</f>
        <v>2261.4164161546796</v>
      </c>
      <c r="F53" s="2">
        <f>F9/'Output-Calculation-sheet'!F8*'Output-Calculation-sheet'!F44</f>
        <v>0</v>
      </c>
      <c r="G53" s="2">
        <f>G9/'Output-Calculation-sheet'!G8*'Output-Calculation-sheet'!G44</f>
        <v>835.15360697422557</v>
      </c>
      <c r="H53" s="2">
        <f>H9/'Output-Calculation-sheet'!H8*'Output-Calculation-sheet'!H44</f>
        <v>10487.565700071251</v>
      </c>
      <c r="I53" s="2">
        <f>I9/'Output-Calculation-sheet'!I8*'Output-Calculation-sheet'!I44</f>
        <v>306.03255108049393</v>
      </c>
      <c r="J53" s="2">
        <f>J9/'Output-Calculation-sheet'!J8*'Output-Calculation-sheet'!J44</f>
        <v>1404.2235675328666</v>
      </c>
      <c r="K53" s="2">
        <f>K9/'Output-Calculation-sheet'!K8*'Output-Calculation-sheet'!K44</f>
        <v>2542.9736175214439</v>
      </c>
      <c r="L53" s="2">
        <f>L9/'Output-Calculation-sheet'!L8*'Output-Calculation-sheet'!L44</f>
        <v>2478.6428740725828</v>
      </c>
      <c r="M53" s="2">
        <f>M9/'Output-Calculation-sheet'!M8*'Output-Calculation-sheet'!M44</f>
        <v>14907.168205370777</v>
      </c>
      <c r="N53" s="2">
        <f>N9/'Output-Calculation-sheet'!N8*'Output-Calculation-sheet'!N44</f>
        <v>9929.6868718827518</v>
      </c>
      <c r="O53" s="2">
        <f>O9/'Output-Calculation-sheet'!O8*'Output-Calculation-sheet'!O44</f>
        <v>0</v>
      </c>
      <c r="P53" s="2">
        <f>P9/'Output-Calculation-sheet'!P8*'Output-Calculation-sheet'!P44</f>
        <v>2059.2991114742463</v>
      </c>
      <c r="Q53" s="2">
        <f>Q9/'Output-Calculation-sheet'!Q8*'Output-Calculation-sheet'!Q44</f>
        <v>621.42139297700407</v>
      </c>
      <c r="R53" s="2">
        <f>R9/'Output-Calculation-sheet'!R8*'Output-Calculation-sheet'!R44</f>
        <v>3486.2436043267289</v>
      </c>
      <c r="S53" s="2">
        <f>S9/'Output-Calculation-sheet'!S8*'Output-Calculation-sheet'!S44</f>
        <v>1010.6246432708541</v>
      </c>
      <c r="T53" s="2">
        <f>T9/'Output-Calculation-sheet'!T8*'Output-Calculation-sheet'!T44</f>
        <v>1035.738562087837</v>
      </c>
      <c r="U53" s="2">
        <f>U9/'Output-Calculation-sheet'!U8*'Output-Calculation-sheet'!U44</f>
        <v>447.52686070130636</v>
      </c>
      <c r="V53" s="2">
        <f>V9/'Output-Calculation-sheet'!V8*'Output-Calculation-sheet'!V44</f>
        <v>965.36100464569995</v>
      </c>
      <c r="W53" s="2">
        <f>W9/'Output-Calculation-sheet'!W8*'Output-Calculation-sheet'!W44</f>
        <v>26.477421856805314</v>
      </c>
      <c r="X53" s="2">
        <f>X9/'Output-Calculation-sheet'!X8*'Output-Calculation-sheet'!X44</f>
        <v>1434.0440749956042</v>
      </c>
      <c r="Y53" s="2">
        <f>Y9/'Output-Calculation-sheet'!Y8*'Output-Calculation-sheet'!Y44</f>
        <v>0</v>
      </c>
      <c r="AA53" s="2">
        <f t="shared" si="3"/>
        <v>63.585418576617535</v>
      </c>
    </row>
    <row r="54" spans="1:27" x14ac:dyDescent="0.25">
      <c r="A54" s="2">
        <v>2033</v>
      </c>
      <c r="B54" s="2">
        <f>B10/'Output-Calculation-sheet'!B9*'Output-Calculation-sheet'!B45</f>
        <v>8151.2752004063695</v>
      </c>
      <c r="C54" s="2">
        <f>C10/'Output-Calculation-sheet'!C9*'Output-Calculation-sheet'!C45</f>
        <v>0</v>
      </c>
      <c r="D54" s="2">
        <f>D10/'Output-Calculation-sheet'!D9*'Output-Calculation-sheet'!D45</f>
        <v>4631.1952681121575</v>
      </c>
      <c r="E54" s="2">
        <f>E10/'Output-Calculation-sheet'!E9*'Output-Calculation-sheet'!E45</f>
        <v>3091.6745565088308</v>
      </c>
      <c r="F54" s="2">
        <f>F10/'Output-Calculation-sheet'!F9*'Output-Calculation-sheet'!F45</f>
        <v>0</v>
      </c>
      <c r="G54" s="2">
        <f>G10/'Output-Calculation-sheet'!G9*'Output-Calculation-sheet'!G45</f>
        <v>1096.4641024707644</v>
      </c>
      <c r="H54" s="2">
        <f>H10/'Output-Calculation-sheet'!H9*'Output-Calculation-sheet'!H45</f>
        <v>21758.613957119487</v>
      </c>
      <c r="I54" s="2">
        <f>I10/'Output-Calculation-sheet'!I9*'Output-Calculation-sheet'!I45</f>
        <v>448.27454387820001</v>
      </c>
      <c r="J54" s="2">
        <f>J10/'Output-Calculation-sheet'!J9*'Output-Calculation-sheet'!J45</f>
        <v>1833.7311053241451</v>
      </c>
      <c r="K54" s="2">
        <f>K10/'Output-Calculation-sheet'!K9*'Output-Calculation-sheet'!K45</f>
        <v>3113.455423281569</v>
      </c>
      <c r="L54" s="2">
        <f>L10/'Output-Calculation-sheet'!L9*'Output-Calculation-sheet'!L45</f>
        <v>2966.1335968079184</v>
      </c>
      <c r="M54" s="2">
        <f>M10/'Output-Calculation-sheet'!M9*'Output-Calculation-sheet'!M45</f>
        <v>16190.196223517383</v>
      </c>
      <c r="N54" s="2">
        <f>N10/'Output-Calculation-sheet'!N9*'Output-Calculation-sheet'!N45</f>
        <v>11341.097329147104</v>
      </c>
      <c r="O54" s="2">
        <f>O10/'Output-Calculation-sheet'!O9*'Output-Calculation-sheet'!O45</f>
        <v>0</v>
      </c>
      <c r="P54" s="2">
        <f>P10/'Output-Calculation-sheet'!P9*'Output-Calculation-sheet'!P45</f>
        <v>2574.0358867195168</v>
      </c>
      <c r="Q54" s="2">
        <f>Q10/'Output-Calculation-sheet'!Q9*'Output-Calculation-sheet'!Q45</f>
        <v>991.74354008064233</v>
      </c>
      <c r="R54" s="2">
        <f>R10/'Output-Calculation-sheet'!R9*'Output-Calculation-sheet'!R45</f>
        <v>3820.5139571198674</v>
      </c>
      <c r="S54" s="2">
        <f>S10/'Output-Calculation-sheet'!S9*'Output-Calculation-sheet'!S45</f>
        <v>1697.0217970775341</v>
      </c>
      <c r="T54" s="2">
        <f>T10/'Output-Calculation-sheet'!T9*'Output-Calculation-sheet'!T45</f>
        <v>1231.5259581113642</v>
      </c>
      <c r="U54" s="2">
        <f>U10/'Output-Calculation-sheet'!U9*'Output-Calculation-sheet'!U45</f>
        <v>553.74687559200515</v>
      </c>
      <c r="V54" s="2">
        <f>V10/'Output-Calculation-sheet'!V9*'Output-Calculation-sheet'!V45</f>
        <v>1074.5109391199012</v>
      </c>
      <c r="W54" s="2">
        <f>W10/'Output-Calculation-sheet'!W9*'Output-Calculation-sheet'!W45</f>
        <v>36.567733671542022</v>
      </c>
      <c r="X54" s="2">
        <f>X10/'Output-Calculation-sheet'!X9*'Output-Calculation-sheet'!X45</f>
        <v>1559.861900237162</v>
      </c>
      <c r="Y54" s="2">
        <f>Y10/'Output-Calculation-sheet'!Y9*'Output-Calculation-sheet'!Y45</f>
        <v>11.723486492407085</v>
      </c>
      <c r="AA54" s="2">
        <f t="shared" si="3"/>
        <v>88.173363380795877</v>
      </c>
    </row>
    <row r="55" spans="1:27" x14ac:dyDescent="0.25">
      <c r="A55" s="2">
        <v>2034</v>
      </c>
      <c r="B55" s="2">
        <f>B11/'Output-Calculation-sheet'!B10*'Output-Calculation-sheet'!B46</f>
        <v>17515.590962820759</v>
      </c>
      <c r="C55" s="2">
        <f>C11/'Output-Calculation-sheet'!C10*'Output-Calculation-sheet'!C46</f>
        <v>0</v>
      </c>
      <c r="D55" s="2">
        <f>D11/'Output-Calculation-sheet'!D10*'Output-Calculation-sheet'!D46</f>
        <v>5596.7723678626553</v>
      </c>
      <c r="E55" s="2">
        <f>E11/'Output-Calculation-sheet'!E10*'Output-Calculation-sheet'!E46</f>
        <v>3667.600631842758</v>
      </c>
      <c r="F55" s="2">
        <f>F11/'Output-Calculation-sheet'!F10*'Output-Calculation-sheet'!F46</f>
        <v>0</v>
      </c>
      <c r="G55" s="2">
        <f>G11/'Output-Calculation-sheet'!G10*'Output-Calculation-sheet'!G46</f>
        <v>1408.8999984173283</v>
      </c>
      <c r="H55" s="2">
        <f>H11/'Output-Calculation-sheet'!H10*'Output-Calculation-sheet'!H46</f>
        <v>23304.776065422309</v>
      </c>
      <c r="I55" s="2">
        <f>I11/'Output-Calculation-sheet'!I10*'Output-Calculation-sheet'!I46</f>
        <v>633.61071558209176</v>
      </c>
      <c r="J55" s="2">
        <f>J11/'Output-Calculation-sheet'!J10*'Output-Calculation-sheet'!J46</f>
        <v>2194.7330412501974</v>
      </c>
      <c r="K55" s="2">
        <f>K11/'Output-Calculation-sheet'!K10*'Output-Calculation-sheet'!K46</f>
        <v>3736.4375879812192</v>
      </c>
      <c r="L55" s="2">
        <f>L11/'Output-Calculation-sheet'!L10*'Output-Calculation-sheet'!L46</f>
        <v>3565.2433514888712</v>
      </c>
      <c r="M55" s="2">
        <f>M11/'Output-Calculation-sheet'!M10*'Output-Calculation-sheet'!M46</f>
        <v>17303.817369362918</v>
      </c>
      <c r="N55" s="2">
        <f>N11/'Output-Calculation-sheet'!N10*'Output-Calculation-sheet'!N46</f>
        <v>12737.850032364377</v>
      </c>
      <c r="O55" s="2">
        <f>O11/'Output-Calculation-sheet'!O10*'Output-Calculation-sheet'!O46</f>
        <v>0</v>
      </c>
      <c r="P55" s="2">
        <f>P11/'Output-Calculation-sheet'!P10*'Output-Calculation-sheet'!P46</f>
        <v>2963.1874629458025</v>
      </c>
      <c r="Q55" s="2">
        <f>Q11/'Output-Calculation-sheet'!Q10*'Output-Calculation-sheet'!Q46</f>
        <v>1657.866624164212</v>
      </c>
      <c r="R55" s="2">
        <f>R11/'Output-Calculation-sheet'!R10*'Output-Calculation-sheet'!R46</f>
        <v>4150.3093242644027</v>
      </c>
      <c r="S55" s="2">
        <f>S11/'Output-Calculation-sheet'!S10*'Output-Calculation-sheet'!S46</f>
        <v>2672.0192408434832</v>
      </c>
      <c r="T55" s="2">
        <f>T11/'Output-Calculation-sheet'!T10*'Output-Calculation-sheet'!T46</f>
        <v>1372.2787251295156</v>
      </c>
      <c r="U55" s="2">
        <f>U11/'Output-Calculation-sheet'!U10*'Output-Calculation-sheet'!U46</f>
        <v>651.52482723717708</v>
      </c>
      <c r="V55" s="2">
        <f>V11/'Output-Calculation-sheet'!V10*'Output-Calculation-sheet'!V46</f>
        <v>1198.7596076377695</v>
      </c>
      <c r="W55" s="2">
        <f>W11/'Output-Calculation-sheet'!W10*'Output-Calculation-sheet'!W46</f>
        <v>60.300827363790511</v>
      </c>
      <c r="X55" s="2">
        <f>X11/'Output-Calculation-sheet'!X10*'Output-Calculation-sheet'!X46</f>
        <v>1676.7634955877754</v>
      </c>
      <c r="Y55" s="2">
        <f>Y11/'Output-Calculation-sheet'!Y10*'Output-Calculation-sheet'!Y46</f>
        <v>19.884582161567462</v>
      </c>
      <c r="AA55" s="2">
        <f t="shared" si="3"/>
        <v>108.088226841731</v>
      </c>
    </row>
    <row r="56" spans="1:27" x14ac:dyDescent="0.25">
      <c r="A56" s="2">
        <v>2035</v>
      </c>
      <c r="B56" s="2">
        <f>B12/'Output-Calculation-sheet'!B11*'Output-Calculation-sheet'!B47</f>
        <v>31372.851530438104</v>
      </c>
      <c r="C56" s="2">
        <f>C12/'Output-Calculation-sheet'!C11*'Output-Calculation-sheet'!C47</f>
        <v>1861.2818826183554</v>
      </c>
      <c r="D56" s="2">
        <f>D12/'Output-Calculation-sheet'!D11*'Output-Calculation-sheet'!D47</f>
        <v>6698.1772818624986</v>
      </c>
      <c r="E56" s="2">
        <f>E12/'Output-Calculation-sheet'!E11*'Output-Calculation-sheet'!E47</f>
        <v>4831.8860732981657</v>
      </c>
      <c r="F56" s="2">
        <f>F12/'Output-Calculation-sheet'!F11*'Output-Calculation-sheet'!F47</f>
        <v>103.01440678207008</v>
      </c>
      <c r="G56" s="2">
        <f>G12/'Output-Calculation-sheet'!G11*'Output-Calculation-sheet'!G47</f>
        <v>1774.3606926423436</v>
      </c>
      <c r="H56" s="2">
        <f>H12/'Output-Calculation-sheet'!H11*'Output-Calculation-sheet'!H47</f>
        <v>24816.353016113131</v>
      </c>
      <c r="I56" s="2">
        <f>I12/'Output-Calculation-sheet'!I11*'Output-Calculation-sheet'!I47</f>
        <v>764.7171799767458</v>
      </c>
      <c r="J56" s="2">
        <f>J12/'Output-Calculation-sheet'!J11*'Output-Calculation-sheet'!J47</f>
        <v>2500.7930140918324</v>
      </c>
      <c r="K56" s="2">
        <f>K12/'Output-Calculation-sheet'!K11*'Output-Calculation-sheet'!K47</f>
        <v>4117.4423272153081</v>
      </c>
      <c r="L56" s="2">
        <f>L12/'Output-Calculation-sheet'!L11*'Output-Calculation-sheet'!L47</f>
        <v>4235.4034330034929</v>
      </c>
      <c r="M56" s="2">
        <f>M12/'Output-Calculation-sheet'!M11*'Output-Calculation-sheet'!M47</f>
        <v>18357.401261518517</v>
      </c>
      <c r="N56" s="2">
        <f>N12/'Output-Calculation-sheet'!N11*'Output-Calculation-sheet'!N47</f>
        <v>14070.634419665717</v>
      </c>
      <c r="O56" s="2">
        <f>O12/'Output-Calculation-sheet'!O11*'Output-Calculation-sheet'!O47</f>
        <v>881.39268035868713</v>
      </c>
      <c r="P56" s="2">
        <f>P12/'Output-Calculation-sheet'!P11*'Output-Calculation-sheet'!P47</f>
        <v>3244.0894666100089</v>
      </c>
      <c r="Q56" s="2">
        <f>Q12/'Output-Calculation-sheet'!Q11*'Output-Calculation-sheet'!Q47</f>
        <v>2503.7919381989377</v>
      </c>
      <c r="R56" s="2">
        <f>R12/'Output-Calculation-sheet'!R11*'Output-Calculation-sheet'!R47</f>
        <v>4460.9409538599411</v>
      </c>
      <c r="S56" s="2">
        <f>S12/'Output-Calculation-sheet'!S11*'Output-Calculation-sheet'!S47</f>
        <v>3817.6964912478111</v>
      </c>
      <c r="T56" s="2">
        <f>T12/'Output-Calculation-sheet'!T11*'Output-Calculation-sheet'!T47</f>
        <v>1556.9730343296355</v>
      </c>
      <c r="U56" s="2">
        <f>U12/'Output-Calculation-sheet'!U11*'Output-Calculation-sheet'!U47</f>
        <v>778.55254666011399</v>
      </c>
      <c r="V56" s="2">
        <f>V12/'Output-Calculation-sheet'!V11*'Output-Calculation-sheet'!V47</f>
        <v>1289.4143669388318</v>
      </c>
      <c r="W56" s="2">
        <f>W12/'Output-Calculation-sheet'!W11*'Output-Calculation-sheet'!W47</f>
        <v>81.366986855231886</v>
      </c>
      <c r="X56" s="2">
        <f>X12/'Output-Calculation-sheet'!X11*'Output-Calculation-sheet'!X47</f>
        <v>1781.3806470546242</v>
      </c>
      <c r="Y56" s="2">
        <f>Y12/'Output-Calculation-sheet'!Y11*'Output-Calculation-sheet'!Y47</f>
        <v>31.303162943374733</v>
      </c>
      <c r="AA56" s="2">
        <f t="shared" si="3"/>
        <v>135.93121879428347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6.926629229316144</v>
      </c>
      <c r="C63" s="2">
        <f>C8*'Output-Calculation-sheet'!C52/10^9</f>
        <v>4.255561017461936</v>
      </c>
      <c r="D63" s="2">
        <f>D8*'Output-Calculation-sheet'!D52/10^9</f>
        <v>1.4993156342856919</v>
      </c>
      <c r="E63" s="2">
        <f>E8*'Output-Calculation-sheet'!E52/10^9</f>
        <v>1.792964839459561</v>
      </c>
      <c r="F63" s="2">
        <f>F8*'Output-Calculation-sheet'!F52/10^9</f>
        <v>0.69611838941989157</v>
      </c>
      <c r="G63" s="2">
        <f>G8*'Output-Calculation-sheet'!G52/10^9</f>
        <v>0.49132277117579126</v>
      </c>
      <c r="H63" s="2">
        <f>H8*'Output-Calculation-sheet'!H52/10^9</f>
        <v>1.3090724833411969</v>
      </c>
      <c r="I63" s="2">
        <f>I8*'Output-Calculation-sheet'!I52/10^9</f>
        <v>0.48136319750934575</v>
      </c>
      <c r="J63" s="2">
        <f>J8*'Output-Calculation-sheet'!J52/10^9</f>
        <v>0.50114760420099791</v>
      </c>
      <c r="K63" s="2">
        <f>K8*'Output-Calculation-sheet'!K52/10^9</f>
        <v>0.604528460184662</v>
      </c>
      <c r="L63" s="2">
        <f>L8*'Output-Calculation-sheet'!L52/10^9</f>
        <v>0.63103937035533031</v>
      </c>
      <c r="M63" s="2">
        <f>M8*'Output-Calculation-sheet'!M52/10^9</f>
        <v>0.98781366724950004</v>
      </c>
      <c r="N63" s="2">
        <f>N8*'Output-Calculation-sheet'!N52/10^9</f>
        <v>0.84941098955929828</v>
      </c>
      <c r="O63" s="2">
        <f>O8*'Output-Calculation-sheet'!O52/10^9</f>
        <v>0.89069941061531632</v>
      </c>
      <c r="P63" s="2">
        <f>P8*'Output-Calculation-sheet'!P52/10^9</f>
        <v>0.54230077797817688</v>
      </c>
      <c r="Q63" s="2">
        <f>Q8*'Output-Calculation-sheet'!Q52/10^9</f>
        <v>0.59042478965679324</v>
      </c>
      <c r="R63" s="2">
        <f>R8*'Output-Calculation-sheet'!R52/10^9</f>
        <v>0.45544832776817662</v>
      </c>
      <c r="S63" s="2">
        <f>S8*'Output-Calculation-sheet'!S52/10^9</f>
        <v>0.43374851323640062</v>
      </c>
      <c r="T63" s="2">
        <f>T8*'Output-Calculation-sheet'!T52/10^9</f>
        <v>0.14114699551994378</v>
      </c>
      <c r="U63" s="2">
        <f>U8*'Output-Calculation-sheet'!U52/10^9</f>
        <v>0.13764629436462444</v>
      </c>
      <c r="V63" s="2">
        <f>V8*'Output-Calculation-sheet'!V52/10^9</f>
        <v>0.11736220957042705</v>
      </c>
      <c r="W63" s="2">
        <f>W8*'Output-Calculation-sheet'!W52/10^9</f>
        <v>6.0457452983148044E-2</v>
      </c>
      <c r="X63" s="2">
        <f>X8*'Output-Calculation-sheet'!X52/10^9</f>
        <v>0.11429949581148827</v>
      </c>
      <c r="Y63" s="2">
        <f>Y8*'Output-Calculation-sheet'!Y52/10^9</f>
        <v>5.5064233419993946E-2</v>
      </c>
      <c r="AA63" s="2">
        <f t="shared" si="4"/>
        <v>24.56488615444384</v>
      </c>
    </row>
    <row r="64" spans="1:27" x14ac:dyDescent="0.25">
      <c r="A64" s="2">
        <v>2032</v>
      </c>
      <c r="B64" s="2">
        <f>B9*'Output-Calculation-sheet'!B53/10^9</f>
        <v>7.5469953232411902</v>
      </c>
      <c r="C64" s="2">
        <f>C9*'Output-Calculation-sheet'!C53/10^9</f>
        <v>4.6354155362932232</v>
      </c>
      <c r="D64" s="2">
        <f>D9*'Output-Calculation-sheet'!D53/10^9</f>
        <v>1.6347291793895831</v>
      </c>
      <c r="E64" s="2">
        <f>E9*'Output-Calculation-sheet'!E53/10^9</f>
        <v>1.955857728890348</v>
      </c>
      <c r="F64" s="2">
        <f>F9*'Output-Calculation-sheet'!F53/10^9</f>
        <v>0.75937455654284713</v>
      </c>
      <c r="G64" s="2">
        <f>G9*'Output-Calculation-sheet'!G53/10^9</f>
        <v>0.53594635709332739</v>
      </c>
      <c r="H64" s="2">
        <f>H9*'Output-Calculation-sheet'!H53/10^9</f>
        <v>1.4137563296173454</v>
      </c>
      <c r="I64" s="2">
        <f>I9*'Output-Calculation-sheet'!I53/10^9</f>
        <v>0.525260972644779</v>
      </c>
      <c r="J64" s="2">
        <f>J9*'Output-Calculation-sheet'!J53/10^9</f>
        <v>0.54610224315954337</v>
      </c>
      <c r="K64" s="2">
        <f>K9*'Output-Calculation-sheet'!K53/10^9</f>
        <v>0.65782193399841016</v>
      </c>
      <c r="L64" s="2">
        <f>L9*'Output-Calculation-sheet'!L53/10^9</f>
        <v>0.68372353922589946</v>
      </c>
      <c r="M64" s="2">
        <f>M9*'Output-Calculation-sheet'!M53/10^9</f>
        <v>1.052383809275218</v>
      </c>
      <c r="N64" s="2">
        <f>N9*'Output-Calculation-sheet'!N53/10^9</f>
        <v>0.91220604455486931</v>
      </c>
      <c r="O64" s="2">
        <f>O9*'Output-Calculation-sheet'!O53/10^9</f>
        <v>0.97017073990131919</v>
      </c>
      <c r="P64" s="2">
        <f>P9*'Output-Calculation-sheet'!P53/10^9</f>
        <v>0.59070251183849642</v>
      </c>
      <c r="Q64" s="2">
        <f>Q9*'Output-Calculation-sheet'!Q53/10^9</f>
        <v>0.64412386388906462</v>
      </c>
      <c r="R64" s="2">
        <f>R9*'Output-Calculation-sheet'!R53/10^9</f>
        <v>0.49447890478538853</v>
      </c>
      <c r="S64" s="2">
        <f>S9*'Output-Calculation-sheet'!S53/10^9</f>
        <v>0.47167592721637974</v>
      </c>
      <c r="T64" s="2">
        <f>T9*'Output-Calculation-sheet'!T53/10^9</f>
        <v>0.15325720887065281</v>
      </c>
      <c r="U64" s="2">
        <f>U9*'Output-Calculation-sheet'!U53/10^9</f>
        <v>0.15005227276289487</v>
      </c>
      <c r="V64" s="2">
        <f>V9*'Output-Calculation-sheet'!V53/10^9</f>
        <v>0.1272597751880056</v>
      </c>
      <c r="W64" s="2">
        <f>W9*'Output-Calculation-sheet'!W53/10^9</f>
        <v>6.5958046367131373E-2</v>
      </c>
      <c r="X64" s="2">
        <f>X9*'Output-Calculation-sheet'!X53/10^9</f>
        <v>0.12264813106185572</v>
      </c>
      <c r="Y64" s="2">
        <f>Y9*'Output-Calculation-sheet'!Y53/10^9</f>
        <v>6.0142043666664549E-2</v>
      </c>
      <c r="AA64" s="2">
        <f t="shared" si="4"/>
        <v>26.710042979474437</v>
      </c>
    </row>
    <row r="65" spans="1:27" x14ac:dyDescent="0.25">
      <c r="A65" s="2">
        <v>2033</v>
      </c>
      <c r="B65" s="2">
        <f>B10*'Output-Calculation-sheet'!B54/10^9</f>
        <v>8.0390279332207175</v>
      </c>
      <c r="C65" s="2">
        <f>C10*'Output-Calculation-sheet'!C54/10^9</f>
        <v>4.9402846338810216</v>
      </c>
      <c r="D65" s="2">
        <f>D10*'Output-Calculation-sheet'!D54/10^9</f>
        <v>1.7437788157326388</v>
      </c>
      <c r="E65" s="2">
        <f>E10*'Output-Calculation-sheet'!E54/10^9</f>
        <v>2.0877419094832348</v>
      </c>
      <c r="F65" s="2">
        <f>F10*'Output-Calculation-sheet'!F54/10^9</f>
        <v>0.81070967168681052</v>
      </c>
      <c r="G65" s="2">
        <f>G10*'Output-Calculation-sheet'!G54/10^9</f>
        <v>0.57203225358137366</v>
      </c>
      <c r="H65" s="2">
        <f>H10*'Output-Calculation-sheet'!H54/10^9</f>
        <v>1.4808797498155548</v>
      </c>
      <c r="I65" s="2">
        <f>I10*'Output-Calculation-sheet'!I54/10^9</f>
        <v>0.5608743967684352</v>
      </c>
      <c r="J65" s="2">
        <f>J10*'Output-Calculation-sheet'!J54/10^9</f>
        <v>0.58231450168736398</v>
      </c>
      <c r="K65" s="2">
        <f>K10*'Output-Calculation-sheet'!K54/10^9</f>
        <v>0.70039299094012131</v>
      </c>
      <c r="L65" s="2">
        <f>L10*'Output-Calculation-sheet'!L54/10^9</f>
        <v>0.72439573182914507</v>
      </c>
      <c r="M65" s="2">
        <f>M10*'Output-Calculation-sheet'!M54/10^9</f>
        <v>1.0964148960836908</v>
      </c>
      <c r="N65" s="2">
        <f>N10*'Output-Calculation-sheet'!N54/10^9</f>
        <v>0.95677117726328664</v>
      </c>
      <c r="O65" s="2">
        <f>O10*'Output-Calculation-sheet'!O54/10^9</f>
        <v>1.0339728669160706</v>
      </c>
      <c r="P65" s="2">
        <f>P10*'Output-Calculation-sheet'!P54/10^9</f>
        <v>0.62945228512857132</v>
      </c>
      <c r="Q65" s="2">
        <f>Q10*'Output-Calculation-sheet'!Q54/10^9</f>
        <v>0.68709705592213366</v>
      </c>
      <c r="R65" s="2">
        <f>R10*'Output-Calculation-sheet'!R54/10^9</f>
        <v>0.52537089914678514</v>
      </c>
      <c r="S65" s="2">
        <f>S10*'Output-Calculation-sheet'!S54/10^9</f>
        <v>0.50098792080278021</v>
      </c>
      <c r="T65" s="2">
        <f>T10*'Output-Calculation-sheet'!T54/10^9</f>
        <v>0.16281309395544216</v>
      </c>
      <c r="U65" s="2">
        <f>U10*'Output-Calculation-sheet'!U54/10^9</f>
        <v>0.16004689968880539</v>
      </c>
      <c r="V65" s="2">
        <f>V10*'Output-Calculation-sheet'!V54/10^9</f>
        <v>0.13504853906911615</v>
      </c>
      <c r="W65" s="2">
        <f>W10*'Output-Calculation-sheet'!W54/10^9</f>
        <v>7.041624319464615E-2</v>
      </c>
      <c r="X65" s="2">
        <f>X10*'Output-Calculation-sheet'!X54/10^9</f>
        <v>0.1282979951555645</v>
      </c>
      <c r="Y65" s="2">
        <f>Y10*'Output-Calculation-sheet'!Y54/10^9</f>
        <v>6.427759063187663E-2</v>
      </c>
      <c r="AA65" s="2">
        <f t="shared" si="4"/>
        <v>28.393400051585193</v>
      </c>
    </row>
    <row r="66" spans="1:27" x14ac:dyDescent="0.25">
      <c r="A66" s="2">
        <v>2034</v>
      </c>
      <c r="B66" s="2">
        <f>B11*'Output-Calculation-sheet'!B55/10^9</f>
        <v>8.4379806873015788</v>
      </c>
      <c r="C66" s="2">
        <f>C11*'Output-Calculation-sheet'!C55/10^9</f>
        <v>5.1944001460292153</v>
      </c>
      <c r="D66" s="2">
        <f>D11*'Output-Calculation-sheet'!D55/10^9</f>
        <v>1.8353351964118658</v>
      </c>
      <c r="E66" s="2">
        <f>E11*'Output-Calculation-sheet'!E55/10^9</f>
        <v>2.1989012376147778</v>
      </c>
      <c r="F66" s="2">
        <f>F11*'Output-Calculation-sheet'!F55/10^9</f>
        <v>0.85409265480010366</v>
      </c>
      <c r="G66" s="2">
        <f>G11*'Output-Calculation-sheet'!G55/10^9</f>
        <v>0.60237839056601961</v>
      </c>
      <c r="H66" s="2">
        <f>H11*'Output-Calculation-sheet'!H55/10^9</f>
        <v>1.5227693882146707</v>
      </c>
      <c r="I66" s="2">
        <f>I11*'Output-Calculation-sheet'!I55/10^9</f>
        <v>0.59088985135371896</v>
      </c>
      <c r="J66" s="2">
        <f>J11*'Output-Calculation-sheet'!J55/10^9</f>
        <v>0.61247936482212739</v>
      </c>
      <c r="K66" s="2">
        <f>K11*'Output-Calculation-sheet'!K55/10^9</f>
        <v>0.73572757091383401</v>
      </c>
      <c r="L66" s="2">
        <f>L11*'Output-Calculation-sheet'!L55/10^9</f>
        <v>0.7567175850930572</v>
      </c>
      <c r="M66" s="2">
        <f>M11*'Output-Calculation-sheet'!M55/10^9</f>
        <v>1.1259938941667675</v>
      </c>
      <c r="N66" s="2">
        <f>N11*'Output-Calculation-sheet'!N55/10^9</f>
        <v>0.98892032554274101</v>
      </c>
      <c r="O66" s="2">
        <f>O11*'Output-Calculation-sheet'!O55/10^9</f>
        <v>1.0871950015971188</v>
      </c>
      <c r="P66" s="2">
        <f>P11*'Output-Calculation-sheet'!P55/10^9</f>
        <v>0.66162798605764805</v>
      </c>
      <c r="Q66" s="2">
        <f>Q11*'Output-Calculation-sheet'!Q55/10^9</f>
        <v>0.722198592758451</v>
      </c>
      <c r="R66" s="2">
        <f>R11*'Output-Calculation-sheet'!R55/10^9</f>
        <v>0.55085379861584893</v>
      </c>
      <c r="S66" s="2">
        <f>S11*'Output-Calculation-sheet'!S55/10^9</f>
        <v>0.52382805021612777</v>
      </c>
      <c r="T66" s="2">
        <f>T11*'Output-Calculation-sheet'!T55/10^9</f>
        <v>0.17063882452390439</v>
      </c>
      <c r="U66" s="2">
        <f>U11*'Output-Calculation-sheet'!U55/10^9</f>
        <v>0.16840757967963105</v>
      </c>
      <c r="V66" s="2">
        <f>V11*'Output-Calculation-sheet'!V55/10^9</f>
        <v>0.14142322055916581</v>
      </c>
      <c r="W66" s="2">
        <f>W11*'Output-Calculation-sheet'!W55/10^9</f>
        <v>7.4173440674472291E-2</v>
      </c>
      <c r="X66" s="2">
        <f>X11*'Output-Calculation-sheet'!X55/10^9</f>
        <v>0.13232395326671029</v>
      </c>
      <c r="Y66" s="2">
        <f>Y11*'Output-Calculation-sheet'!Y55/10^9</f>
        <v>6.7791638430008294E-2</v>
      </c>
      <c r="AA66" s="2">
        <f t="shared" si="4"/>
        <v>29.757048379209568</v>
      </c>
    </row>
    <row r="67" spans="1:27" x14ac:dyDescent="0.25">
      <c r="A67" s="2">
        <v>2035</v>
      </c>
      <c r="B67" s="2">
        <f>B12*'Output-Calculation-sheet'!B56/10^9</f>
        <v>8.7492317990001514</v>
      </c>
      <c r="C67" s="2">
        <f>C12*'Output-Calculation-sheet'!C56/10^9</f>
        <v>5.4044403520877653</v>
      </c>
      <c r="D67" s="2">
        <f>D12*'Output-Calculation-sheet'!D56/10^9</f>
        <v>1.911672784470132</v>
      </c>
      <c r="E67" s="2">
        <f>E12*'Output-Calculation-sheet'!E56/10^9</f>
        <v>2.2922599679695503</v>
      </c>
      <c r="F67" s="2">
        <f>F12*'Output-Calculation-sheet'!F56/10^9</f>
        <v>0.89066348955654884</v>
      </c>
      <c r="G67" s="2">
        <f>G12*'Output-Calculation-sheet'!G56/10^9</f>
        <v>0.62781439048761556</v>
      </c>
      <c r="H67" s="2">
        <f>H12*'Output-Calculation-sheet'!H56/10^9</f>
        <v>1.5484132856784127</v>
      </c>
      <c r="I67" s="2">
        <f>I12*'Output-Calculation-sheet'!I56/10^9</f>
        <v>0.61617001716723696</v>
      </c>
      <c r="J67" s="2">
        <f>J12*'Output-Calculation-sheet'!J56/10^9</f>
        <v>0.63769201312408152</v>
      </c>
      <c r="K67" s="2">
        <f>K12*'Output-Calculation-sheet'!K56/10^9</f>
        <v>0.76481924242114785</v>
      </c>
      <c r="L67" s="2">
        <f>L12*'Output-Calculation-sheet'!L56/10^9</f>
        <v>0.78178307575484107</v>
      </c>
      <c r="M67" s="2">
        <f>M12*'Output-Calculation-sheet'!M56/10^9</f>
        <v>1.1434380029336724</v>
      </c>
      <c r="N67" s="2">
        <f>N12*'Output-Calculation-sheet'!N56/10^9</f>
        <v>1.0103706314498058</v>
      </c>
      <c r="O67" s="2">
        <f>O12*'Output-Calculation-sheet'!O56/10^9</f>
        <v>1.1306094147367463</v>
      </c>
      <c r="P67" s="2">
        <f>P12*'Output-Calculation-sheet'!P56/10^9</f>
        <v>0.68839201715179232</v>
      </c>
      <c r="Q67" s="2">
        <f>Q12*'Output-Calculation-sheet'!Q56/10^9</f>
        <v>0.75010068983911116</v>
      </c>
      <c r="R67" s="2">
        <f>R12*'Output-Calculation-sheet'!R56/10^9</f>
        <v>0.57176610595614663</v>
      </c>
      <c r="S67" s="2">
        <f>S12*'Output-Calculation-sheet'!S56/10^9</f>
        <v>0.54072106479264936</v>
      </c>
      <c r="T67" s="2">
        <f>T12*'Output-Calculation-sheet'!T56/10^9</f>
        <v>0.17699873948241665</v>
      </c>
      <c r="U67" s="2">
        <f>U12*'Output-Calculation-sheet'!U56/10^9</f>
        <v>0.17539418738765253</v>
      </c>
      <c r="V67" s="2">
        <f>V12*'Output-Calculation-sheet'!V56/10^9</f>
        <v>0.14658014405589212</v>
      </c>
      <c r="W67" s="2">
        <f>W12*'Output-Calculation-sheet'!W56/10^9</f>
        <v>7.7334425610680532E-2</v>
      </c>
      <c r="X67" s="2">
        <f>X12*'Output-Calculation-sheet'!X56/10^9</f>
        <v>0.13495114380295892</v>
      </c>
      <c r="Y67" s="2">
        <f>Y12*'Output-Calculation-sheet'!Y56/10^9</f>
        <v>7.0772080077300056E-2</v>
      </c>
      <c r="AA67" s="2">
        <f t="shared" si="4"/>
        <v>30.842389064994308</v>
      </c>
    </row>
    <row r="68" spans="1:27" x14ac:dyDescent="0.25">
      <c r="B68" s="2">
        <f>SUM(B60:B67)</f>
        <v>54.558280292837189</v>
      </c>
      <c r="C68" s="2">
        <f t="shared" ref="C68:Y68" si="5">SUM(C60:C67)</f>
        <v>33.539178601229466</v>
      </c>
      <c r="D68" s="2">
        <f t="shared" si="5"/>
        <v>11.844859612563086</v>
      </c>
      <c r="E68" s="2">
        <f t="shared" si="5"/>
        <v>14.176480390403729</v>
      </c>
      <c r="F68" s="2">
        <f t="shared" si="5"/>
        <v>5.5057846843769775</v>
      </c>
      <c r="G68" s="2">
        <f t="shared" si="5"/>
        <v>3.8834597667946049</v>
      </c>
      <c r="H68" s="2">
        <f t="shared" si="5"/>
        <v>10.096701189498637</v>
      </c>
      <c r="I68" s="2">
        <f t="shared" si="5"/>
        <v>3.8066888561736585</v>
      </c>
      <c r="J68" s="2">
        <f t="shared" si="5"/>
        <v>3.9582878196138962</v>
      </c>
      <c r="K68" s="2">
        <f t="shared" si="5"/>
        <v>4.7712886228573126</v>
      </c>
      <c r="L68" s="2">
        <f t="shared" si="5"/>
        <v>4.9518177485492769</v>
      </c>
      <c r="M68" s="2">
        <f t="shared" si="5"/>
        <v>7.6524338474829046</v>
      </c>
      <c r="N68" s="2">
        <f t="shared" si="5"/>
        <v>6.5818878704008732</v>
      </c>
      <c r="O68" s="2">
        <f t="shared" si="5"/>
        <v>7.0193118010893816</v>
      </c>
      <c r="P68" s="2">
        <f t="shared" si="5"/>
        <v>4.2801143140571121</v>
      </c>
      <c r="Q68" s="2">
        <f t="shared" si="5"/>
        <v>4.6600748236522378</v>
      </c>
      <c r="R68" s="2">
        <f t="shared" si="5"/>
        <v>3.5925515158725152</v>
      </c>
      <c r="S68" s="2">
        <f t="shared" si="5"/>
        <v>3.4016221735630734</v>
      </c>
      <c r="T68" s="2">
        <f t="shared" si="5"/>
        <v>1.1128671595160911</v>
      </c>
      <c r="U68" s="2">
        <f t="shared" si="5"/>
        <v>1.0871529278651575</v>
      </c>
      <c r="V68" s="2">
        <f t="shared" si="5"/>
        <v>0.92551580673447409</v>
      </c>
      <c r="W68" s="2">
        <f t="shared" si="5"/>
        <v>0.47806611950023153</v>
      </c>
      <c r="X68" s="2">
        <f t="shared" si="5"/>
        <v>0.87968437689727252</v>
      </c>
      <c r="Y68" s="2">
        <f t="shared" si="5"/>
        <v>0.43590124775800115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410.73448598211934</v>
      </c>
      <c r="C74" s="2">
        <f>C8/'Output-Calculation-sheet'!C7*'Output-Calculation-sheet'!C61</f>
        <v>0</v>
      </c>
      <c r="D74" s="2">
        <f>D8/'Output-Calculation-sheet'!D7*'Output-Calculation-sheet'!D61</f>
        <v>672.12918089711332</v>
      </c>
      <c r="E74" s="2">
        <f>E8/'Output-Calculation-sheet'!E7*'Output-Calculation-sheet'!E61</f>
        <v>498.82309336487333</v>
      </c>
      <c r="F74" s="2">
        <f>F8/'Output-Calculation-sheet'!F7*'Output-Calculation-sheet'!F61</f>
        <v>0</v>
      </c>
      <c r="G74" s="2">
        <f>G8/'Output-Calculation-sheet'!G7*'Output-Calculation-sheet'!G61</f>
        <v>227.12831668159157</v>
      </c>
      <c r="H74" s="2">
        <f>H8/'Output-Calculation-sheet'!H7*'Output-Calculation-sheet'!H61</f>
        <v>1090.8233979623906</v>
      </c>
      <c r="I74" s="2">
        <f>I8/'Output-Calculation-sheet'!I7*'Output-Calculation-sheet'!I61</f>
        <v>80.077792558892796</v>
      </c>
      <c r="J74" s="2">
        <f>J8/'Output-Calculation-sheet'!J7*'Output-Calculation-sheet'!J61</f>
        <v>333.86154838964171</v>
      </c>
      <c r="K74" s="2">
        <f>K8/'Output-Calculation-sheet'!K7*'Output-Calculation-sheet'!K61</f>
        <v>560.69341128850965</v>
      </c>
      <c r="L74" s="2">
        <f>L8/'Output-Calculation-sheet'!L7*'Output-Calculation-sheet'!L61</f>
        <v>486.44817028789322</v>
      </c>
      <c r="M74" s="2">
        <f>M8/'Output-Calculation-sheet'!M7*'Output-Calculation-sheet'!M61</f>
        <v>2436.1873730721059</v>
      </c>
      <c r="N74" s="2">
        <f>N8/'Output-Calculation-sheet'!N7*'Output-Calculation-sheet'!N61</f>
        <v>1374.1316409250137</v>
      </c>
      <c r="O74" s="2">
        <f>O8/'Output-Calculation-sheet'!O7*'Output-Calculation-sheet'!O61</f>
        <v>0</v>
      </c>
      <c r="P74" s="2">
        <f>P8/'Output-Calculation-sheet'!P7*'Output-Calculation-sheet'!P61</f>
        <v>388.36417317459563</v>
      </c>
      <c r="Q74" s="2">
        <f>Q8/'Output-Calculation-sheet'!Q7*'Output-Calculation-sheet'!Q61</f>
        <v>102.38604822451525</v>
      </c>
      <c r="R74" s="2">
        <f>R8/'Output-Calculation-sheet'!R7*'Output-Calculation-sheet'!R61</f>
        <v>675.40172512385527</v>
      </c>
      <c r="S74" s="2">
        <f>S8/'Output-Calculation-sheet'!S7*'Output-Calculation-sheet'!S61</f>
        <v>119.51682027089014</v>
      </c>
      <c r="T74" s="2">
        <f>T8/'Output-Calculation-sheet'!T7*'Output-Calculation-sheet'!T61</f>
        <v>228.74534319343704</v>
      </c>
      <c r="U74" s="2">
        <f>U8/'Output-Calculation-sheet'!U7*'Output-Calculation-sheet'!U61</f>
        <v>90.631532571036999</v>
      </c>
      <c r="V74" s="2">
        <f>V8/'Output-Calculation-sheet'!V7*'Output-Calculation-sheet'!V61</f>
        <v>159.19274942948695</v>
      </c>
      <c r="W74" s="2">
        <f>W8/'Output-Calculation-sheet'!W7*'Output-Calculation-sheet'!W61</f>
        <v>3.7875892638616668</v>
      </c>
      <c r="X74" s="2">
        <f>X8/'Output-Calculation-sheet'!X7*'Output-Calculation-sheet'!X61</f>
        <v>136.03709372642186</v>
      </c>
      <c r="Y74" s="2">
        <f>Y8/'Output-Calculation-sheet'!Y7*'Output-Calculation-sheet'!Y61</f>
        <v>0</v>
      </c>
      <c r="AA74" s="2">
        <f t="shared" si="6"/>
        <v>10.075101486388245</v>
      </c>
    </row>
    <row r="75" spans="1:27" x14ac:dyDescent="0.25">
      <c r="A75" s="2">
        <v>2032</v>
      </c>
      <c r="B75" s="2">
        <f>B9/'Output-Calculation-sheet'!B8*'Output-Calculation-sheet'!B62</f>
        <v>1104.8235590806378</v>
      </c>
      <c r="C75" s="2">
        <f>C9/'Output-Calculation-sheet'!C8*'Output-Calculation-sheet'!C62</f>
        <v>0</v>
      </c>
      <c r="D75" s="2">
        <f>D9/'Output-Calculation-sheet'!D8*'Output-Calculation-sheet'!D62</f>
        <v>903.74920570825509</v>
      </c>
      <c r="E75" s="2">
        <f>E9/'Output-Calculation-sheet'!E8*'Output-Calculation-sheet'!E62</f>
        <v>635.5265407096515</v>
      </c>
      <c r="F75" s="2">
        <f>F9/'Output-Calculation-sheet'!F8*'Output-Calculation-sheet'!F62</f>
        <v>0</v>
      </c>
      <c r="G75" s="2">
        <f>G9/'Output-Calculation-sheet'!G8*'Output-Calculation-sheet'!G62</f>
        <v>293.63382188912311</v>
      </c>
      <c r="H75" s="2">
        <f>H9/'Output-Calculation-sheet'!H8*'Output-Calculation-sheet'!H62</f>
        <v>2072.9722362760831</v>
      </c>
      <c r="I75" s="2">
        <f>I9/'Output-Calculation-sheet'!I8*'Output-Calculation-sheet'!I62</f>
        <v>125.55680936602445</v>
      </c>
      <c r="J75" s="2">
        <f>J9/'Output-Calculation-sheet'!J8*'Output-Calculation-sheet'!J62</f>
        <v>411.52010667345536</v>
      </c>
      <c r="K75" s="2">
        <f>K9/'Output-Calculation-sheet'!K8*'Output-Calculation-sheet'!K62</f>
        <v>645.39576660600699</v>
      </c>
      <c r="L75" s="2">
        <f>L9/'Output-Calculation-sheet'!L8*'Output-Calculation-sheet'!L62</f>
        <v>560.43419931662186</v>
      </c>
      <c r="M75" s="2">
        <f>M9/'Output-Calculation-sheet'!M8*'Output-Calculation-sheet'!M62</f>
        <v>2698.3623930913959</v>
      </c>
      <c r="N75" s="2">
        <f>N9/'Output-Calculation-sheet'!N8*'Output-Calculation-sheet'!N62</f>
        <v>1744.2406900480898</v>
      </c>
      <c r="O75" s="2">
        <f>O9/'Output-Calculation-sheet'!O8*'Output-Calculation-sheet'!O62</f>
        <v>0</v>
      </c>
      <c r="P75" s="2">
        <f>P9/'Output-Calculation-sheet'!P8*'Output-Calculation-sheet'!P62</f>
        <v>481.33308595558498</v>
      </c>
      <c r="Q75" s="2">
        <f>Q9/'Output-Calculation-sheet'!Q8*'Output-Calculation-sheet'!Q62</f>
        <v>170.71333409925413</v>
      </c>
      <c r="R75" s="2">
        <f>R9/'Output-Calculation-sheet'!R8*'Output-Calculation-sheet'!R62</f>
        <v>766.28690860557367</v>
      </c>
      <c r="S75" s="2">
        <f>S9/'Output-Calculation-sheet'!S8*'Output-Calculation-sheet'!S62</f>
        <v>221.87276651118754</v>
      </c>
      <c r="T75" s="2">
        <f>T9/'Output-Calculation-sheet'!T8*'Output-Calculation-sheet'!T62</f>
        <v>256.55048760545515</v>
      </c>
      <c r="U75" s="2">
        <f>U9/'Output-Calculation-sheet'!U8*'Output-Calculation-sheet'!U62</f>
        <v>119.34804938297624</v>
      </c>
      <c r="V75" s="2">
        <f>V9/'Output-Calculation-sheet'!V8*'Output-Calculation-sheet'!V62</f>
        <v>178.00208569824557</v>
      </c>
      <c r="W75" s="2">
        <f>W9/'Output-Calculation-sheet'!W8*'Output-Calculation-sheet'!W62</f>
        <v>9.6983013772641193</v>
      </c>
      <c r="X75" s="2">
        <f>X9/'Output-Calculation-sheet'!X8*'Output-Calculation-sheet'!X62</f>
        <v>255.66924909933459</v>
      </c>
      <c r="Y75" s="2">
        <f>Y9/'Output-Calculation-sheet'!Y8*'Output-Calculation-sheet'!Y62</f>
        <v>0</v>
      </c>
      <c r="AA75" s="2">
        <f t="shared" si="6"/>
        <v>13.655689597100219</v>
      </c>
    </row>
    <row r="76" spans="1:27" x14ac:dyDescent="0.25">
      <c r="A76" s="2">
        <v>2033</v>
      </c>
      <c r="B76" s="2">
        <f>B10/'Output-Calculation-sheet'!B9*'Output-Calculation-sheet'!B63</f>
        <v>2140.9214161499758</v>
      </c>
      <c r="C76" s="2">
        <f>C10/'Output-Calculation-sheet'!C9*'Output-Calculation-sheet'!C63</f>
        <v>0</v>
      </c>
      <c r="D76" s="2">
        <f>D10/'Output-Calculation-sheet'!D9*'Output-Calculation-sheet'!D63</f>
        <v>1144.7388463719631</v>
      </c>
      <c r="E76" s="2">
        <f>E10/'Output-Calculation-sheet'!E9*'Output-Calculation-sheet'!E63</f>
        <v>849.3271674523545</v>
      </c>
      <c r="F76" s="2">
        <f>F10/'Output-Calculation-sheet'!F9*'Output-Calculation-sheet'!F63</f>
        <v>0</v>
      </c>
      <c r="G76" s="2">
        <f>G10/'Output-Calculation-sheet'!G9*'Output-Calculation-sheet'!G63</f>
        <v>380.90498396135894</v>
      </c>
      <c r="H76" s="2">
        <f>H10/'Output-Calculation-sheet'!H9*'Output-Calculation-sheet'!H63</f>
        <v>3906.3149512780105</v>
      </c>
      <c r="I76" s="2">
        <f>I10/'Output-Calculation-sheet'!I9*'Output-Calculation-sheet'!I63</f>
        <v>176.73971016637833</v>
      </c>
      <c r="J76" s="2">
        <f>J10/'Output-Calculation-sheet'!J9*'Output-Calculation-sheet'!J63</f>
        <v>531.75244423585161</v>
      </c>
      <c r="K76" s="2">
        <f>K10/'Output-Calculation-sheet'!K9*'Output-Calculation-sheet'!K63</f>
        <v>733.89431326521969</v>
      </c>
      <c r="L76" s="2">
        <f>L10/'Output-Calculation-sheet'!L9*'Output-Calculation-sheet'!L63</f>
        <v>679.29130443431745</v>
      </c>
      <c r="M76" s="2">
        <f>M10/'Output-Calculation-sheet'!M9*'Output-Calculation-sheet'!M63</f>
        <v>2921.6106079792735</v>
      </c>
      <c r="N76" s="2">
        <f>N10/'Output-Calculation-sheet'!N9*'Output-Calculation-sheet'!N63</f>
        <v>1986.3463961266841</v>
      </c>
      <c r="O76" s="2">
        <f>O10/'Output-Calculation-sheet'!O9*'Output-Calculation-sheet'!O63</f>
        <v>0</v>
      </c>
      <c r="P76" s="2">
        <f>P10/'Output-Calculation-sheet'!P9*'Output-Calculation-sheet'!P63</f>
        <v>574.01000273845227</v>
      </c>
      <c r="Q76" s="2">
        <f>Q10/'Output-Calculation-sheet'!Q9*'Output-Calculation-sheet'!Q63</f>
        <v>252.30337099474647</v>
      </c>
      <c r="R76" s="2">
        <f>R10/'Output-Calculation-sheet'!R9*'Output-Calculation-sheet'!R63</f>
        <v>838.62172702324233</v>
      </c>
      <c r="S76" s="2">
        <f>S10/'Output-Calculation-sheet'!S9*'Output-Calculation-sheet'!S63</f>
        <v>355.4636759804979</v>
      </c>
      <c r="T76" s="2">
        <f>T10/'Output-Calculation-sheet'!T9*'Output-Calculation-sheet'!T63</f>
        <v>294.5166339597007</v>
      </c>
      <c r="U76" s="2">
        <f>U10/'Output-Calculation-sheet'!U9*'Output-Calculation-sheet'!U63</f>
        <v>144.42448731099617</v>
      </c>
      <c r="V76" s="2">
        <f>V10/'Output-Calculation-sheet'!V9*'Output-Calculation-sheet'!V63</f>
        <v>192.17792372722184</v>
      </c>
      <c r="W76" s="2">
        <f>W10/'Output-Calculation-sheet'!W9*'Output-Calculation-sheet'!W63</f>
        <v>13.395979768341562</v>
      </c>
      <c r="X76" s="2">
        <f>X10/'Output-Calculation-sheet'!X9*'Output-Calculation-sheet'!X63</f>
        <v>278.8022325987755</v>
      </c>
      <c r="Y76" s="2">
        <f>Y10/'Output-Calculation-sheet'!Y9*'Output-Calculation-sheet'!Y63</f>
        <v>4.2954854508179556</v>
      </c>
      <c r="AA76" s="2">
        <f t="shared" si="6"/>
        <v>18.399853660974177</v>
      </c>
    </row>
    <row r="77" spans="1:27" x14ac:dyDescent="0.25">
      <c r="A77" s="2">
        <v>2034</v>
      </c>
      <c r="B77" s="2">
        <f>B11/'Output-Calculation-sheet'!B10*'Output-Calculation-sheet'!B64</f>
        <v>3919.9892574792862</v>
      </c>
      <c r="C77" s="2">
        <f>C11/'Output-Calculation-sheet'!C10*'Output-Calculation-sheet'!C64</f>
        <v>0</v>
      </c>
      <c r="D77" s="2">
        <f>D11/'Output-Calculation-sheet'!D10*'Output-Calculation-sheet'!D64</f>
        <v>1392.3198627419727</v>
      </c>
      <c r="E77" s="2">
        <f>E11/'Output-Calculation-sheet'!E10*'Output-Calculation-sheet'!E64</f>
        <v>974.09912100623728</v>
      </c>
      <c r="F77" s="2">
        <f>F11/'Output-Calculation-sheet'!F10*'Output-Calculation-sheet'!F64</f>
        <v>0</v>
      </c>
      <c r="G77" s="2">
        <f>G11/'Output-Calculation-sheet'!G10*'Output-Calculation-sheet'!G64</f>
        <v>452.46823449172501</v>
      </c>
      <c r="H77" s="2">
        <f>H11/'Output-Calculation-sheet'!H10*'Output-Calculation-sheet'!H64</f>
        <v>4238.0571244243683</v>
      </c>
      <c r="I77" s="2">
        <f>I11/'Output-Calculation-sheet'!I10*'Output-Calculation-sheet'!I64</f>
        <v>240.10678066983365</v>
      </c>
      <c r="J77" s="2">
        <f>J11/'Output-Calculation-sheet'!J10*'Output-Calculation-sheet'!J64</f>
        <v>606.18526599330448</v>
      </c>
      <c r="K77" s="2">
        <f>K11/'Output-Calculation-sheet'!K10*'Output-Calculation-sheet'!K64</f>
        <v>853.27779717531109</v>
      </c>
      <c r="L77" s="2">
        <f>L11/'Output-Calculation-sheet'!L10*'Output-Calculation-sheet'!L64</f>
        <v>748.82489698458971</v>
      </c>
      <c r="M77" s="2">
        <f>M11/'Output-Calculation-sheet'!M10*'Output-Calculation-sheet'!M64</f>
        <v>3171.716939769155</v>
      </c>
      <c r="N77" s="2">
        <f>N11/'Output-Calculation-sheet'!N10*'Output-Calculation-sheet'!N64</f>
        <v>2230.5544562108794</v>
      </c>
      <c r="O77" s="2">
        <f>O11/'Output-Calculation-sheet'!O10*'Output-Calculation-sheet'!O64</f>
        <v>0</v>
      </c>
      <c r="P77" s="2">
        <f>P11/'Output-Calculation-sheet'!P10*'Output-Calculation-sheet'!P64</f>
        <v>652.58341450141654</v>
      </c>
      <c r="Q77" s="2">
        <f>Q11/'Output-Calculation-sheet'!Q10*'Output-Calculation-sheet'!Q64</f>
        <v>398.65626945451135</v>
      </c>
      <c r="R77" s="2">
        <f>R11/'Output-Calculation-sheet'!R10*'Output-Calculation-sheet'!R64</f>
        <v>918.68199631784989</v>
      </c>
      <c r="S77" s="2">
        <f>S11/'Output-Calculation-sheet'!S10*'Output-Calculation-sheet'!S64</f>
        <v>541.21617445104516</v>
      </c>
      <c r="T77" s="2">
        <f>T11/'Output-Calculation-sheet'!T10*'Output-Calculation-sheet'!T64</f>
        <v>323.80585507069588</v>
      </c>
      <c r="U77" s="2">
        <f>U11/'Output-Calculation-sheet'!U10*'Output-Calculation-sheet'!U64</f>
        <v>168.54495728765309</v>
      </c>
      <c r="V77" s="2">
        <f>V11/'Output-Calculation-sheet'!V10*'Output-Calculation-sheet'!V64</f>
        <v>215.30916338675723</v>
      </c>
      <c r="W77" s="2">
        <f>W11/'Output-Calculation-sheet'!W10*'Output-Calculation-sheet'!W64</f>
        <v>22.087331622965554</v>
      </c>
      <c r="X77" s="2">
        <f>X11/'Output-Calculation-sheet'!X10*'Output-Calculation-sheet'!X64</f>
        <v>297.95649452087468</v>
      </c>
      <c r="Y77" s="2">
        <f>Y11/'Output-Calculation-sheet'!Y10*'Output-Calculation-sheet'!Y64</f>
        <v>6.9496614654678277</v>
      </c>
      <c r="AA77" s="2">
        <f t="shared" si="6"/>
        <v>22.373391055025898</v>
      </c>
    </row>
    <row r="78" spans="1:27" x14ac:dyDescent="0.25">
      <c r="A78" s="2">
        <v>2035</v>
      </c>
      <c r="B78" s="2">
        <f>B12/'Output-Calculation-sheet'!B11*'Output-Calculation-sheet'!B65</f>
        <v>6196.1381772615259</v>
      </c>
      <c r="C78" s="2">
        <f>C12/'Output-Calculation-sheet'!C11*'Output-Calculation-sheet'!C65</f>
        <v>511.38719724939313</v>
      </c>
      <c r="D78" s="2">
        <f>D12/'Output-Calculation-sheet'!D11*'Output-Calculation-sheet'!D65</f>
        <v>1598.9064416212082</v>
      </c>
      <c r="E78" s="2">
        <f>E12/'Output-Calculation-sheet'!E11*'Output-Calculation-sheet'!E65</f>
        <v>1251.8679748548434</v>
      </c>
      <c r="F78" s="2">
        <f>F12/'Output-Calculation-sheet'!F11*'Output-Calculation-sheet'!F65</f>
        <v>56.606416526747509</v>
      </c>
      <c r="G78" s="2">
        <f>G12/'Output-Calculation-sheet'!G11*'Output-Calculation-sheet'!G65</f>
        <v>525.83918443411119</v>
      </c>
      <c r="H78" s="2">
        <f>H12/'Output-Calculation-sheet'!H11*'Output-Calculation-sheet'!H65</f>
        <v>4534.015735106972</v>
      </c>
      <c r="I78" s="2">
        <f>I12/'Output-Calculation-sheet'!I11*'Output-Calculation-sheet'!I65</f>
        <v>287.10142822170434</v>
      </c>
      <c r="J78" s="2">
        <f>J12/'Output-Calculation-sheet'!J11*'Output-Calculation-sheet'!J65</f>
        <v>687.02707027925499</v>
      </c>
      <c r="K78" s="2">
        <f>K12/'Output-Calculation-sheet'!K11*'Output-Calculation-sheet'!K65</f>
        <v>924.69258359691719</v>
      </c>
      <c r="L78" s="2">
        <f>L12/'Output-Calculation-sheet'!L11*'Output-Calculation-sheet'!L65</f>
        <v>835.77761608930882</v>
      </c>
      <c r="M78" s="2">
        <f>M12/'Output-Calculation-sheet'!M11*'Output-Calculation-sheet'!M65</f>
        <v>3397.720885839984</v>
      </c>
      <c r="N78" s="2">
        <f>N12/'Output-Calculation-sheet'!N11*'Output-Calculation-sheet'!N65</f>
        <v>2465.4367042871077</v>
      </c>
      <c r="O78" s="2">
        <f>O12/'Output-Calculation-sheet'!O11*'Output-Calculation-sheet'!O65</f>
        <v>248.62053529810041</v>
      </c>
      <c r="P78" s="2">
        <f>P12/'Output-Calculation-sheet'!P11*'Output-Calculation-sheet'!P65</f>
        <v>704.9294545789528</v>
      </c>
      <c r="Q78" s="2">
        <f>Q12/'Output-Calculation-sheet'!Q11*'Output-Calculation-sheet'!Q65</f>
        <v>524.05638381048618</v>
      </c>
      <c r="R78" s="2">
        <f>R12/'Output-Calculation-sheet'!R11*'Output-Calculation-sheet'!R65</f>
        <v>981.7647268124681</v>
      </c>
      <c r="S78" s="2">
        <f>S12/'Output-Calculation-sheet'!S11*'Output-Calculation-sheet'!S65</f>
        <v>718.0878862046701</v>
      </c>
      <c r="T78" s="2">
        <f>T12/'Output-Calculation-sheet'!T11*'Output-Calculation-sheet'!T65</f>
        <v>354.35149288308173</v>
      </c>
      <c r="U78" s="2">
        <f>U12/'Output-Calculation-sheet'!U11*'Output-Calculation-sheet'!U65</f>
        <v>190.90785446320484</v>
      </c>
      <c r="V78" s="2">
        <f>V12/'Output-Calculation-sheet'!V11*'Output-Calculation-sheet'!V65</f>
        <v>232.37126200626807</v>
      </c>
      <c r="W78" s="2">
        <f>W12/'Output-Calculation-sheet'!W11*'Output-Calculation-sheet'!W65</f>
        <v>28.971167708621174</v>
      </c>
      <c r="X78" s="2">
        <f>X12/'Output-Calculation-sheet'!X11*'Output-Calculation-sheet'!X65</f>
        <v>321.22699212760125</v>
      </c>
      <c r="Y78" s="2">
        <f>Y12/'Output-Calculation-sheet'!Y11*'Output-Calculation-sheet'!Y65</f>
        <v>10.251785863955226</v>
      </c>
      <c r="AA78" s="2">
        <f t="shared" si="6"/>
        <v>27.58805695712649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10759784098.547941</v>
      </c>
      <c r="C96" s="2">
        <f>C8/'Output-Calculation-sheet'!C7*'Output-Calculation-sheet'!C79</f>
        <v>1047347258.7545044</v>
      </c>
      <c r="D96" s="2">
        <f>D8/'Output-Calculation-sheet'!D7*'Output-Calculation-sheet'!D79</f>
        <v>2757637215.7882972</v>
      </c>
      <c r="E96" s="2">
        <f>E8/'Output-Calculation-sheet'!E7*'Output-Calculation-sheet'!E79</f>
        <v>9926685703.8188744</v>
      </c>
      <c r="F96" s="2">
        <f>F8/'Output-Calculation-sheet'!F7*'Output-Calculation-sheet'!F79</f>
        <v>3025943308.2979889</v>
      </c>
      <c r="G96" s="2">
        <f>G8/'Output-Calculation-sheet'!G7*'Output-Calculation-sheet'!G79</f>
        <v>1872017007.3257678</v>
      </c>
      <c r="H96" s="2">
        <f>H8/'Output-Calculation-sheet'!H7*'Output-Calculation-sheet'!H79</f>
        <v>1255946332.520745</v>
      </c>
      <c r="I96" s="2">
        <f>I8/'Output-Calculation-sheet'!I7*'Output-Calculation-sheet'!I79</f>
        <v>1345452672.2882953</v>
      </c>
      <c r="J96" s="2">
        <f>J8/'Output-Calculation-sheet'!J7*'Output-Calculation-sheet'!J79</f>
        <v>1093688336.0653291</v>
      </c>
      <c r="K96" s="2">
        <f>K8/'Output-Calculation-sheet'!K7*'Output-Calculation-sheet'!K79</f>
        <v>1337651291.5163908</v>
      </c>
      <c r="L96" s="2">
        <f>L8/'Output-Calculation-sheet'!L7*'Output-Calculation-sheet'!L79</f>
        <v>1286429867.2463899</v>
      </c>
      <c r="M96" s="2">
        <f>M8/'Output-Calculation-sheet'!M7*'Output-Calculation-sheet'!M79</f>
        <v>1768686348.1141431</v>
      </c>
      <c r="N96" s="2">
        <f>N8/'Output-Calculation-sheet'!N7*'Output-Calculation-sheet'!N79</f>
        <v>1108850858.0858147</v>
      </c>
      <c r="O96" s="2">
        <f>O8/'Output-Calculation-sheet'!O7*'Output-Calculation-sheet'!O79</f>
        <v>138226021.39902309</v>
      </c>
      <c r="P96" s="2">
        <f>P8/'Output-Calculation-sheet'!P7*'Output-Calculation-sheet'!P79</f>
        <v>1996392786.9568453</v>
      </c>
      <c r="Q96" s="2">
        <f>Q8/'Output-Calculation-sheet'!Q7*'Output-Calculation-sheet'!Q79</f>
        <v>835445402.26322424</v>
      </c>
      <c r="R96" s="2">
        <f>R8/'Output-Calculation-sheet'!R7*'Output-Calculation-sheet'!R79</f>
        <v>1311693358.8080325</v>
      </c>
      <c r="S96" s="2">
        <f>S8/'Output-Calculation-sheet'!S7*'Output-Calculation-sheet'!S79</f>
        <v>508503744.43920922</v>
      </c>
      <c r="T96" s="2">
        <f>T8/'Output-Calculation-sheet'!T7*'Output-Calculation-sheet'!T79</f>
        <v>462816226.97035033</v>
      </c>
      <c r="U96" s="2">
        <f>U8/'Output-Calculation-sheet'!U7*'Output-Calculation-sheet'!U79</f>
        <v>298965032.30411065</v>
      </c>
      <c r="V96" s="2">
        <f>V8/'Output-Calculation-sheet'!V7*'Output-Calculation-sheet'!V79</f>
        <v>177927528.71950087</v>
      </c>
      <c r="W96" s="2">
        <f>W8/'Output-Calculation-sheet'!W7*'Output-Calculation-sheet'!W79</f>
        <v>490578280.29223669</v>
      </c>
      <c r="X96" s="2">
        <f>X8/'Output-Calculation-sheet'!X7*'Output-Calculation-sheet'!X79</f>
        <v>136319439.53057471</v>
      </c>
      <c r="Y96" s="2">
        <f>Y8/'Output-Calculation-sheet'!Y7*'Output-Calculation-sheet'!Y79</f>
        <v>261865918.54871151</v>
      </c>
      <c r="AA96" s="2">
        <f t="shared" si="8"/>
        <v>45.204854038602292</v>
      </c>
    </row>
    <row r="97" spans="1:27" x14ac:dyDescent="0.25">
      <c r="A97" s="2">
        <v>2032</v>
      </c>
      <c r="B97" s="2">
        <f>B9/'Output-Calculation-sheet'!B8*'Output-Calculation-sheet'!B80</f>
        <v>11010708095.940855</v>
      </c>
      <c r="C97" s="2">
        <f>C9/'Output-Calculation-sheet'!C8*'Output-Calculation-sheet'!C80</f>
        <v>1048337027.7556075</v>
      </c>
      <c r="D97" s="2">
        <f>D9/'Output-Calculation-sheet'!D8*'Output-Calculation-sheet'!D80</f>
        <v>2563871222.4650645</v>
      </c>
      <c r="E97" s="2">
        <f>E9/'Output-Calculation-sheet'!E8*'Output-Calculation-sheet'!E80</f>
        <v>10362234890.995899</v>
      </c>
      <c r="F97" s="2">
        <f>F9/'Output-Calculation-sheet'!F8*'Output-Calculation-sheet'!F80</f>
        <v>2965141732.9842649</v>
      </c>
      <c r="G97" s="2">
        <f>G9/'Output-Calculation-sheet'!G8*'Output-Calculation-sheet'!G80</f>
        <v>1755629290.2822948</v>
      </c>
      <c r="H97" s="2">
        <f>H9/'Output-Calculation-sheet'!H8*'Output-Calculation-sheet'!H80</f>
        <v>1574051767.897608</v>
      </c>
      <c r="I97" s="2">
        <f>I9/'Output-Calculation-sheet'!I8*'Output-Calculation-sheet'!I80</f>
        <v>1321821358.8550708</v>
      </c>
      <c r="J97" s="2">
        <f>J9/'Output-Calculation-sheet'!J8*'Output-Calculation-sheet'!J80</f>
        <v>1059281830.2654607</v>
      </c>
      <c r="K97" s="2">
        <f>K9/'Output-Calculation-sheet'!K8*'Output-Calculation-sheet'!K80</f>
        <v>1272706342.3450387</v>
      </c>
      <c r="L97" s="2">
        <f>L9/'Output-Calculation-sheet'!L8*'Output-Calculation-sheet'!L80</f>
        <v>1304247965.1489282</v>
      </c>
      <c r="M97" s="2">
        <f>M9/'Output-Calculation-sheet'!M8*'Output-Calculation-sheet'!M80</f>
        <v>1807109403.8794746</v>
      </c>
      <c r="N97" s="2">
        <f>N9/'Output-Calculation-sheet'!N8*'Output-Calculation-sheet'!N80</f>
        <v>1135963676.0702085</v>
      </c>
      <c r="O97" s="2">
        <f>O9/'Output-Calculation-sheet'!O8*'Output-Calculation-sheet'!O80</f>
        <v>136528960.73831886</v>
      </c>
      <c r="P97" s="2">
        <f>P9/'Output-Calculation-sheet'!P8*'Output-Calculation-sheet'!P80</f>
        <v>1957345084.5552578</v>
      </c>
      <c r="Q97" s="2">
        <f>Q9/'Output-Calculation-sheet'!Q8*'Output-Calculation-sheet'!Q80</f>
        <v>832029447.85847354</v>
      </c>
      <c r="R97" s="2">
        <f>R9/'Output-Calculation-sheet'!R8*'Output-Calculation-sheet'!R80</f>
        <v>1311853219.9235775</v>
      </c>
      <c r="S97" s="2">
        <f>S9/'Output-Calculation-sheet'!S8*'Output-Calculation-sheet'!S80</f>
        <v>520706109.73622787</v>
      </c>
      <c r="T97" s="2">
        <f>T9/'Output-Calculation-sheet'!T8*'Output-Calculation-sheet'!T80</f>
        <v>439998482.35796076</v>
      </c>
      <c r="U97" s="2">
        <f>U9/'Output-Calculation-sheet'!U8*'Output-Calculation-sheet'!U80</f>
        <v>289395000.59056073</v>
      </c>
      <c r="V97" s="2">
        <f>V9/'Output-Calculation-sheet'!V8*'Output-Calculation-sheet'!V80</f>
        <v>171448507.5585171</v>
      </c>
      <c r="W97" s="2">
        <f>W9/'Output-Calculation-sheet'!W8*'Output-Calculation-sheet'!W80</f>
        <v>476197566.84129465</v>
      </c>
      <c r="X97" s="2">
        <f>X9/'Output-Calculation-sheet'!X8*'Output-Calculation-sheet'!X80</f>
        <v>188885884.38376448</v>
      </c>
      <c r="Y97" s="2">
        <f>Y9/'Output-Calculation-sheet'!Y8*'Output-Calculation-sheet'!Y80</f>
        <v>260051406.72750172</v>
      </c>
      <c r="AA97" s="2">
        <f t="shared" si="8"/>
        <v>45.765544276157236</v>
      </c>
    </row>
    <row r="98" spans="1:27" x14ac:dyDescent="0.25">
      <c r="A98" s="2">
        <v>2033</v>
      </c>
      <c r="B98" s="2">
        <f>B10/'Output-Calculation-sheet'!B9*'Output-Calculation-sheet'!B81</f>
        <v>11013022694.717688</v>
      </c>
      <c r="C98" s="2">
        <f>C10/'Output-Calculation-sheet'!C9*'Output-Calculation-sheet'!C81</f>
        <v>1027497838.3142122</v>
      </c>
      <c r="D98" s="2">
        <f>D10/'Output-Calculation-sheet'!D9*'Output-Calculation-sheet'!D81</f>
        <v>2329443981.6686807</v>
      </c>
      <c r="E98" s="2">
        <f>E10/'Output-Calculation-sheet'!E9*'Output-Calculation-sheet'!E81</f>
        <v>10569110305.322332</v>
      </c>
      <c r="F98" s="2">
        <f>F10/'Output-Calculation-sheet'!F9*'Output-Calculation-sheet'!F81</f>
        <v>2831192372.8287954</v>
      </c>
      <c r="G98" s="2">
        <f>G10/'Output-Calculation-sheet'!G9*'Output-Calculation-sheet'!G81</f>
        <v>1603143154.5791478</v>
      </c>
      <c r="H98" s="2">
        <f>H10/'Output-Calculation-sheet'!H9*'Output-Calculation-sheet'!H81</f>
        <v>2080841271.0628181</v>
      </c>
      <c r="I98" s="2">
        <f>I10/'Output-Calculation-sheet'!I9*'Output-Calculation-sheet'!I81</f>
        <v>1268187811.0119667</v>
      </c>
      <c r="J98" s="2">
        <f>J10/'Output-Calculation-sheet'!J9*'Output-Calculation-sheet'!J81</f>
        <v>1002772305.7895308</v>
      </c>
      <c r="K98" s="2">
        <f>K10/'Output-Calculation-sheet'!K9*'Output-Calculation-sheet'!K81</f>
        <v>1189532947.1853609</v>
      </c>
      <c r="L98" s="2">
        <f>L10/'Output-Calculation-sheet'!L9*'Output-Calculation-sheet'!L81</f>
        <v>1287844993.6612964</v>
      </c>
      <c r="M98" s="2">
        <f>M10/'Output-Calculation-sheet'!M9*'Output-Calculation-sheet'!M81</f>
        <v>1802839699.4798222</v>
      </c>
      <c r="N98" s="2">
        <f>N10/'Output-Calculation-sheet'!N9*'Output-Calculation-sheet'!N81</f>
        <v>1109439036.8341177</v>
      </c>
      <c r="O98" s="2">
        <f>O10/'Output-Calculation-sheet'!O9*'Output-Calculation-sheet'!O81</f>
        <v>132133509.68494932</v>
      </c>
      <c r="P98" s="2">
        <f>P10/'Output-Calculation-sheet'!P9*'Output-Calculation-sheet'!P81</f>
        <v>1859155334.9906223</v>
      </c>
      <c r="Q98" s="2">
        <f>Q10/'Output-Calculation-sheet'!Q9*'Output-Calculation-sheet'!Q81</f>
        <v>812805351.06291914</v>
      </c>
      <c r="R98" s="2">
        <f>R10/'Output-Calculation-sheet'!R9*'Output-Calculation-sheet'!R81</f>
        <v>1272588989.9192758</v>
      </c>
      <c r="S98" s="2">
        <f>S10/'Output-Calculation-sheet'!S9*'Output-Calculation-sheet'!S81</f>
        <v>523177220.6603083</v>
      </c>
      <c r="T98" s="2">
        <f>T10/'Output-Calculation-sheet'!T9*'Output-Calculation-sheet'!T81</f>
        <v>408497510.17086846</v>
      </c>
      <c r="U98" s="2">
        <f>U10/'Output-Calculation-sheet'!U9*'Output-Calculation-sheet'!U81</f>
        <v>271567629.95825601</v>
      </c>
      <c r="V98" s="2">
        <f>V10/'Output-Calculation-sheet'!V9*'Output-Calculation-sheet'!V81</f>
        <v>160756502.3986018</v>
      </c>
      <c r="W98" s="2">
        <f>W10/'Output-Calculation-sheet'!W9*'Output-Calculation-sheet'!W81</f>
        <v>446821950.34887576</v>
      </c>
      <c r="X98" s="2">
        <f>X10/'Output-Calculation-sheet'!X9*'Output-Calculation-sheet'!X81</f>
        <v>194251667.67425215</v>
      </c>
      <c r="Y98" s="2">
        <f>Y10/'Output-Calculation-sheet'!Y9*'Output-Calculation-sheet'!Y81</f>
        <v>251454248.13888139</v>
      </c>
      <c r="AA98" s="2">
        <f t="shared" si="8"/>
        <v>45.448078327463577</v>
      </c>
    </row>
    <row r="99" spans="1:27" x14ac:dyDescent="0.25">
      <c r="A99" s="2">
        <v>2034</v>
      </c>
      <c r="B99" s="2">
        <f>B11/'Output-Calculation-sheet'!B10*'Output-Calculation-sheet'!B82</f>
        <v>11026909930.28614</v>
      </c>
      <c r="C99" s="2">
        <f>C11/'Output-Calculation-sheet'!C10*'Output-Calculation-sheet'!C82</f>
        <v>991415553.48166394</v>
      </c>
      <c r="D99" s="2">
        <f>D11/'Output-Calculation-sheet'!D10*'Output-Calculation-sheet'!D82</f>
        <v>2082089654.7147048</v>
      </c>
      <c r="E99" s="2">
        <f>E11/'Output-Calculation-sheet'!E10*'Output-Calculation-sheet'!E82</f>
        <v>10567933708.270119</v>
      </c>
      <c r="F99" s="2">
        <f>F11/'Output-Calculation-sheet'!F10*'Output-Calculation-sheet'!F82</f>
        <v>2655471067.4378242</v>
      </c>
      <c r="G99" s="2">
        <f>G11/'Output-Calculation-sheet'!G10*'Output-Calculation-sheet'!G82</f>
        <v>1436236532.8616202</v>
      </c>
      <c r="H99" s="2">
        <f>H11/'Output-Calculation-sheet'!H10*'Output-Calculation-sheet'!H82</f>
        <v>2002987155.5798967</v>
      </c>
      <c r="I99" s="2">
        <f>I11/'Output-Calculation-sheet'!I10*'Output-Calculation-sheet'!I82</f>
        <v>1198579214.2915976</v>
      </c>
      <c r="J99" s="2">
        <f>J11/'Output-Calculation-sheet'!J10*'Output-Calculation-sheet'!J82</f>
        <v>934820515.65731823</v>
      </c>
      <c r="K99" s="2">
        <f>K11/'Output-Calculation-sheet'!K10*'Output-Calculation-sheet'!K82</f>
        <v>1088689245.0778768</v>
      </c>
      <c r="L99" s="2">
        <f>L11/'Output-Calculation-sheet'!L10*'Output-Calculation-sheet'!L82</f>
        <v>1252024333.9591043</v>
      </c>
      <c r="M99" s="2">
        <f>M11/'Output-Calculation-sheet'!M10*'Output-Calculation-sheet'!M82</f>
        <v>1775938907.9957449</v>
      </c>
      <c r="N99" s="2">
        <f>N11/'Output-Calculation-sheet'!N10*'Output-Calculation-sheet'!N82</f>
        <v>1062992738.1274863</v>
      </c>
      <c r="O99" s="2">
        <f>O11/'Output-Calculation-sheet'!O10*'Output-Calculation-sheet'!O82</f>
        <v>125918499.12691633</v>
      </c>
      <c r="P99" s="2">
        <f>P11/'Output-Calculation-sheet'!P10*'Output-Calculation-sheet'!P82</f>
        <v>1718676868.1305156</v>
      </c>
      <c r="Q99" s="2">
        <f>Q11/'Output-Calculation-sheet'!Q10*'Output-Calculation-sheet'!Q82</f>
        <v>783831252.75057518</v>
      </c>
      <c r="R99" s="2">
        <f>R11/'Output-Calculation-sheet'!R10*'Output-Calculation-sheet'!R82</f>
        <v>1211776239.303297</v>
      </c>
      <c r="S99" s="2">
        <f>S11/'Output-Calculation-sheet'!S10*'Output-Calculation-sheet'!S82</f>
        <v>521788478.1192292</v>
      </c>
      <c r="T99" s="2">
        <f>T11/'Output-Calculation-sheet'!T10*'Output-Calculation-sheet'!T82</f>
        <v>371556852.42595673</v>
      </c>
      <c r="U99" s="2">
        <f>U11/'Output-Calculation-sheet'!U10*'Output-Calculation-sheet'!U82</f>
        <v>250505877.45036906</v>
      </c>
      <c r="V99" s="2">
        <f>V11/'Output-Calculation-sheet'!V10*'Output-Calculation-sheet'!V82</f>
        <v>148356101.4702476</v>
      </c>
      <c r="W99" s="2">
        <f>W11/'Output-Calculation-sheet'!W10*'Output-Calculation-sheet'!W82</f>
        <v>410892809.62621719</v>
      </c>
      <c r="X99" s="2">
        <f>X11/'Output-Calculation-sheet'!X10*'Output-Calculation-sheet'!X82</f>
        <v>197017083.54451981</v>
      </c>
      <c r="Y99" s="2">
        <f>Y11/'Output-Calculation-sheet'!Y10*'Output-Calculation-sheet'!Y82</f>
        <v>237704371.49872056</v>
      </c>
      <c r="AA99" s="2">
        <f t="shared" si="8"/>
        <v>44.054112991187658</v>
      </c>
    </row>
    <row r="100" spans="1:27" x14ac:dyDescent="0.25">
      <c r="A100" s="2">
        <v>2035</v>
      </c>
      <c r="B100" s="2">
        <f>B12/'Output-Calculation-sheet'!B11*'Output-Calculation-sheet'!B83</f>
        <v>10850989433.933271</v>
      </c>
      <c r="C100" s="2">
        <f>C12/'Output-Calculation-sheet'!C11*'Output-Calculation-sheet'!C83</f>
        <v>975924597.41710496</v>
      </c>
      <c r="D100" s="2">
        <f>D12/'Output-Calculation-sheet'!D11*'Output-Calculation-sheet'!D83</f>
        <v>1844112285.0668178</v>
      </c>
      <c r="E100" s="2">
        <f>E12/'Output-Calculation-sheet'!E11*'Output-Calculation-sheet'!E83</f>
        <v>10439371757.734812</v>
      </c>
      <c r="F100" s="2">
        <f>F12/'Output-Calculation-sheet'!F11*'Output-Calculation-sheet'!F83</f>
        <v>2458467146.8159676</v>
      </c>
      <c r="G100" s="2">
        <f>G12/'Output-Calculation-sheet'!G11*'Output-Calculation-sheet'!G83</f>
        <v>1268912978.8099468</v>
      </c>
      <c r="H100" s="2">
        <f>H12/'Output-Calculation-sheet'!H11*'Output-Calculation-sheet'!H83</f>
        <v>1894248340.2348607</v>
      </c>
      <c r="I100" s="2">
        <f>I12/'Output-Calculation-sheet'!I11*'Output-Calculation-sheet'!I83</f>
        <v>1117667074.6233261</v>
      </c>
      <c r="J100" s="2">
        <f>J12/'Output-Calculation-sheet'!J11*'Output-Calculation-sheet'!J83</f>
        <v>861147416.29909778</v>
      </c>
      <c r="K100" s="2">
        <f>K12/'Output-Calculation-sheet'!K11*'Output-Calculation-sheet'!K83</f>
        <v>982648198.60156929</v>
      </c>
      <c r="L100" s="2">
        <f>L12/'Output-Calculation-sheet'!L11*'Output-Calculation-sheet'!L83</f>
        <v>1203328004.7309632</v>
      </c>
      <c r="M100" s="2">
        <f>M12/'Output-Calculation-sheet'!M11*'Output-Calculation-sheet'!M83</f>
        <v>1724283842.0147364</v>
      </c>
      <c r="N100" s="2">
        <f>N12/'Output-Calculation-sheet'!N11*'Output-Calculation-sheet'!N83</f>
        <v>1008105254.862396</v>
      </c>
      <c r="O100" s="2">
        <f>O12/'Output-Calculation-sheet'!O11*'Output-Calculation-sheet'!O83</f>
        <v>129538648.19107708</v>
      </c>
      <c r="P100" s="2">
        <f>P12/'Output-Calculation-sheet'!P11*'Output-Calculation-sheet'!P83</f>
        <v>1548126700.5612931</v>
      </c>
      <c r="Q100" s="2">
        <f>Q12/'Output-Calculation-sheet'!Q11*'Output-Calculation-sheet'!Q83</f>
        <v>748516662.98335648</v>
      </c>
      <c r="R100" s="2">
        <f>R12/'Output-Calculation-sheet'!R11*'Output-Calculation-sheet'!R83</f>
        <v>1137413900.6101639</v>
      </c>
      <c r="S100" s="2">
        <f>S12/'Output-Calculation-sheet'!S11*'Output-Calculation-sheet'!S83</f>
        <v>509442304.613033</v>
      </c>
      <c r="T100" s="2">
        <f>T12/'Output-Calculation-sheet'!T11*'Output-Calculation-sheet'!T83</f>
        <v>333641260.36964267</v>
      </c>
      <c r="U100" s="2">
        <f>U12/'Output-Calculation-sheet'!U11*'Output-Calculation-sheet'!U83</f>
        <v>227085228.00007829</v>
      </c>
      <c r="V100" s="2">
        <f>V12/'Output-Calculation-sheet'!V11*'Output-Calculation-sheet'!V83</f>
        <v>134989416.51095599</v>
      </c>
      <c r="W100" s="2">
        <f>W12/'Output-Calculation-sheet'!W11*'Output-Calculation-sheet'!W83</f>
        <v>370543223.96405464</v>
      </c>
      <c r="X100" s="2">
        <f>X12/'Output-Calculation-sheet'!X11*'Output-Calculation-sheet'!X83</f>
        <v>197667781.35375878</v>
      </c>
      <c r="Y100" s="2">
        <f>Y12/'Output-Calculation-sheet'!Y11*'Output-Calculation-sheet'!Y83</f>
        <v>221276528.62126267</v>
      </c>
      <c r="AA100" s="2">
        <f t="shared" si="8"/>
        <v>42.187447986923544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5311.9619584745751</v>
      </c>
      <c r="C19" s="2">
        <f>C8/'Output-Calculation-sheet'!C7*'Output-Calculation-sheet'!C25</f>
        <v>8022.8917246347119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4305.7963687519859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875.34632831578392</v>
      </c>
      <c r="M19" s="2">
        <f>M8/'Output-Calculation-sheet'!M7*'Output-Calculation-sheet'!M25</f>
        <v>5679.1082496603094</v>
      </c>
      <c r="N19" s="2">
        <f>N8/'Output-Calculation-sheet'!N7*'Output-Calculation-sheet'!N25</f>
        <v>2899.3877830706197</v>
      </c>
      <c r="O19" s="2">
        <f>O8/'Output-Calculation-sheet'!O7*'Output-Calculation-sheet'!O25</f>
        <v>1567.1592357620711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554.38640582351536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394.90141809515967</v>
      </c>
      <c r="Y19" s="2">
        <f>Y8/'Output-Calculation-sheet'!Y7*'Output-Calculation-sheet'!Y25</f>
        <v>0</v>
      </c>
      <c r="AA19" s="2">
        <f t="shared" si="0"/>
        <v>29.610939472588733</v>
      </c>
    </row>
    <row r="20" spans="1:27" x14ac:dyDescent="0.25">
      <c r="A20" s="2">
        <v>2032</v>
      </c>
      <c r="B20" s="2">
        <f>B9/'Output-Calculation-sheet'!B8*'Output-Calculation-sheet'!B26</f>
        <v>7319.8497977546876</v>
      </c>
      <c r="C20" s="2">
        <f>C9/'Output-Calculation-sheet'!C8*'Output-Calculation-sheet'!C26</f>
        <v>9067.3569149649065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5971.9106392963922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1037.7089140475796</v>
      </c>
      <c r="M20" s="2">
        <f>M9/'Output-Calculation-sheet'!M8*'Output-Calculation-sheet'!M26</f>
        <v>6315.0877755459687</v>
      </c>
      <c r="N20" s="2">
        <f>N9/'Output-Calculation-sheet'!N8*'Output-Calculation-sheet'!N26</f>
        <v>3556.7708204020332</v>
      </c>
      <c r="O20" s="2">
        <f>O9/'Output-Calculation-sheet'!O8*'Output-Calculation-sheet'!O26</f>
        <v>1769.6110166879025</v>
      </c>
      <c r="P20" s="2">
        <f>P9/'Output-Calculation-sheet'!P8*'Output-Calculation-sheet'!P26</f>
        <v>0</v>
      </c>
      <c r="Q20" s="2">
        <f>Q9/'Output-Calculation-sheet'!Q8*'Output-Calculation-sheet'!Q26</f>
        <v>106.9510625415578</v>
      </c>
      <c r="R20" s="2">
        <f>R9/'Output-Calculation-sheet'!R8*'Output-Calculation-sheet'!R26</f>
        <v>0</v>
      </c>
      <c r="S20" s="2">
        <f>S9/'Output-Calculation-sheet'!S8*'Output-Calculation-sheet'!S26</f>
        <v>755.16336082334931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583.86605173578369</v>
      </c>
      <c r="Y20" s="2">
        <f>Y9/'Output-Calculation-sheet'!Y8*'Output-Calculation-sheet'!Y26</f>
        <v>0</v>
      </c>
      <c r="AA20" s="2">
        <f t="shared" si="0"/>
        <v>36.484276353800162</v>
      </c>
    </row>
    <row r="21" spans="1:27" x14ac:dyDescent="0.25">
      <c r="A21" s="2">
        <v>2033</v>
      </c>
      <c r="B21" s="2">
        <f>B10/'Output-Calculation-sheet'!B9*'Output-Calculation-sheet'!B27</f>
        <v>10052.50094921414</v>
      </c>
      <c r="C21" s="2">
        <f>C10/'Output-Calculation-sheet'!C9*'Output-Calculation-sheet'!C27</f>
        <v>10089.147495281841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8845.0815014000491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1227.9390221873966</v>
      </c>
      <c r="M21" s="2">
        <f>M10/'Output-Calculation-sheet'!M9*'Output-Calculation-sheet'!M27</f>
        <v>6884.4401362490416</v>
      </c>
      <c r="N21" s="2">
        <f>N10/'Output-Calculation-sheet'!N9*'Output-Calculation-sheet'!N27</f>
        <v>4012.4767827020528</v>
      </c>
      <c r="O21" s="2">
        <f>O10/'Output-Calculation-sheet'!O9*'Output-Calculation-sheet'!O27</f>
        <v>1963.0112931048004</v>
      </c>
      <c r="P21" s="2">
        <f>P10/'Output-Calculation-sheet'!P9*'Output-Calculation-sheet'!P27</f>
        <v>0</v>
      </c>
      <c r="Q21" s="2">
        <f>Q10/'Output-Calculation-sheet'!Q9*'Output-Calculation-sheet'!Q27</f>
        <v>298.9948216359478</v>
      </c>
      <c r="R21" s="2">
        <f>R10/'Output-Calculation-sheet'!R9*'Output-Calculation-sheet'!R27</f>
        <v>0</v>
      </c>
      <c r="S21" s="2">
        <f>S10/'Output-Calculation-sheet'!S9*'Output-Calculation-sheet'!S27</f>
        <v>1019.243054938224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642.36529278501223</v>
      </c>
      <c r="Y21" s="2">
        <f>Y10/'Output-Calculation-sheet'!Y9*'Output-Calculation-sheet'!Y27</f>
        <v>0</v>
      </c>
      <c r="AA21" s="2">
        <f t="shared" si="0"/>
        <v>45.035200349498503</v>
      </c>
    </row>
    <row r="22" spans="1:27" x14ac:dyDescent="0.25">
      <c r="A22" s="2">
        <v>2034</v>
      </c>
      <c r="B22" s="2">
        <f>B11/'Output-Calculation-sheet'!B10*'Output-Calculation-sheet'!B28</f>
        <v>13615.432230175526</v>
      </c>
      <c r="C22" s="2">
        <f>C11/'Output-Calculation-sheet'!C10*'Output-Calculation-sheet'!C28</f>
        <v>11102.787084403244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9648.0098981923093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1421.4691684279728</v>
      </c>
      <c r="M22" s="2">
        <f>M11/'Output-Calculation-sheet'!M10*'Output-Calculation-sheet'!M28</f>
        <v>7496.9946676175268</v>
      </c>
      <c r="N22" s="2">
        <f>N11/'Output-Calculation-sheet'!N10*'Output-Calculation-sheet'!N28</f>
        <v>4496.7806702577809</v>
      </c>
      <c r="O22" s="2">
        <f>O11/'Output-Calculation-sheet'!O10*'Output-Calculation-sheet'!O28</f>
        <v>2147.2288863830445</v>
      </c>
      <c r="P22" s="2">
        <f>P11/'Output-Calculation-sheet'!P10*'Output-Calculation-sheet'!P28</f>
        <v>0</v>
      </c>
      <c r="Q22" s="2">
        <f>Q11/'Output-Calculation-sheet'!Q10*'Output-Calculation-sheet'!Q28</f>
        <v>616.40864613302438</v>
      </c>
      <c r="R22" s="2">
        <f>R11/'Output-Calculation-sheet'!R10*'Output-Calculation-sheet'!R28</f>
        <v>0</v>
      </c>
      <c r="S22" s="2">
        <f>S11/'Output-Calculation-sheet'!S10*'Output-Calculation-sheet'!S28</f>
        <v>1317.3658134373545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701.09217618417358</v>
      </c>
      <c r="Y22" s="2">
        <f>Y11/'Output-Calculation-sheet'!Y10*'Output-Calculation-sheet'!Y28</f>
        <v>0</v>
      </c>
      <c r="AA22" s="2">
        <f t="shared" si="0"/>
        <v>52.563569241211951</v>
      </c>
    </row>
    <row r="23" spans="1:27" x14ac:dyDescent="0.25">
      <c r="A23" s="2">
        <v>2035</v>
      </c>
      <c r="B23" s="2">
        <f>B12/'Output-Calculation-sheet'!B11*'Output-Calculation-sheet'!B29</f>
        <v>17718.979221974892</v>
      </c>
      <c r="C23" s="2">
        <f>C12/'Output-Calculation-sheet'!C11*'Output-Calculation-sheet'!C29</f>
        <v>12421.463712977411</v>
      </c>
      <c r="D23" s="2">
        <f>D12/'Output-Calculation-sheet'!D11*'Output-Calculation-sheet'!D29</f>
        <v>0</v>
      </c>
      <c r="E23" s="2">
        <f>E12/'Output-Calculation-sheet'!E11*'Output-Calculation-sheet'!E29</f>
        <v>162.37956543150085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10372.691058142187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1635.1411132433075</v>
      </c>
      <c r="M23" s="2">
        <f>M12/'Output-Calculation-sheet'!M11*'Output-Calculation-sheet'!M29</f>
        <v>8067.1199785878225</v>
      </c>
      <c r="N23" s="2">
        <f>N12/'Output-Calculation-sheet'!N11*'Output-Calculation-sheet'!N29</f>
        <v>4951.8613697891351</v>
      </c>
      <c r="O23" s="2">
        <f>O12/'Output-Calculation-sheet'!O11*'Output-Calculation-sheet'!O29</f>
        <v>2519.0845034005179</v>
      </c>
      <c r="P23" s="2">
        <f>P12/'Output-Calculation-sheet'!P11*'Output-Calculation-sheet'!P29</f>
        <v>0</v>
      </c>
      <c r="Q23" s="2">
        <f>Q12/'Output-Calculation-sheet'!Q11*'Output-Calculation-sheet'!Q29</f>
        <v>973.73232669423578</v>
      </c>
      <c r="R23" s="2">
        <f>R12/'Output-Calculation-sheet'!R11*'Output-Calculation-sheet'!R29</f>
        <v>0</v>
      </c>
      <c r="S23" s="2">
        <f>S12/'Output-Calculation-sheet'!S11*'Output-Calculation-sheet'!S29</f>
        <v>1650.2942479864562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762.56689193405953</v>
      </c>
      <c r="Y23" s="2">
        <f>Y12/'Output-Calculation-sheet'!Y11*'Output-Calculation-sheet'!Y29</f>
        <v>0</v>
      </c>
      <c r="AA23" s="2">
        <f t="shared" si="0"/>
        <v>61.235313990161522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25419.35262053051</v>
      </c>
      <c r="C30" s="2">
        <f>C8/'Output-Calculation-sheet'!C7*'Output-Calculation-sheet'!C16</f>
        <v>0</v>
      </c>
      <c r="D30" s="2">
        <f>D8/'Output-Calculation-sheet'!D7*'Output-Calculation-sheet'!D16</f>
        <v>6947.7040284707409</v>
      </c>
      <c r="E30" s="2">
        <f>E8/'Output-Calculation-sheet'!E7*'Output-Calculation-sheet'!E16</f>
        <v>8483.6489443059909</v>
      </c>
      <c r="F30" s="2">
        <f>F8/'Output-Calculation-sheet'!F7*'Output-Calculation-sheet'!F16</f>
        <v>3815.7021672121041</v>
      </c>
      <c r="G30" s="2">
        <f>G8/'Output-Calculation-sheet'!G7*'Output-Calculation-sheet'!G16</f>
        <v>2197.2149189988941</v>
      </c>
      <c r="H30" s="2">
        <f>H8/'Output-Calculation-sheet'!H7*'Output-Calculation-sheet'!H16</f>
        <v>0</v>
      </c>
      <c r="I30" s="2">
        <f>I8/'Output-Calculation-sheet'!I7*'Output-Calculation-sheet'!I16</f>
        <v>2331.4379880638649</v>
      </c>
      <c r="J30" s="2">
        <f>J8/'Output-Calculation-sheet'!J7*'Output-Calculation-sheet'!J16</f>
        <v>2371.0695619728444</v>
      </c>
      <c r="K30" s="2">
        <f>K8/'Output-Calculation-sheet'!K7*'Output-Calculation-sheet'!K16</f>
        <v>3089.4845516933738</v>
      </c>
      <c r="L30" s="2">
        <f>L8/'Output-Calculation-sheet'!L7*'Output-Calculation-sheet'!L16</f>
        <v>2807.3955973844263</v>
      </c>
      <c r="M30" s="2">
        <f>M8/'Output-Calculation-sheet'!M7*'Output-Calculation-sheet'!M16</f>
        <v>0</v>
      </c>
      <c r="N30" s="2">
        <f>N8/'Output-Calculation-sheet'!N7*'Output-Calculation-sheet'!N16</f>
        <v>1657.596338106634</v>
      </c>
      <c r="O30" s="2">
        <f>O8/'Output-Calculation-sheet'!O7*'Output-Calculation-sheet'!O16</f>
        <v>0</v>
      </c>
      <c r="P30" s="2">
        <f>P8/'Output-Calculation-sheet'!P7*'Output-Calculation-sheet'!P16</f>
        <v>2494.7438768698057</v>
      </c>
      <c r="Q30" s="2">
        <f>Q8/'Output-Calculation-sheet'!Q7*'Output-Calculation-sheet'!Q16</f>
        <v>2782.3126868960303</v>
      </c>
      <c r="R30" s="2">
        <f>R8/'Output-Calculation-sheet'!R7*'Output-Calculation-sheet'!R16</f>
        <v>2269.7781400680092</v>
      </c>
      <c r="S30" s="2">
        <f>S8/'Output-Calculation-sheet'!S7*'Output-Calculation-sheet'!S16</f>
        <v>1221.783490119738</v>
      </c>
      <c r="T30" s="2">
        <f>T8/'Output-Calculation-sheet'!T7*'Output-Calculation-sheet'!T16</f>
        <v>719.81294279535098</v>
      </c>
      <c r="U30" s="2">
        <f>U8/'Output-Calculation-sheet'!U7*'Output-Calculation-sheet'!U16</f>
        <v>576.19724658052428</v>
      </c>
      <c r="V30" s="2">
        <f>V8/'Output-Calculation-sheet'!V7*'Output-Calculation-sheet'!V16</f>
        <v>678.44207854770559</v>
      </c>
      <c r="W30" s="2">
        <f>W8/'Output-Calculation-sheet'!W7*'Output-Calculation-sheet'!W16</f>
        <v>313.07467129511872</v>
      </c>
      <c r="X30" s="2">
        <f>X8/'Output-Calculation-sheet'!X7*'Output-Calculation-sheet'!X16</f>
        <v>0</v>
      </c>
      <c r="Y30" s="2">
        <f>Y8/'Output-Calculation-sheet'!Y7*'Output-Calculation-sheet'!Y16</f>
        <v>240.74872797820149</v>
      </c>
      <c r="AA30" s="2">
        <f t="shared" si="1"/>
        <v>70.417500577889882</v>
      </c>
    </row>
    <row r="31" spans="1:27" x14ac:dyDescent="0.25">
      <c r="A31" s="2">
        <v>2032</v>
      </c>
      <c r="B31" s="2">
        <f>B9/'Output-Calculation-sheet'!B8*'Output-Calculation-sheet'!B17</f>
        <v>27439.966804278451</v>
      </c>
      <c r="C31" s="2">
        <f>C9/'Output-Calculation-sheet'!C8*'Output-Calculation-sheet'!C17</f>
        <v>0</v>
      </c>
      <c r="D31" s="2">
        <f>D9/'Output-Calculation-sheet'!D8*'Output-Calculation-sheet'!D17</f>
        <v>7633.1350576076911</v>
      </c>
      <c r="E31" s="2">
        <f>E9/'Output-Calculation-sheet'!E8*'Output-Calculation-sheet'!E17</f>
        <v>9364.6012097052426</v>
      </c>
      <c r="F31" s="2">
        <f>F9/'Output-Calculation-sheet'!F8*'Output-Calculation-sheet'!F17</f>
        <v>4217.8065035016989</v>
      </c>
      <c r="G31" s="2">
        <f>G9/'Output-Calculation-sheet'!G8*'Output-Calculation-sheet'!G17</f>
        <v>2427.6497128392166</v>
      </c>
      <c r="H31" s="2">
        <f>H9/'Output-Calculation-sheet'!H8*'Output-Calculation-sheet'!H17</f>
        <v>0</v>
      </c>
      <c r="I31" s="2">
        <f>I9/'Output-Calculation-sheet'!I8*'Output-Calculation-sheet'!I17</f>
        <v>2573.6048984627987</v>
      </c>
      <c r="J31" s="2">
        <f>J9/'Output-Calculation-sheet'!J8*'Output-Calculation-sheet'!J17</f>
        <v>2611.1444630009328</v>
      </c>
      <c r="K31" s="2">
        <f>K9/'Output-Calculation-sheet'!K8*'Output-Calculation-sheet'!K17</f>
        <v>3396.0198482190867</v>
      </c>
      <c r="L31" s="2">
        <f>L9/'Output-Calculation-sheet'!L8*'Output-Calculation-sheet'!L17</f>
        <v>3072.0959145740289</v>
      </c>
      <c r="M31" s="2">
        <f>M9/'Output-Calculation-sheet'!M8*'Output-Calculation-sheet'!M17</f>
        <v>0</v>
      </c>
      <c r="N31" s="2">
        <f>N9/'Output-Calculation-sheet'!N8*'Output-Calculation-sheet'!N17</f>
        <v>1715.3776401530599</v>
      </c>
      <c r="O31" s="2">
        <f>O9/'Output-Calculation-sheet'!O8*'Output-Calculation-sheet'!O17</f>
        <v>0</v>
      </c>
      <c r="P31" s="2">
        <f>P9/'Output-Calculation-sheet'!P8*'Output-Calculation-sheet'!P17</f>
        <v>2787.1354310721395</v>
      </c>
      <c r="Q31" s="2">
        <f>Q9/'Output-Calculation-sheet'!Q8*'Output-Calculation-sheet'!Q17</f>
        <v>3029.0978989648802</v>
      </c>
      <c r="R31" s="2">
        <f>R9/'Output-Calculation-sheet'!R8*'Output-Calculation-sheet'!R17</f>
        <v>2514.5918756406168</v>
      </c>
      <c r="S31" s="2">
        <f>S9/'Output-Calculation-sheet'!S8*'Output-Calculation-sheet'!S17</f>
        <v>1306.3394475203659</v>
      </c>
      <c r="T31" s="2">
        <f>T9/'Output-Calculation-sheet'!T8*'Output-Calculation-sheet'!T17</f>
        <v>792.19211486370784</v>
      </c>
      <c r="U31" s="2">
        <f>U9/'Output-Calculation-sheet'!U8*'Output-Calculation-sheet'!U17</f>
        <v>636.45297359949382</v>
      </c>
      <c r="V31" s="2">
        <f>V9/'Output-Calculation-sheet'!V8*'Output-Calculation-sheet'!V17</f>
        <v>748.14539777691959</v>
      </c>
      <c r="W31" s="2">
        <f>W9/'Output-Calculation-sheet'!W8*'Output-Calculation-sheet'!W17</f>
        <v>346.04294563064553</v>
      </c>
      <c r="X31" s="2">
        <f>X9/'Output-Calculation-sheet'!X8*'Output-Calculation-sheet'!X17</f>
        <v>0</v>
      </c>
      <c r="Y31" s="2">
        <f>Y9/'Output-Calculation-sheet'!Y8*'Output-Calculation-sheet'!Y17</f>
        <v>266.3023681191633</v>
      </c>
      <c r="AA31" s="2">
        <f t="shared" si="1"/>
        <v>76.877702505530152</v>
      </c>
    </row>
    <row r="32" spans="1:27" x14ac:dyDescent="0.25">
      <c r="A32" s="2">
        <v>2033</v>
      </c>
      <c r="B32" s="2">
        <f>B10/'Output-Calculation-sheet'!B9*'Output-Calculation-sheet'!B18</f>
        <v>28717.12797328438</v>
      </c>
      <c r="C32" s="2">
        <f>C10/'Output-Calculation-sheet'!C9*'Output-Calculation-sheet'!C18</f>
        <v>0</v>
      </c>
      <c r="D32" s="2">
        <f>D10/'Output-Calculation-sheet'!D9*'Output-Calculation-sheet'!D18</f>
        <v>8209.7077048680276</v>
      </c>
      <c r="E32" s="2">
        <f>E10/'Output-Calculation-sheet'!E9*'Output-Calculation-sheet'!E18</f>
        <v>10146.066695632666</v>
      </c>
      <c r="F32" s="2">
        <f>F10/'Output-Calculation-sheet'!F9*'Output-Calculation-sheet'!F18</f>
        <v>4563.9637388626825</v>
      </c>
      <c r="G32" s="2">
        <f>G10/'Output-Calculation-sheet'!G9*'Output-Calculation-sheet'!G18</f>
        <v>2626.0759024906197</v>
      </c>
      <c r="H32" s="2">
        <f>H10/'Output-Calculation-sheet'!H9*'Output-Calculation-sheet'!H18</f>
        <v>0</v>
      </c>
      <c r="I32" s="2">
        <f>I10/'Output-Calculation-sheet'!I9*'Output-Calculation-sheet'!I18</f>
        <v>2781.7450751972624</v>
      </c>
      <c r="J32" s="2">
        <f>J10/'Output-Calculation-sheet'!J9*'Output-Calculation-sheet'!J18</f>
        <v>2800.2052931179924</v>
      </c>
      <c r="K32" s="2">
        <f>K10/'Output-Calculation-sheet'!K9*'Output-Calculation-sheet'!K18</f>
        <v>3696.7500993167996</v>
      </c>
      <c r="L32" s="2">
        <f>L10/'Output-Calculation-sheet'!L9*'Output-Calculation-sheet'!L18</f>
        <v>3225.6235043955421</v>
      </c>
      <c r="M32" s="2">
        <f>M10/'Output-Calculation-sheet'!M9*'Output-Calculation-sheet'!M18</f>
        <v>0</v>
      </c>
      <c r="N32" s="2">
        <f>N10/'Output-Calculation-sheet'!N9*'Output-Calculation-sheet'!N18</f>
        <v>1809.4663898604942</v>
      </c>
      <c r="O32" s="2">
        <f>O10/'Output-Calculation-sheet'!O9*'Output-Calculation-sheet'!O18</f>
        <v>0</v>
      </c>
      <c r="P32" s="2">
        <f>P10/'Output-Calculation-sheet'!P9*'Output-Calculation-sheet'!P18</f>
        <v>3041.6266432296288</v>
      </c>
      <c r="Q32" s="2">
        <f>Q10/'Output-Calculation-sheet'!Q9*'Output-Calculation-sheet'!Q18</f>
        <v>3205.9155527338567</v>
      </c>
      <c r="R32" s="2">
        <f>R10/'Output-Calculation-sheet'!R9*'Output-Calculation-sheet'!R18</f>
        <v>2716.6913353002274</v>
      </c>
      <c r="S32" s="2">
        <f>S10/'Output-Calculation-sheet'!S9*'Output-Calculation-sheet'!S18</f>
        <v>1355.8627394700345</v>
      </c>
      <c r="T32" s="2">
        <f>T10/'Output-Calculation-sheet'!T9*'Output-Calculation-sheet'!T18</f>
        <v>855.71158792588369</v>
      </c>
      <c r="U32" s="2">
        <f>U10/'Output-Calculation-sheet'!U9*'Output-Calculation-sheet'!U18</f>
        <v>686.11277882599597</v>
      </c>
      <c r="V32" s="2">
        <f>V10/'Output-Calculation-sheet'!V9*'Output-Calculation-sheet'!V18</f>
        <v>798.3262307447269</v>
      </c>
      <c r="W32" s="2">
        <f>W10/'Output-Calculation-sheet'!W9*'Output-Calculation-sheet'!W18</f>
        <v>372.58181848702782</v>
      </c>
      <c r="X32" s="2">
        <f>X10/'Output-Calculation-sheet'!X9*'Output-Calculation-sheet'!X18</f>
        <v>0</v>
      </c>
      <c r="Y32" s="2">
        <f>Y10/'Output-Calculation-sheet'!Y9*'Output-Calculation-sheet'!Y18</f>
        <v>288.21005327091854</v>
      </c>
      <c r="AA32" s="2">
        <f t="shared" si="1"/>
        <v>81.897771117014756</v>
      </c>
    </row>
    <row r="33" spans="1:27" x14ac:dyDescent="0.25">
      <c r="A33" s="2">
        <v>2034</v>
      </c>
      <c r="B33" s="2">
        <f>B11/'Output-Calculation-sheet'!B10*'Output-Calculation-sheet'!B19</f>
        <v>30076.101456558346</v>
      </c>
      <c r="C33" s="2">
        <f>C11/'Output-Calculation-sheet'!C10*'Output-Calculation-sheet'!C19</f>
        <v>0</v>
      </c>
      <c r="D33" s="2">
        <f>D11/'Output-Calculation-sheet'!D10*'Output-Calculation-sheet'!D19</f>
        <v>8704.4667436670516</v>
      </c>
      <c r="E33" s="2">
        <f>E11/'Output-Calculation-sheet'!E10*'Output-Calculation-sheet'!E19</f>
        <v>10827.835684430256</v>
      </c>
      <c r="F33" s="2">
        <f>F11/'Output-Calculation-sheet'!F10*'Output-Calculation-sheet'!F19</f>
        <v>4872.1821570172897</v>
      </c>
      <c r="G33" s="2">
        <f>G11/'Output-Calculation-sheet'!G10*'Output-Calculation-sheet'!G19</f>
        <v>2795.4151054044769</v>
      </c>
      <c r="H33" s="2">
        <f>H11/'Output-Calculation-sheet'!H10*'Output-Calculation-sheet'!H19</f>
        <v>0</v>
      </c>
      <c r="I33" s="2">
        <f>I11/'Output-Calculation-sheet'!I10*'Output-Calculation-sheet'!I19</f>
        <v>2972.8434477621918</v>
      </c>
      <c r="J33" s="2">
        <f>J11/'Output-Calculation-sheet'!J10*'Output-Calculation-sheet'!J19</f>
        <v>2975.3476047356853</v>
      </c>
      <c r="K33" s="2">
        <f>K11/'Output-Calculation-sheet'!K10*'Output-Calculation-sheet'!K19</f>
        <v>3907.0479905327006</v>
      </c>
      <c r="L33" s="2">
        <f>L11/'Output-Calculation-sheet'!L10*'Output-Calculation-sheet'!L19</f>
        <v>3357.0575612803509</v>
      </c>
      <c r="M33" s="2">
        <f>M11/'Output-Calculation-sheet'!M10*'Output-Calculation-sheet'!M19</f>
        <v>0</v>
      </c>
      <c r="N33" s="2">
        <f>N11/'Output-Calculation-sheet'!N10*'Output-Calculation-sheet'!N19</f>
        <v>1832.7021868460597</v>
      </c>
      <c r="O33" s="2">
        <f>O11/'Output-Calculation-sheet'!O10*'Output-Calculation-sheet'!O19</f>
        <v>0</v>
      </c>
      <c r="P33" s="2">
        <f>P11/'Output-Calculation-sheet'!P10*'Output-Calculation-sheet'!P19</f>
        <v>3279.2918382868602</v>
      </c>
      <c r="Q33" s="2">
        <f>Q11/'Output-Calculation-sheet'!Q10*'Output-Calculation-sheet'!Q19</f>
        <v>3271.633765563075</v>
      </c>
      <c r="R33" s="2">
        <f>R11/'Output-Calculation-sheet'!R10*'Output-Calculation-sheet'!R19</f>
        <v>2890.6324890376231</v>
      </c>
      <c r="S33" s="2">
        <f>S11/'Output-Calculation-sheet'!S10*'Output-Calculation-sheet'!S19</f>
        <v>1408.9343485054687</v>
      </c>
      <c r="T33" s="2">
        <f>T11/'Output-Calculation-sheet'!T10*'Output-Calculation-sheet'!T19</f>
        <v>913.23372146138115</v>
      </c>
      <c r="U33" s="2">
        <f>U11/'Output-Calculation-sheet'!U10*'Output-Calculation-sheet'!U19</f>
        <v>736.78060197029868</v>
      </c>
      <c r="V33" s="2">
        <f>V11/'Output-Calculation-sheet'!V10*'Output-Calculation-sheet'!V19</f>
        <v>845.51246843440163</v>
      </c>
      <c r="W33" s="2">
        <f>W11/'Output-Calculation-sheet'!W10*'Output-Calculation-sheet'!W19</f>
        <v>397.9901036128972</v>
      </c>
      <c r="X33" s="2">
        <f>X11/'Output-Calculation-sheet'!X10*'Output-Calculation-sheet'!X19</f>
        <v>0</v>
      </c>
      <c r="Y33" s="2">
        <f>Y11/'Output-Calculation-sheet'!Y10*'Output-Calculation-sheet'!Y19</f>
        <v>307.74494433093093</v>
      </c>
      <c r="AA33" s="2">
        <f t="shared" si="1"/>
        <v>86.372754219437354</v>
      </c>
    </row>
    <row r="34" spans="1:27" x14ac:dyDescent="0.25">
      <c r="A34" s="2">
        <v>2035</v>
      </c>
      <c r="B34" s="2">
        <f>B12/'Output-Calculation-sheet'!B11*'Output-Calculation-sheet'!B20</f>
        <v>30599.826480320113</v>
      </c>
      <c r="C34" s="2">
        <f>C12/'Output-Calculation-sheet'!C11*'Output-Calculation-sheet'!C20</f>
        <v>0</v>
      </c>
      <c r="D34" s="2">
        <f>D12/'Output-Calculation-sheet'!D11*'Output-Calculation-sheet'!D20</f>
        <v>9223.8972905087521</v>
      </c>
      <c r="E34" s="2">
        <f>E12/'Output-Calculation-sheet'!E11*'Output-Calculation-sheet'!E20</f>
        <v>11355.296675203179</v>
      </c>
      <c r="F34" s="2">
        <f>F12/'Output-Calculation-sheet'!F11*'Output-Calculation-sheet'!F20</f>
        <v>5156.4310894687724</v>
      </c>
      <c r="G34" s="2">
        <f>G12/'Output-Calculation-sheet'!G11*'Output-Calculation-sheet'!G20</f>
        <v>2954.4631286493818</v>
      </c>
      <c r="H34" s="2">
        <f>H12/'Output-Calculation-sheet'!H11*'Output-Calculation-sheet'!H20</f>
        <v>0</v>
      </c>
      <c r="I34" s="2">
        <f>I12/'Output-Calculation-sheet'!I11*'Output-Calculation-sheet'!I20</f>
        <v>3152.0748576302749</v>
      </c>
      <c r="J34" s="2">
        <f>J12/'Output-Calculation-sheet'!J11*'Output-Calculation-sheet'!J20</f>
        <v>3137.4700859848108</v>
      </c>
      <c r="K34" s="2">
        <f>K12/'Output-Calculation-sheet'!K11*'Output-Calculation-sheet'!K20</f>
        <v>4119.7213646583477</v>
      </c>
      <c r="L34" s="2">
        <f>L12/'Output-Calculation-sheet'!L11*'Output-Calculation-sheet'!L20</f>
        <v>3490.0367764224584</v>
      </c>
      <c r="M34" s="2">
        <f>M12/'Output-Calculation-sheet'!M11*'Output-Calculation-sheet'!M20</f>
        <v>0</v>
      </c>
      <c r="N34" s="2">
        <f>N12/'Output-Calculation-sheet'!N11*'Output-Calculation-sheet'!N20</f>
        <v>1899.2242157555693</v>
      </c>
      <c r="O34" s="2">
        <f>O12/'Output-Calculation-sheet'!O11*'Output-Calculation-sheet'!O20</f>
        <v>0</v>
      </c>
      <c r="P34" s="2">
        <f>P12/'Output-Calculation-sheet'!P11*'Output-Calculation-sheet'!P20</f>
        <v>3478.2858108735468</v>
      </c>
      <c r="Q34" s="2">
        <f>Q12/'Output-Calculation-sheet'!Q11*'Output-Calculation-sheet'!Q20</f>
        <v>3322.4929871537574</v>
      </c>
      <c r="R34" s="2">
        <f>R12/'Output-Calculation-sheet'!R11*'Output-Calculation-sheet'!R20</f>
        <v>3056.5341475168639</v>
      </c>
      <c r="S34" s="2">
        <f>S12/'Output-Calculation-sheet'!S11*'Output-Calculation-sheet'!S20</f>
        <v>1427.5891103082104</v>
      </c>
      <c r="T34" s="2">
        <f>T12/'Output-Calculation-sheet'!T11*'Output-Calculation-sheet'!T20</f>
        <v>964.70835461513309</v>
      </c>
      <c r="U34" s="2">
        <f>U12/'Output-Calculation-sheet'!U11*'Output-Calculation-sheet'!U20</f>
        <v>777.05315324908236</v>
      </c>
      <c r="V34" s="2">
        <f>V12/'Output-Calculation-sheet'!V11*'Output-Calculation-sheet'!V20</f>
        <v>892.05226107272256</v>
      </c>
      <c r="W34" s="2">
        <f>W12/'Output-Calculation-sheet'!W11*'Output-Calculation-sheet'!W20</f>
        <v>421.48827123680445</v>
      </c>
      <c r="X34" s="2">
        <f>X12/'Output-Calculation-sheet'!X11*'Output-Calculation-sheet'!X20</f>
        <v>0</v>
      </c>
      <c r="Y34" s="2">
        <f>Y12/'Output-Calculation-sheet'!Y11*'Output-Calculation-sheet'!Y20</f>
        <v>327.32061412225733</v>
      </c>
      <c r="AA34" s="2">
        <f t="shared" si="1"/>
        <v>89.755966674750056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1123.2342467259014</v>
      </c>
      <c r="C52" s="2">
        <f>C8/'Output-Calculation-sheet'!C7*'Output-Calculation-sheet'!C43</f>
        <v>0</v>
      </c>
      <c r="D52" s="2">
        <f>D8/'Output-Calculation-sheet'!D7*'Output-Calculation-sheet'!D43</f>
        <v>2439.9449982167953</v>
      </c>
      <c r="E52" s="2">
        <f>E8/'Output-Calculation-sheet'!E7*'Output-Calculation-sheet'!E43</f>
        <v>1751.4500939389775</v>
      </c>
      <c r="F52" s="2">
        <f>F8/'Output-Calculation-sheet'!F7*'Output-Calculation-sheet'!F43</f>
        <v>0</v>
      </c>
      <c r="G52" s="2">
        <f>G8/'Output-Calculation-sheet'!G7*'Output-Calculation-sheet'!G43</f>
        <v>621.15275077389992</v>
      </c>
      <c r="H52" s="2">
        <f>H8/'Output-Calculation-sheet'!H7*'Output-Calculation-sheet'!H43</f>
        <v>4759.146057886901</v>
      </c>
      <c r="I52" s="2">
        <f>I8/'Output-Calculation-sheet'!I7*'Output-Calculation-sheet'!I43</f>
        <v>203.15993229830968</v>
      </c>
      <c r="J52" s="2">
        <f>J8/'Output-Calculation-sheet'!J7*'Output-Calculation-sheet'!J43</f>
        <v>1105.8389765619254</v>
      </c>
      <c r="K52" s="2">
        <f>K8/'Output-Calculation-sheet'!K7*'Output-Calculation-sheet'!K43</f>
        <v>2221.375858174601</v>
      </c>
      <c r="L52" s="2">
        <f>L8/'Output-Calculation-sheet'!L7*'Output-Calculation-sheet'!L43</f>
        <v>2064.0279813368143</v>
      </c>
      <c r="M52" s="2">
        <f>M8/'Output-Calculation-sheet'!M7*'Output-Calculation-sheet'!M43</f>
        <v>13475.44177588477</v>
      </c>
      <c r="N52" s="2">
        <f>N8/'Output-Calculation-sheet'!N7*'Output-Calculation-sheet'!N43</f>
        <v>7713.4499061561664</v>
      </c>
      <c r="O52" s="2">
        <f>O8/'Output-Calculation-sheet'!O7*'Output-Calculation-sheet'!O43</f>
        <v>0</v>
      </c>
      <c r="P52" s="2">
        <f>P8/'Output-Calculation-sheet'!P7*'Output-Calculation-sheet'!P43</f>
        <v>1640.4806609962347</v>
      </c>
      <c r="Q52" s="2">
        <f>Q8/'Output-Calculation-sheet'!Q7*'Output-Calculation-sheet'!Q43</f>
        <v>372.75126573357505</v>
      </c>
      <c r="R52" s="2">
        <f>R8/'Output-Calculation-sheet'!R7*'Output-Calculation-sheet'!R43</f>
        <v>2989.3627567862354</v>
      </c>
      <c r="S52" s="2">
        <f>S8/'Output-Calculation-sheet'!S7*'Output-Calculation-sheet'!S43</f>
        <v>498.35821807255036</v>
      </c>
      <c r="T52" s="2">
        <f>T8/'Output-Calculation-sheet'!T7*'Output-Calculation-sheet'!T43</f>
        <v>885.95655368920097</v>
      </c>
      <c r="U52" s="2">
        <f>U8/'Output-Calculation-sheet'!U7*'Output-Calculation-sheet'!U43</f>
        <v>330.93684684830572</v>
      </c>
      <c r="V52" s="2">
        <f>V8/'Output-Calculation-sheet'!V7*'Output-Calculation-sheet'!V43</f>
        <v>865.22756470522063</v>
      </c>
      <c r="W52" s="2">
        <f>W8/'Output-Calculation-sheet'!W7*'Output-Calculation-sheet'!W43</f>
        <v>10.357907891586137</v>
      </c>
      <c r="X52" s="2">
        <f>X8/'Output-Calculation-sheet'!X7*'Output-Calculation-sheet'!X43</f>
        <v>701.98089671222726</v>
      </c>
      <c r="Y52" s="2">
        <f>Y8/'Output-Calculation-sheet'!Y7*'Output-Calculation-sheet'!Y43</f>
        <v>0</v>
      </c>
      <c r="AA52" s="2">
        <f t="shared" si="3"/>
        <v>45.77363524939021</v>
      </c>
    </row>
    <row r="53" spans="1:27" x14ac:dyDescent="0.25">
      <c r="A53" s="2">
        <v>2032</v>
      </c>
      <c r="B53" s="2">
        <f>B9/'Output-Calculation-sheet'!B8*'Output-Calculation-sheet'!B44</f>
        <v>3911.4958419771369</v>
      </c>
      <c r="C53" s="2">
        <f>C9/'Output-Calculation-sheet'!C8*'Output-Calculation-sheet'!C44</f>
        <v>0</v>
      </c>
      <c r="D53" s="2">
        <f>D9/'Output-Calculation-sheet'!D8*'Output-Calculation-sheet'!D44</f>
        <v>3462.1710451905301</v>
      </c>
      <c r="E53" s="2">
        <f>E9/'Output-Calculation-sheet'!E8*'Output-Calculation-sheet'!E44</f>
        <v>2269.9895688218789</v>
      </c>
      <c r="F53" s="2">
        <f>F9/'Output-Calculation-sheet'!F8*'Output-Calculation-sheet'!F44</f>
        <v>0</v>
      </c>
      <c r="G53" s="2">
        <f>G9/'Output-Calculation-sheet'!G8*'Output-Calculation-sheet'!G44</f>
        <v>838.31971973523866</v>
      </c>
      <c r="H53" s="2">
        <f>H9/'Output-Calculation-sheet'!H8*'Output-Calculation-sheet'!H44</f>
        <v>10527.324632221778</v>
      </c>
      <c r="I53" s="2">
        <f>I9/'Output-Calculation-sheet'!I8*'Output-Calculation-sheet'!I44</f>
        <v>307.19273713150295</v>
      </c>
      <c r="J53" s="2">
        <f>J9/'Output-Calculation-sheet'!J8*'Output-Calculation-sheet'!J44</f>
        <v>1409.5470554749097</v>
      </c>
      <c r="K53" s="2">
        <f>K9/'Output-Calculation-sheet'!K8*'Output-Calculation-sheet'!K44</f>
        <v>2552.6141688572925</v>
      </c>
      <c r="L53" s="2">
        <f>L9/'Output-Calculation-sheet'!L8*'Output-Calculation-sheet'!L44</f>
        <v>2488.0395440600687</v>
      </c>
      <c r="M53" s="2">
        <f>M9/'Output-Calculation-sheet'!M8*'Output-Calculation-sheet'!M44</f>
        <v>14963.682091069708</v>
      </c>
      <c r="N53" s="2">
        <f>N9/'Output-Calculation-sheet'!N8*'Output-Calculation-sheet'!N44</f>
        <v>9967.3308550439288</v>
      </c>
      <c r="O53" s="2">
        <f>O9/'Output-Calculation-sheet'!O8*'Output-Calculation-sheet'!O44</f>
        <v>0</v>
      </c>
      <c r="P53" s="2">
        <f>P9/'Output-Calculation-sheet'!P8*'Output-Calculation-sheet'!P44</f>
        <v>2067.1060264431035</v>
      </c>
      <c r="Q53" s="2">
        <f>Q9/'Output-Calculation-sheet'!Q8*'Output-Calculation-sheet'!Q44</f>
        <v>623.77723528653939</v>
      </c>
      <c r="R53" s="2">
        <f>R9/'Output-Calculation-sheet'!R8*'Output-Calculation-sheet'!R44</f>
        <v>3499.4601435016589</v>
      </c>
      <c r="S53" s="2">
        <f>S9/'Output-Calculation-sheet'!S8*'Output-Calculation-sheet'!S44</f>
        <v>1014.4559762770623</v>
      </c>
      <c r="T53" s="2">
        <f>T9/'Output-Calculation-sheet'!T8*'Output-Calculation-sheet'!T44</f>
        <v>1039.6651033266162</v>
      </c>
      <c r="U53" s="2">
        <f>U9/'Output-Calculation-sheet'!U8*'Output-Calculation-sheet'!U44</f>
        <v>449.22345937816067</v>
      </c>
      <c r="V53" s="2">
        <f>V9/'Output-Calculation-sheet'!V8*'Output-Calculation-sheet'!V44</f>
        <v>969.02074073528786</v>
      </c>
      <c r="W53" s="2">
        <f>W9/'Output-Calculation-sheet'!W8*'Output-Calculation-sheet'!W44</f>
        <v>26.577799203582607</v>
      </c>
      <c r="X53" s="2">
        <f>X9/'Output-Calculation-sheet'!X8*'Output-Calculation-sheet'!X44</f>
        <v>1439.4806141038389</v>
      </c>
      <c r="Y53" s="2">
        <f>Y9/'Output-Calculation-sheet'!Y8*'Output-Calculation-sheet'!Y44</f>
        <v>0</v>
      </c>
      <c r="AA53" s="2">
        <f t="shared" si="3"/>
        <v>63.826474357839821</v>
      </c>
    </row>
    <row r="54" spans="1:27" x14ac:dyDescent="0.25">
      <c r="A54" s="2">
        <v>2033</v>
      </c>
      <c r="B54" s="2">
        <f>B10/'Output-Calculation-sheet'!B9*'Output-Calculation-sheet'!B45</f>
        <v>8195.2745427106584</v>
      </c>
      <c r="C54" s="2">
        <f>C10/'Output-Calculation-sheet'!C9*'Output-Calculation-sheet'!C45</f>
        <v>0</v>
      </c>
      <c r="D54" s="2">
        <f>D10/'Output-Calculation-sheet'!D9*'Output-Calculation-sheet'!D45</f>
        <v>4656.1937549586692</v>
      </c>
      <c r="E54" s="2">
        <f>E10/'Output-Calculation-sheet'!E9*'Output-Calculation-sheet'!E45</f>
        <v>3108.3629449831283</v>
      </c>
      <c r="F54" s="2">
        <f>F10/'Output-Calculation-sheet'!F9*'Output-Calculation-sheet'!F45</f>
        <v>0</v>
      </c>
      <c r="G54" s="2">
        <f>G10/'Output-Calculation-sheet'!G9*'Output-Calculation-sheet'!G45</f>
        <v>1102.3826487328965</v>
      </c>
      <c r="H54" s="2">
        <f>H10/'Output-Calculation-sheet'!H9*'Output-Calculation-sheet'!H45</f>
        <v>21876.063641988232</v>
      </c>
      <c r="I54" s="2">
        <f>I10/'Output-Calculation-sheet'!I9*'Output-Calculation-sheet'!I45</f>
        <v>450.69426160548414</v>
      </c>
      <c r="J54" s="2">
        <f>J10/'Output-Calculation-sheet'!J9*'Output-Calculation-sheet'!J45</f>
        <v>1843.6293066010635</v>
      </c>
      <c r="K54" s="2">
        <f>K10/'Output-Calculation-sheet'!K9*'Output-Calculation-sheet'!K45</f>
        <v>3130.2613815580448</v>
      </c>
      <c r="L54" s="2">
        <f>L10/'Output-Calculation-sheet'!L9*'Output-Calculation-sheet'!L45</f>
        <v>2982.144334298378</v>
      </c>
      <c r="M54" s="2">
        <f>M10/'Output-Calculation-sheet'!M9*'Output-Calculation-sheet'!M45</f>
        <v>16277.588437385539</v>
      </c>
      <c r="N54" s="2">
        <f>N10/'Output-Calculation-sheet'!N9*'Output-Calculation-sheet'!N45</f>
        <v>11402.314845575267</v>
      </c>
      <c r="O54" s="2">
        <f>O10/'Output-Calculation-sheet'!O9*'Output-Calculation-sheet'!O45</f>
        <v>0</v>
      </c>
      <c r="P54" s="2">
        <f>P10/'Output-Calculation-sheet'!P9*'Output-Calculation-sheet'!P45</f>
        <v>2587.9301404772168</v>
      </c>
      <c r="Q54" s="2">
        <f>Q10/'Output-Calculation-sheet'!Q9*'Output-Calculation-sheet'!Q45</f>
        <v>997.09682069321411</v>
      </c>
      <c r="R54" s="2">
        <f>R10/'Output-Calculation-sheet'!R9*'Output-Calculation-sheet'!R45</f>
        <v>3841.1365096953523</v>
      </c>
      <c r="S54" s="2">
        <f>S10/'Output-Calculation-sheet'!S9*'Output-Calculation-sheet'!S45</f>
        <v>1706.1820623258143</v>
      </c>
      <c r="T54" s="2">
        <f>T10/'Output-Calculation-sheet'!T9*'Output-Calculation-sheet'!T45</f>
        <v>1238.1735477038312</v>
      </c>
      <c r="U54" s="2">
        <f>U10/'Output-Calculation-sheet'!U9*'Output-Calculation-sheet'!U45</f>
        <v>556.73591690518367</v>
      </c>
      <c r="V54" s="2">
        <f>V10/'Output-Calculation-sheet'!V9*'Output-Calculation-sheet'!V45</f>
        <v>1080.3109855491618</v>
      </c>
      <c r="W54" s="2">
        <f>W10/'Output-Calculation-sheet'!W9*'Output-Calculation-sheet'!W45</f>
        <v>36.765120729584908</v>
      </c>
      <c r="X54" s="2">
        <f>X10/'Output-Calculation-sheet'!X9*'Output-Calculation-sheet'!X45</f>
        <v>1568.2817972481876</v>
      </c>
      <c r="Y54" s="2">
        <f>Y10/'Output-Calculation-sheet'!Y9*'Output-Calculation-sheet'!Y45</f>
        <v>11.786768087310588</v>
      </c>
      <c r="AA54" s="2">
        <f t="shared" si="3"/>
        <v>88.64930976981222</v>
      </c>
    </row>
    <row r="55" spans="1:27" x14ac:dyDescent="0.25">
      <c r="A55" s="2">
        <v>2034</v>
      </c>
      <c r="B55" s="2">
        <f>B11/'Output-Calculation-sheet'!B10*'Output-Calculation-sheet'!B46</f>
        <v>17651.813608697743</v>
      </c>
      <c r="C55" s="2">
        <f>C11/'Output-Calculation-sheet'!C10*'Output-Calculation-sheet'!C46</f>
        <v>0</v>
      </c>
      <c r="D55" s="2">
        <f>D11/'Output-Calculation-sheet'!D10*'Output-Calculation-sheet'!D46</f>
        <v>5640.2997111272762</v>
      </c>
      <c r="E55" s="2">
        <f>E11/'Output-Calculation-sheet'!E10*'Output-Calculation-sheet'!E46</f>
        <v>3696.1243775245448</v>
      </c>
      <c r="F55" s="2">
        <f>F11/'Output-Calculation-sheet'!F10*'Output-Calculation-sheet'!F46</f>
        <v>0</v>
      </c>
      <c r="G55" s="2">
        <f>G11/'Output-Calculation-sheet'!G10*'Output-Calculation-sheet'!G46</f>
        <v>1419.8573270034931</v>
      </c>
      <c r="H55" s="2">
        <f>H11/'Output-Calculation-sheet'!H10*'Output-Calculation-sheet'!H46</f>
        <v>23486.022491188978</v>
      </c>
      <c r="I55" s="2">
        <f>I11/'Output-Calculation-sheet'!I10*'Output-Calculation-sheet'!I46</f>
        <v>638.53844701380922</v>
      </c>
      <c r="J55" s="2">
        <f>J11/'Output-Calculation-sheet'!J10*'Output-Calculation-sheet'!J46</f>
        <v>2211.8019681569367</v>
      </c>
      <c r="K55" s="2">
        <f>K11/'Output-Calculation-sheet'!K10*'Output-Calculation-sheet'!K46</f>
        <v>3765.4966939782357</v>
      </c>
      <c r="L55" s="2">
        <f>L11/'Output-Calculation-sheet'!L10*'Output-Calculation-sheet'!L46</f>
        <v>3592.9710418400578</v>
      </c>
      <c r="M55" s="2">
        <f>M11/'Output-Calculation-sheet'!M10*'Output-Calculation-sheet'!M46</f>
        <v>17438.393004911271</v>
      </c>
      <c r="N55" s="2">
        <f>N11/'Output-Calculation-sheet'!N10*'Output-Calculation-sheet'!N46</f>
        <v>12836.915124594265</v>
      </c>
      <c r="O55" s="2">
        <f>O11/'Output-Calculation-sheet'!O10*'Output-Calculation-sheet'!O46</f>
        <v>0</v>
      </c>
      <c r="P55" s="2">
        <f>P11/'Output-Calculation-sheet'!P10*'Output-Calculation-sheet'!P46</f>
        <v>2986.2328307720309</v>
      </c>
      <c r="Q55" s="2">
        <f>Q11/'Output-Calculation-sheet'!Q10*'Output-Calculation-sheet'!Q46</f>
        <v>1670.7602215617624</v>
      </c>
      <c r="R55" s="2">
        <f>R11/'Output-Calculation-sheet'!R10*'Output-Calculation-sheet'!R46</f>
        <v>4182.5872027875575</v>
      </c>
      <c r="S55" s="2">
        <f>S11/'Output-Calculation-sheet'!S10*'Output-Calculation-sheet'!S46</f>
        <v>2692.8001286590597</v>
      </c>
      <c r="T55" s="2">
        <f>T11/'Output-Calculation-sheet'!T10*'Output-Calculation-sheet'!T46</f>
        <v>1382.9512419298121</v>
      </c>
      <c r="U55" s="2">
        <f>U11/'Output-Calculation-sheet'!U10*'Output-Calculation-sheet'!U46</f>
        <v>656.59188069881475</v>
      </c>
      <c r="V55" s="2">
        <f>V11/'Output-Calculation-sheet'!V10*'Output-Calculation-sheet'!V46</f>
        <v>1208.0826276757166</v>
      </c>
      <c r="W55" s="2">
        <f>W11/'Output-Calculation-sheet'!W10*'Output-Calculation-sheet'!W46</f>
        <v>60.769800307352774</v>
      </c>
      <c r="X55" s="2">
        <f>X11/'Output-Calculation-sheet'!X10*'Output-Calculation-sheet'!X46</f>
        <v>1689.8040581565031</v>
      </c>
      <c r="Y55" s="2">
        <f>Y11/'Output-Calculation-sheet'!Y10*'Output-Calculation-sheet'!Y46</f>
        <v>20.039228978791989</v>
      </c>
      <c r="AA55" s="2">
        <f t="shared" si="3"/>
        <v>108.92885301756401</v>
      </c>
    </row>
    <row r="56" spans="1:27" x14ac:dyDescent="0.25">
      <c r="A56" s="2">
        <v>2035</v>
      </c>
      <c r="B56" s="2">
        <f>B12/'Output-Calculation-sheet'!B11*'Output-Calculation-sheet'!B47</f>
        <v>31753.109334184355</v>
      </c>
      <c r="C56" s="2">
        <f>C12/'Output-Calculation-sheet'!C11*'Output-Calculation-sheet'!C47</f>
        <v>1883.8417369609056</v>
      </c>
      <c r="D56" s="2">
        <f>D12/'Output-Calculation-sheet'!D11*'Output-Calculation-sheet'!D47</f>
        <v>6779.3632135854377</v>
      </c>
      <c r="E56" s="2">
        <f>E12/'Output-Calculation-sheet'!E11*'Output-Calculation-sheet'!E47</f>
        <v>4890.4514346393826</v>
      </c>
      <c r="F56" s="2">
        <f>F12/'Output-Calculation-sheet'!F11*'Output-Calculation-sheet'!F47</f>
        <v>104.26300326489752</v>
      </c>
      <c r="G56" s="2">
        <f>G12/'Output-Calculation-sheet'!G11*'Output-Calculation-sheet'!G47</f>
        <v>1795.8670099556821</v>
      </c>
      <c r="H56" s="2">
        <f>H12/'Output-Calculation-sheet'!H11*'Output-Calculation-sheet'!H47</f>
        <v>25117.142119894252</v>
      </c>
      <c r="I56" s="2">
        <f>I12/'Output-Calculation-sheet'!I11*'Output-Calculation-sheet'!I47</f>
        <v>773.98601150335571</v>
      </c>
      <c r="J56" s="2">
        <f>J12/'Output-Calculation-sheet'!J11*'Output-Calculation-sheet'!J47</f>
        <v>2531.1041274517356</v>
      </c>
      <c r="K56" s="2">
        <f>K12/'Output-Calculation-sheet'!K11*'Output-Calculation-sheet'!K47</f>
        <v>4167.3482012439936</v>
      </c>
      <c r="L56" s="2">
        <f>L12/'Output-Calculation-sheet'!L11*'Output-Calculation-sheet'!L47</f>
        <v>4286.7390664842642</v>
      </c>
      <c r="M56" s="2">
        <f>M12/'Output-Calculation-sheet'!M11*'Output-Calculation-sheet'!M47</f>
        <v>18579.903990651092</v>
      </c>
      <c r="N56" s="2">
        <f>N12/'Output-Calculation-sheet'!N11*'Output-Calculation-sheet'!N47</f>
        <v>14241.178959952322</v>
      </c>
      <c r="O56" s="2">
        <f>O12/'Output-Calculation-sheet'!O11*'Output-Calculation-sheet'!O47</f>
        <v>892.0756890276964</v>
      </c>
      <c r="P56" s="2">
        <f>P12/'Output-Calculation-sheet'!P11*'Output-Calculation-sheet'!P47</f>
        <v>3283.4097794139834</v>
      </c>
      <c r="Q56" s="2">
        <f>Q12/'Output-Calculation-sheet'!Q11*'Output-Calculation-sheet'!Q47</f>
        <v>2534.1394003202358</v>
      </c>
      <c r="R56" s="2">
        <f>R12/'Output-Calculation-sheet'!R11*'Output-Calculation-sheet'!R47</f>
        <v>4515.0102375560909</v>
      </c>
      <c r="S56" s="2">
        <f>S12/'Output-Calculation-sheet'!S11*'Output-Calculation-sheet'!S47</f>
        <v>3863.9692657108899</v>
      </c>
      <c r="T56" s="2">
        <f>T12/'Output-Calculation-sheet'!T11*'Output-Calculation-sheet'!T47</f>
        <v>1575.844482656604</v>
      </c>
      <c r="U56" s="2">
        <f>U12/'Output-Calculation-sheet'!U11*'Output-Calculation-sheet'!U47</f>
        <v>787.98907114073995</v>
      </c>
      <c r="V56" s="2">
        <f>V12/'Output-Calculation-sheet'!V11*'Output-Calculation-sheet'!V47</f>
        <v>1305.0428435156364</v>
      </c>
      <c r="W56" s="2">
        <f>W12/'Output-Calculation-sheet'!W11*'Output-Calculation-sheet'!W47</f>
        <v>82.353203606648364</v>
      </c>
      <c r="X56" s="2">
        <f>X12/'Output-Calculation-sheet'!X11*'Output-Calculation-sheet'!X47</f>
        <v>1802.9720504317722</v>
      </c>
      <c r="Y56" s="2">
        <f>Y12/'Output-Calculation-sheet'!Y11*'Output-Calculation-sheet'!Y47</f>
        <v>31.682576079589339</v>
      </c>
      <c r="AA56" s="2">
        <f t="shared" si="3"/>
        <v>137.57878680923153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6.9391703122635384</v>
      </c>
      <c r="C63" s="2">
        <f>C8*'Output-Calculation-sheet'!C52/10^9</f>
        <v>4.263265969169443</v>
      </c>
      <c r="D63" s="2">
        <f>D8*'Output-Calculation-sheet'!D52/10^9</f>
        <v>1.5020302363109195</v>
      </c>
      <c r="E63" s="2">
        <f>E8*'Output-Calculation-sheet'!E52/10^9</f>
        <v>1.7962111112071892</v>
      </c>
      <c r="F63" s="2">
        <f>F8*'Output-Calculation-sheet'!F52/10^9</f>
        <v>0.69737875404659533</v>
      </c>
      <c r="G63" s="2">
        <f>G8*'Output-Calculation-sheet'!G52/10^9</f>
        <v>0.49221234089625232</v>
      </c>
      <c r="H63" s="2">
        <f>H8*'Output-Calculation-sheet'!H52/10^9</f>
        <v>1.3114426385861535</v>
      </c>
      <c r="I63" s="2">
        <f>I8*'Output-Calculation-sheet'!I52/10^9</f>
        <v>0.48223473481673301</v>
      </c>
      <c r="J63" s="2">
        <f>J8*'Output-Calculation-sheet'!J52/10^9</f>
        <v>0.5020549623784174</v>
      </c>
      <c r="K63" s="2">
        <f>K8*'Output-Calculation-sheet'!K52/10^9</f>
        <v>0.60562299568125666</v>
      </c>
      <c r="L63" s="2">
        <f>L8*'Output-Calculation-sheet'!L52/10^9</f>
        <v>0.63218190546507802</v>
      </c>
      <c r="M63" s="2">
        <f>M8*'Output-Calculation-sheet'!M52/10^9</f>
        <v>0.98960216389446465</v>
      </c>
      <c r="N63" s="2">
        <f>N8*'Output-Calculation-sheet'!N52/10^9</f>
        <v>0.85094889974964105</v>
      </c>
      <c r="O63" s="2">
        <f>O8*'Output-Calculation-sheet'!O52/10^9</f>
        <v>0.89231207599986528</v>
      </c>
      <c r="P63" s="2">
        <f>P8*'Output-Calculation-sheet'!P52/10^9</f>
        <v>0.54328264647638902</v>
      </c>
      <c r="Q63" s="2">
        <f>Q8*'Output-Calculation-sheet'!Q52/10^9</f>
        <v>0.59149378960123145</v>
      </c>
      <c r="R63" s="2">
        <f>R8*'Output-Calculation-sheet'!R52/10^9</f>
        <v>0.45627294462981244</v>
      </c>
      <c r="S63" s="2">
        <f>S8*'Output-Calculation-sheet'!S52/10^9</f>
        <v>0.4345338412657665</v>
      </c>
      <c r="T63" s="2">
        <f>T8*'Output-Calculation-sheet'!T52/10^9</f>
        <v>0.1414025507286879</v>
      </c>
      <c r="U63" s="2">
        <f>U8*'Output-Calculation-sheet'!U52/10^9</f>
        <v>0.13789551134129216</v>
      </c>
      <c r="V63" s="2">
        <f>V8*'Output-Calculation-sheet'!V52/10^9</f>
        <v>0.11757470097950709</v>
      </c>
      <c r="W63" s="2">
        <f>W8*'Output-Calculation-sheet'!W52/10^9</f>
        <v>6.0566914873996888E-2</v>
      </c>
      <c r="X63" s="2">
        <f>X8*'Output-Calculation-sheet'!X52/10^9</f>
        <v>0.11450644199127662</v>
      </c>
      <c r="Y63" s="2">
        <f>Y8*'Output-Calculation-sheet'!Y52/10^9</f>
        <v>5.5163930559236234E-2</v>
      </c>
      <c r="AA63" s="2">
        <f t="shared" si="4"/>
        <v>24.609362372912738</v>
      </c>
    </row>
    <row r="64" spans="1:27" x14ac:dyDescent="0.25">
      <c r="A64" s="2">
        <v>2032</v>
      </c>
      <c r="B64" s="2">
        <f>B9*'Output-Calculation-sheet'!B53/10^9</f>
        <v>7.5756063931098705</v>
      </c>
      <c r="C64" s="2">
        <f>C9*'Output-Calculation-sheet'!C53/10^9</f>
        <v>4.6529886487835457</v>
      </c>
      <c r="D64" s="2">
        <f>D9*'Output-Calculation-sheet'!D53/10^9</f>
        <v>1.6409265266469548</v>
      </c>
      <c r="E64" s="2">
        <f>E9*'Output-Calculation-sheet'!E53/10^9</f>
        <v>1.9632724919500457</v>
      </c>
      <c r="F64" s="2">
        <f>F9*'Output-Calculation-sheet'!F53/10^9</f>
        <v>0.76225338680087551</v>
      </c>
      <c r="G64" s="2">
        <f>G9*'Output-Calculation-sheet'!G53/10^9</f>
        <v>0.53797815889151335</v>
      </c>
      <c r="H64" s="2">
        <f>H9*'Output-Calculation-sheet'!H53/10^9</f>
        <v>1.4191159567790856</v>
      </c>
      <c r="I64" s="2">
        <f>I9*'Output-Calculation-sheet'!I53/10^9</f>
        <v>0.52725226556917648</v>
      </c>
      <c r="J64" s="2">
        <f>J9*'Output-Calculation-sheet'!J53/10^9</f>
        <v>0.54817254647434255</v>
      </c>
      <c r="K64" s="2">
        <f>K9*'Output-Calculation-sheet'!K53/10^9</f>
        <v>0.66031577273934838</v>
      </c>
      <c r="L64" s="2">
        <f>L9*'Output-Calculation-sheet'!L53/10^9</f>
        <v>0.68631557236144569</v>
      </c>
      <c r="M64" s="2">
        <f>M9*'Output-Calculation-sheet'!M53/10^9</f>
        <v>1.0563734535516782</v>
      </c>
      <c r="N64" s="2">
        <f>N9*'Output-Calculation-sheet'!N53/10^9</f>
        <v>0.91566426729882933</v>
      </c>
      <c r="O64" s="2">
        <f>O9*'Output-Calculation-sheet'!O53/10^9</f>
        <v>0.97384870995893735</v>
      </c>
      <c r="P64" s="2">
        <f>P9*'Output-Calculation-sheet'!P53/10^9</f>
        <v>0.59294189719835888</v>
      </c>
      <c r="Q64" s="2">
        <f>Q9*'Output-Calculation-sheet'!Q53/10^9</f>
        <v>0.64656577250096758</v>
      </c>
      <c r="R64" s="2">
        <f>R9*'Output-Calculation-sheet'!R53/10^9</f>
        <v>0.4963535012158164</v>
      </c>
      <c r="S64" s="2">
        <f>S9*'Output-Calculation-sheet'!S53/10^9</f>
        <v>0.47346407631823539</v>
      </c>
      <c r="T64" s="2">
        <f>T9*'Output-Calculation-sheet'!T53/10^9</f>
        <v>0.15383821528752098</v>
      </c>
      <c r="U64" s="2">
        <f>U9*'Output-Calculation-sheet'!U53/10^9</f>
        <v>0.1506211290926123</v>
      </c>
      <c r="V64" s="2">
        <f>V9*'Output-Calculation-sheet'!V53/10^9</f>
        <v>0.12774222391937876</v>
      </c>
      <c r="W64" s="2">
        <f>W9*'Output-Calculation-sheet'!W53/10^9</f>
        <v>6.620809690939157E-2</v>
      </c>
      <c r="X64" s="2">
        <f>X9*'Output-Calculation-sheet'!X53/10^9</f>
        <v>0.12311309679944765</v>
      </c>
      <c r="Y64" s="2">
        <f>Y9*'Output-Calculation-sheet'!Y53/10^9</f>
        <v>6.037004542626459E-2</v>
      </c>
      <c r="AA64" s="2">
        <f t="shared" si="4"/>
        <v>26.811302205583644</v>
      </c>
    </row>
    <row r="65" spans="1:27" x14ac:dyDescent="0.25">
      <c r="A65" s="2">
        <v>2033</v>
      </c>
      <c r="B65" s="2">
        <f>B10*'Output-Calculation-sheet'!B54/10^9</f>
        <v>8.0824213818690804</v>
      </c>
      <c r="C65" s="2">
        <f>C10*'Output-Calculation-sheet'!C54/10^9</f>
        <v>4.9669515380576703</v>
      </c>
      <c r="D65" s="2">
        <f>D10*'Output-Calculation-sheet'!D54/10^9</f>
        <v>1.7531914682477396</v>
      </c>
      <c r="E65" s="2">
        <f>E10*'Output-Calculation-sheet'!E54/10^9</f>
        <v>2.0990112224017556</v>
      </c>
      <c r="F65" s="2">
        <f>F10*'Output-Calculation-sheet'!F54/10^9</f>
        <v>0.8150857590445485</v>
      </c>
      <c r="G65" s="2">
        <f>G10*'Output-Calculation-sheet'!G54/10^9</f>
        <v>0.5751199965805508</v>
      </c>
      <c r="H65" s="2">
        <f>H10*'Output-Calculation-sheet'!H54/10^9</f>
        <v>1.488873313205535</v>
      </c>
      <c r="I65" s="2">
        <f>I10*'Output-Calculation-sheet'!I54/10^9</f>
        <v>0.56390191135558776</v>
      </c>
      <c r="J65" s="2">
        <f>J10*'Output-Calculation-sheet'!J54/10^9</f>
        <v>0.58545774669609774</v>
      </c>
      <c r="K65" s="2">
        <f>K10*'Output-Calculation-sheet'!K54/10^9</f>
        <v>0.70417360565355414</v>
      </c>
      <c r="L65" s="2">
        <f>L10*'Output-Calculation-sheet'!L54/10^9</f>
        <v>0.72830590968290299</v>
      </c>
      <c r="M65" s="2">
        <f>M10*'Output-Calculation-sheet'!M54/10^9</f>
        <v>1.102333176737238</v>
      </c>
      <c r="N65" s="2">
        <f>N10*'Output-Calculation-sheet'!N54/10^9</f>
        <v>0.96193568238675264</v>
      </c>
      <c r="O65" s="2">
        <f>O10*'Output-Calculation-sheet'!O54/10^9</f>
        <v>1.0395540950044702</v>
      </c>
      <c r="P65" s="2">
        <f>P10*'Output-Calculation-sheet'!P54/10^9</f>
        <v>0.63284997271446053</v>
      </c>
      <c r="Q65" s="2">
        <f>Q10*'Output-Calculation-sheet'!Q54/10^9</f>
        <v>0.69080590120296503</v>
      </c>
      <c r="R65" s="2">
        <f>R10*'Output-Calculation-sheet'!R54/10^9</f>
        <v>0.52820677126003657</v>
      </c>
      <c r="S65" s="2">
        <f>S10*'Output-Calculation-sheet'!S54/10^9</f>
        <v>0.50369217731182503</v>
      </c>
      <c r="T65" s="2">
        <f>T10*'Output-Calculation-sheet'!T54/10^9</f>
        <v>0.16369193424440803</v>
      </c>
      <c r="U65" s="2">
        <f>U10*'Output-Calculation-sheet'!U54/10^9</f>
        <v>0.16091080848233952</v>
      </c>
      <c r="V65" s="2">
        <f>V10*'Output-Calculation-sheet'!V54/10^9</f>
        <v>0.13577751051862622</v>
      </c>
      <c r="W65" s="2">
        <f>W10*'Output-Calculation-sheet'!W54/10^9</f>
        <v>7.0796339352845863E-2</v>
      </c>
      <c r="X65" s="2">
        <f>X10*'Output-Calculation-sheet'!X54/10^9</f>
        <v>0.12899052819696172</v>
      </c>
      <c r="Y65" s="2">
        <f>Y10*'Output-Calculation-sheet'!Y54/10^9</f>
        <v>6.4624551278299872E-2</v>
      </c>
      <c r="AA65" s="2">
        <f t="shared" si="4"/>
        <v>28.546663301486248</v>
      </c>
    </row>
    <row r="66" spans="1:27" x14ac:dyDescent="0.25">
      <c r="A66" s="2">
        <v>2034</v>
      </c>
      <c r="B66" s="2">
        <f>B11*'Output-Calculation-sheet'!B55/10^9</f>
        <v>8.5036047394687557</v>
      </c>
      <c r="C66" s="2">
        <f>C11*'Output-Calculation-sheet'!C55/10^9</f>
        <v>5.2347981510487349</v>
      </c>
      <c r="D66" s="2">
        <f>D11*'Output-Calculation-sheet'!D55/10^9</f>
        <v>1.849609006359646</v>
      </c>
      <c r="E66" s="2">
        <f>E11*'Output-Calculation-sheet'!E55/10^9</f>
        <v>2.2160025815115305</v>
      </c>
      <c r="F66" s="2">
        <f>F11*'Output-Calculation-sheet'!F55/10^9</f>
        <v>0.86073512330190449</v>
      </c>
      <c r="G66" s="2">
        <f>G11*'Output-Calculation-sheet'!G55/10^9</f>
        <v>0.60706322126092438</v>
      </c>
      <c r="H66" s="2">
        <f>H11*'Output-Calculation-sheet'!H55/10^9</f>
        <v>1.5346123043665367</v>
      </c>
      <c r="I66" s="2">
        <f>I11*'Output-Calculation-sheet'!I55/10^9</f>
        <v>0.59548533312445195</v>
      </c>
      <c r="J66" s="2">
        <f>J11*'Output-Calculation-sheet'!J55/10^9</f>
        <v>0.61724275303998555</v>
      </c>
      <c r="K66" s="2">
        <f>K11*'Output-Calculation-sheet'!K55/10^9</f>
        <v>0.74144948783729148</v>
      </c>
      <c r="L66" s="2">
        <f>L11*'Output-Calculation-sheet'!L55/10^9</f>
        <v>0.76260274602435674</v>
      </c>
      <c r="M66" s="2">
        <f>M11*'Output-Calculation-sheet'!M55/10^9</f>
        <v>1.1347509990700679</v>
      </c>
      <c r="N66" s="2">
        <f>N11*'Output-Calculation-sheet'!N55/10^9</f>
        <v>0.9966113788216685</v>
      </c>
      <c r="O66" s="2">
        <f>O11*'Output-Calculation-sheet'!O55/10^9</f>
        <v>1.0956503588851574</v>
      </c>
      <c r="P66" s="2">
        <f>P11*'Output-Calculation-sheet'!P55/10^9</f>
        <v>0.6667736140320818</v>
      </c>
      <c r="Q66" s="2">
        <f>Q11*'Output-Calculation-sheet'!Q55/10^9</f>
        <v>0.7278152918103421</v>
      </c>
      <c r="R66" s="2">
        <f>R11*'Output-Calculation-sheet'!R55/10^9</f>
        <v>0.55513791110158328</v>
      </c>
      <c r="S66" s="2">
        <f>S11*'Output-Calculation-sheet'!S55/10^9</f>
        <v>0.52790197744681533</v>
      </c>
      <c r="T66" s="2">
        <f>T11*'Output-Calculation-sheet'!T55/10^9</f>
        <v>0.17196592060734936</v>
      </c>
      <c r="U66" s="2">
        <f>U11*'Output-Calculation-sheet'!U55/10^9</f>
        <v>0.16971732287575803</v>
      </c>
      <c r="V66" s="2">
        <f>V11*'Output-Calculation-sheet'!V55/10^9</f>
        <v>0.14252310039387453</v>
      </c>
      <c r="W66" s="2">
        <f>W11*'Output-Calculation-sheet'!W55/10^9</f>
        <v>7.4750304016618321E-2</v>
      </c>
      <c r="X66" s="2">
        <f>X11*'Output-Calculation-sheet'!X55/10^9</f>
        <v>0.13335306607627265</v>
      </c>
      <c r="Y66" s="2">
        <f>Y11*'Output-Calculation-sheet'!Y55/10^9</f>
        <v>6.8318869076971517E-2</v>
      </c>
      <c r="AA66" s="2">
        <f t="shared" si="4"/>
        <v>29.988475561558673</v>
      </c>
    </row>
    <row r="67" spans="1:27" x14ac:dyDescent="0.25">
      <c r="A67" s="2">
        <v>2035</v>
      </c>
      <c r="B67" s="2">
        <f>B12*'Output-Calculation-sheet'!B56/10^9</f>
        <v>8.855277743377469</v>
      </c>
      <c r="C67" s="2">
        <f>C12*'Output-Calculation-sheet'!C56/10^9</f>
        <v>5.4699454151761069</v>
      </c>
      <c r="D67" s="2">
        <f>D12*'Output-Calculation-sheet'!D56/10^9</f>
        <v>1.9348434068089659</v>
      </c>
      <c r="E67" s="2">
        <f>E12*'Output-Calculation-sheet'!E56/10^9</f>
        <v>2.3200435355610991</v>
      </c>
      <c r="F67" s="2">
        <f>F12*'Output-Calculation-sheet'!F56/10^9</f>
        <v>0.90145886600128011</v>
      </c>
      <c r="G67" s="2">
        <f>G12*'Output-Calculation-sheet'!G56/10^9</f>
        <v>0.63542387797891009</v>
      </c>
      <c r="H67" s="2">
        <f>H12*'Output-Calculation-sheet'!H56/10^9</f>
        <v>1.5671809847105622</v>
      </c>
      <c r="I67" s="2">
        <f>I12*'Output-Calculation-sheet'!I56/10^9</f>
        <v>0.62363836786003168</v>
      </c>
      <c r="J67" s="2">
        <f>J12*'Output-Calculation-sheet'!J56/10^9</f>
        <v>0.64542122333443885</v>
      </c>
      <c r="K67" s="2">
        <f>K12*'Output-Calculation-sheet'!K56/10^9</f>
        <v>0.77408931100588474</v>
      </c>
      <c r="L67" s="2">
        <f>L12*'Output-Calculation-sheet'!L56/10^9</f>
        <v>0.79125875618841923</v>
      </c>
      <c r="M67" s="2">
        <f>M12*'Output-Calculation-sheet'!M56/10^9</f>
        <v>1.1572971583022467</v>
      </c>
      <c r="N67" s="2">
        <f>N12*'Output-Calculation-sheet'!N56/10^9</f>
        <v>1.0226169303529213</v>
      </c>
      <c r="O67" s="2">
        <f>O12*'Output-Calculation-sheet'!O56/10^9</f>
        <v>1.1443130799112526</v>
      </c>
      <c r="P67" s="2">
        <f>P12*'Output-Calculation-sheet'!P56/10^9</f>
        <v>0.6967357418624589</v>
      </c>
      <c r="Q67" s="2">
        <f>Q12*'Output-Calculation-sheet'!Q56/10^9</f>
        <v>0.75919236072628038</v>
      </c>
      <c r="R67" s="2">
        <f>R12*'Output-Calculation-sheet'!R56/10^9</f>
        <v>0.57869625457513607</v>
      </c>
      <c r="S67" s="2">
        <f>S12*'Output-Calculation-sheet'!S56/10^9</f>
        <v>0.5472749288664297</v>
      </c>
      <c r="T67" s="2">
        <f>T12*'Output-Calculation-sheet'!T56/10^9</f>
        <v>0.17914407051412534</v>
      </c>
      <c r="U67" s="2">
        <f>U12*'Output-Calculation-sheet'!U56/10^9</f>
        <v>0.17752007028424477</v>
      </c>
      <c r="V67" s="2">
        <f>V12*'Output-Calculation-sheet'!V56/10^9</f>
        <v>0.14835678344098036</v>
      </c>
      <c r="W67" s="2">
        <f>W12*'Output-Calculation-sheet'!W56/10^9</f>
        <v>7.8271765297771592E-2</v>
      </c>
      <c r="X67" s="2">
        <f>X12*'Output-Calculation-sheet'!X56/10^9</f>
        <v>0.13658683272035838</v>
      </c>
      <c r="Y67" s="2">
        <f>Y12*'Output-Calculation-sheet'!Y56/10^9</f>
        <v>7.1629880195043197E-2</v>
      </c>
      <c r="AA67" s="2">
        <f t="shared" si="4"/>
        <v>31.216217345052414</v>
      </c>
    </row>
    <row r="68" spans="1:27" x14ac:dyDescent="0.25">
      <c r="B68" s="2">
        <f>SUM(B60:B67)</f>
        <v>54.814495890846125</v>
      </c>
      <c r="C68" s="2">
        <f t="shared" ref="C68:Y68" si="5">SUM(C60:C67)</f>
        <v>33.697026637711808</v>
      </c>
      <c r="D68" s="2">
        <f t="shared" si="5"/>
        <v>11.9006286466474</v>
      </c>
      <c r="E68" s="2">
        <f t="shared" si="5"/>
        <v>14.243295649617879</v>
      </c>
      <c r="F68" s="2">
        <f t="shared" si="5"/>
        <v>5.5317378115659794</v>
      </c>
      <c r="G68" s="2">
        <f t="shared" si="5"/>
        <v>3.9017631994986282</v>
      </c>
      <c r="H68" s="2">
        <f t="shared" si="5"/>
        <v>10.143035150479331</v>
      </c>
      <c r="I68" s="2">
        <f t="shared" si="5"/>
        <v>3.8246430334561241</v>
      </c>
      <c r="J68" s="2">
        <f t="shared" si="5"/>
        <v>3.9769013245430642</v>
      </c>
      <c r="K68" s="2">
        <f t="shared" si="5"/>
        <v>4.793649597316473</v>
      </c>
      <c r="L68" s="2">
        <f t="shared" si="5"/>
        <v>4.9748233360132055</v>
      </c>
      <c r="M68" s="2">
        <f t="shared" si="5"/>
        <v>7.6867465293297501</v>
      </c>
      <c r="N68" s="2">
        <f t="shared" si="5"/>
        <v>6.6119858606406838</v>
      </c>
      <c r="O68" s="2">
        <f t="shared" si="5"/>
        <v>7.0523426870824935</v>
      </c>
      <c r="P68" s="2">
        <f t="shared" si="5"/>
        <v>4.3002226081861767</v>
      </c>
      <c r="Q68" s="2">
        <f t="shared" si="5"/>
        <v>4.6820029474284706</v>
      </c>
      <c r="R68" s="2">
        <f t="shared" si="5"/>
        <v>3.609300862382554</v>
      </c>
      <c r="S68" s="2">
        <f t="shared" si="5"/>
        <v>3.4175276985078082</v>
      </c>
      <c r="T68" s="2">
        <f t="shared" si="5"/>
        <v>1.1180549885458231</v>
      </c>
      <c r="U68" s="2">
        <f t="shared" si="5"/>
        <v>1.092270536057796</v>
      </c>
      <c r="V68" s="2">
        <f t="shared" si="5"/>
        <v>0.92981623754423415</v>
      </c>
      <c r="W68" s="2">
        <f t="shared" si="5"/>
        <v>0.48031993112077731</v>
      </c>
      <c r="X68" s="2">
        <f t="shared" si="5"/>
        <v>0.88371362358301186</v>
      </c>
      <c r="Y68" s="2">
        <f t="shared" si="5"/>
        <v>0.43796093806797304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411.47814571725519</v>
      </c>
      <c r="C74" s="2">
        <f>C8/'Output-Calculation-sheet'!C7*'Output-Calculation-sheet'!C61</f>
        <v>0</v>
      </c>
      <c r="D74" s="2">
        <f>D8/'Output-Calculation-sheet'!D7*'Output-Calculation-sheet'!D61</f>
        <v>673.34611160466716</v>
      </c>
      <c r="E74" s="2">
        <f>E8/'Output-Calculation-sheet'!E7*'Output-Calculation-sheet'!E61</f>
        <v>499.72624287423184</v>
      </c>
      <c r="F74" s="2">
        <f>F8/'Output-Calculation-sheet'!F7*'Output-Calculation-sheet'!F61</f>
        <v>0</v>
      </c>
      <c r="G74" s="2">
        <f>G8/'Output-Calculation-sheet'!G7*'Output-Calculation-sheet'!G61</f>
        <v>227.53954629485725</v>
      </c>
      <c r="H74" s="2">
        <f>H8/'Output-Calculation-sheet'!H7*'Output-Calculation-sheet'!H61</f>
        <v>1092.7983999816854</v>
      </c>
      <c r="I74" s="2">
        <f>I8/'Output-Calculation-sheet'!I7*'Output-Calculation-sheet'!I61</f>
        <v>80.222778266295037</v>
      </c>
      <c r="J74" s="2">
        <f>J8/'Output-Calculation-sheet'!J7*'Output-Calculation-sheet'!J61</f>
        <v>334.46602500195684</v>
      </c>
      <c r="K74" s="2">
        <f>K8/'Output-Calculation-sheet'!K7*'Output-Calculation-sheet'!K61</f>
        <v>561.70858076650995</v>
      </c>
      <c r="L74" s="2">
        <f>L8/'Output-Calculation-sheet'!L7*'Output-Calculation-sheet'!L61</f>
        <v>487.32891424736027</v>
      </c>
      <c r="M74" s="2">
        <f>M8/'Output-Calculation-sheet'!M7*'Output-Calculation-sheet'!M61</f>
        <v>2440.5982382865718</v>
      </c>
      <c r="N74" s="2">
        <f>N8/'Output-Calculation-sheet'!N7*'Output-Calculation-sheet'!N61</f>
        <v>1376.6195897265088</v>
      </c>
      <c r="O74" s="2">
        <f>O8/'Output-Calculation-sheet'!O7*'Output-Calculation-sheet'!O61</f>
        <v>0</v>
      </c>
      <c r="P74" s="2">
        <f>P8/'Output-Calculation-sheet'!P7*'Output-Calculation-sheet'!P61</f>
        <v>389.06733009960703</v>
      </c>
      <c r="Q74" s="2">
        <f>Q8/'Output-Calculation-sheet'!Q7*'Output-Calculation-sheet'!Q61</f>
        <v>102.57142438381723</v>
      </c>
      <c r="R74" s="2">
        <f>R8/'Output-Calculation-sheet'!R7*'Output-Calculation-sheet'!R61</f>
        <v>676.62458097150818</v>
      </c>
      <c r="S74" s="2">
        <f>S8/'Output-Calculation-sheet'!S7*'Output-Calculation-sheet'!S61</f>
        <v>119.73321273351571</v>
      </c>
      <c r="T74" s="2">
        <f>T8/'Output-Calculation-sheet'!T7*'Output-Calculation-sheet'!T61</f>
        <v>229.15950053142151</v>
      </c>
      <c r="U74" s="2">
        <f>U8/'Output-Calculation-sheet'!U7*'Output-Calculation-sheet'!U61</f>
        <v>90.795626465771889</v>
      </c>
      <c r="V74" s="2">
        <f>V8/'Output-Calculation-sheet'!V7*'Output-Calculation-sheet'!V61</f>
        <v>159.48097757179454</v>
      </c>
      <c r="W74" s="2">
        <f>W8/'Output-Calculation-sheet'!W7*'Output-Calculation-sheet'!W61</f>
        <v>3.7944469242843879</v>
      </c>
      <c r="X74" s="2">
        <f>X8/'Output-Calculation-sheet'!X7*'Output-Calculation-sheet'!X61</f>
        <v>136.28339714759028</v>
      </c>
      <c r="Y74" s="2">
        <f>Y8/'Output-Calculation-sheet'!Y7*'Output-Calculation-sheet'!Y61</f>
        <v>0</v>
      </c>
      <c r="AA74" s="2">
        <f t="shared" si="6"/>
        <v>10.093343069597209</v>
      </c>
    </row>
    <row r="75" spans="1:27" x14ac:dyDescent="0.25">
      <c r="A75" s="2">
        <v>2032</v>
      </c>
      <c r="B75" s="2">
        <f>B9/'Output-Calculation-sheet'!B8*'Output-Calculation-sheet'!B62</f>
        <v>1109.0120053016228</v>
      </c>
      <c r="C75" s="2">
        <f>C9/'Output-Calculation-sheet'!C8*'Output-Calculation-sheet'!C62</f>
        <v>0</v>
      </c>
      <c r="D75" s="2">
        <f>D9/'Output-Calculation-sheet'!D8*'Output-Calculation-sheet'!D62</f>
        <v>907.17536811604862</v>
      </c>
      <c r="E75" s="2">
        <f>E9/'Output-Calculation-sheet'!E8*'Output-Calculation-sheet'!E62</f>
        <v>637.93585640163951</v>
      </c>
      <c r="F75" s="2">
        <f>F9/'Output-Calculation-sheet'!F8*'Output-Calculation-sheet'!F62</f>
        <v>0</v>
      </c>
      <c r="G75" s="2">
        <f>G9/'Output-Calculation-sheet'!G8*'Output-Calculation-sheet'!G62</f>
        <v>294.74700368320822</v>
      </c>
      <c r="H75" s="2">
        <f>H9/'Output-Calculation-sheet'!H8*'Output-Calculation-sheet'!H62</f>
        <v>2080.8309868049564</v>
      </c>
      <c r="I75" s="2">
        <f>I9/'Output-Calculation-sheet'!I8*'Output-Calculation-sheet'!I62</f>
        <v>126.03280206131571</v>
      </c>
      <c r="J75" s="2">
        <f>J9/'Output-Calculation-sheet'!J8*'Output-Calculation-sheet'!J62</f>
        <v>413.08020178682352</v>
      </c>
      <c r="K75" s="2">
        <f>K9/'Output-Calculation-sheet'!K8*'Output-Calculation-sheet'!K62</f>
        <v>647.84249707030835</v>
      </c>
      <c r="L75" s="2">
        <f>L9/'Output-Calculation-sheet'!L8*'Output-Calculation-sheet'!L62</f>
        <v>562.55883585695028</v>
      </c>
      <c r="M75" s="2">
        <f>M9/'Output-Calculation-sheet'!M8*'Output-Calculation-sheet'!M62</f>
        <v>2708.5920317294381</v>
      </c>
      <c r="N75" s="2">
        <f>N9/'Output-Calculation-sheet'!N8*'Output-Calculation-sheet'!N62</f>
        <v>1750.8532014003999</v>
      </c>
      <c r="O75" s="2">
        <f>O9/'Output-Calculation-sheet'!O8*'Output-Calculation-sheet'!O62</f>
        <v>0</v>
      </c>
      <c r="P75" s="2">
        <f>P9/'Output-Calculation-sheet'!P8*'Output-Calculation-sheet'!P62</f>
        <v>483.15784587162392</v>
      </c>
      <c r="Q75" s="2">
        <f>Q9/'Output-Calculation-sheet'!Q8*'Output-Calculation-sheet'!Q62</f>
        <v>171.3605176365736</v>
      </c>
      <c r="R75" s="2">
        <f>R9/'Output-Calculation-sheet'!R8*'Output-Calculation-sheet'!R62</f>
        <v>769.19194396634191</v>
      </c>
      <c r="S75" s="2">
        <f>S9/'Output-Calculation-sheet'!S8*'Output-Calculation-sheet'!S62</f>
        <v>222.71389824013667</v>
      </c>
      <c r="T75" s="2">
        <f>T9/'Output-Calculation-sheet'!T8*'Output-Calculation-sheet'!T62</f>
        <v>257.52308446173242</v>
      </c>
      <c r="U75" s="2">
        <f>U9/'Output-Calculation-sheet'!U8*'Output-Calculation-sheet'!U62</f>
        <v>119.80050433138088</v>
      </c>
      <c r="V75" s="2">
        <f>V9/'Output-Calculation-sheet'!V8*'Output-Calculation-sheet'!V62</f>
        <v>178.67690128942527</v>
      </c>
      <c r="W75" s="2">
        <f>W9/'Output-Calculation-sheet'!W8*'Output-Calculation-sheet'!W62</f>
        <v>9.7350681654265436</v>
      </c>
      <c r="X75" s="2">
        <f>X9/'Output-Calculation-sheet'!X8*'Output-Calculation-sheet'!X62</f>
        <v>256.63850513249088</v>
      </c>
      <c r="Y75" s="2">
        <f>Y9/'Output-Calculation-sheet'!Y8*'Output-Calculation-sheet'!Y62</f>
        <v>0</v>
      </c>
      <c r="AA75" s="2">
        <f t="shared" si="6"/>
        <v>13.70745905930784</v>
      </c>
    </row>
    <row r="76" spans="1:27" x14ac:dyDescent="0.25">
      <c r="A76" s="2">
        <v>2033</v>
      </c>
      <c r="B76" s="2">
        <f>B10/'Output-Calculation-sheet'!B9*'Output-Calculation-sheet'!B63</f>
        <v>2152.477783947626</v>
      </c>
      <c r="C76" s="2">
        <f>C10/'Output-Calculation-sheet'!C9*'Output-Calculation-sheet'!C63</f>
        <v>0</v>
      </c>
      <c r="D76" s="2">
        <f>D10/'Output-Calculation-sheet'!D9*'Output-Calculation-sheet'!D63</f>
        <v>1150.9179723506838</v>
      </c>
      <c r="E76" s="2">
        <f>E10/'Output-Calculation-sheet'!E9*'Output-Calculation-sheet'!E63</f>
        <v>853.91170617179364</v>
      </c>
      <c r="F76" s="2">
        <f>F10/'Output-Calculation-sheet'!F9*'Output-Calculation-sheet'!F63</f>
        <v>0</v>
      </c>
      <c r="G76" s="2">
        <f>G10/'Output-Calculation-sheet'!G9*'Output-Calculation-sheet'!G63</f>
        <v>382.96105106284625</v>
      </c>
      <c r="H76" s="2">
        <f>H10/'Output-Calculation-sheet'!H9*'Output-Calculation-sheet'!H63</f>
        <v>3927.4006445546975</v>
      </c>
      <c r="I76" s="2">
        <f>I10/'Output-Calculation-sheet'!I9*'Output-Calculation-sheet'!I63</f>
        <v>177.6937242089889</v>
      </c>
      <c r="J76" s="2">
        <f>J10/'Output-Calculation-sheet'!J9*'Output-Calculation-sheet'!J63</f>
        <v>534.6227629577503</v>
      </c>
      <c r="K76" s="2">
        <f>K10/'Output-Calculation-sheet'!K9*'Output-Calculation-sheet'!K63</f>
        <v>737.85576301518222</v>
      </c>
      <c r="L76" s="2">
        <f>L10/'Output-Calculation-sheet'!L9*'Output-Calculation-sheet'!L63</f>
        <v>682.95801545723089</v>
      </c>
      <c r="M76" s="2">
        <f>M10/'Output-Calculation-sheet'!M9*'Output-Calculation-sheet'!M63</f>
        <v>2937.3810171557302</v>
      </c>
      <c r="N76" s="2">
        <f>N10/'Output-Calculation-sheet'!N9*'Output-Calculation-sheet'!N63</f>
        <v>1997.068391504009</v>
      </c>
      <c r="O76" s="2">
        <f>O10/'Output-Calculation-sheet'!O9*'Output-Calculation-sheet'!O63</f>
        <v>0</v>
      </c>
      <c r="P76" s="2">
        <f>P10/'Output-Calculation-sheet'!P9*'Output-Calculation-sheet'!P63</f>
        <v>577.10842132641937</v>
      </c>
      <c r="Q76" s="2">
        <f>Q10/'Output-Calculation-sheet'!Q9*'Output-Calculation-sheet'!Q63</f>
        <v>253.66526617212554</v>
      </c>
      <c r="R76" s="2">
        <f>R10/'Output-Calculation-sheet'!R9*'Output-Calculation-sheet'!R63</f>
        <v>843.14847940540562</v>
      </c>
      <c r="S76" s="2">
        <f>S10/'Output-Calculation-sheet'!S9*'Output-Calculation-sheet'!S63</f>
        <v>357.38241477555493</v>
      </c>
      <c r="T76" s="2">
        <f>T10/'Output-Calculation-sheet'!T9*'Output-Calculation-sheet'!T63</f>
        <v>296.10638990258104</v>
      </c>
      <c r="U76" s="2">
        <f>U10/'Output-Calculation-sheet'!U9*'Output-Calculation-sheet'!U63</f>
        <v>145.20406870140252</v>
      </c>
      <c r="V76" s="2">
        <f>V10/'Output-Calculation-sheet'!V9*'Output-Calculation-sheet'!V63</f>
        <v>193.21527089579487</v>
      </c>
      <c r="W76" s="2">
        <f>W10/'Output-Calculation-sheet'!W9*'Output-Calculation-sheet'!W63</f>
        <v>13.468289227271271</v>
      </c>
      <c r="X76" s="2">
        <f>X10/'Output-Calculation-sheet'!X9*'Output-Calculation-sheet'!X63</f>
        <v>280.30716459600472</v>
      </c>
      <c r="Y76" s="2">
        <f>Y10/'Output-Calculation-sheet'!Y9*'Output-Calculation-sheet'!Y63</f>
        <v>4.3186718271905997</v>
      </c>
      <c r="AA76" s="2">
        <f t="shared" si="6"/>
        <v>18.499173269216286</v>
      </c>
    </row>
    <row r="77" spans="1:27" x14ac:dyDescent="0.25">
      <c r="A77" s="2">
        <v>2034</v>
      </c>
      <c r="B77" s="2">
        <f>B11/'Output-Calculation-sheet'!B10*'Output-Calculation-sheet'!B64</f>
        <v>3950.4758856265548</v>
      </c>
      <c r="C77" s="2">
        <f>C11/'Output-Calculation-sheet'!C10*'Output-Calculation-sheet'!C64</f>
        <v>0</v>
      </c>
      <c r="D77" s="2">
        <f>D11/'Output-Calculation-sheet'!D10*'Output-Calculation-sheet'!D64</f>
        <v>1403.1482439260487</v>
      </c>
      <c r="E77" s="2">
        <f>E11/'Output-Calculation-sheet'!E10*'Output-Calculation-sheet'!E64</f>
        <v>981.67490648167859</v>
      </c>
      <c r="F77" s="2">
        <f>F11/'Output-Calculation-sheet'!F10*'Output-Calculation-sheet'!F64</f>
        <v>0</v>
      </c>
      <c r="G77" s="2">
        <f>G11/'Output-Calculation-sheet'!G10*'Output-Calculation-sheet'!G64</f>
        <v>455.98718056717178</v>
      </c>
      <c r="H77" s="2">
        <f>H11/'Output-Calculation-sheet'!H10*'Output-Calculation-sheet'!H64</f>
        <v>4271.0174371019302</v>
      </c>
      <c r="I77" s="2">
        <f>I11/'Output-Calculation-sheet'!I10*'Output-Calculation-sheet'!I64</f>
        <v>241.974144495883</v>
      </c>
      <c r="J77" s="2">
        <f>J11/'Output-Calculation-sheet'!J10*'Output-Calculation-sheet'!J64</f>
        <v>610.8997036049459</v>
      </c>
      <c r="K77" s="2">
        <f>K11/'Output-Calculation-sheet'!K10*'Output-Calculation-sheet'!K64</f>
        <v>859.91392834816315</v>
      </c>
      <c r="L77" s="2">
        <f>L11/'Output-Calculation-sheet'!L10*'Output-Calculation-sheet'!L64</f>
        <v>754.64867472536491</v>
      </c>
      <c r="M77" s="2">
        <f>M11/'Output-Calculation-sheet'!M10*'Output-Calculation-sheet'!M64</f>
        <v>3196.3840877075427</v>
      </c>
      <c r="N77" s="2">
        <f>N11/'Output-Calculation-sheet'!N10*'Output-Calculation-sheet'!N64</f>
        <v>2247.9019742274113</v>
      </c>
      <c r="O77" s="2">
        <f>O11/'Output-Calculation-sheet'!O10*'Output-Calculation-sheet'!O64</f>
        <v>0</v>
      </c>
      <c r="P77" s="2">
        <f>P11/'Output-Calculation-sheet'!P10*'Output-Calculation-sheet'!P64</f>
        <v>657.65870083160723</v>
      </c>
      <c r="Q77" s="2">
        <f>Q11/'Output-Calculation-sheet'!Q10*'Output-Calculation-sheet'!Q64</f>
        <v>401.75670791164424</v>
      </c>
      <c r="R77" s="2">
        <f>R11/'Output-Calculation-sheet'!R10*'Output-Calculation-sheet'!R64</f>
        <v>925.82679049142939</v>
      </c>
      <c r="S77" s="2">
        <f>S11/'Output-Calculation-sheet'!S10*'Output-Calculation-sheet'!S64</f>
        <v>545.42533299052195</v>
      </c>
      <c r="T77" s="2">
        <f>T11/'Output-Calculation-sheet'!T10*'Output-Calculation-sheet'!T64</f>
        <v>326.32416521060588</v>
      </c>
      <c r="U77" s="2">
        <f>U11/'Output-Calculation-sheet'!U10*'Output-Calculation-sheet'!U64</f>
        <v>169.85576889998646</v>
      </c>
      <c r="V77" s="2">
        <f>V11/'Output-Calculation-sheet'!V10*'Output-Calculation-sheet'!V64</f>
        <v>216.98367062892561</v>
      </c>
      <c r="W77" s="2">
        <f>W11/'Output-Calculation-sheet'!W10*'Output-Calculation-sheet'!W64</f>
        <v>22.25910971257893</v>
      </c>
      <c r="X77" s="2">
        <f>X11/'Output-Calculation-sheet'!X10*'Output-Calculation-sheet'!X64</f>
        <v>300.27376843564122</v>
      </c>
      <c r="Y77" s="2">
        <f>Y11/'Output-Calculation-sheet'!Y10*'Output-Calculation-sheet'!Y64</f>
        <v>7.0037105280878</v>
      </c>
      <c r="AA77" s="2">
        <f t="shared" si="6"/>
        <v>22.547393892453719</v>
      </c>
    </row>
    <row r="78" spans="1:27" x14ac:dyDescent="0.25">
      <c r="A78" s="2">
        <v>2035</v>
      </c>
      <c r="B78" s="2">
        <f>B12/'Output-Calculation-sheet'!B11*'Output-Calculation-sheet'!B65</f>
        <v>6271.23909350141</v>
      </c>
      <c r="C78" s="2">
        <f>C12/'Output-Calculation-sheet'!C11*'Output-Calculation-sheet'!C65</f>
        <v>517.5855172300088</v>
      </c>
      <c r="D78" s="2">
        <f>D12/'Output-Calculation-sheet'!D11*'Output-Calculation-sheet'!D65</f>
        <v>1618.2861480306408</v>
      </c>
      <c r="E78" s="2">
        <f>E12/'Output-Calculation-sheet'!E11*'Output-Calculation-sheet'!E65</f>
        <v>1267.0413666084339</v>
      </c>
      <c r="F78" s="2">
        <f>F12/'Output-Calculation-sheet'!F11*'Output-Calculation-sheet'!F65</f>
        <v>57.292520294061184</v>
      </c>
      <c r="G78" s="2">
        <f>G12/'Output-Calculation-sheet'!G11*'Output-Calculation-sheet'!G65</f>
        <v>532.2126711795745</v>
      </c>
      <c r="H78" s="2">
        <f>H12/'Output-Calculation-sheet'!H11*'Output-Calculation-sheet'!H65</f>
        <v>4588.9707290420938</v>
      </c>
      <c r="I78" s="2">
        <f>I12/'Output-Calculation-sheet'!I11*'Output-Calculation-sheet'!I65</f>
        <v>290.58126997093376</v>
      </c>
      <c r="J78" s="2">
        <f>J12/'Output-Calculation-sheet'!J11*'Output-Calculation-sheet'!J65</f>
        <v>695.3542510140104</v>
      </c>
      <c r="K78" s="2">
        <f>K12/'Output-Calculation-sheet'!K11*'Output-Calculation-sheet'!K65</f>
        <v>935.90041310001016</v>
      </c>
      <c r="L78" s="2">
        <f>L12/'Output-Calculation-sheet'!L11*'Output-Calculation-sheet'!L65</f>
        <v>845.90774278200217</v>
      </c>
      <c r="M78" s="2">
        <f>M12/'Output-Calculation-sheet'!M11*'Output-Calculation-sheet'!M65</f>
        <v>3438.9033037193003</v>
      </c>
      <c r="N78" s="2">
        <f>N12/'Output-Calculation-sheet'!N11*'Output-Calculation-sheet'!N65</f>
        <v>2495.3192779364308</v>
      </c>
      <c r="O78" s="2">
        <f>O12/'Output-Calculation-sheet'!O11*'Output-Calculation-sheet'!O65</f>
        <v>251.63396551265868</v>
      </c>
      <c r="P78" s="2">
        <f>P12/'Output-Calculation-sheet'!P11*'Output-Calculation-sheet'!P65</f>
        <v>713.47362296397091</v>
      </c>
      <c r="Q78" s="2">
        <f>Q12/'Output-Calculation-sheet'!Q11*'Output-Calculation-sheet'!Q65</f>
        <v>530.40826194160331</v>
      </c>
      <c r="R78" s="2">
        <f>R12/'Output-Calculation-sheet'!R11*'Output-Calculation-sheet'!R65</f>
        <v>993.66430497006854</v>
      </c>
      <c r="S78" s="2">
        <f>S12/'Output-Calculation-sheet'!S11*'Output-Calculation-sheet'!S65</f>
        <v>726.7915426842236</v>
      </c>
      <c r="T78" s="2">
        <f>T12/'Output-Calculation-sheet'!T11*'Output-Calculation-sheet'!T65</f>
        <v>358.64644580781652</v>
      </c>
      <c r="U78" s="2">
        <f>U12/'Output-Calculation-sheet'!U11*'Output-Calculation-sheet'!U65</f>
        <v>193.22177232258895</v>
      </c>
      <c r="V78" s="2">
        <f>V12/'Output-Calculation-sheet'!V11*'Output-Calculation-sheet'!V65</f>
        <v>235.18774126887254</v>
      </c>
      <c r="W78" s="2">
        <f>W12/'Output-Calculation-sheet'!W11*'Output-Calculation-sheet'!W65</f>
        <v>29.322315661944963</v>
      </c>
      <c r="X78" s="2">
        <f>X12/'Output-Calculation-sheet'!X11*'Output-Calculation-sheet'!X65</f>
        <v>325.12045620790474</v>
      </c>
      <c r="Y78" s="2">
        <f>Y12/'Output-Calculation-sheet'!Y11*'Output-Calculation-sheet'!Y65</f>
        <v>10.376043666065508</v>
      </c>
      <c r="AA78" s="2">
        <f t="shared" si="6"/>
        <v>27.922440777416625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10779265341.214264</v>
      </c>
      <c r="C96" s="2">
        <f>C8/'Output-Calculation-sheet'!C7*'Output-Calculation-sheet'!C79</f>
        <v>1049243544.5829958</v>
      </c>
      <c r="D96" s="2">
        <f>D8/'Output-Calculation-sheet'!D7*'Output-Calculation-sheet'!D79</f>
        <v>2762630085.4680614</v>
      </c>
      <c r="E96" s="2">
        <f>E8/'Output-Calculation-sheet'!E7*'Output-Calculation-sheet'!E79</f>
        <v>9944658571.2386303</v>
      </c>
      <c r="F96" s="2">
        <f>F8/'Output-Calculation-sheet'!F7*'Output-Calculation-sheet'!F79</f>
        <v>3031421962.4553199</v>
      </c>
      <c r="G96" s="2">
        <f>G8/'Output-Calculation-sheet'!G7*'Output-Calculation-sheet'!G79</f>
        <v>1875406407.8249953</v>
      </c>
      <c r="H96" s="2">
        <f>H8/'Output-Calculation-sheet'!H7*'Output-Calculation-sheet'!H79</f>
        <v>1258220299.6427264</v>
      </c>
      <c r="I96" s="2">
        <f>I8/'Output-Calculation-sheet'!I7*'Output-Calculation-sheet'!I79</f>
        <v>1347888696.0750961</v>
      </c>
      <c r="J96" s="2">
        <f>J8/'Output-Calculation-sheet'!J7*'Output-Calculation-sheet'!J79</f>
        <v>1095668525.2290773</v>
      </c>
      <c r="K96" s="2">
        <f>K8/'Output-Calculation-sheet'!K7*'Output-Calculation-sheet'!K79</f>
        <v>1340073190.4294429</v>
      </c>
      <c r="L96" s="2">
        <f>L8/'Output-Calculation-sheet'!L7*'Output-Calculation-sheet'!L79</f>
        <v>1288759026.6595802</v>
      </c>
      <c r="M96" s="2">
        <f>M8/'Output-Calculation-sheet'!M7*'Output-Calculation-sheet'!M79</f>
        <v>1771888662.1784997</v>
      </c>
      <c r="N96" s="2">
        <f>N8/'Output-Calculation-sheet'!N7*'Output-Calculation-sheet'!N79</f>
        <v>1110858499.916662</v>
      </c>
      <c r="O96" s="2">
        <f>O8/'Output-Calculation-sheet'!O7*'Output-Calculation-sheet'!O79</f>
        <v>138476288.00669959</v>
      </c>
      <c r="P96" s="2">
        <f>P8/'Output-Calculation-sheet'!P7*'Output-Calculation-sheet'!P79</f>
        <v>2000007377.3597565</v>
      </c>
      <c r="Q96" s="2">
        <f>Q8/'Output-Calculation-sheet'!Q7*'Output-Calculation-sheet'!Q79</f>
        <v>836958026.90948904</v>
      </c>
      <c r="R96" s="2">
        <f>R8/'Output-Calculation-sheet'!R7*'Output-Calculation-sheet'!R79</f>
        <v>1314068259.3072157</v>
      </c>
      <c r="S96" s="2">
        <f>S8/'Output-Calculation-sheet'!S7*'Output-Calculation-sheet'!S79</f>
        <v>509424421.35534644</v>
      </c>
      <c r="T96" s="2">
        <f>T8/'Output-Calculation-sheet'!T7*'Output-Calculation-sheet'!T79</f>
        <v>463654183.86102229</v>
      </c>
      <c r="U96" s="2">
        <f>U8/'Output-Calculation-sheet'!U7*'Output-Calculation-sheet'!U79</f>
        <v>299506326.65441716</v>
      </c>
      <c r="V96" s="2">
        <f>V8/'Output-Calculation-sheet'!V7*'Output-Calculation-sheet'!V79</f>
        <v>178249677.31767502</v>
      </c>
      <c r="W96" s="2">
        <f>W8/'Output-Calculation-sheet'!W7*'Output-Calculation-sheet'!W79</f>
        <v>491466502.06673205</v>
      </c>
      <c r="X96" s="2">
        <f>X8/'Output-Calculation-sheet'!X7*'Output-Calculation-sheet'!X79</f>
        <v>136566254.15597141</v>
      </c>
      <c r="Y96" s="2">
        <f>Y8/'Output-Calculation-sheet'!Y7*'Output-Calculation-sheet'!Y79</f>
        <v>262340042.70014083</v>
      </c>
      <c r="AA96" s="2">
        <f t="shared" si="8"/>
        <v>45.28670017260982</v>
      </c>
    </row>
    <row r="97" spans="1:27" x14ac:dyDescent="0.25">
      <c r="A97" s="2">
        <v>2032</v>
      </c>
      <c r="B97" s="2">
        <f>B9/'Output-Calculation-sheet'!B8*'Output-Calculation-sheet'!B80</f>
        <v>11052450289.375967</v>
      </c>
      <c r="C97" s="2">
        <f>C9/'Output-Calculation-sheet'!C8*'Output-Calculation-sheet'!C80</f>
        <v>1052311330.4631594</v>
      </c>
      <c r="D97" s="2">
        <f>D9/'Output-Calculation-sheet'!D8*'Output-Calculation-sheet'!D80</f>
        <v>2573590997.7581997</v>
      </c>
      <c r="E97" s="2">
        <f>E9/'Output-Calculation-sheet'!E8*'Output-Calculation-sheet'!E80</f>
        <v>10401518687.230537</v>
      </c>
      <c r="F97" s="2">
        <f>F9/'Output-Calculation-sheet'!F8*'Output-Calculation-sheet'!F80</f>
        <v>2976382746.6141133</v>
      </c>
      <c r="G97" s="2">
        <f>G9/'Output-Calculation-sheet'!G8*'Output-Calculation-sheet'!G80</f>
        <v>1762284976.4376953</v>
      </c>
      <c r="H97" s="2">
        <f>H9/'Output-Calculation-sheet'!H8*'Output-Calculation-sheet'!H80</f>
        <v>1580019083.7868266</v>
      </c>
      <c r="I97" s="2">
        <f>I9/'Output-Calculation-sheet'!I8*'Output-Calculation-sheet'!I80</f>
        <v>1326832455.5408807</v>
      </c>
      <c r="J97" s="2">
        <f>J9/'Output-Calculation-sheet'!J8*'Output-Calculation-sheet'!J80</f>
        <v>1063297625.3147854</v>
      </c>
      <c r="K97" s="2">
        <f>K9/'Output-Calculation-sheet'!K8*'Output-Calculation-sheet'!K80</f>
        <v>1277531241.3311305</v>
      </c>
      <c r="L97" s="2">
        <f>L9/'Output-Calculation-sheet'!L8*'Output-Calculation-sheet'!L80</f>
        <v>1309192440.1431081</v>
      </c>
      <c r="M97" s="2">
        <f>M9/'Output-Calculation-sheet'!M8*'Output-Calculation-sheet'!M80</f>
        <v>1813960253.9463246</v>
      </c>
      <c r="N97" s="2">
        <f>N9/'Output-Calculation-sheet'!N8*'Output-Calculation-sheet'!N80</f>
        <v>1140270176.1688955</v>
      </c>
      <c r="O97" s="2">
        <f>O9/'Output-Calculation-sheet'!O8*'Output-Calculation-sheet'!O80</f>
        <v>137046549.45640817</v>
      </c>
      <c r="P97" s="2">
        <f>P9/'Output-Calculation-sheet'!P8*'Output-Calculation-sheet'!P80</f>
        <v>1964765486.2612023</v>
      </c>
      <c r="Q97" s="2">
        <f>Q9/'Output-Calculation-sheet'!Q8*'Output-Calculation-sheet'!Q80</f>
        <v>835183716.76230717</v>
      </c>
      <c r="R97" s="2">
        <f>R9/'Output-Calculation-sheet'!R8*'Output-Calculation-sheet'!R80</f>
        <v>1316826526.8523762</v>
      </c>
      <c r="S97" s="2">
        <f>S9/'Output-Calculation-sheet'!S8*'Output-Calculation-sheet'!S80</f>
        <v>522680134.92752928</v>
      </c>
      <c r="T97" s="2">
        <f>T9/'Output-Calculation-sheet'!T8*'Output-Calculation-sheet'!T80</f>
        <v>441666540.54292995</v>
      </c>
      <c r="U97" s="2">
        <f>U9/'Output-Calculation-sheet'!U8*'Output-Calculation-sheet'!U80</f>
        <v>290492112.78248769</v>
      </c>
      <c r="V97" s="2">
        <f>V9/'Output-Calculation-sheet'!V8*'Output-Calculation-sheet'!V80</f>
        <v>172098478.17841819</v>
      </c>
      <c r="W97" s="2">
        <f>W9/'Output-Calculation-sheet'!W8*'Output-Calculation-sheet'!W80</f>
        <v>478002857.72497052</v>
      </c>
      <c r="X97" s="2">
        <f>X9/'Output-Calculation-sheet'!X8*'Output-Calculation-sheet'!X80</f>
        <v>189601961.04789975</v>
      </c>
      <c r="Y97" s="2">
        <f>Y9/'Output-Calculation-sheet'!Y8*'Output-Calculation-sheet'!Y80</f>
        <v>261037275.75864011</v>
      </c>
      <c r="AA97" s="2">
        <f t="shared" si="8"/>
        <v>45.939043944406777</v>
      </c>
    </row>
    <row r="98" spans="1:27" x14ac:dyDescent="0.25">
      <c r="A98" s="2">
        <v>2033</v>
      </c>
      <c r="B98" s="2">
        <f>B10/'Output-Calculation-sheet'!B9*'Output-Calculation-sheet'!B81</f>
        <v>11072469314.22645</v>
      </c>
      <c r="C98" s="2">
        <f>C10/'Output-Calculation-sheet'!C9*'Output-Calculation-sheet'!C81</f>
        <v>1033044115.1841979</v>
      </c>
      <c r="D98" s="2">
        <f>D10/'Output-Calculation-sheet'!D9*'Output-Calculation-sheet'!D81</f>
        <v>2342017965.5679102</v>
      </c>
      <c r="E98" s="2">
        <f>E10/'Output-Calculation-sheet'!E9*'Output-Calculation-sheet'!E81</f>
        <v>10626160753.349464</v>
      </c>
      <c r="F98" s="2">
        <f>F10/'Output-Calculation-sheet'!F9*'Output-Calculation-sheet'!F81</f>
        <v>2846474718.1402583</v>
      </c>
      <c r="G98" s="2">
        <f>G10/'Output-Calculation-sheet'!G9*'Output-Calculation-sheet'!G81</f>
        <v>1611796677.210501</v>
      </c>
      <c r="H98" s="2">
        <f>H10/'Output-Calculation-sheet'!H9*'Output-Calculation-sheet'!H81</f>
        <v>2092073335.3859334</v>
      </c>
      <c r="I98" s="2">
        <f>I10/'Output-Calculation-sheet'!I9*'Output-Calculation-sheet'!I81</f>
        <v>1275033295.7037432</v>
      </c>
      <c r="J98" s="2">
        <f>J10/'Output-Calculation-sheet'!J9*'Output-Calculation-sheet'!J81</f>
        <v>1008185118.0000045</v>
      </c>
      <c r="K98" s="2">
        <f>K10/'Output-Calculation-sheet'!K9*'Output-Calculation-sheet'!K81</f>
        <v>1195953864.8992941</v>
      </c>
      <c r="L98" s="2">
        <f>L10/'Output-Calculation-sheet'!L9*'Output-Calculation-sheet'!L81</f>
        <v>1294796584.8317356</v>
      </c>
      <c r="M98" s="2">
        <f>M10/'Output-Calculation-sheet'!M9*'Output-Calculation-sheet'!M81</f>
        <v>1812571153.6519516</v>
      </c>
      <c r="N98" s="2">
        <f>N10/'Output-Calculation-sheet'!N9*'Output-Calculation-sheet'!N81</f>
        <v>1115427619.8161972</v>
      </c>
      <c r="O98" s="2">
        <f>O10/'Output-Calculation-sheet'!O9*'Output-Calculation-sheet'!O81</f>
        <v>132846746.24972695</v>
      </c>
      <c r="P98" s="2">
        <f>P10/'Output-Calculation-sheet'!P9*'Output-Calculation-sheet'!P81</f>
        <v>1869190772.3878305</v>
      </c>
      <c r="Q98" s="2">
        <f>Q10/'Output-Calculation-sheet'!Q9*'Output-Calculation-sheet'!Q81</f>
        <v>817192750.578812</v>
      </c>
      <c r="R98" s="2">
        <f>R10/'Output-Calculation-sheet'!R9*'Output-Calculation-sheet'!R81</f>
        <v>1279458231.5046091</v>
      </c>
      <c r="S98" s="2">
        <f>S10/'Output-Calculation-sheet'!S9*'Output-Calculation-sheet'!S81</f>
        <v>526001251.63113004</v>
      </c>
      <c r="T98" s="2">
        <f>T10/'Output-Calculation-sheet'!T9*'Output-Calculation-sheet'!T81</f>
        <v>410702517.52720958</v>
      </c>
      <c r="U98" s="2">
        <f>U10/'Output-Calculation-sheet'!U9*'Output-Calculation-sheet'!U81</f>
        <v>273033510.67207384</v>
      </c>
      <c r="V98" s="2">
        <f>V10/'Output-Calculation-sheet'!V9*'Output-Calculation-sheet'!V81</f>
        <v>161624241.51950935</v>
      </c>
      <c r="W98" s="2">
        <f>W10/'Output-Calculation-sheet'!W9*'Output-Calculation-sheet'!W81</f>
        <v>449233827.19748086</v>
      </c>
      <c r="X98" s="2">
        <f>X10/'Output-Calculation-sheet'!X9*'Output-Calculation-sheet'!X81</f>
        <v>195300208.59687391</v>
      </c>
      <c r="Y98" s="2">
        <f>Y10/'Output-Calculation-sheet'!Y9*'Output-Calculation-sheet'!Y81</f>
        <v>252811559.88038385</v>
      </c>
      <c r="AA98" s="2">
        <f t="shared" si="8"/>
        <v>45.693400133713276</v>
      </c>
    </row>
    <row r="99" spans="1:27" x14ac:dyDescent="0.25">
      <c r="A99" s="2">
        <v>2034</v>
      </c>
      <c r="B99" s="2">
        <f>B11/'Output-Calculation-sheet'!B10*'Output-Calculation-sheet'!B82</f>
        <v>11112668660.878742</v>
      </c>
      <c r="C99" s="2">
        <f>C11/'Output-Calculation-sheet'!C10*'Output-Calculation-sheet'!C82</f>
        <v>999126012.70313883</v>
      </c>
      <c r="D99" s="2">
        <f>D11/'Output-Calculation-sheet'!D10*'Output-Calculation-sheet'!D82</f>
        <v>2098282528.9557369</v>
      </c>
      <c r="E99" s="2">
        <f>E11/'Output-Calculation-sheet'!E10*'Output-Calculation-sheet'!E82</f>
        <v>10650122878.721107</v>
      </c>
      <c r="F99" s="2">
        <f>F11/'Output-Calculation-sheet'!F10*'Output-Calculation-sheet'!F82</f>
        <v>2676123256.4289908</v>
      </c>
      <c r="G99" s="2">
        <f>G11/'Output-Calculation-sheet'!G10*'Output-Calculation-sheet'!G82</f>
        <v>1447406463.7550101</v>
      </c>
      <c r="H99" s="2">
        <f>H11/'Output-Calculation-sheet'!H10*'Output-Calculation-sheet'!H82</f>
        <v>2018564832.0950572</v>
      </c>
      <c r="I99" s="2">
        <f>I11/'Output-Calculation-sheet'!I10*'Output-Calculation-sheet'!I82</f>
        <v>1207900831.3703773</v>
      </c>
      <c r="J99" s="2">
        <f>J11/'Output-Calculation-sheet'!J10*'Output-Calculation-sheet'!J82</f>
        <v>942090822.68453908</v>
      </c>
      <c r="K99" s="2">
        <f>K11/'Output-Calculation-sheet'!K10*'Output-Calculation-sheet'!K82</f>
        <v>1097156223.4297414</v>
      </c>
      <c r="L99" s="2">
        <f>L11/'Output-Calculation-sheet'!L10*'Output-Calculation-sheet'!L82</f>
        <v>1261761605.6181822</v>
      </c>
      <c r="M99" s="2">
        <f>M11/'Output-Calculation-sheet'!M10*'Output-Calculation-sheet'!M82</f>
        <v>1789750779.8005025</v>
      </c>
      <c r="N99" s="2">
        <f>N11/'Output-Calculation-sheet'!N10*'Output-Calculation-sheet'!N82</f>
        <v>1071259869.0306404</v>
      </c>
      <c r="O99" s="2">
        <f>O11/'Output-Calculation-sheet'!O10*'Output-Calculation-sheet'!O82</f>
        <v>126897795.29524638</v>
      </c>
      <c r="P99" s="2">
        <f>P11/'Output-Calculation-sheet'!P10*'Output-Calculation-sheet'!P82</f>
        <v>1732043400.3178256</v>
      </c>
      <c r="Q99" s="2">
        <f>Q11/'Output-Calculation-sheet'!Q10*'Output-Calculation-sheet'!Q82</f>
        <v>789927282.7045399</v>
      </c>
      <c r="R99" s="2">
        <f>R11/'Output-Calculation-sheet'!R10*'Output-Calculation-sheet'!R82</f>
        <v>1221200492.5802283</v>
      </c>
      <c r="S99" s="2">
        <f>S11/'Output-Calculation-sheet'!S10*'Output-Calculation-sheet'!S82</f>
        <v>525846543.14417756</v>
      </c>
      <c r="T99" s="2">
        <f>T11/'Output-Calculation-sheet'!T10*'Output-Calculation-sheet'!T82</f>
        <v>374446532.69073462</v>
      </c>
      <c r="U99" s="2">
        <f>U11/'Output-Calculation-sheet'!U10*'Output-Calculation-sheet'!U82</f>
        <v>252454117.36453795</v>
      </c>
      <c r="V99" s="2">
        <f>V11/'Output-Calculation-sheet'!V10*'Output-Calculation-sheet'!V82</f>
        <v>149509899.86147332</v>
      </c>
      <c r="W99" s="2">
        <f>W11/'Output-Calculation-sheet'!W10*'Output-Calculation-sheet'!W82</f>
        <v>414088414.37731695</v>
      </c>
      <c r="X99" s="2">
        <f>X11/'Output-Calculation-sheet'!X10*'Output-Calculation-sheet'!X82</f>
        <v>198549329.21412748</v>
      </c>
      <c r="Y99" s="2">
        <f>Y11/'Output-Calculation-sheet'!Y10*'Output-Calculation-sheet'!Y82</f>
        <v>239553051.2544201</v>
      </c>
      <c r="AA99" s="2">
        <f t="shared" si="8"/>
        <v>44.396731624276391</v>
      </c>
    </row>
    <row r="100" spans="1:27" x14ac:dyDescent="0.25">
      <c r="A100" s="2">
        <v>2035</v>
      </c>
      <c r="B100" s="2">
        <f>B12/'Output-Calculation-sheet'!B11*'Output-Calculation-sheet'!B83</f>
        <v>10982509943.206011</v>
      </c>
      <c r="C100" s="2">
        <f>C12/'Output-Calculation-sheet'!C11*'Output-Calculation-sheet'!C83</f>
        <v>987753389.69872856</v>
      </c>
      <c r="D100" s="2">
        <f>D12/'Output-Calculation-sheet'!D11*'Output-Calculation-sheet'!D83</f>
        <v>1866464033.5746205</v>
      </c>
      <c r="E100" s="2">
        <f>E12/'Output-Calculation-sheet'!E11*'Output-Calculation-sheet'!E83</f>
        <v>10565903213.545752</v>
      </c>
      <c r="F100" s="2">
        <f>F12/'Output-Calculation-sheet'!F11*'Output-Calculation-sheet'!F83</f>
        <v>2488265245.2426772</v>
      </c>
      <c r="G100" s="2">
        <f>G12/'Output-Calculation-sheet'!G11*'Output-Calculation-sheet'!G83</f>
        <v>1284292966.2490628</v>
      </c>
      <c r="H100" s="2">
        <f>H12/'Output-Calculation-sheet'!H11*'Output-Calculation-sheet'!H83</f>
        <v>1917207767.8440735</v>
      </c>
      <c r="I100" s="2">
        <f>I12/'Output-Calculation-sheet'!I11*'Output-Calculation-sheet'!I83</f>
        <v>1131213870.8622146</v>
      </c>
      <c r="J100" s="2">
        <f>J12/'Output-Calculation-sheet'!J11*'Output-Calculation-sheet'!J83</f>
        <v>871585040.20797157</v>
      </c>
      <c r="K100" s="2">
        <f>K12/'Output-Calculation-sheet'!K11*'Output-Calculation-sheet'!K83</f>
        <v>994558484.96788526</v>
      </c>
      <c r="L100" s="2">
        <f>L12/'Output-Calculation-sheet'!L11*'Output-Calculation-sheet'!L83</f>
        <v>1217913062.8925209</v>
      </c>
      <c r="M100" s="2">
        <f>M12/'Output-Calculation-sheet'!M11*'Output-Calculation-sheet'!M83</f>
        <v>1745183197.8212533</v>
      </c>
      <c r="N100" s="2">
        <f>N12/'Output-Calculation-sheet'!N11*'Output-Calculation-sheet'!N83</f>
        <v>1020324096.040639</v>
      </c>
      <c r="O100" s="2">
        <f>O12/'Output-Calculation-sheet'!O11*'Output-Calculation-sheet'!O83</f>
        <v>131108734.41080138</v>
      </c>
      <c r="P100" s="2">
        <f>P12/'Output-Calculation-sheet'!P11*'Output-Calculation-sheet'!P83</f>
        <v>1566890926.0096946</v>
      </c>
      <c r="Q100" s="2">
        <f>Q12/'Output-Calculation-sheet'!Q11*'Output-Calculation-sheet'!Q83</f>
        <v>757589134.51363385</v>
      </c>
      <c r="R100" s="2">
        <f>R12/'Output-Calculation-sheet'!R11*'Output-Calculation-sheet'!R83</f>
        <v>1151200040.2403741</v>
      </c>
      <c r="S100" s="2">
        <f>S12/'Output-Calculation-sheet'!S11*'Output-Calculation-sheet'!S83</f>
        <v>515617051.32675225</v>
      </c>
      <c r="T100" s="2">
        <f>T12/'Output-Calculation-sheet'!T11*'Output-Calculation-sheet'!T83</f>
        <v>337685192.83731139</v>
      </c>
      <c r="U100" s="2">
        <f>U12/'Output-Calculation-sheet'!U11*'Output-Calculation-sheet'!U83</f>
        <v>229837637.35562405</v>
      </c>
      <c r="V100" s="2">
        <f>V12/'Output-Calculation-sheet'!V11*'Output-Calculation-sheet'!V83</f>
        <v>136625569.31656379</v>
      </c>
      <c r="W100" s="2">
        <f>W12/'Output-Calculation-sheet'!W11*'Output-Calculation-sheet'!W83</f>
        <v>375034430.3945865</v>
      </c>
      <c r="X100" s="2">
        <f>X12/'Output-Calculation-sheet'!X11*'Output-Calculation-sheet'!X83</f>
        <v>200063633.58721128</v>
      </c>
      <c r="Y100" s="2">
        <f>Y12/'Output-Calculation-sheet'!Y11*'Output-Calculation-sheet'!Y83</f>
        <v>223958533.05150962</v>
      </c>
      <c r="AA100" s="2">
        <f t="shared" si="8"/>
        <v>42.698785195197466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5169.9054983433844</v>
      </c>
      <c r="C19" s="2">
        <f>C8/'Output-Calculation-sheet'!C7*'Output-Calculation-sheet'!C25</f>
        <v>7808.3375528754113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4190.6475414500883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851.93716203005965</v>
      </c>
      <c r="M19" s="2">
        <f>M8/'Output-Calculation-sheet'!M7*'Output-Calculation-sheet'!M25</f>
        <v>5527.2332887785778</v>
      </c>
      <c r="N19" s="2">
        <f>N8/'Output-Calculation-sheet'!N7*'Output-Calculation-sheet'!N25</f>
        <v>2821.8501861844957</v>
      </c>
      <c r="O19" s="2">
        <f>O8/'Output-Calculation-sheet'!O7*'Output-Calculation-sheet'!O25</f>
        <v>1525.2490912176265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539.56058986854623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384.34066897949867</v>
      </c>
      <c r="Y19" s="2">
        <f>Y8/'Output-Calculation-sheet'!Y7*'Output-Calculation-sheet'!Y25</f>
        <v>0</v>
      </c>
      <c r="AA19" s="2">
        <f t="shared" si="0"/>
        <v>28.819061579727688</v>
      </c>
    </row>
    <row r="20" spans="1:27" x14ac:dyDescent="0.25">
      <c r="A20" s="2">
        <v>2032</v>
      </c>
      <c r="B20" s="2">
        <f>B9/'Output-Calculation-sheet'!B8*'Output-Calculation-sheet'!B26</f>
        <v>6633.1595742331237</v>
      </c>
      <c r="C20" s="2">
        <f>C9/'Output-Calculation-sheet'!C8*'Output-Calculation-sheet'!C26</f>
        <v>8216.7294405327157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5411.6733714487455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940.35929816389967</v>
      </c>
      <c r="M20" s="2">
        <f>M9/'Output-Calculation-sheet'!M8*'Output-Calculation-sheet'!M26</f>
        <v>5722.6563519560814</v>
      </c>
      <c r="N20" s="2">
        <f>N9/'Output-Calculation-sheet'!N8*'Output-Calculation-sheet'!N26</f>
        <v>3223.1028057351141</v>
      </c>
      <c r="O20" s="2">
        <f>O9/'Output-Calculation-sheet'!O8*'Output-Calculation-sheet'!O26</f>
        <v>1603.6001533272381</v>
      </c>
      <c r="P20" s="2">
        <f>P9/'Output-Calculation-sheet'!P8*'Output-Calculation-sheet'!P26</f>
        <v>0</v>
      </c>
      <c r="Q20" s="2">
        <f>Q9/'Output-Calculation-sheet'!Q8*'Output-Calculation-sheet'!Q26</f>
        <v>96.917762532442993</v>
      </c>
      <c r="R20" s="2">
        <f>R9/'Output-Calculation-sheet'!R8*'Output-Calculation-sheet'!R26</f>
        <v>0</v>
      </c>
      <c r="S20" s="2">
        <f>S9/'Output-Calculation-sheet'!S8*'Output-Calculation-sheet'!S26</f>
        <v>684.31992668647024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529.09237185835184</v>
      </c>
      <c r="Y20" s="2">
        <f>Y9/'Output-Calculation-sheet'!Y8*'Output-Calculation-sheet'!Y26</f>
        <v>0</v>
      </c>
      <c r="AA20" s="2">
        <f t="shared" si="0"/>
        <v>33.061611056474185</v>
      </c>
    </row>
    <row r="21" spans="1:27" x14ac:dyDescent="0.25">
      <c r="A21" s="2">
        <v>2033</v>
      </c>
      <c r="B21" s="2">
        <f>B10/'Output-Calculation-sheet'!B9*'Output-Calculation-sheet'!B27</f>
        <v>8086.8137047868404</v>
      </c>
      <c r="C21" s="2">
        <f>C10/'Output-Calculation-sheet'!C9*'Output-Calculation-sheet'!C27</f>
        <v>8116.2943079193928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7115.4956032180507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987.82523507683766</v>
      </c>
      <c r="M21" s="2">
        <f>M10/'Output-Calculation-sheet'!M9*'Output-Calculation-sheet'!M27</f>
        <v>5538.2421871798597</v>
      </c>
      <c r="N21" s="2">
        <f>N10/'Output-Calculation-sheet'!N9*'Output-Calculation-sheet'!N27</f>
        <v>3227.8686070684357</v>
      </c>
      <c r="O21" s="2">
        <f>O10/'Output-Calculation-sheet'!O9*'Output-Calculation-sheet'!O27</f>
        <v>1579.1599232798119</v>
      </c>
      <c r="P21" s="2">
        <f>P10/'Output-Calculation-sheet'!P9*'Output-Calculation-sheet'!P27</f>
        <v>0</v>
      </c>
      <c r="Q21" s="2">
        <f>Q10/'Output-Calculation-sheet'!Q9*'Output-Calculation-sheet'!Q27</f>
        <v>240.52874339244923</v>
      </c>
      <c r="R21" s="2">
        <f>R10/'Output-Calculation-sheet'!R9*'Output-Calculation-sheet'!R27</f>
        <v>0</v>
      </c>
      <c r="S21" s="2">
        <f>S10/'Output-Calculation-sheet'!S9*'Output-Calculation-sheet'!S27</f>
        <v>819.93811757138826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516.75582816824772</v>
      </c>
      <c r="Y21" s="2">
        <f>Y10/'Output-Calculation-sheet'!Y9*'Output-Calculation-sheet'!Y27</f>
        <v>0</v>
      </c>
      <c r="AA21" s="2">
        <f t="shared" si="0"/>
        <v>36.22892225766131</v>
      </c>
    </row>
    <row r="22" spans="1:27" x14ac:dyDescent="0.25">
      <c r="A22" s="2">
        <v>2034</v>
      </c>
      <c r="B22" s="2">
        <f>B11/'Output-Calculation-sheet'!B10*'Output-Calculation-sheet'!B28</f>
        <v>9175.8905079177111</v>
      </c>
      <c r="C22" s="2">
        <f>C11/'Output-Calculation-sheet'!C10*'Output-Calculation-sheet'!C28</f>
        <v>7482.5357650723445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6502.1132600487163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957.97512920438282</v>
      </c>
      <c r="M22" s="2">
        <f>M11/'Output-Calculation-sheet'!M10*'Output-Calculation-sheet'!M28</f>
        <v>5052.4728885242685</v>
      </c>
      <c r="N22" s="2">
        <f>N11/'Output-Calculation-sheet'!N10*'Output-Calculation-sheet'!N28</f>
        <v>3030.5293560169462</v>
      </c>
      <c r="O22" s="2">
        <f>O11/'Output-Calculation-sheet'!O10*'Output-Calculation-sheet'!O28</f>
        <v>1447.0886288297359</v>
      </c>
      <c r="P22" s="2">
        <f>P11/'Output-Calculation-sheet'!P10*'Output-Calculation-sheet'!P28</f>
        <v>0</v>
      </c>
      <c r="Q22" s="2">
        <f>Q11/'Output-Calculation-sheet'!Q10*'Output-Calculation-sheet'!Q28</f>
        <v>415.41819234463691</v>
      </c>
      <c r="R22" s="2">
        <f>R11/'Output-Calculation-sheet'!R10*'Output-Calculation-sheet'!R28</f>
        <v>0</v>
      </c>
      <c r="S22" s="2">
        <f>S11/'Output-Calculation-sheet'!S10*'Output-Calculation-sheet'!S28</f>
        <v>887.81643201783834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472.48922662668895</v>
      </c>
      <c r="Y22" s="2">
        <f>Y11/'Output-Calculation-sheet'!Y10*'Output-Calculation-sheet'!Y28</f>
        <v>0</v>
      </c>
      <c r="AA22" s="2">
        <f t="shared" si="0"/>
        <v>35.424329386603269</v>
      </c>
    </row>
    <row r="23" spans="1:27" x14ac:dyDescent="0.25">
      <c r="A23" s="2">
        <v>2035</v>
      </c>
      <c r="B23" s="2">
        <f>B12/'Output-Calculation-sheet'!B11*'Output-Calculation-sheet'!B29</f>
        <v>9333.246272751021</v>
      </c>
      <c r="C23" s="2">
        <f>C12/'Output-Calculation-sheet'!C11*'Output-Calculation-sheet'!C29</f>
        <v>6542.8475562226586</v>
      </c>
      <c r="D23" s="2">
        <f>D12/'Output-Calculation-sheet'!D11*'Output-Calculation-sheet'!D29</f>
        <v>0</v>
      </c>
      <c r="E23" s="2">
        <f>E12/'Output-Calculation-sheet'!E11*'Output-Calculation-sheet'!E29</f>
        <v>85.531364693680729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5463.6826954873095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861.28972269877181</v>
      </c>
      <c r="M23" s="2">
        <f>M12/'Output-Calculation-sheet'!M11*'Output-Calculation-sheet'!M29</f>
        <v>4249.2525403841119</v>
      </c>
      <c r="N23" s="2">
        <f>N12/'Output-Calculation-sheet'!N11*'Output-Calculation-sheet'!N29</f>
        <v>2608.3298080425789</v>
      </c>
      <c r="O23" s="2">
        <f>O12/'Output-Calculation-sheet'!O11*'Output-Calculation-sheet'!O29</f>
        <v>1326.8956274269656</v>
      </c>
      <c r="P23" s="2">
        <f>P12/'Output-Calculation-sheet'!P11*'Output-Calculation-sheet'!P29</f>
        <v>0</v>
      </c>
      <c r="Q23" s="2">
        <f>Q12/'Output-Calculation-sheet'!Q11*'Output-Calculation-sheet'!Q29</f>
        <v>512.90108165515596</v>
      </c>
      <c r="R23" s="2">
        <f>R12/'Output-Calculation-sheet'!R11*'Output-Calculation-sheet'!R29</f>
        <v>0</v>
      </c>
      <c r="S23" s="2">
        <f>S12/'Output-Calculation-sheet'!S11*'Output-Calculation-sheet'!S29</f>
        <v>869.27144312353494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401.6723826302694</v>
      </c>
      <c r="Y23" s="2">
        <f>Y12/'Output-Calculation-sheet'!Y11*'Output-Calculation-sheet'!Y29</f>
        <v>0</v>
      </c>
      <c r="AA23" s="2">
        <f t="shared" si="0"/>
        <v>32.254920495116068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24739.569278645278</v>
      </c>
      <c r="C30" s="2">
        <f>C8/'Output-Calculation-sheet'!C7*'Output-Calculation-sheet'!C16</f>
        <v>0</v>
      </c>
      <c r="D30" s="2">
        <f>D8/'Output-Calculation-sheet'!D7*'Output-Calculation-sheet'!D16</f>
        <v>6761.9033303408951</v>
      </c>
      <c r="E30" s="2">
        <f>E8/'Output-Calculation-sheet'!E7*'Output-Calculation-sheet'!E16</f>
        <v>8256.7728583240259</v>
      </c>
      <c r="F30" s="2">
        <f>F8/'Output-Calculation-sheet'!F7*'Output-Calculation-sheet'!F16</f>
        <v>3713.6598056465641</v>
      </c>
      <c r="G30" s="2">
        <f>G8/'Output-Calculation-sheet'!G7*'Output-Calculation-sheet'!G16</f>
        <v>2138.4553540809902</v>
      </c>
      <c r="H30" s="2">
        <f>H8/'Output-Calculation-sheet'!H7*'Output-Calculation-sheet'!H16</f>
        <v>0</v>
      </c>
      <c r="I30" s="2">
        <f>I8/'Output-Calculation-sheet'!I7*'Output-Calculation-sheet'!I16</f>
        <v>2269.0889294318927</v>
      </c>
      <c r="J30" s="2">
        <f>J8/'Output-Calculation-sheet'!J7*'Output-Calculation-sheet'!J16</f>
        <v>2307.6606461463093</v>
      </c>
      <c r="K30" s="2">
        <f>K8/'Output-Calculation-sheet'!K7*'Output-Calculation-sheet'!K16</f>
        <v>3006.8632448251319</v>
      </c>
      <c r="L30" s="2">
        <f>L8/'Output-Calculation-sheet'!L7*'Output-Calculation-sheet'!L16</f>
        <v>2732.3181243396384</v>
      </c>
      <c r="M30" s="2">
        <f>M8/'Output-Calculation-sheet'!M7*'Output-Calculation-sheet'!M16</f>
        <v>0</v>
      </c>
      <c r="N30" s="2">
        <f>N8/'Output-Calculation-sheet'!N7*'Output-Calculation-sheet'!N16</f>
        <v>1613.2676569228047</v>
      </c>
      <c r="O30" s="2">
        <f>O8/'Output-Calculation-sheet'!O7*'Output-Calculation-sheet'!O16</f>
        <v>0</v>
      </c>
      <c r="P30" s="2">
        <f>P8/'Output-Calculation-sheet'!P7*'Output-Calculation-sheet'!P16</f>
        <v>2428.0275700038096</v>
      </c>
      <c r="Q30" s="2">
        <f>Q8/'Output-Calculation-sheet'!Q7*'Output-Calculation-sheet'!Q16</f>
        <v>2707.9059998059652</v>
      </c>
      <c r="R30" s="2">
        <f>R8/'Output-Calculation-sheet'!R7*'Output-Calculation-sheet'!R16</f>
        <v>2209.0780352137544</v>
      </c>
      <c r="S30" s="2">
        <f>S8/'Output-Calculation-sheet'!S7*'Output-Calculation-sheet'!S16</f>
        <v>1189.1096421121779</v>
      </c>
      <c r="T30" s="2">
        <f>T8/'Output-Calculation-sheet'!T7*'Output-Calculation-sheet'!T16</f>
        <v>700.56316664682493</v>
      </c>
      <c r="U30" s="2">
        <f>U8/'Output-Calculation-sheet'!U7*'Output-Calculation-sheet'!U16</f>
        <v>560.7881488071522</v>
      </c>
      <c r="V30" s="2">
        <f>V8/'Output-Calculation-sheet'!V7*'Output-Calculation-sheet'!V16</f>
        <v>660.29867299699833</v>
      </c>
      <c r="W30" s="2">
        <f>W8/'Output-Calculation-sheet'!W7*'Output-Calculation-sheet'!W16</f>
        <v>304.70219425017928</v>
      </c>
      <c r="X30" s="2">
        <f>X8/'Output-Calculation-sheet'!X7*'Output-Calculation-sheet'!X16</f>
        <v>0</v>
      </c>
      <c r="Y30" s="2">
        <f>Y8/'Output-Calculation-sheet'!Y7*'Output-Calculation-sheet'!Y16</f>
        <v>234.31044541047561</v>
      </c>
      <c r="AA30" s="2">
        <f t="shared" si="1"/>
        <v>68.534343103950874</v>
      </c>
    </row>
    <row r="31" spans="1:27" x14ac:dyDescent="0.25">
      <c r="A31" s="2">
        <v>2032</v>
      </c>
      <c r="B31" s="2">
        <f>B9/'Output-Calculation-sheet'!B8*'Output-Calculation-sheet'!B17</f>
        <v>24865.766860444335</v>
      </c>
      <c r="C31" s="2">
        <f>C9/'Output-Calculation-sheet'!C8*'Output-Calculation-sheet'!C17</f>
        <v>0</v>
      </c>
      <c r="D31" s="2">
        <f>D9/'Output-Calculation-sheet'!D8*'Output-Calculation-sheet'!D17</f>
        <v>6917.0548969892679</v>
      </c>
      <c r="E31" s="2">
        <f>E9/'Output-Calculation-sheet'!E8*'Output-Calculation-sheet'!E17</f>
        <v>8486.0886342347258</v>
      </c>
      <c r="F31" s="2">
        <f>F9/'Output-Calculation-sheet'!F8*'Output-Calculation-sheet'!F17</f>
        <v>3822.125366499582</v>
      </c>
      <c r="G31" s="2">
        <f>G9/'Output-Calculation-sheet'!G8*'Output-Calculation-sheet'!G17</f>
        <v>2199.9068806771443</v>
      </c>
      <c r="H31" s="2">
        <f>H9/'Output-Calculation-sheet'!H8*'Output-Calculation-sheet'!H17</f>
        <v>0</v>
      </c>
      <c r="I31" s="2">
        <f>I9/'Output-Calculation-sheet'!I8*'Output-Calculation-sheet'!I17</f>
        <v>2332.1697089697423</v>
      </c>
      <c r="J31" s="2">
        <f>J9/'Output-Calculation-sheet'!J8*'Output-Calculation-sheet'!J17</f>
        <v>2366.187609447024</v>
      </c>
      <c r="K31" s="2">
        <f>K9/'Output-Calculation-sheet'!K8*'Output-Calculation-sheet'!K17</f>
        <v>3077.4322141705629</v>
      </c>
      <c r="L31" s="2">
        <f>L9/'Output-Calculation-sheet'!L8*'Output-Calculation-sheet'!L17</f>
        <v>2783.8962535774849</v>
      </c>
      <c r="M31" s="2">
        <f>M9/'Output-Calculation-sheet'!M8*'Output-Calculation-sheet'!M17</f>
        <v>0</v>
      </c>
      <c r="N31" s="2">
        <f>N9/'Output-Calculation-sheet'!N8*'Output-Calculation-sheet'!N17</f>
        <v>1554.4545218259705</v>
      </c>
      <c r="O31" s="2">
        <f>O9/'Output-Calculation-sheet'!O8*'Output-Calculation-sheet'!O17</f>
        <v>0</v>
      </c>
      <c r="P31" s="2">
        <f>P9/'Output-Calculation-sheet'!P8*'Output-Calculation-sheet'!P17</f>
        <v>2525.6685014180803</v>
      </c>
      <c r="Q31" s="2">
        <f>Q9/'Output-Calculation-sheet'!Q8*'Output-Calculation-sheet'!Q17</f>
        <v>2744.9319705947464</v>
      </c>
      <c r="R31" s="2">
        <f>R9/'Output-Calculation-sheet'!R8*'Output-Calculation-sheet'!R17</f>
        <v>2278.6928196683439</v>
      </c>
      <c r="S31" s="2">
        <f>S9/'Output-Calculation-sheet'!S8*'Output-Calculation-sheet'!S17</f>
        <v>1183.7890466244403</v>
      </c>
      <c r="T31" s="2">
        <f>T9/'Output-Calculation-sheet'!T8*'Output-Calculation-sheet'!T17</f>
        <v>717.8749368534917</v>
      </c>
      <c r="U31" s="2">
        <f>U9/'Output-Calculation-sheet'!U8*'Output-Calculation-sheet'!U17</f>
        <v>576.74600600077861</v>
      </c>
      <c r="V31" s="2">
        <f>V9/'Output-Calculation-sheet'!V8*'Output-Calculation-sheet'!V17</f>
        <v>677.96033324408597</v>
      </c>
      <c r="W31" s="2">
        <f>W9/'Output-Calculation-sheet'!W8*'Output-Calculation-sheet'!W17</f>
        <v>313.57994239305754</v>
      </c>
      <c r="X31" s="2">
        <f>X9/'Output-Calculation-sheet'!X8*'Output-Calculation-sheet'!X17</f>
        <v>0</v>
      </c>
      <c r="Y31" s="2">
        <f>Y9/'Output-Calculation-sheet'!Y8*'Output-Calculation-sheet'!Y17</f>
        <v>241.31999310592687</v>
      </c>
      <c r="AA31" s="2">
        <f t="shared" si="1"/>
        <v>69.665646496738773</v>
      </c>
    </row>
    <row r="32" spans="1:27" x14ac:dyDescent="0.25">
      <c r="A32" s="2">
        <v>2033</v>
      </c>
      <c r="B32" s="2">
        <f>B10/'Output-Calculation-sheet'!B9*'Output-Calculation-sheet'!B18</f>
        <v>23101.720181844736</v>
      </c>
      <c r="C32" s="2">
        <f>C10/'Output-Calculation-sheet'!C9*'Output-Calculation-sheet'!C18</f>
        <v>0</v>
      </c>
      <c r="D32" s="2">
        <f>D10/'Output-Calculation-sheet'!D9*'Output-Calculation-sheet'!D18</f>
        <v>6604.3641393747894</v>
      </c>
      <c r="E32" s="2">
        <f>E10/'Output-Calculation-sheet'!E9*'Output-Calculation-sheet'!E18</f>
        <v>8162.0834077451973</v>
      </c>
      <c r="F32" s="2">
        <f>F10/'Output-Calculation-sheet'!F9*'Output-Calculation-sheet'!F18</f>
        <v>3671.5166402914124</v>
      </c>
      <c r="G32" s="2">
        <f>G10/'Output-Calculation-sheet'!G9*'Output-Calculation-sheet'!G18</f>
        <v>2112.5674800092211</v>
      </c>
      <c r="H32" s="2">
        <f>H10/'Output-Calculation-sheet'!H9*'Output-Calculation-sheet'!H18</f>
        <v>0</v>
      </c>
      <c r="I32" s="2">
        <f>I10/'Output-Calculation-sheet'!I9*'Output-Calculation-sheet'!I18</f>
        <v>2237.7967742531891</v>
      </c>
      <c r="J32" s="2">
        <f>J10/'Output-Calculation-sheet'!J9*'Output-Calculation-sheet'!J18</f>
        <v>2252.6472422142374</v>
      </c>
      <c r="K32" s="2">
        <f>K10/'Output-Calculation-sheet'!K9*'Output-Calculation-sheet'!K18</f>
        <v>2973.8797854741074</v>
      </c>
      <c r="L32" s="2">
        <f>L10/'Output-Calculation-sheet'!L9*'Output-Calculation-sheet'!L18</f>
        <v>2594.8782789090551</v>
      </c>
      <c r="M32" s="2">
        <f>M10/'Output-Calculation-sheet'!M9*'Output-Calculation-sheet'!M18</f>
        <v>0</v>
      </c>
      <c r="N32" s="2">
        <f>N10/'Output-Calculation-sheet'!N9*'Output-Calculation-sheet'!N18</f>
        <v>1455.6395143657205</v>
      </c>
      <c r="O32" s="2">
        <f>O10/'Output-Calculation-sheet'!O9*'Output-Calculation-sheet'!O18</f>
        <v>0</v>
      </c>
      <c r="P32" s="2">
        <f>P10/'Output-Calculation-sheet'!P9*'Output-Calculation-sheet'!P18</f>
        <v>2446.8605521730437</v>
      </c>
      <c r="Q32" s="2">
        <f>Q10/'Output-Calculation-sheet'!Q9*'Output-Calculation-sheet'!Q18</f>
        <v>2579.0240616952328</v>
      </c>
      <c r="R32" s="2">
        <f>R10/'Output-Calculation-sheet'!R9*'Output-Calculation-sheet'!R18</f>
        <v>2185.4637799063335</v>
      </c>
      <c r="S32" s="2">
        <f>S10/'Output-Calculation-sheet'!S9*'Output-Calculation-sheet'!S18</f>
        <v>1090.7344787879149</v>
      </c>
      <c r="T32" s="2">
        <f>T10/'Output-Calculation-sheet'!T9*'Output-Calculation-sheet'!T18</f>
        <v>688.38393863816736</v>
      </c>
      <c r="U32" s="2">
        <f>U10/'Output-Calculation-sheet'!U9*'Output-Calculation-sheet'!U18</f>
        <v>551.94883849010739</v>
      </c>
      <c r="V32" s="2">
        <f>V10/'Output-Calculation-sheet'!V9*'Output-Calculation-sheet'!V18</f>
        <v>642.21983527213445</v>
      </c>
      <c r="W32" s="2">
        <f>W10/'Output-Calculation-sheet'!W9*'Output-Calculation-sheet'!W18</f>
        <v>299.72638362504637</v>
      </c>
      <c r="X32" s="2">
        <f>X10/'Output-Calculation-sheet'!X9*'Output-Calculation-sheet'!X18</f>
        <v>0</v>
      </c>
      <c r="Y32" s="2">
        <f>Y10/'Output-Calculation-sheet'!Y9*'Output-Calculation-sheet'!Y18</f>
        <v>231.85285138727721</v>
      </c>
      <c r="AA32" s="2">
        <f t="shared" si="1"/>
        <v>65.883308164456921</v>
      </c>
    </row>
    <row r="33" spans="1:27" x14ac:dyDescent="0.25">
      <c r="A33" s="2">
        <v>2034</v>
      </c>
      <c r="B33" s="2">
        <f>B11/'Output-Calculation-sheet'!B10*'Output-Calculation-sheet'!B19</f>
        <v>20269.28041687634</v>
      </c>
      <c r="C33" s="2">
        <f>C11/'Output-Calculation-sheet'!C10*'Output-Calculation-sheet'!C19</f>
        <v>0</v>
      </c>
      <c r="D33" s="2">
        <f>D11/'Output-Calculation-sheet'!D10*'Output-Calculation-sheet'!D19</f>
        <v>5866.2282929721014</v>
      </c>
      <c r="E33" s="2">
        <f>E11/'Output-Calculation-sheet'!E10*'Output-Calculation-sheet'!E19</f>
        <v>7297.2369145841967</v>
      </c>
      <c r="F33" s="2">
        <f>F11/'Output-Calculation-sheet'!F10*'Output-Calculation-sheet'!F19</f>
        <v>3283.5248453103745</v>
      </c>
      <c r="G33" s="2">
        <f>G11/'Output-Calculation-sheet'!G10*'Output-Calculation-sheet'!G19</f>
        <v>1883.9227795150246</v>
      </c>
      <c r="H33" s="2">
        <f>H11/'Output-Calculation-sheet'!H10*'Output-Calculation-sheet'!H19</f>
        <v>0</v>
      </c>
      <c r="I33" s="2">
        <f>I11/'Output-Calculation-sheet'!I10*'Output-Calculation-sheet'!I19</f>
        <v>2003.4976130533605</v>
      </c>
      <c r="J33" s="2">
        <f>J11/'Output-Calculation-sheet'!J10*'Output-Calculation-sheet'!J19</f>
        <v>2005.1852473359127</v>
      </c>
      <c r="K33" s="2">
        <f>K11/'Output-Calculation-sheet'!K10*'Output-Calculation-sheet'!K19</f>
        <v>2633.0889805211714</v>
      </c>
      <c r="L33" s="2">
        <f>L11/'Output-Calculation-sheet'!L10*'Output-Calculation-sheet'!L19</f>
        <v>2262.4322232544087</v>
      </c>
      <c r="M33" s="2">
        <f>M11/'Output-Calculation-sheet'!M10*'Output-Calculation-sheet'!M19</f>
        <v>0</v>
      </c>
      <c r="N33" s="2">
        <f>N11/'Output-Calculation-sheet'!N10*'Output-Calculation-sheet'!N19</f>
        <v>1235.1186738567458</v>
      </c>
      <c r="O33" s="2">
        <f>O11/'Output-Calculation-sheet'!O10*'Output-Calculation-sheet'!O19</f>
        <v>0</v>
      </c>
      <c r="P33" s="2">
        <f>P11/'Output-Calculation-sheet'!P10*'Output-Calculation-sheet'!P19</f>
        <v>2210.0233281569867</v>
      </c>
      <c r="Q33" s="2">
        <f>Q11/'Output-Calculation-sheet'!Q10*'Output-Calculation-sheet'!Q19</f>
        <v>2204.8622994340512</v>
      </c>
      <c r="R33" s="2">
        <f>R11/'Output-Calculation-sheet'!R10*'Output-Calculation-sheet'!R19</f>
        <v>1948.0929264407887</v>
      </c>
      <c r="S33" s="2">
        <f>S11/'Output-Calculation-sheet'!S10*'Output-Calculation-sheet'!S19</f>
        <v>949.52749910341174</v>
      </c>
      <c r="T33" s="2">
        <f>T11/'Output-Calculation-sheet'!T10*'Output-Calculation-sheet'!T19</f>
        <v>615.45843676531047</v>
      </c>
      <c r="U33" s="2">
        <f>U11/'Output-Calculation-sheet'!U10*'Output-Calculation-sheet'!U19</f>
        <v>496.54083820077193</v>
      </c>
      <c r="V33" s="2">
        <f>V11/'Output-Calculation-sheet'!V10*'Output-Calculation-sheet'!V19</f>
        <v>569.81884249247082</v>
      </c>
      <c r="W33" s="2">
        <f>W11/'Output-Calculation-sheet'!W10*'Output-Calculation-sheet'!W19</f>
        <v>268.21870596903489</v>
      </c>
      <c r="X33" s="2">
        <f>X11/'Output-Calculation-sheet'!X10*'Output-Calculation-sheet'!X19</f>
        <v>0</v>
      </c>
      <c r="Y33" s="2">
        <f>Y11/'Output-Calculation-sheet'!Y10*'Output-Calculation-sheet'!Y19</f>
        <v>207.39950563504433</v>
      </c>
      <c r="AA33" s="2">
        <f t="shared" si="1"/>
        <v>58.20945836947751</v>
      </c>
    </row>
    <row r="34" spans="1:27" x14ac:dyDescent="0.25">
      <c r="A34" s="2">
        <v>2035</v>
      </c>
      <c r="B34" s="2">
        <f>B12/'Output-Calculation-sheet'!B11*'Output-Calculation-sheet'!B20</f>
        <v>16118.068251363084</v>
      </c>
      <c r="C34" s="2">
        <f>C12/'Output-Calculation-sheet'!C11*'Output-Calculation-sheet'!C20</f>
        <v>0</v>
      </c>
      <c r="D34" s="2">
        <f>D12/'Output-Calculation-sheet'!D11*'Output-Calculation-sheet'!D20</f>
        <v>4858.5702329913283</v>
      </c>
      <c r="E34" s="2">
        <f>E12/'Output-Calculation-sheet'!E11*'Output-Calculation-sheet'!E20</f>
        <v>5981.2576696508922</v>
      </c>
      <c r="F34" s="2">
        <f>F12/'Output-Calculation-sheet'!F11*'Output-Calculation-sheet'!F20</f>
        <v>2716.0842982871295</v>
      </c>
      <c r="G34" s="2">
        <f>G12/'Output-Calculation-sheet'!G11*'Output-Calculation-sheet'!G20</f>
        <v>1556.2257643628404</v>
      </c>
      <c r="H34" s="2">
        <f>H12/'Output-Calculation-sheet'!H11*'Output-Calculation-sheet'!H20</f>
        <v>0</v>
      </c>
      <c r="I34" s="2">
        <f>I12/'Output-Calculation-sheet'!I11*'Output-Calculation-sheet'!I20</f>
        <v>1660.3152217665408</v>
      </c>
      <c r="J34" s="2">
        <f>J12/'Output-Calculation-sheet'!J11*'Output-Calculation-sheet'!J20</f>
        <v>1652.6223446082806</v>
      </c>
      <c r="K34" s="2">
        <f>K12/'Output-Calculation-sheet'!K11*'Output-Calculation-sheet'!K20</f>
        <v>2170.0106755463958</v>
      </c>
      <c r="L34" s="2">
        <f>L12/'Output-Calculation-sheet'!L11*'Output-Calculation-sheet'!L20</f>
        <v>1838.3323512740365</v>
      </c>
      <c r="M34" s="2">
        <f>M12/'Output-Calculation-sheet'!M11*'Output-Calculation-sheet'!M20</f>
        <v>0</v>
      </c>
      <c r="N34" s="2">
        <f>N12/'Output-Calculation-sheet'!N11*'Output-Calculation-sheet'!N20</f>
        <v>1000.392128167047</v>
      </c>
      <c r="O34" s="2">
        <f>O12/'Output-Calculation-sheet'!O11*'Output-Calculation-sheet'!O20</f>
        <v>0</v>
      </c>
      <c r="P34" s="2">
        <f>P12/'Output-Calculation-sheet'!P11*'Output-Calculation-sheet'!P20</f>
        <v>1832.1426800725153</v>
      </c>
      <c r="Q34" s="2">
        <f>Q12/'Output-Calculation-sheet'!Q11*'Output-Calculation-sheet'!Q20</f>
        <v>1750.0807975516093</v>
      </c>
      <c r="R34" s="2">
        <f>R12/'Output-Calculation-sheet'!R11*'Output-Calculation-sheet'!R20</f>
        <v>1609.9903714808036</v>
      </c>
      <c r="S34" s="2">
        <f>S12/'Output-Calculation-sheet'!S11*'Output-Calculation-sheet'!S20</f>
        <v>751.9643527929486</v>
      </c>
      <c r="T34" s="2">
        <f>T12/'Output-Calculation-sheet'!T11*'Output-Calculation-sheet'!T20</f>
        <v>508.14781947692381</v>
      </c>
      <c r="U34" s="2">
        <f>U12/'Output-Calculation-sheet'!U11*'Output-Calculation-sheet'!U20</f>
        <v>409.30283598374791</v>
      </c>
      <c r="V34" s="2">
        <f>V12/'Output-Calculation-sheet'!V11*'Output-Calculation-sheet'!V20</f>
        <v>469.87714904200635</v>
      </c>
      <c r="W34" s="2">
        <f>W12/'Output-Calculation-sheet'!W11*'Output-Calculation-sheet'!W20</f>
        <v>222.01357015253183</v>
      </c>
      <c r="X34" s="2">
        <f>X12/'Output-Calculation-sheet'!X11*'Output-Calculation-sheet'!X20</f>
        <v>0</v>
      </c>
      <c r="Y34" s="2">
        <f>Y12/'Output-Calculation-sheet'!Y11*'Output-Calculation-sheet'!Y20</f>
        <v>172.41195801857472</v>
      </c>
      <c r="AA34" s="2">
        <f t="shared" si="1"/>
        <v>47.277810472589223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1093.1958763016848</v>
      </c>
      <c r="C52" s="2">
        <f>C8/'Output-Calculation-sheet'!C7*'Output-Calculation-sheet'!C43</f>
        <v>0</v>
      </c>
      <c r="D52" s="2">
        <f>D8/'Output-Calculation-sheet'!D7*'Output-Calculation-sheet'!D43</f>
        <v>2374.6941639542292</v>
      </c>
      <c r="E52" s="2">
        <f>E8/'Output-Calculation-sheet'!E7*'Output-Calculation-sheet'!E43</f>
        <v>1704.6115054124778</v>
      </c>
      <c r="F52" s="2">
        <f>F8/'Output-Calculation-sheet'!F7*'Output-Calculation-sheet'!F43</f>
        <v>0</v>
      </c>
      <c r="G52" s="2">
        <f>G8/'Output-Calculation-sheet'!G7*'Output-Calculation-sheet'!G43</f>
        <v>604.54141927990884</v>
      </c>
      <c r="H52" s="2">
        <f>H8/'Output-Calculation-sheet'!H7*'Output-Calculation-sheet'!H43</f>
        <v>4631.8734140848992</v>
      </c>
      <c r="I52" s="2">
        <f>I8/'Output-Calculation-sheet'!I7*'Output-Calculation-sheet'!I43</f>
        <v>197.72687742171229</v>
      </c>
      <c r="J52" s="2">
        <f>J8/'Output-Calculation-sheet'!J7*'Output-Calculation-sheet'!J43</f>
        <v>1076.2658034643914</v>
      </c>
      <c r="K52" s="2">
        <f>K8/'Output-Calculation-sheet'!K7*'Output-Calculation-sheet'!K43</f>
        <v>2161.9701633484683</v>
      </c>
      <c r="L52" s="2">
        <f>L8/'Output-Calculation-sheet'!L7*'Output-Calculation-sheet'!L43</f>
        <v>2008.8302011319593</v>
      </c>
      <c r="M52" s="2">
        <f>M8/'Output-Calculation-sheet'!M7*'Output-Calculation-sheet'!M43</f>
        <v>13115.071432055003</v>
      </c>
      <c r="N52" s="2">
        <f>N8/'Output-Calculation-sheet'!N7*'Output-Calculation-sheet'!N43</f>
        <v>7507.1710589743516</v>
      </c>
      <c r="O52" s="2">
        <f>O8/'Output-Calculation-sheet'!O7*'Output-Calculation-sheet'!O43</f>
        <v>0</v>
      </c>
      <c r="P52" s="2">
        <f>P8/'Output-Calculation-sheet'!P7*'Output-Calculation-sheet'!P43</f>
        <v>1596.6097000525083</v>
      </c>
      <c r="Q52" s="2">
        <f>Q8/'Output-Calculation-sheet'!Q7*'Output-Calculation-sheet'!Q43</f>
        <v>362.78287256105733</v>
      </c>
      <c r="R52" s="2">
        <f>R8/'Output-Calculation-sheet'!R7*'Output-Calculation-sheet'!R43</f>
        <v>2909.4189818502009</v>
      </c>
      <c r="S52" s="2">
        <f>S8/'Output-Calculation-sheet'!S7*'Output-Calculation-sheet'!S43</f>
        <v>485.03074982445247</v>
      </c>
      <c r="T52" s="2">
        <f>T8/'Output-Calculation-sheet'!T7*'Output-Calculation-sheet'!T43</f>
        <v>862.2636408199121</v>
      </c>
      <c r="U52" s="2">
        <f>U8/'Output-Calculation-sheet'!U7*'Output-Calculation-sheet'!U43</f>
        <v>322.08668614351251</v>
      </c>
      <c r="V52" s="2">
        <f>V8/'Output-Calculation-sheet'!V7*'Output-Calculation-sheet'!V43</f>
        <v>842.08900196497666</v>
      </c>
      <c r="W52" s="2">
        <f>W8/'Output-Calculation-sheet'!W7*'Output-Calculation-sheet'!W43</f>
        <v>10.080908970858516</v>
      </c>
      <c r="X52" s="2">
        <f>X8/'Output-Calculation-sheet'!X7*'Output-Calculation-sheet'!X43</f>
        <v>683.207998478729</v>
      </c>
      <c r="Y52" s="2">
        <f>Y8/'Output-Calculation-sheet'!Y7*'Output-Calculation-sheet'!Y43</f>
        <v>0</v>
      </c>
      <c r="AA52" s="2">
        <f t="shared" si="3"/>
        <v>44.549522456095282</v>
      </c>
    </row>
    <row r="53" spans="1:27" x14ac:dyDescent="0.25">
      <c r="A53" s="2">
        <v>2032</v>
      </c>
      <c r="B53" s="2">
        <f>B9/'Output-Calculation-sheet'!B8*'Output-Calculation-sheet'!B44</f>
        <v>3544.5503406015682</v>
      </c>
      <c r="C53" s="2">
        <f>C9/'Output-Calculation-sheet'!C8*'Output-Calculation-sheet'!C44</f>
        <v>0</v>
      </c>
      <c r="D53" s="2">
        <f>D9/'Output-Calculation-sheet'!D8*'Output-Calculation-sheet'!D44</f>
        <v>3137.3776307654098</v>
      </c>
      <c r="E53" s="2">
        <f>E9/'Output-Calculation-sheet'!E8*'Output-Calculation-sheet'!E44</f>
        <v>2057.0371603060566</v>
      </c>
      <c r="F53" s="2">
        <f>F9/'Output-Calculation-sheet'!F8*'Output-Calculation-sheet'!F44</f>
        <v>0</v>
      </c>
      <c r="G53" s="2">
        <f>G9/'Output-Calculation-sheet'!G8*'Output-Calculation-sheet'!G44</f>
        <v>759.67521586794521</v>
      </c>
      <c r="H53" s="2">
        <f>H9/'Output-Calculation-sheet'!H8*'Output-Calculation-sheet'!H44</f>
        <v>9539.7345716986947</v>
      </c>
      <c r="I53" s="2">
        <f>I9/'Output-Calculation-sheet'!I8*'Output-Calculation-sheet'!I44</f>
        <v>278.37435217096186</v>
      </c>
      <c r="J53" s="2">
        <f>J9/'Output-Calculation-sheet'!J8*'Output-Calculation-sheet'!J44</f>
        <v>1277.3145357741462</v>
      </c>
      <c r="K53" s="2">
        <f>K9/'Output-Calculation-sheet'!K8*'Output-Calculation-sheet'!K44</f>
        <v>2313.1481630500966</v>
      </c>
      <c r="L53" s="2">
        <f>L9/'Output-Calculation-sheet'!L8*'Output-Calculation-sheet'!L44</f>
        <v>2254.6314171385065</v>
      </c>
      <c r="M53" s="2">
        <f>M9/'Output-Calculation-sheet'!M8*'Output-Calculation-sheet'!M44</f>
        <v>13559.908177160411</v>
      </c>
      <c r="N53" s="2">
        <f>N9/'Output-Calculation-sheet'!N8*'Output-Calculation-sheet'!N44</f>
        <v>9032.2749670306239</v>
      </c>
      <c r="O53" s="2">
        <f>O9/'Output-Calculation-sheet'!O8*'Output-Calculation-sheet'!O44</f>
        <v>0</v>
      </c>
      <c r="P53" s="2">
        <f>P9/'Output-Calculation-sheet'!P8*'Output-Calculation-sheet'!P44</f>
        <v>1873.1865419508945</v>
      </c>
      <c r="Q53" s="2">
        <f>Q9/'Output-Calculation-sheet'!Q8*'Output-Calculation-sheet'!Q44</f>
        <v>565.25940487177218</v>
      </c>
      <c r="R53" s="2">
        <f>R9/'Output-Calculation-sheet'!R8*'Output-Calculation-sheet'!R44</f>
        <v>3171.168561769603</v>
      </c>
      <c r="S53" s="2">
        <f>S9/'Output-Calculation-sheet'!S8*'Output-Calculation-sheet'!S44</f>
        <v>919.28776649819974</v>
      </c>
      <c r="T53" s="2">
        <f>T9/'Output-Calculation-sheet'!T8*'Output-Calculation-sheet'!T44</f>
        <v>942.1319732875387</v>
      </c>
      <c r="U53" s="2">
        <f>U9/'Output-Calculation-sheet'!U8*'Output-Calculation-sheet'!U44</f>
        <v>407.08087909923972</v>
      </c>
      <c r="V53" s="2">
        <f>V9/'Output-Calculation-sheet'!V8*'Output-Calculation-sheet'!V44</f>
        <v>878.11490421707708</v>
      </c>
      <c r="W53" s="2">
        <f>W9/'Output-Calculation-sheet'!W8*'Output-Calculation-sheet'!W44</f>
        <v>24.084480982569701</v>
      </c>
      <c r="X53" s="2">
        <f>X9/'Output-Calculation-sheet'!X8*'Output-Calculation-sheet'!X44</f>
        <v>1304.4399654614128</v>
      </c>
      <c r="Y53" s="2">
        <f>Y9/'Output-Calculation-sheet'!Y8*'Output-Calculation-sheet'!Y44</f>
        <v>0</v>
      </c>
      <c r="AA53" s="2">
        <f t="shared" si="3"/>
        <v>57.838781009702736</v>
      </c>
    </row>
    <row r="54" spans="1:27" x14ac:dyDescent="0.25">
      <c r="A54" s="2">
        <v>2033</v>
      </c>
      <c r="B54" s="2">
        <f>B10/'Output-Calculation-sheet'!B9*'Output-Calculation-sheet'!B45</f>
        <v>6592.7532681968296</v>
      </c>
      <c r="C54" s="2">
        <f>C10/'Output-Calculation-sheet'!C9*'Output-Calculation-sheet'!C45</f>
        <v>0</v>
      </c>
      <c r="D54" s="2">
        <f>D10/'Output-Calculation-sheet'!D9*'Output-Calculation-sheet'!D45</f>
        <v>3745.7118044526305</v>
      </c>
      <c r="E54" s="2">
        <f>E10/'Output-Calculation-sheet'!E9*'Output-Calculation-sheet'!E45</f>
        <v>2500.5470966810726</v>
      </c>
      <c r="F54" s="2">
        <f>F10/'Output-Calculation-sheet'!F9*'Output-Calculation-sheet'!F45</f>
        <v>0</v>
      </c>
      <c r="G54" s="2">
        <f>G10/'Output-Calculation-sheet'!G9*'Output-Calculation-sheet'!G45</f>
        <v>886.82041978711004</v>
      </c>
      <c r="H54" s="2">
        <f>H10/'Output-Calculation-sheet'!H9*'Output-Calculation-sheet'!H45</f>
        <v>17598.372003202789</v>
      </c>
      <c r="I54" s="2">
        <f>I10/'Output-Calculation-sheet'!I9*'Output-Calculation-sheet'!I45</f>
        <v>362.56455481408739</v>
      </c>
      <c r="J54" s="2">
        <f>J10/'Output-Calculation-sheet'!J9*'Output-Calculation-sheet'!J45</f>
        <v>1483.1221422897422</v>
      </c>
      <c r="K54" s="2">
        <f>K10/'Output-Calculation-sheet'!K9*'Output-Calculation-sheet'!K45</f>
        <v>2518.1634667666963</v>
      </c>
      <c r="L54" s="2">
        <f>L10/'Output-Calculation-sheet'!L9*'Output-Calculation-sheet'!L45</f>
        <v>2399.0095394262898</v>
      </c>
      <c r="M54" s="2">
        <f>M10/'Output-Calculation-sheet'!M9*'Output-Calculation-sheet'!M45</f>
        <v>13094.634451799753</v>
      </c>
      <c r="N54" s="2">
        <f>N10/'Output-Calculation-sheet'!N9*'Output-Calculation-sheet'!N45</f>
        <v>9172.6821440092444</v>
      </c>
      <c r="O54" s="2">
        <f>O10/'Output-Calculation-sheet'!O9*'Output-Calculation-sheet'!O45</f>
        <v>0</v>
      </c>
      <c r="P54" s="2">
        <f>P10/'Output-Calculation-sheet'!P9*'Output-Calculation-sheet'!P45</f>
        <v>2081.8808207800425</v>
      </c>
      <c r="Q54" s="2">
        <f>Q10/'Output-Calculation-sheet'!Q9*'Output-Calculation-sheet'!Q45</f>
        <v>802.12240469488609</v>
      </c>
      <c r="R54" s="2">
        <f>R10/'Output-Calculation-sheet'!R9*'Output-Calculation-sheet'!R45</f>
        <v>3090.0325725400503</v>
      </c>
      <c r="S54" s="2">
        <f>S10/'Output-Calculation-sheet'!S9*'Output-Calculation-sheet'!S45</f>
        <v>1372.5516221469745</v>
      </c>
      <c r="T54" s="2">
        <f>T10/'Output-Calculation-sheet'!T9*'Output-Calculation-sheet'!T45</f>
        <v>996.05847988093433</v>
      </c>
      <c r="U54" s="2">
        <f>U10/'Output-Calculation-sheet'!U9*'Output-Calculation-sheet'!U45</f>
        <v>447.87060110925637</v>
      </c>
      <c r="V54" s="2">
        <f>V10/'Output-Calculation-sheet'!V9*'Output-Calculation-sheet'!V45</f>
        <v>869.06469618923097</v>
      </c>
      <c r="W54" s="2">
        <f>W10/'Output-Calculation-sheet'!W9*'Output-Calculation-sheet'!W45</f>
        <v>29.575991454881944</v>
      </c>
      <c r="X54" s="2">
        <f>X10/'Output-Calculation-sheet'!X9*'Output-Calculation-sheet'!X45</f>
        <v>1261.6166658453124</v>
      </c>
      <c r="Y54" s="2">
        <f>Y10/'Output-Calculation-sheet'!Y9*'Output-Calculation-sheet'!Y45</f>
        <v>9.4819585877342227</v>
      </c>
      <c r="AA54" s="2">
        <f t="shared" si="3"/>
        <v>71.314636704655555</v>
      </c>
    </row>
    <row r="55" spans="1:27" x14ac:dyDescent="0.25">
      <c r="A55" s="2">
        <v>2034</v>
      </c>
      <c r="B55" s="2">
        <f>B11/'Output-Calculation-sheet'!B10*'Output-Calculation-sheet'!B46</f>
        <v>11896.141540083463</v>
      </c>
      <c r="C55" s="2">
        <f>C11/'Output-Calculation-sheet'!C10*'Output-Calculation-sheet'!C46</f>
        <v>0</v>
      </c>
      <c r="D55" s="2">
        <f>D11/'Output-Calculation-sheet'!D10*'Output-Calculation-sheet'!D46</f>
        <v>3801.1846929428393</v>
      </c>
      <c r="E55" s="2">
        <f>E11/'Output-Calculation-sheet'!E10*'Output-Calculation-sheet'!E46</f>
        <v>2490.9405752573389</v>
      </c>
      <c r="F55" s="2">
        <f>F11/'Output-Calculation-sheet'!F10*'Output-Calculation-sheet'!F46</f>
        <v>0</v>
      </c>
      <c r="G55" s="2">
        <f>G11/'Output-Calculation-sheet'!G10*'Output-Calculation-sheet'!G46</f>
        <v>956.88885590970369</v>
      </c>
      <c r="H55" s="2">
        <f>H11/'Output-Calculation-sheet'!H10*'Output-Calculation-sheet'!H46</f>
        <v>15828.00804281662</v>
      </c>
      <c r="I55" s="2">
        <f>I11/'Output-Calculation-sheet'!I10*'Output-Calculation-sheet'!I46</f>
        <v>430.33219774756969</v>
      </c>
      <c r="J55" s="2">
        <f>J11/'Output-Calculation-sheet'!J10*'Output-Calculation-sheet'!J46</f>
        <v>1490.6065662774267</v>
      </c>
      <c r="K55" s="2">
        <f>K11/'Output-Calculation-sheet'!K10*'Output-Calculation-sheet'!K46</f>
        <v>2537.6928758305739</v>
      </c>
      <c r="L55" s="2">
        <f>L11/'Output-Calculation-sheet'!L10*'Output-Calculation-sheet'!L46</f>
        <v>2421.4221275308255</v>
      </c>
      <c r="M55" s="2">
        <f>M11/'Output-Calculation-sheet'!M10*'Output-Calculation-sheet'!M46</f>
        <v>11752.31033007324</v>
      </c>
      <c r="N55" s="2">
        <f>N11/'Output-Calculation-sheet'!N10*'Output-Calculation-sheet'!N46</f>
        <v>8651.2220582799164</v>
      </c>
      <c r="O55" s="2">
        <f>O11/'Output-Calculation-sheet'!O10*'Output-Calculation-sheet'!O46</f>
        <v>0</v>
      </c>
      <c r="P55" s="2">
        <f>P11/'Output-Calculation-sheet'!P10*'Output-Calculation-sheet'!P46</f>
        <v>2012.5211615085145</v>
      </c>
      <c r="Q55" s="2">
        <f>Q11/'Output-Calculation-sheet'!Q10*'Output-Calculation-sheet'!Q46</f>
        <v>1125.9806224923223</v>
      </c>
      <c r="R55" s="2">
        <f>R11/'Output-Calculation-sheet'!R10*'Output-Calculation-sheet'!R46</f>
        <v>2818.7839771651284</v>
      </c>
      <c r="S55" s="2">
        <f>S11/'Output-Calculation-sheet'!S10*'Output-Calculation-sheet'!S46</f>
        <v>1814.7671496994933</v>
      </c>
      <c r="T55" s="2">
        <f>T11/'Output-Calculation-sheet'!T10*'Output-Calculation-sheet'!T46</f>
        <v>932.01662343209955</v>
      </c>
      <c r="U55" s="2">
        <f>U11/'Output-Calculation-sheet'!U10*'Output-Calculation-sheet'!U46</f>
        <v>442.49900435238862</v>
      </c>
      <c r="V55" s="2">
        <f>V11/'Output-Calculation-sheet'!V10*'Output-Calculation-sheet'!V46</f>
        <v>814.1668754005459</v>
      </c>
      <c r="W55" s="2">
        <f>W11/'Output-Calculation-sheet'!W10*'Output-Calculation-sheet'!W46</f>
        <v>40.954780162796531</v>
      </c>
      <c r="X55" s="2">
        <f>X11/'Output-Calculation-sheet'!X10*'Output-Calculation-sheet'!X46</f>
        <v>1138.8148944045085</v>
      </c>
      <c r="Y55" s="2">
        <f>Y11/'Output-Calculation-sheet'!Y10*'Output-Calculation-sheet'!Y46</f>
        <v>13.50509979146776</v>
      </c>
      <c r="AA55" s="2">
        <f t="shared" si="3"/>
        <v>73.410760051158775</v>
      </c>
    </row>
    <row r="56" spans="1:27" x14ac:dyDescent="0.25">
      <c r="A56" s="2">
        <v>2035</v>
      </c>
      <c r="B56" s="2">
        <f>B12/'Output-Calculation-sheet'!B11*'Output-Calculation-sheet'!B47</f>
        <v>16725.545282766048</v>
      </c>
      <c r="C56" s="2">
        <f>C12/'Output-Calculation-sheet'!C11*'Output-Calculation-sheet'!C47</f>
        <v>992.28960368877938</v>
      </c>
      <c r="D56" s="2">
        <f>D12/'Output-Calculation-sheet'!D11*'Output-Calculation-sheet'!D47</f>
        <v>3570.9430917075956</v>
      </c>
      <c r="E56" s="2">
        <f>E12/'Output-Calculation-sheet'!E11*'Output-Calculation-sheet'!E47</f>
        <v>2575.9829080792051</v>
      </c>
      <c r="F56" s="2">
        <f>F12/'Output-Calculation-sheet'!F11*'Output-Calculation-sheet'!F47</f>
        <v>54.919206937219535</v>
      </c>
      <c r="G56" s="2">
        <f>G12/'Output-Calculation-sheet'!G11*'Output-Calculation-sheet'!G47</f>
        <v>945.95003848970259</v>
      </c>
      <c r="H56" s="2">
        <f>H12/'Output-Calculation-sheet'!H11*'Output-Calculation-sheet'!H47</f>
        <v>13230.134204454054</v>
      </c>
      <c r="I56" s="2">
        <f>I12/'Output-Calculation-sheet'!I11*'Output-Calculation-sheet'!I47</f>
        <v>407.68725819522609</v>
      </c>
      <c r="J56" s="2">
        <f>J12/'Output-Calculation-sheet'!J11*'Output-Calculation-sheet'!J47</f>
        <v>1333.2268110674297</v>
      </c>
      <c r="K56" s="2">
        <f>K12/'Output-Calculation-sheet'!K11*'Output-Calculation-sheet'!K47</f>
        <v>2195.0975041654292</v>
      </c>
      <c r="L56" s="2">
        <f>L12/'Output-Calculation-sheet'!L11*'Output-Calculation-sheet'!L47</f>
        <v>2257.985119419378</v>
      </c>
      <c r="M56" s="2">
        <f>M12/'Output-Calculation-sheet'!M11*'Output-Calculation-sheet'!M47</f>
        <v>9786.7274122514846</v>
      </c>
      <c r="N56" s="2">
        <f>N12/'Output-Calculation-sheet'!N11*'Output-Calculation-sheet'!N47</f>
        <v>7501.3593493418466</v>
      </c>
      <c r="O56" s="2">
        <f>O12/'Output-Calculation-sheet'!O11*'Output-Calculation-sheet'!O47</f>
        <v>469.88948941842966</v>
      </c>
      <c r="P56" s="2">
        <f>P12/'Output-Calculation-sheet'!P11*'Output-Calculation-sheet'!P47</f>
        <v>1729.4942164402089</v>
      </c>
      <c r="Q56" s="2">
        <f>Q12/'Output-Calculation-sheet'!Q11*'Output-Calculation-sheet'!Q47</f>
        <v>1334.8256023314086</v>
      </c>
      <c r="R56" s="2">
        <f>R12/'Output-Calculation-sheet'!R11*'Output-Calculation-sheet'!R47</f>
        <v>2378.224046836845</v>
      </c>
      <c r="S56" s="2">
        <f>S12/'Output-Calculation-sheet'!S11*'Output-Calculation-sheet'!S47</f>
        <v>2035.2965199313089</v>
      </c>
      <c r="T56" s="2">
        <f>T12/'Output-Calculation-sheet'!T11*'Output-Calculation-sheet'!T47</f>
        <v>830.05597895558344</v>
      </c>
      <c r="U56" s="2">
        <f>U12/'Output-Calculation-sheet'!U11*'Output-Calculation-sheet'!U47</f>
        <v>415.06319122897787</v>
      </c>
      <c r="V56" s="2">
        <f>V12/'Output-Calculation-sheet'!V11*'Output-Calculation-sheet'!V47</f>
        <v>687.41467002325089</v>
      </c>
      <c r="W56" s="2">
        <f>W12/'Output-Calculation-sheet'!W11*'Output-Calculation-sheet'!W47</f>
        <v>43.378499459924811</v>
      </c>
      <c r="X56" s="2">
        <f>X12/'Output-Calculation-sheet'!X11*'Output-Calculation-sheet'!X47</f>
        <v>949.69252792492762</v>
      </c>
      <c r="Y56" s="2">
        <f>Y12/'Output-Calculation-sheet'!Y11*'Output-Calculation-sheet'!Y47</f>
        <v>16.68839279066664</v>
      </c>
      <c r="AA56" s="2">
        <f t="shared" si="3"/>
        <v>72.467870925904919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6.7535978291558694</v>
      </c>
      <c r="C63" s="2">
        <f>C8*'Output-Calculation-sheet'!C52/10^9</f>
        <v>4.1492545216266423</v>
      </c>
      <c r="D63" s="2">
        <f>D8*'Output-Calculation-sheet'!D52/10^9</f>
        <v>1.4618618201873941</v>
      </c>
      <c r="E63" s="2">
        <f>E8*'Output-Calculation-sheet'!E52/10^9</f>
        <v>1.7481754900749027</v>
      </c>
      <c r="F63" s="2">
        <f>F8*'Output-Calculation-sheet'!F52/10^9</f>
        <v>0.67872892975474231</v>
      </c>
      <c r="G63" s="2">
        <f>G8*'Output-Calculation-sheet'!G52/10^9</f>
        <v>0.47904923029282337</v>
      </c>
      <c r="H63" s="2">
        <f>H8*'Output-Calculation-sheet'!H52/10^9</f>
        <v>1.27637105856374</v>
      </c>
      <c r="I63" s="2">
        <f>I8*'Output-Calculation-sheet'!I52/10^9</f>
        <v>0.46933845281850117</v>
      </c>
      <c r="J63" s="2">
        <f>J8*'Output-Calculation-sheet'!J52/10^9</f>
        <v>0.48862863302886461</v>
      </c>
      <c r="K63" s="2">
        <f>K8*'Output-Calculation-sheet'!K52/10^9</f>
        <v>0.58942697251447329</v>
      </c>
      <c r="L63" s="2">
        <f>L8*'Output-Calculation-sheet'!L52/10^9</f>
        <v>0.61527562406634084</v>
      </c>
      <c r="M63" s="2">
        <f>M8*'Output-Calculation-sheet'!M52/10^9</f>
        <v>0.96313748258839171</v>
      </c>
      <c r="N63" s="2">
        <f>N8*'Output-Calculation-sheet'!N52/10^9</f>
        <v>0.82819218774832293</v>
      </c>
      <c r="O63" s="2">
        <f>O8*'Output-Calculation-sheet'!O52/10^9</f>
        <v>0.86844919899890594</v>
      </c>
      <c r="P63" s="2">
        <f>P8*'Output-Calculation-sheet'!P52/10^9</f>
        <v>0.52875377555968117</v>
      </c>
      <c r="Q63" s="2">
        <f>Q8*'Output-Calculation-sheet'!Q52/10^9</f>
        <v>0.57567562023232599</v>
      </c>
      <c r="R63" s="2">
        <f>R8*'Output-Calculation-sheet'!R52/10^9</f>
        <v>0.44407095224461868</v>
      </c>
      <c r="S63" s="2">
        <f>S8*'Output-Calculation-sheet'!S52/10^9</f>
        <v>0.42291321224395229</v>
      </c>
      <c r="T63" s="2">
        <f>T8*'Output-Calculation-sheet'!T52/10^9</f>
        <v>0.13762105794559451</v>
      </c>
      <c r="U63" s="2">
        <f>U8*'Output-Calculation-sheet'!U52/10^9</f>
        <v>0.13420780642882146</v>
      </c>
      <c r="V63" s="2">
        <f>V8*'Output-Calculation-sheet'!V52/10^9</f>
        <v>0.11443043037804211</v>
      </c>
      <c r="W63" s="2">
        <f>W8*'Output-Calculation-sheet'!W52/10^9</f>
        <v>5.8947189131356624E-2</v>
      </c>
      <c r="X63" s="2">
        <f>X8*'Output-Calculation-sheet'!X52/10^9</f>
        <v>0.11144422506678471</v>
      </c>
      <c r="Y63" s="2">
        <f>Y8*'Output-Calculation-sheet'!Y52/10^9</f>
        <v>5.3688695464665225E-2</v>
      </c>
      <c r="AA63" s="2">
        <f t="shared" si="4"/>
        <v>23.951240396115754</v>
      </c>
    </row>
    <row r="64" spans="1:27" x14ac:dyDescent="0.25">
      <c r="A64" s="2">
        <v>2032</v>
      </c>
      <c r="B64" s="2">
        <f>B9*'Output-Calculation-sheet'!B53/10^9</f>
        <v>6.8649231152929255</v>
      </c>
      <c r="C64" s="2">
        <f>C9*'Output-Calculation-sheet'!C53/10^9</f>
        <v>4.2164821761703273</v>
      </c>
      <c r="D64" s="2">
        <f>D9*'Output-Calculation-sheet'!D53/10^9</f>
        <v>1.4869878210042105</v>
      </c>
      <c r="E64" s="2">
        <f>E9*'Output-Calculation-sheet'!E53/10^9</f>
        <v>1.7790938457236636</v>
      </c>
      <c r="F64" s="2">
        <f>F9*'Output-Calculation-sheet'!F53/10^9</f>
        <v>0.69074482268758985</v>
      </c>
      <c r="G64" s="2">
        <f>G9*'Output-Calculation-sheet'!G53/10^9</f>
        <v>0.48750931699092526</v>
      </c>
      <c r="H64" s="2">
        <f>H9*'Output-Calculation-sheet'!H53/10^9</f>
        <v>1.285985758689151</v>
      </c>
      <c r="I64" s="2">
        <f>I9*'Output-Calculation-sheet'!I53/10^9</f>
        <v>0.47778964186793493</v>
      </c>
      <c r="J64" s="2">
        <f>J9*'Output-Calculation-sheet'!J53/10^9</f>
        <v>0.49674734802528198</v>
      </c>
      <c r="K64" s="2">
        <f>K9*'Output-Calculation-sheet'!K53/10^9</f>
        <v>0.59837018668151898</v>
      </c>
      <c r="L64" s="2">
        <f>L9*'Output-Calculation-sheet'!L53/10^9</f>
        <v>0.6219308914167937</v>
      </c>
      <c r="M64" s="2">
        <f>M9*'Output-Calculation-sheet'!M53/10^9</f>
        <v>0.9572728786786584</v>
      </c>
      <c r="N64" s="2">
        <f>N9*'Output-Calculation-sheet'!N53/10^9</f>
        <v>0.82976391172390807</v>
      </c>
      <c r="O64" s="2">
        <f>O9*'Output-Calculation-sheet'!O53/10^9</f>
        <v>0.88248995167908595</v>
      </c>
      <c r="P64" s="2">
        <f>P9*'Output-Calculation-sheet'!P53/10^9</f>
        <v>0.53731679351831652</v>
      </c>
      <c r="Q64" s="2">
        <f>Q9*'Output-Calculation-sheet'!Q53/10^9</f>
        <v>0.58591010235644181</v>
      </c>
      <c r="R64" s="2">
        <f>R9*'Output-Calculation-sheet'!R53/10^9</f>
        <v>0.44978955439819857</v>
      </c>
      <c r="S64" s="2">
        <f>S9*'Output-Calculation-sheet'!S53/10^9</f>
        <v>0.42904743371224519</v>
      </c>
      <c r="T64" s="2">
        <f>T9*'Output-Calculation-sheet'!T53/10^9</f>
        <v>0.13940633466691718</v>
      </c>
      <c r="U64" s="2">
        <f>U9*'Output-Calculation-sheet'!U53/10^9</f>
        <v>0.13649104997057851</v>
      </c>
      <c r="V64" s="2">
        <f>V9*'Output-Calculation-sheet'!V53/10^9</f>
        <v>0.11575846213191048</v>
      </c>
      <c r="W64" s="2">
        <f>W9*'Output-Calculation-sheet'!W53/10^9</f>
        <v>5.9996978632129459E-2</v>
      </c>
      <c r="X64" s="2">
        <f>X9*'Output-Calculation-sheet'!X53/10^9</f>
        <v>0.1115636029853018</v>
      </c>
      <c r="Y64" s="2">
        <f>Y9*'Output-Calculation-sheet'!Y53/10^9</f>
        <v>5.470660681301806E-2</v>
      </c>
      <c r="AA64" s="2">
        <f t="shared" si="4"/>
        <v>24.296078585817032</v>
      </c>
    </row>
    <row r="65" spans="1:27" x14ac:dyDescent="0.25">
      <c r="A65" s="2">
        <v>2033</v>
      </c>
      <c r="B65" s="2">
        <f>B10*'Output-Calculation-sheet'!B54/10^9</f>
        <v>6.5019676525243923</v>
      </c>
      <c r="C65" s="2">
        <f>C10*'Output-Calculation-sheet'!C54/10^9</f>
        <v>3.995703355006091</v>
      </c>
      <c r="D65" s="2">
        <f>D10*'Output-Calculation-sheet'!D54/10^9</f>
        <v>1.4103687096542417</v>
      </c>
      <c r="E65" s="2">
        <f>E10*'Output-Calculation-sheet'!E54/10^9</f>
        <v>1.6885661394686935</v>
      </c>
      <c r="F65" s="2">
        <f>F10*'Output-Calculation-sheet'!F54/10^9</f>
        <v>0.65570217004887033</v>
      </c>
      <c r="G65" s="2">
        <f>G10*'Output-Calculation-sheet'!G54/10^9</f>
        <v>0.46265981905807679</v>
      </c>
      <c r="H65" s="2">
        <f>H10*'Output-Calculation-sheet'!H54/10^9</f>
        <v>1.1977358843087864</v>
      </c>
      <c r="I65" s="2">
        <f>I10*'Output-Calculation-sheet'!I54/10^9</f>
        <v>0.4536353418859766</v>
      </c>
      <c r="J65" s="2">
        <f>J10*'Output-Calculation-sheet'!J54/10^9</f>
        <v>0.47097610370539161</v>
      </c>
      <c r="K65" s="2">
        <f>K10*'Output-Calculation-sheet'!K54/10^9</f>
        <v>0.56647801313497992</v>
      </c>
      <c r="L65" s="2">
        <f>L10*'Output-Calculation-sheet'!L54/10^9</f>
        <v>0.58589143551997136</v>
      </c>
      <c r="M65" s="2">
        <f>M10*'Output-Calculation-sheet'!M54/10^9</f>
        <v>0.88678062164985882</v>
      </c>
      <c r="N65" s="2">
        <f>N10*'Output-Calculation-sheet'!N54/10^9</f>
        <v>0.77383674955601989</v>
      </c>
      <c r="O65" s="2">
        <f>O10*'Output-Calculation-sheet'!O54/10^9</f>
        <v>0.83627749401074469</v>
      </c>
      <c r="P65" s="2">
        <f>P10*'Output-Calculation-sheet'!P54/10^9</f>
        <v>0.50910115385976262</v>
      </c>
      <c r="Q65" s="2">
        <f>Q10*'Output-Calculation-sheet'!Q54/10^9</f>
        <v>0.55572425781591051</v>
      </c>
      <c r="R65" s="2">
        <f>R10*'Output-Calculation-sheet'!R54/10^9</f>
        <v>0.42492010479449893</v>
      </c>
      <c r="S65" s="2">
        <f>S10*'Output-Calculation-sheet'!S54/10^9</f>
        <v>0.40519914626793641</v>
      </c>
      <c r="T65" s="2">
        <f>T10*'Output-Calculation-sheet'!T54/10^9</f>
        <v>0.13168326806417563</v>
      </c>
      <c r="U65" s="2">
        <f>U10*'Output-Calculation-sheet'!U54/10^9</f>
        <v>0.12944596950125534</v>
      </c>
      <c r="V65" s="2">
        <f>V10*'Output-Calculation-sheet'!V54/10^9</f>
        <v>0.10922728964772727</v>
      </c>
      <c r="W65" s="2">
        <f>W10*'Output-Calculation-sheet'!W54/10^9</f>
        <v>5.6952673789311195E-2</v>
      </c>
      <c r="X65" s="2">
        <f>X10*'Output-Calculation-sheet'!X54/10^9</f>
        <v>0.1037674481684511</v>
      </c>
      <c r="Y65" s="2">
        <f>Y10*'Output-Calculation-sheet'!Y54/10^9</f>
        <v>5.198773017613198E-2</v>
      </c>
      <c r="AA65" s="2">
        <f t="shared" si="4"/>
        <v>22.964588531617256</v>
      </c>
    </row>
    <row r="66" spans="1:27" x14ac:dyDescent="0.25">
      <c r="A66" s="2">
        <v>2034</v>
      </c>
      <c r="B66" s="2">
        <f>B11*'Output-Calculation-sheet'!B55/10^9</f>
        <v>5.730860738966749</v>
      </c>
      <c r="C66" s="2">
        <f>C11*'Output-Calculation-sheet'!C55/10^9</f>
        <v>3.5279037678008422</v>
      </c>
      <c r="D66" s="2">
        <f>D11*'Output-Calculation-sheet'!D55/10^9</f>
        <v>1.2465127392136999</v>
      </c>
      <c r="E66" s="2">
        <f>E11*'Output-Calculation-sheet'!E55/10^9</f>
        <v>1.4934374986750356</v>
      </c>
      <c r="F66" s="2">
        <f>F11*'Output-Calculation-sheet'!F55/10^9</f>
        <v>0.5800778935415043</v>
      </c>
      <c r="G66" s="2">
        <f>G11*'Output-Calculation-sheet'!G55/10^9</f>
        <v>0.40912000115050728</v>
      </c>
      <c r="H66" s="2">
        <f>H11*'Output-Calculation-sheet'!H55/10^9</f>
        <v>1.0342260340264715</v>
      </c>
      <c r="I66" s="2">
        <f>I11*'Output-Calculation-sheet'!I55/10^9</f>
        <v>0.40131727905860487</v>
      </c>
      <c r="J66" s="2">
        <f>J11*'Output-Calculation-sheet'!J55/10^9</f>
        <v>0.4159803246016805</v>
      </c>
      <c r="K66" s="2">
        <f>K11*'Output-Calculation-sheet'!K55/10^9</f>
        <v>0.49968735494627359</v>
      </c>
      <c r="L66" s="2">
        <f>L11*'Output-Calculation-sheet'!L55/10^9</f>
        <v>0.51394323590024327</v>
      </c>
      <c r="M66" s="2">
        <f>M11*'Output-Calculation-sheet'!M55/10^9</f>
        <v>0.76474626329824136</v>
      </c>
      <c r="N66" s="2">
        <f>N11*'Output-Calculation-sheet'!N55/10^9</f>
        <v>0.67164940021111907</v>
      </c>
      <c r="O66" s="2">
        <f>O11*'Output-Calculation-sheet'!O55/10^9</f>
        <v>0.73839504748218643</v>
      </c>
      <c r="P66" s="2">
        <f>P11*'Output-Calculation-sheet'!P55/10^9</f>
        <v>0.44936081150382196</v>
      </c>
      <c r="Q66" s="2">
        <f>Q11*'Output-Calculation-sheet'!Q55/10^9</f>
        <v>0.49049881889454944</v>
      </c>
      <c r="R66" s="2">
        <f>R11*'Output-Calculation-sheet'!R55/10^9</f>
        <v>0.37412581568823361</v>
      </c>
      <c r="S66" s="2">
        <f>S11*'Output-Calculation-sheet'!S55/10^9</f>
        <v>0.35577061837446899</v>
      </c>
      <c r="T66" s="2">
        <f>T11*'Output-Calculation-sheet'!T55/10^9</f>
        <v>0.11589352669165799</v>
      </c>
      <c r="U66" s="2">
        <f>U11*'Output-Calculation-sheet'!U55/10^9</f>
        <v>0.11437812224230777</v>
      </c>
      <c r="V66" s="2">
        <f>V11*'Output-Calculation-sheet'!V55/10^9</f>
        <v>9.6051035468765047E-2</v>
      </c>
      <c r="W66" s="2">
        <f>W11*'Output-Calculation-sheet'!W55/10^9</f>
        <v>5.0376704425872568E-2</v>
      </c>
      <c r="X66" s="2">
        <f>X11*'Output-Calculation-sheet'!X55/10^9</f>
        <v>8.9871045775475819E-2</v>
      </c>
      <c r="Y66" s="2">
        <f>Y11*'Output-Calculation-sheet'!Y55/10^9</f>
        <v>4.6042347512530939E-2</v>
      </c>
      <c r="AA66" s="2">
        <f t="shared" si="4"/>
        <v>20.210226425450841</v>
      </c>
    </row>
    <row r="67" spans="1:27" x14ac:dyDescent="0.25">
      <c r="A67" s="2">
        <v>2035</v>
      </c>
      <c r="B67" s="2">
        <f>B12*'Output-Calculation-sheet'!B56/10^9</f>
        <v>4.6644045888407071</v>
      </c>
      <c r="C67" s="2">
        <f>C12*'Output-Calculation-sheet'!C56/10^9</f>
        <v>2.8812239700032687</v>
      </c>
      <c r="D67" s="2">
        <f>D12*'Output-Calculation-sheet'!D56/10^9</f>
        <v>1.0191540826776786</v>
      </c>
      <c r="E67" s="2">
        <f>E12*'Output-Calculation-sheet'!E56/10^9</f>
        <v>1.2220533366866437</v>
      </c>
      <c r="F67" s="2">
        <f>F12*'Output-Calculation-sheet'!F56/10^9</f>
        <v>0.47483195819262708</v>
      </c>
      <c r="G67" s="2">
        <f>G12*'Output-Calculation-sheet'!G56/10^9</f>
        <v>0.33470142193115932</v>
      </c>
      <c r="H67" s="2">
        <f>H12*'Output-Calculation-sheet'!H56/10^9</f>
        <v>0.8254925919285474</v>
      </c>
      <c r="I67" s="2">
        <f>I12*'Output-Calculation-sheet'!I56/10^9</f>
        <v>0.32849355481807679</v>
      </c>
      <c r="J67" s="2">
        <f>J12*'Output-Calculation-sheet'!J56/10^9</f>
        <v>0.33996739606589799</v>
      </c>
      <c r="K67" s="2">
        <f>K12*'Output-Calculation-sheet'!K56/10^9</f>
        <v>0.40774166989044169</v>
      </c>
      <c r="L67" s="2">
        <f>L12*'Output-Calculation-sheet'!L56/10^9</f>
        <v>0.41678545611805656</v>
      </c>
      <c r="M67" s="2">
        <f>M12*'Output-Calculation-sheet'!M56/10^9</f>
        <v>0.60959151505714759</v>
      </c>
      <c r="N67" s="2">
        <f>N12*'Output-Calculation-sheet'!N56/10^9</f>
        <v>0.53865042303518873</v>
      </c>
      <c r="O67" s="2">
        <f>O12*'Output-Calculation-sheet'!O56/10^9</f>
        <v>0.60275231739628232</v>
      </c>
      <c r="P67" s="2">
        <f>P12*'Output-Calculation-sheet'!P56/10^9</f>
        <v>0.36699666410610715</v>
      </c>
      <c r="Q67" s="2">
        <f>Q12*'Output-Calculation-sheet'!Q56/10^9</f>
        <v>0.39989489136382966</v>
      </c>
      <c r="R67" s="2">
        <f>R12*'Output-Calculation-sheet'!R56/10^9</f>
        <v>0.30482086995000029</v>
      </c>
      <c r="S67" s="2">
        <f>S12*'Output-Calculation-sheet'!S56/10^9</f>
        <v>0.28827008745955202</v>
      </c>
      <c r="T67" s="2">
        <f>T12*'Output-Calculation-sheet'!T56/10^9</f>
        <v>9.4361853889292607E-2</v>
      </c>
      <c r="U67" s="2">
        <f>U12*'Output-Calculation-sheet'!U56/10^9</f>
        <v>9.3506432484786337E-2</v>
      </c>
      <c r="V67" s="2">
        <f>V12*'Output-Calculation-sheet'!V56/10^9</f>
        <v>7.8145043162002895E-2</v>
      </c>
      <c r="W67" s="2">
        <f>W12*'Output-Calculation-sheet'!W56/10^9</f>
        <v>4.1228653895652979E-2</v>
      </c>
      <c r="X67" s="2">
        <f>X12*'Output-Calculation-sheet'!X56/10^9</f>
        <v>7.1945371763468199E-2</v>
      </c>
      <c r="Y67" s="2">
        <f>Y12*'Output-Calculation-sheet'!Y56/10^9</f>
        <v>3.7730125645097756E-2</v>
      </c>
      <c r="AA67" s="2">
        <f t="shared" si="4"/>
        <v>16.442744276361516</v>
      </c>
    </row>
    <row r="68" spans="1:27" x14ac:dyDescent="0.25">
      <c r="B68" s="2">
        <f>SUM(B60:B67)</f>
        <v>45.374169245538042</v>
      </c>
      <c r="C68" s="2">
        <f t="shared" ref="C68:Y68" si="5">SUM(C60:C67)</f>
        <v>27.879644706083475</v>
      </c>
      <c r="D68" s="2">
        <f t="shared" si="5"/>
        <v>9.8449131750103973</v>
      </c>
      <c r="E68" s="2">
        <f t="shared" si="5"/>
        <v>11.780081017615199</v>
      </c>
      <c r="F68" s="2">
        <f t="shared" si="5"/>
        <v>4.5749116965961099</v>
      </c>
      <c r="G68" s="2">
        <f t="shared" si="5"/>
        <v>3.2270053933139695</v>
      </c>
      <c r="H68" s="2">
        <f t="shared" si="5"/>
        <v>8.4416212803481532</v>
      </c>
      <c r="I68" s="2">
        <f t="shared" si="5"/>
        <v>3.1627046911792371</v>
      </c>
      <c r="J68" s="2">
        <f t="shared" si="5"/>
        <v>3.290851898046899</v>
      </c>
      <c r="K68" s="2">
        <f t="shared" si="5"/>
        <v>3.9697026215668245</v>
      </c>
      <c r="L68" s="2">
        <f t="shared" si="5"/>
        <v>4.1279850893124088</v>
      </c>
      <c r="M68" s="2">
        <f t="shared" si="5"/>
        <v>6.4279183390463537</v>
      </c>
      <c r="N68" s="2">
        <f t="shared" si="5"/>
        <v>5.506301374305429</v>
      </c>
      <c r="O68" s="2">
        <f t="shared" si="5"/>
        <v>5.8350283768900164</v>
      </c>
      <c r="P68" s="2">
        <f t="shared" si="5"/>
        <v>3.5591679344501168</v>
      </c>
      <c r="Q68" s="2">
        <f t="shared" si="5"/>
        <v>3.8738335222497415</v>
      </c>
      <c r="R68" s="2">
        <f t="shared" si="5"/>
        <v>2.9923607766757194</v>
      </c>
      <c r="S68" s="2">
        <f t="shared" si="5"/>
        <v>2.8318611953568906</v>
      </c>
      <c r="T68" s="2">
        <f t="shared" si="5"/>
        <v>0.92697833842136934</v>
      </c>
      <c r="U68" s="2">
        <f t="shared" si="5"/>
        <v>0.90363507460929859</v>
      </c>
      <c r="V68" s="2">
        <f t="shared" si="5"/>
        <v>0.77145417908031511</v>
      </c>
      <c r="W68" s="2">
        <f t="shared" si="5"/>
        <v>0.39722871054447595</v>
      </c>
      <c r="X68" s="2">
        <f t="shared" si="5"/>
        <v>0.7357553515581764</v>
      </c>
      <c r="Y68" s="2">
        <f t="shared" si="5"/>
        <v>0.3620091671436016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400.47408935185052</v>
      </c>
      <c r="C74" s="2">
        <f>C8/'Output-Calculation-sheet'!C7*'Output-Calculation-sheet'!C61</f>
        <v>0</v>
      </c>
      <c r="D74" s="2">
        <f>D8/'Output-Calculation-sheet'!D7*'Output-Calculation-sheet'!D61</f>
        <v>655.33898621382036</v>
      </c>
      <c r="E74" s="2">
        <f>E8/'Output-Calculation-sheet'!E7*'Output-Calculation-sheet'!E61</f>
        <v>486.36218988358161</v>
      </c>
      <c r="F74" s="2">
        <f>F8/'Output-Calculation-sheet'!F7*'Output-Calculation-sheet'!F61</f>
        <v>0</v>
      </c>
      <c r="G74" s="2">
        <f>G8/'Output-Calculation-sheet'!G7*'Output-Calculation-sheet'!G61</f>
        <v>221.4545135443993</v>
      </c>
      <c r="H74" s="2">
        <f>H8/'Output-Calculation-sheet'!H7*'Output-Calculation-sheet'!H61</f>
        <v>1063.5739677376325</v>
      </c>
      <c r="I74" s="2">
        <f>I8/'Output-Calculation-sheet'!I7*'Output-Calculation-sheet'!I61</f>
        <v>78.077400721898641</v>
      </c>
      <c r="J74" s="2">
        <f>J8/'Output-Calculation-sheet'!J7*'Output-Calculation-sheet'!J61</f>
        <v>325.52148437509362</v>
      </c>
      <c r="K74" s="2">
        <f>K8/'Output-Calculation-sheet'!K7*'Output-Calculation-sheet'!K61</f>
        <v>546.68694973210415</v>
      </c>
      <c r="L74" s="2">
        <f>L8/'Output-Calculation-sheet'!L7*'Output-Calculation-sheet'!L61</f>
        <v>474.29639989226212</v>
      </c>
      <c r="M74" s="2">
        <f>M8/'Output-Calculation-sheet'!M7*'Output-Calculation-sheet'!M61</f>
        <v>2375.3299345894256</v>
      </c>
      <c r="N74" s="2">
        <f>N8/'Output-Calculation-sheet'!N7*'Output-Calculation-sheet'!N61</f>
        <v>1339.8049989232354</v>
      </c>
      <c r="O74" s="2">
        <f>O8/'Output-Calculation-sheet'!O7*'Output-Calculation-sheet'!O61</f>
        <v>0</v>
      </c>
      <c r="P74" s="2">
        <f>P8/'Output-Calculation-sheet'!P7*'Output-Calculation-sheet'!P61</f>
        <v>378.66260052911986</v>
      </c>
      <c r="Q74" s="2">
        <f>Q8/'Output-Calculation-sheet'!Q7*'Output-Calculation-sheet'!Q61</f>
        <v>99.828382627779632</v>
      </c>
      <c r="R74" s="2">
        <f>R8/'Output-Calculation-sheet'!R7*'Output-Calculation-sheet'!R61</f>
        <v>658.52978030050258</v>
      </c>
      <c r="S74" s="2">
        <f>S8/'Output-Calculation-sheet'!S7*'Output-Calculation-sheet'!S61</f>
        <v>116.53121759612165</v>
      </c>
      <c r="T74" s="2">
        <f>T8/'Output-Calculation-sheet'!T7*'Output-Calculation-sheet'!T61</f>
        <v>223.03114575301618</v>
      </c>
      <c r="U74" s="2">
        <f>U8/'Output-Calculation-sheet'!U7*'Output-Calculation-sheet'!U61</f>
        <v>88.367501906155255</v>
      </c>
      <c r="V74" s="2">
        <f>V8/'Output-Calculation-sheet'!V7*'Output-Calculation-sheet'!V61</f>
        <v>155.2160179750928</v>
      </c>
      <c r="W74" s="2">
        <f>W8/'Output-Calculation-sheet'!W7*'Output-Calculation-sheet'!W61</f>
        <v>3.6929729863245031</v>
      </c>
      <c r="X74" s="2">
        <f>X8/'Output-Calculation-sheet'!X7*'Output-Calculation-sheet'!X61</f>
        <v>132.63880459877632</v>
      </c>
      <c r="Y74" s="2">
        <f>Y8/'Output-Calculation-sheet'!Y7*'Output-Calculation-sheet'!Y61</f>
        <v>0</v>
      </c>
      <c r="AA74" s="2">
        <f t="shared" si="6"/>
        <v>9.8234193392381943</v>
      </c>
    </row>
    <row r="75" spans="1:27" x14ac:dyDescent="0.25">
      <c r="A75" s="2">
        <v>2032</v>
      </c>
      <c r="B75" s="2">
        <f>B9/'Output-Calculation-sheet'!B8*'Output-Calculation-sheet'!B62</f>
        <v>1004.9732992010867</v>
      </c>
      <c r="C75" s="2">
        <f>C9/'Output-Calculation-sheet'!C8*'Output-Calculation-sheet'!C62</f>
        <v>0</v>
      </c>
      <c r="D75" s="2">
        <f>D9/'Output-Calculation-sheet'!D8*'Output-Calculation-sheet'!D62</f>
        <v>822.07137370130658</v>
      </c>
      <c r="E75" s="2">
        <f>E9/'Output-Calculation-sheet'!E8*'Output-Calculation-sheet'!E62</f>
        <v>578.0897765054051</v>
      </c>
      <c r="F75" s="2">
        <f>F9/'Output-Calculation-sheet'!F8*'Output-Calculation-sheet'!F62</f>
        <v>0</v>
      </c>
      <c r="G75" s="2">
        <f>G9/'Output-Calculation-sheet'!G8*'Output-Calculation-sheet'!G62</f>
        <v>267.09617867534831</v>
      </c>
      <c r="H75" s="2">
        <f>H9/'Output-Calculation-sheet'!H8*'Output-Calculation-sheet'!H62</f>
        <v>1885.623935441964</v>
      </c>
      <c r="I75" s="2">
        <f>I9/'Output-Calculation-sheet'!I8*'Output-Calculation-sheet'!I62</f>
        <v>114.20940466795918</v>
      </c>
      <c r="J75" s="2">
        <f>J9/'Output-Calculation-sheet'!J8*'Output-Calculation-sheet'!J62</f>
        <v>374.32829513098795</v>
      </c>
      <c r="K75" s="2">
        <f>K9/'Output-Calculation-sheet'!K8*'Output-Calculation-sheet'!K62</f>
        <v>587.06705475775732</v>
      </c>
      <c r="L75" s="2">
        <f>L9/'Output-Calculation-sheet'!L8*'Output-Calculation-sheet'!L62</f>
        <v>509.78402989615915</v>
      </c>
      <c r="M75" s="2">
        <f>M9/'Output-Calculation-sheet'!M8*'Output-Calculation-sheet'!M62</f>
        <v>2454.4934205437899</v>
      </c>
      <c r="N75" s="2">
        <f>N9/'Output-Calculation-sheet'!N8*'Output-Calculation-sheet'!N62</f>
        <v>1586.6020474229119</v>
      </c>
      <c r="O75" s="2">
        <f>O9/'Output-Calculation-sheet'!O8*'Output-Calculation-sheet'!O62</f>
        <v>0</v>
      </c>
      <c r="P75" s="2">
        <f>P9/'Output-Calculation-sheet'!P8*'Output-Calculation-sheet'!P62</f>
        <v>437.83181072817672</v>
      </c>
      <c r="Q75" s="2">
        <f>Q9/'Output-Calculation-sheet'!Q8*'Output-Calculation-sheet'!Q62</f>
        <v>155.28483365263114</v>
      </c>
      <c r="R75" s="2">
        <f>R9/'Output-Calculation-sheet'!R8*'Output-Calculation-sheet'!R62</f>
        <v>697.03245947866105</v>
      </c>
      <c r="S75" s="2">
        <f>S9/'Output-Calculation-sheet'!S8*'Output-Calculation-sheet'!S62</f>
        <v>201.8206475875358</v>
      </c>
      <c r="T75" s="2">
        <f>T9/'Output-Calculation-sheet'!T8*'Output-Calculation-sheet'!T62</f>
        <v>233.36431217582657</v>
      </c>
      <c r="U75" s="2">
        <f>U9/'Output-Calculation-sheet'!U8*'Output-Calculation-sheet'!U62</f>
        <v>108.56177165649093</v>
      </c>
      <c r="V75" s="2">
        <f>V9/'Output-Calculation-sheet'!V8*'Output-Calculation-sheet'!V62</f>
        <v>161.91485224817146</v>
      </c>
      <c r="W75" s="2">
        <f>W9/'Output-Calculation-sheet'!W8*'Output-Calculation-sheet'!W62</f>
        <v>8.8218013199012457</v>
      </c>
      <c r="X75" s="2">
        <f>X9/'Output-Calculation-sheet'!X8*'Output-Calculation-sheet'!X62</f>
        <v>232.56271705993672</v>
      </c>
      <c r="Y75" s="2">
        <f>Y9/'Output-Calculation-sheet'!Y8*'Output-Calculation-sheet'!Y62</f>
        <v>0</v>
      </c>
      <c r="AA75" s="2">
        <f t="shared" si="6"/>
        <v>12.421534021852011</v>
      </c>
    </row>
    <row r="76" spans="1:27" x14ac:dyDescent="0.25">
      <c r="A76" s="2">
        <v>2033</v>
      </c>
      <c r="B76" s="2">
        <f>B10/'Output-Calculation-sheet'!B9*'Output-Calculation-sheet'!B63</f>
        <v>1731.5777367658593</v>
      </c>
      <c r="C76" s="2">
        <f>C10/'Output-Calculation-sheet'!C9*'Output-Calculation-sheet'!C63</f>
        <v>0</v>
      </c>
      <c r="D76" s="2">
        <f>D10/'Output-Calculation-sheet'!D9*'Output-Calculation-sheet'!D63</f>
        <v>925.86504382460123</v>
      </c>
      <c r="E76" s="2">
        <f>E10/'Output-Calculation-sheet'!E9*'Output-Calculation-sheet'!E63</f>
        <v>686.93600955967179</v>
      </c>
      <c r="F76" s="2">
        <f>F10/'Output-Calculation-sheet'!F9*'Output-Calculation-sheet'!F63</f>
        <v>0</v>
      </c>
      <c r="G76" s="2">
        <f>G10/'Output-Calculation-sheet'!G9*'Output-Calculation-sheet'!G63</f>
        <v>308.07603916483123</v>
      </c>
      <c r="H76" s="2">
        <f>H10/'Output-Calculation-sheet'!H9*'Output-Calculation-sheet'!H63</f>
        <v>3159.4284364684863</v>
      </c>
      <c r="I76" s="2">
        <f>I10/'Output-Calculation-sheet'!I9*'Output-Calculation-sheet'!I63</f>
        <v>142.94711847803418</v>
      </c>
      <c r="J76" s="2">
        <f>J10/'Output-Calculation-sheet'!J9*'Output-Calculation-sheet'!J63</f>
        <v>430.08149993914952</v>
      </c>
      <c r="K76" s="2">
        <f>K10/'Output-Calculation-sheet'!K9*'Output-Calculation-sheet'!K63</f>
        <v>593.57389038332713</v>
      </c>
      <c r="L76" s="2">
        <f>L10/'Output-Calculation-sheet'!L9*'Output-Calculation-sheet'!L63</f>
        <v>549.41096420640656</v>
      </c>
      <c r="M76" s="2">
        <f>M10/'Output-Calculation-sheet'!M9*'Output-Calculation-sheet'!M63</f>
        <v>2362.9993357595908</v>
      </c>
      <c r="N76" s="2">
        <f>N10/'Output-Calculation-sheet'!N9*'Output-Calculation-sheet'!N63</f>
        <v>1606.5574248041989</v>
      </c>
      <c r="O76" s="2">
        <f>O10/'Output-Calculation-sheet'!O9*'Output-Calculation-sheet'!O63</f>
        <v>0</v>
      </c>
      <c r="P76" s="2">
        <f>P10/'Output-Calculation-sheet'!P9*'Output-Calculation-sheet'!P63</f>
        <v>464.25942303394947</v>
      </c>
      <c r="Q76" s="2">
        <f>Q10/'Output-Calculation-sheet'!Q9*'Output-Calculation-sheet'!Q63</f>
        <v>204.06302484055092</v>
      </c>
      <c r="R76" s="2">
        <f>R10/'Output-Calculation-sheet'!R9*'Output-Calculation-sheet'!R63</f>
        <v>678.27744686349433</v>
      </c>
      <c r="S76" s="2">
        <f>S10/'Output-Calculation-sheet'!S9*'Output-Calculation-sheet'!S63</f>
        <v>287.49910338309456</v>
      </c>
      <c r="T76" s="2">
        <f>T10/'Output-Calculation-sheet'!T9*'Output-Calculation-sheet'!T63</f>
        <v>238.20512169425302</v>
      </c>
      <c r="U76" s="2">
        <f>U10/'Output-Calculation-sheet'!U9*'Output-Calculation-sheet'!U63</f>
        <v>116.81055875524277</v>
      </c>
      <c r="V76" s="2">
        <f>V10/'Output-Calculation-sheet'!V9*'Output-Calculation-sheet'!V63</f>
        <v>155.43354917826346</v>
      </c>
      <c r="W76" s="2">
        <f>W10/'Output-Calculation-sheet'!W9*'Output-Calculation-sheet'!W63</f>
        <v>10.834671536305086</v>
      </c>
      <c r="X76" s="2">
        <f>X10/'Output-Calculation-sheet'!X9*'Output-Calculation-sheet'!X63</f>
        <v>225.49531023741108</v>
      </c>
      <c r="Y76" s="2">
        <f>Y10/'Output-Calculation-sheet'!Y9*'Output-Calculation-sheet'!Y63</f>
        <v>3.4741896265458192</v>
      </c>
      <c r="AA76" s="2">
        <f t="shared" si="6"/>
        <v>14.881805898503268</v>
      </c>
    </row>
    <row r="77" spans="1:27" x14ac:dyDescent="0.25">
      <c r="A77" s="2">
        <v>2034</v>
      </c>
      <c r="B77" s="2">
        <f>B11/'Output-Calculation-sheet'!B10*'Output-Calculation-sheet'!B64</f>
        <v>2662.3564766706791</v>
      </c>
      <c r="C77" s="2">
        <f>C11/'Output-Calculation-sheet'!C10*'Output-Calculation-sheet'!C64</f>
        <v>0</v>
      </c>
      <c r="D77" s="2">
        <f>D11/'Output-Calculation-sheet'!D10*'Output-Calculation-sheet'!D64</f>
        <v>945.62805168297302</v>
      </c>
      <c r="E77" s="2">
        <f>E11/'Output-Calculation-sheet'!E10*'Output-Calculation-sheet'!E64</f>
        <v>661.58321704122045</v>
      </c>
      <c r="F77" s="2">
        <f>F11/'Output-Calculation-sheet'!F10*'Output-Calculation-sheet'!F64</f>
        <v>0</v>
      </c>
      <c r="G77" s="2">
        <f>G11/'Output-Calculation-sheet'!G10*'Output-Calculation-sheet'!G64</f>
        <v>307.30485607540135</v>
      </c>
      <c r="H77" s="2">
        <f>H11/'Output-Calculation-sheet'!H10*'Output-Calculation-sheet'!H64</f>
        <v>2878.3800394818172</v>
      </c>
      <c r="I77" s="2">
        <f>I11/'Output-Calculation-sheet'!I10*'Output-Calculation-sheet'!I64</f>
        <v>163.07438633644153</v>
      </c>
      <c r="J77" s="2">
        <f>J11/'Output-Calculation-sheet'!J10*'Output-Calculation-sheet'!J64</f>
        <v>411.70553360582522</v>
      </c>
      <c r="K77" s="2">
        <f>K11/'Output-Calculation-sheet'!K10*'Output-Calculation-sheet'!K64</f>
        <v>579.52446307717537</v>
      </c>
      <c r="L77" s="2">
        <f>L11/'Output-Calculation-sheet'!L10*'Output-Calculation-sheet'!L64</f>
        <v>508.58272393867929</v>
      </c>
      <c r="M77" s="2">
        <f>M11/'Output-Calculation-sheet'!M10*'Output-Calculation-sheet'!M64</f>
        <v>2154.1490504467624</v>
      </c>
      <c r="N77" s="2">
        <f>N11/'Output-Calculation-sheet'!N10*'Output-Calculation-sheet'!N64</f>
        <v>1514.935555430169</v>
      </c>
      <c r="O77" s="2">
        <f>O11/'Output-Calculation-sheet'!O10*'Output-Calculation-sheet'!O64</f>
        <v>0</v>
      </c>
      <c r="P77" s="2">
        <f>P11/'Output-Calculation-sheet'!P10*'Output-Calculation-sheet'!P64</f>
        <v>443.21796975610533</v>
      </c>
      <c r="Q77" s="2">
        <f>Q11/'Output-Calculation-sheet'!Q10*'Output-Calculation-sheet'!Q64</f>
        <v>270.75714529638549</v>
      </c>
      <c r="R77" s="2">
        <f>R11/'Output-Calculation-sheet'!R10*'Output-Calculation-sheet'!R64</f>
        <v>623.94532286814581</v>
      </c>
      <c r="S77" s="2">
        <f>S11/'Output-Calculation-sheet'!S10*'Output-Calculation-sheet'!S64</f>
        <v>367.58018777205331</v>
      </c>
      <c r="T77" s="2">
        <f>T11/'Output-Calculation-sheet'!T10*'Output-Calculation-sheet'!T64</f>
        <v>219.92065763611589</v>
      </c>
      <c r="U77" s="2">
        <f>U11/'Output-Calculation-sheet'!U10*'Output-Calculation-sheet'!U64</f>
        <v>114.4714256011803</v>
      </c>
      <c r="V77" s="2">
        <f>V11/'Output-Calculation-sheet'!V10*'Output-Calculation-sheet'!V64</f>
        <v>146.23247870783416</v>
      </c>
      <c r="W77" s="2">
        <f>W11/'Output-Calculation-sheet'!W10*'Output-Calculation-sheet'!W64</f>
        <v>15.00115090534433</v>
      </c>
      <c r="X77" s="2">
        <f>X11/'Output-Calculation-sheet'!X10*'Output-Calculation-sheet'!X64</f>
        <v>202.36443287190161</v>
      </c>
      <c r="Y77" s="2">
        <f>Y11/'Output-Calculation-sheet'!Y10*'Output-Calculation-sheet'!Y64</f>
        <v>4.720032377117982</v>
      </c>
      <c r="AA77" s="2">
        <f t="shared" si="6"/>
        <v>15.195435157579327</v>
      </c>
    </row>
    <row r="78" spans="1:27" x14ac:dyDescent="0.25">
      <c r="A78" s="2">
        <v>2035</v>
      </c>
      <c r="B78" s="2">
        <f>B12/'Output-Calculation-sheet'!B11*'Output-Calculation-sheet'!B65</f>
        <v>3303.2951933462946</v>
      </c>
      <c r="C78" s="2">
        <f>C12/'Output-Calculation-sheet'!C11*'Output-Calculation-sheet'!C65</f>
        <v>272.63156861349211</v>
      </c>
      <c r="D78" s="2">
        <f>D12/'Output-Calculation-sheet'!D11*'Output-Calculation-sheet'!D65</f>
        <v>852.41158478361615</v>
      </c>
      <c r="E78" s="2">
        <f>E12/'Output-Calculation-sheet'!E11*'Output-Calculation-sheet'!E65</f>
        <v>667.39787682879205</v>
      </c>
      <c r="F78" s="2">
        <f>F12/'Output-Calculation-sheet'!F11*'Output-Calculation-sheet'!F65</f>
        <v>30.178104212002133</v>
      </c>
      <c r="G78" s="2">
        <f>G12/'Output-Calculation-sheet'!G11*'Output-Calculation-sheet'!G65</f>
        <v>280.33623536491706</v>
      </c>
      <c r="H78" s="2">
        <f>H12/'Output-Calculation-sheet'!H11*'Output-Calculation-sheet'!H65</f>
        <v>2417.1817922489772</v>
      </c>
      <c r="I78" s="2">
        <f>I12/'Output-Calculation-sheet'!I11*'Output-Calculation-sheet'!I65</f>
        <v>153.05997715285989</v>
      </c>
      <c r="J78" s="2">
        <f>J12/'Output-Calculation-sheet'!J11*'Output-Calculation-sheet'!J65</f>
        <v>366.2689814246956</v>
      </c>
      <c r="K78" s="2">
        <f>K12/'Output-Calculation-sheet'!K11*'Output-Calculation-sheet'!K65</f>
        <v>492.97360377277101</v>
      </c>
      <c r="L78" s="2">
        <f>L12/'Output-Calculation-sheet'!L11*'Output-Calculation-sheet'!L65</f>
        <v>445.57111267560913</v>
      </c>
      <c r="M78" s="2">
        <f>M12/'Output-Calculation-sheet'!M11*'Output-Calculation-sheet'!M65</f>
        <v>1811.3984468125598</v>
      </c>
      <c r="N78" s="2">
        <f>N12/'Output-Calculation-sheet'!N11*'Output-Calculation-sheet'!N65</f>
        <v>1314.377598075213</v>
      </c>
      <c r="O78" s="2">
        <f>O12/'Output-Calculation-sheet'!O11*'Output-Calculation-sheet'!O65</f>
        <v>132.54498136133705</v>
      </c>
      <c r="P78" s="2">
        <f>P12/'Output-Calculation-sheet'!P11*'Output-Calculation-sheet'!P65</f>
        <v>375.81312945929727</v>
      </c>
      <c r="Q78" s="2">
        <f>Q12/'Output-Calculation-sheet'!Q11*'Output-Calculation-sheet'!Q65</f>
        <v>279.38578581678922</v>
      </c>
      <c r="R78" s="2">
        <f>R12/'Output-Calculation-sheet'!R11*'Output-Calculation-sheet'!R65</f>
        <v>523.39999694937114</v>
      </c>
      <c r="S78" s="2">
        <f>S12/'Output-Calculation-sheet'!S11*'Output-Calculation-sheet'!S65</f>
        <v>382.82817378169779</v>
      </c>
      <c r="T78" s="2">
        <f>T12/'Output-Calculation-sheet'!T11*'Output-Calculation-sheet'!T65</f>
        <v>188.91244025050122</v>
      </c>
      <c r="U78" s="2">
        <f>U12/'Output-Calculation-sheet'!U11*'Output-Calculation-sheet'!U65</f>
        <v>101.7771037344865</v>
      </c>
      <c r="V78" s="2">
        <f>V12/'Output-Calculation-sheet'!V11*'Output-Calculation-sheet'!V65</f>
        <v>123.882142537429</v>
      </c>
      <c r="W78" s="2">
        <f>W12/'Output-Calculation-sheet'!W11*'Output-Calculation-sheet'!W65</f>
        <v>15.445155724369894</v>
      </c>
      <c r="X78" s="2">
        <f>X12/'Output-Calculation-sheet'!X11*'Output-Calculation-sheet'!X65</f>
        <v>171.25305290353694</v>
      </c>
      <c r="Y78" s="2">
        <f>Y12/'Output-Calculation-sheet'!Y11*'Output-Calculation-sheet'!Y65</f>
        <v>5.4654486389433252</v>
      </c>
      <c r="AA78" s="2">
        <f t="shared" si="6"/>
        <v>14.707789486469558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10490998164.386166</v>
      </c>
      <c r="C96" s="2">
        <f>C8/'Output-Calculation-sheet'!C7*'Output-Calculation-sheet'!C79</f>
        <v>1021183888.8617855</v>
      </c>
      <c r="D96" s="2">
        <f>D8/'Output-Calculation-sheet'!D7*'Output-Calculation-sheet'!D79</f>
        <v>2688749765.2283025</v>
      </c>
      <c r="E96" s="2">
        <f>E8/'Output-Calculation-sheet'!E7*'Output-Calculation-sheet'!E79</f>
        <v>9678711072.9532452</v>
      </c>
      <c r="F96" s="2">
        <f>F8/'Output-Calculation-sheet'!F7*'Output-Calculation-sheet'!F79</f>
        <v>2950353408.7802839</v>
      </c>
      <c r="G96" s="2">
        <f>G8/'Output-Calculation-sheet'!G7*'Output-Calculation-sheet'!G79</f>
        <v>1825252886.8311298</v>
      </c>
      <c r="H96" s="2">
        <f>H8/'Output-Calculation-sheet'!H7*'Output-Calculation-sheet'!H79</f>
        <v>1224572031.2195506</v>
      </c>
      <c r="I96" s="2">
        <f>I8/'Output-Calculation-sheet'!I7*'Output-Calculation-sheet'!I79</f>
        <v>1311842448.321044</v>
      </c>
      <c r="J96" s="2">
        <f>J8/'Output-Calculation-sheet'!J7*'Output-Calculation-sheet'!J79</f>
        <v>1066367337.9487565</v>
      </c>
      <c r="K96" s="2">
        <f>K8/'Output-Calculation-sheet'!K7*'Output-Calculation-sheet'!K79</f>
        <v>1304235950.7734981</v>
      </c>
      <c r="L96" s="2">
        <f>L8/'Output-Calculation-sheet'!L7*'Output-Calculation-sheet'!L79</f>
        <v>1254294068.7550344</v>
      </c>
      <c r="M96" s="2">
        <f>M8/'Output-Calculation-sheet'!M7*'Output-Calculation-sheet'!M79</f>
        <v>1724503490.1717432</v>
      </c>
      <c r="N96" s="2">
        <f>N8/'Output-Calculation-sheet'!N7*'Output-Calculation-sheet'!N79</f>
        <v>1081151090.9708872</v>
      </c>
      <c r="O96" s="2">
        <f>O8/'Output-Calculation-sheet'!O7*'Output-Calculation-sheet'!O79</f>
        <v>134773051.53021172</v>
      </c>
      <c r="P96" s="2">
        <f>P8/'Output-Calculation-sheet'!P7*'Output-Calculation-sheet'!P79</f>
        <v>1946521684.0349534</v>
      </c>
      <c r="Q96" s="2">
        <f>Q8/'Output-Calculation-sheet'!Q7*'Output-Calculation-sheet'!Q79</f>
        <v>814575469.29507244</v>
      </c>
      <c r="R96" s="2">
        <f>R8/'Output-Calculation-sheet'!R7*'Output-Calculation-sheet'!R79</f>
        <v>1278926462.9714711</v>
      </c>
      <c r="S96" s="2">
        <f>S8/'Output-Calculation-sheet'!S7*'Output-Calculation-sheet'!S79</f>
        <v>495801012.42135227</v>
      </c>
      <c r="T96" s="2">
        <f>T8/'Output-Calculation-sheet'!T7*'Output-Calculation-sheet'!T79</f>
        <v>451254796.85501546</v>
      </c>
      <c r="U96" s="2">
        <f>U8/'Output-Calculation-sheet'!U7*'Output-Calculation-sheet'!U79</f>
        <v>291496704.43121123</v>
      </c>
      <c r="V96" s="2">
        <f>V8/'Output-Calculation-sheet'!V7*'Output-Calculation-sheet'!V79</f>
        <v>173482791.1130631</v>
      </c>
      <c r="W96" s="2">
        <f>W8/'Output-Calculation-sheet'!W7*'Output-Calculation-sheet'!W79</f>
        <v>478323337.24318224</v>
      </c>
      <c r="X96" s="2">
        <f>X8/'Output-Calculation-sheet'!X7*'Output-Calculation-sheet'!X79</f>
        <v>132914097.23345745</v>
      </c>
      <c r="Y96" s="2">
        <f>Y8/'Output-Calculation-sheet'!Y7*'Output-Calculation-sheet'!Y79</f>
        <v>255324349.04345116</v>
      </c>
      <c r="AA96" s="2">
        <f t="shared" si="8"/>
        <v>44.075609361373871</v>
      </c>
    </row>
    <row r="97" spans="1:27" x14ac:dyDescent="0.25">
      <c r="A97" s="2">
        <v>2032</v>
      </c>
      <c r="B97" s="2">
        <f>B9/'Output-Calculation-sheet'!B8*'Output-Calculation-sheet'!B80</f>
        <v>10015597106.678062</v>
      </c>
      <c r="C97" s="2">
        <f>C9/'Output-Calculation-sheet'!C8*'Output-Calculation-sheet'!C80</f>
        <v>953591831.7445277</v>
      </c>
      <c r="D97" s="2">
        <f>D9/'Output-Calculation-sheet'!D8*'Output-Calculation-sheet'!D80</f>
        <v>2332157112.3189445</v>
      </c>
      <c r="E97" s="2">
        <f>E9/'Output-Calculation-sheet'!E8*'Output-Calculation-sheet'!E80</f>
        <v>9425730742.1706505</v>
      </c>
      <c r="F97" s="2">
        <f>F9/'Output-Calculation-sheet'!F8*'Output-Calculation-sheet'!F80</f>
        <v>2697162135.5320239</v>
      </c>
      <c r="G97" s="2">
        <f>G9/'Output-Calculation-sheet'!G8*'Output-Calculation-sheet'!G80</f>
        <v>1596961384.0396793</v>
      </c>
      <c r="H97" s="2">
        <f>H9/'Output-Calculation-sheet'!H8*'Output-Calculation-sheet'!H80</f>
        <v>1431794231.1202157</v>
      </c>
      <c r="I97" s="2">
        <f>I9/'Output-Calculation-sheet'!I8*'Output-Calculation-sheet'!I80</f>
        <v>1202359563.2486763</v>
      </c>
      <c r="J97" s="2">
        <f>J9/'Output-Calculation-sheet'!J8*'Output-Calculation-sheet'!J80</f>
        <v>963547479.59166849</v>
      </c>
      <c r="K97" s="2">
        <f>K9/'Output-Calculation-sheet'!K8*'Output-Calculation-sheet'!K80</f>
        <v>1157683397.7408767</v>
      </c>
      <c r="L97" s="2">
        <f>L9/'Output-Calculation-sheet'!L8*'Output-Calculation-sheet'!L80</f>
        <v>1186374394.1183965</v>
      </c>
      <c r="M97" s="2">
        <f>M9/'Output-Calculation-sheet'!M8*'Output-Calculation-sheet'!M80</f>
        <v>1643788897.066335</v>
      </c>
      <c r="N97" s="2">
        <f>N9/'Output-Calculation-sheet'!N8*'Output-Calculation-sheet'!N80</f>
        <v>1033299076.5175643</v>
      </c>
      <c r="O97" s="2">
        <f>O9/'Output-Calculation-sheet'!O8*'Output-Calculation-sheet'!O80</f>
        <v>124189929.67878003</v>
      </c>
      <c r="P97" s="2">
        <f>P9/'Output-Calculation-sheet'!P8*'Output-Calculation-sheet'!P80</f>
        <v>1780446779.155762</v>
      </c>
      <c r="Q97" s="2">
        <f>Q9/'Output-Calculation-sheet'!Q8*'Output-Calculation-sheet'!Q80</f>
        <v>756833407.80910969</v>
      </c>
      <c r="R97" s="2">
        <f>R9/'Output-Calculation-sheet'!R8*'Output-Calculation-sheet'!R80</f>
        <v>1193292311.3906388</v>
      </c>
      <c r="S97" s="2">
        <f>S9/'Output-Calculation-sheet'!S8*'Output-Calculation-sheet'!S80</f>
        <v>473646432.24229622</v>
      </c>
      <c r="T97" s="2">
        <f>T9/'Output-Calculation-sheet'!T8*'Output-Calculation-sheet'!T80</f>
        <v>400232890.42343539</v>
      </c>
      <c r="U97" s="2">
        <f>U9/'Output-Calculation-sheet'!U8*'Output-Calculation-sheet'!U80</f>
        <v>263240447.87550464</v>
      </c>
      <c r="V97" s="2">
        <f>V9/'Output-Calculation-sheet'!V8*'Output-Calculation-sheet'!V80</f>
        <v>155953564.59230754</v>
      </c>
      <c r="W97" s="2">
        <f>W9/'Output-Calculation-sheet'!W8*'Output-Calculation-sheet'!W80</f>
        <v>433160422.66355819</v>
      </c>
      <c r="X97" s="2">
        <f>X9/'Output-Calculation-sheet'!X8*'Output-Calculation-sheet'!X80</f>
        <v>171815009.59268731</v>
      </c>
      <c r="Y97" s="2">
        <f>Y9/'Output-Calculation-sheet'!Y8*'Output-Calculation-sheet'!Y80</f>
        <v>236548829.93108431</v>
      </c>
      <c r="AA97" s="2">
        <f t="shared" si="8"/>
        <v>41.629407377242792</v>
      </c>
    </row>
    <row r="98" spans="1:27" x14ac:dyDescent="0.25">
      <c r="A98" s="2">
        <v>2033</v>
      </c>
      <c r="B98" s="2">
        <f>B10/'Output-Calculation-sheet'!B9*'Output-Calculation-sheet'!B81</f>
        <v>8907335303.7701645</v>
      </c>
      <c r="C98" s="2">
        <f>C10/'Output-Calculation-sheet'!C9*'Output-Calculation-sheet'!C81</f>
        <v>831040489.37931693</v>
      </c>
      <c r="D98" s="2">
        <f>D10/'Output-Calculation-sheet'!D9*'Output-Calculation-sheet'!D81</f>
        <v>1884054831.3792677</v>
      </c>
      <c r="E98" s="2">
        <f>E10/'Output-Calculation-sheet'!E9*'Output-Calculation-sheet'!E81</f>
        <v>8548298860.5111532</v>
      </c>
      <c r="F98" s="2">
        <f>F10/'Output-Calculation-sheet'!F9*'Output-Calculation-sheet'!F81</f>
        <v>2289869046.2481794</v>
      </c>
      <c r="G98" s="2">
        <f>G10/'Output-Calculation-sheet'!G9*'Output-Calculation-sheet'!G81</f>
        <v>1296622554.3718786</v>
      </c>
      <c r="H98" s="2">
        <f>H10/'Output-Calculation-sheet'!H9*'Output-Calculation-sheet'!H81</f>
        <v>1682984901.517535</v>
      </c>
      <c r="I98" s="2">
        <f>I10/'Output-Calculation-sheet'!I9*'Output-Calculation-sheet'!I81</f>
        <v>1025710594.9900585</v>
      </c>
      <c r="J98" s="2">
        <f>J10/'Output-Calculation-sheet'!J9*'Output-Calculation-sheet'!J81</f>
        <v>811042472.95216036</v>
      </c>
      <c r="K98" s="2">
        <f>K10/'Output-Calculation-sheet'!K9*'Output-Calculation-sheet'!K81</f>
        <v>962094522.92729938</v>
      </c>
      <c r="L98" s="2">
        <f>L10/'Output-Calculation-sheet'!L9*'Output-Calculation-sheet'!L81</f>
        <v>1041609328.8652748</v>
      </c>
      <c r="M98" s="2">
        <f>M10/'Output-Calculation-sheet'!M9*'Output-Calculation-sheet'!M81</f>
        <v>1458137166.0949497</v>
      </c>
      <c r="N98" s="2">
        <f>N10/'Output-Calculation-sheet'!N9*'Output-Calculation-sheet'!N81</f>
        <v>897314549.70243526</v>
      </c>
      <c r="O98" s="2">
        <f>O10/'Output-Calculation-sheet'!O9*'Output-Calculation-sheet'!O81</f>
        <v>106869613.20730999</v>
      </c>
      <c r="P98" s="2">
        <f>P10/'Output-Calculation-sheet'!P9*'Output-Calculation-sheet'!P81</f>
        <v>1503685265.1268532</v>
      </c>
      <c r="Q98" s="2">
        <f>Q10/'Output-Calculation-sheet'!Q9*'Output-Calculation-sheet'!Q81</f>
        <v>657397156.0131824</v>
      </c>
      <c r="R98" s="2">
        <f>R10/'Output-Calculation-sheet'!R9*'Output-Calculation-sheet'!R81</f>
        <v>1029270269.5086708</v>
      </c>
      <c r="S98" s="2">
        <f>S10/'Output-Calculation-sheet'!S9*'Output-Calculation-sheet'!S81</f>
        <v>423145857.12704527</v>
      </c>
      <c r="T98" s="2">
        <f>T10/'Output-Calculation-sheet'!T9*'Output-Calculation-sheet'!T81</f>
        <v>330392880.74766499</v>
      </c>
      <c r="U98" s="2">
        <f>U10/'Output-Calculation-sheet'!U9*'Output-Calculation-sheet'!U81</f>
        <v>219643961.94775793</v>
      </c>
      <c r="V98" s="2">
        <f>V10/'Output-Calculation-sheet'!V9*'Output-Calculation-sheet'!V81</f>
        <v>130019896.3371323</v>
      </c>
      <c r="W98" s="2">
        <f>W10/'Output-Calculation-sheet'!W9*'Output-Calculation-sheet'!W81</f>
        <v>361389696.83145702</v>
      </c>
      <c r="X98" s="2">
        <f>X10/'Output-Calculation-sheet'!X9*'Output-Calculation-sheet'!X81</f>
        <v>157110793.76246125</v>
      </c>
      <c r="Y98" s="2">
        <f>Y10/'Output-Calculation-sheet'!Y9*'Output-Calculation-sheet'!Y81</f>
        <v>203376254.07825029</v>
      </c>
      <c r="AA98" s="2">
        <f t="shared" si="8"/>
        <v>36.758416267397457</v>
      </c>
    </row>
    <row r="99" spans="1:27" x14ac:dyDescent="0.25">
      <c r="A99" s="2">
        <v>2034</v>
      </c>
      <c r="B99" s="2">
        <f>B11/'Output-Calculation-sheet'!B10*'Output-Calculation-sheet'!B82</f>
        <v>7489195286.5808744</v>
      </c>
      <c r="C99" s="2">
        <f>C11/'Output-Calculation-sheet'!C10*'Output-Calculation-sheet'!C82</f>
        <v>673344095.22878671</v>
      </c>
      <c r="D99" s="2">
        <f>D11/'Output-Calculation-sheet'!D10*'Output-Calculation-sheet'!D82</f>
        <v>1414102058.2294292</v>
      </c>
      <c r="E99" s="2">
        <f>E11/'Output-Calculation-sheet'!E10*'Output-Calculation-sheet'!E82</f>
        <v>7177470371.7763977</v>
      </c>
      <c r="F99" s="2">
        <f>F11/'Output-Calculation-sheet'!F10*'Output-Calculation-sheet'!F82</f>
        <v>1803528053.4291232</v>
      </c>
      <c r="G99" s="2">
        <f>G11/'Output-Calculation-sheet'!G10*'Output-Calculation-sheet'!G82</f>
        <v>975455131.15870571</v>
      </c>
      <c r="H99" s="2">
        <f>H11/'Output-Calculation-sheet'!H10*'Output-Calculation-sheet'!H82</f>
        <v>1360377663.3243737</v>
      </c>
      <c r="I99" s="2">
        <f>I11/'Output-Calculation-sheet'!I10*'Output-Calculation-sheet'!I82</f>
        <v>814044356.85215652</v>
      </c>
      <c r="J99" s="2">
        <f>J11/'Output-Calculation-sheet'!J10*'Output-Calculation-sheet'!J82</f>
        <v>634906192.57086968</v>
      </c>
      <c r="K99" s="2">
        <f>K11/'Output-Calculation-sheet'!K10*'Output-Calculation-sheet'!K82</f>
        <v>739409899.44922376</v>
      </c>
      <c r="L99" s="2">
        <f>L11/'Output-Calculation-sheet'!L10*'Output-Calculation-sheet'!L82</f>
        <v>850342915.63563764</v>
      </c>
      <c r="M99" s="2">
        <f>M11/'Output-Calculation-sheet'!M10*'Output-Calculation-sheet'!M82</f>
        <v>1206172298.7767417</v>
      </c>
      <c r="N99" s="2">
        <f>N11/'Output-Calculation-sheet'!N10*'Output-Calculation-sheet'!N82</f>
        <v>721957488.94155383</v>
      </c>
      <c r="O99" s="2">
        <f>O11/'Output-Calculation-sheet'!O10*'Output-Calculation-sheet'!O82</f>
        <v>85520625.099562109</v>
      </c>
      <c r="P99" s="2">
        <f>P11/'Output-Calculation-sheet'!P10*'Output-Calculation-sheet'!P82</f>
        <v>1167281385.386688</v>
      </c>
      <c r="Q99" s="2">
        <f>Q11/'Output-Calculation-sheet'!Q10*'Output-Calculation-sheet'!Q82</f>
        <v>532358145.72596759</v>
      </c>
      <c r="R99" s="2">
        <f>R11/'Output-Calculation-sheet'!R10*'Output-Calculation-sheet'!R82</f>
        <v>823007438.81613016</v>
      </c>
      <c r="S99" s="2">
        <f>S11/'Output-Calculation-sheet'!S10*'Output-Calculation-sheet'!S82</f>
        <v>354385393.15441149</v>
      </c>
      <c r="T99" s="2">
        <f>T11/'Output-Calculation-sheet'!T10*'Output-Calculation-sheet'!T82</f>
        <v>252351914.13349029</v>
      </c>
      <c r="U99" s="2">
        <f>U11/'Output-Calculation-sheet'!U10*'Output-Calculation-sheet'!U82</f>
        <v>170137186.98375425</v>
      </c>
      <c r="V99" s="2">
        <f>V11/'Output-Calculation-sheet'!V10*'Output-Calculation-sheet'!V82</f>
        <v>100759670.92239234</v>
      </c>
      <c r="W99" s="2">
        <f>W11/'Output-Calculation-sheet'!W10*'Output-Calculation-sheet'!W82</f>
        <v>279067890.5148893</v>
      </c>
      <c r="X99" s="2">
        <f>X11/'Output-Calculation-sheet'!X10*'Output-Calculation-sheet'!X82</f>
        <v>133808965.77426203</v>
      </c>
      <c r="Y99" s="2">
        <f>Y11/'Output-Calculation-sheet'!Y10*'Output-Calculation-sheet'!Y82</f>
        <v>161442731.45266286</v>
      </c>
      <c r="AA99" s="2">
        <f t="shared" si="8"/>
        <v>29.920427159918091</v>
      </c>
    </row>
    <row r="100" spans="1:27" x14ac:dyDescent="0.25">
      <c r="A100" s="2">
        <v>2035</v>
      </c>
      <c r="B100" s="2">
        <f>B12/'Output-Calculation-sheet'!B11*'Output-Calculation-sheet'!B83</f>
        <v>5784897014.0309238</v>
      </c>
      <c r="C100" s="2">
        <f>C12/'Output-Calculation-sheet'!C11*'Output-Calculation-sheet'!C83</f>
        <v>520286497.73287201</v>
      </c>
      <c r="D100" s="2">
        <f>D12/'Output-Calculation-sheet'!D11*'Output-Calculation-sheet'!D83</f>
        <v>983136120.10898757</v>
      </c>
      <c r="E100" s="2">
        <f>E12/'Output-Calculation-sheet'!E11*'Output-Calculation-sheet'!E83</f>
        <v>5565454733.6323786</v>
      </c>
      <c r="F100" s="2">
        <f>F12/'Output-Calculation-sheet'!F11*'Output-Calculation-sheet'!F83</f>
        <v>1310661976.3386519</v>
      </c>
      <c r="G100" s="2">
        <f>G12/'Output-Calculation-sheet'!G11*'Output-Calculation-sheet'!G83</f>
        <v>676484936.86920369</v>
      </c>
      <c r="H100" s="2">
        <f>H12/'Output-Calculation-sheet'!H11*'Output-Calculation-sheet'!H83</f>
        <v>1009864734.8222146</v>
      </c>
      <c r="I100" s="2">
        <f>I12/'Output-Calculation-sheet'!I11*'Output-Calculation-sheet'!I83</f>
        <v>595852476.12995827</v>
      </c>
      <c r="J100" s="2">
        <f>J12/'Output-Calculation-sheet'!J11*'Output-Calculation-sheet'!J83</f>
        <v>459096301.54190856</v>
      </c>
      <c r="K100" s="2">
        <f>K12/'Output-Calculation-sheet'!K11*'Output-Calculation-sheet'!K83</f>
        <v>523870994.85660046</v>
      </c>
      <c r="L100" s="2">
        <f>L12/'Output-Calculation-sheet'!L11*'Output-Calculation-sheet'!L83</f>
        <v>641520169.5523783</v>
      </c>
      <c r="M100" s="2">
        <f>M12/'Output-Calculation-sheet'!M11*'Output-Calculation-sheet'!M83</f>
        <v>919252986.99670219</v>
      </c>
      <c r="N100" s="2">
        <f>N12/'Output-Calculation-sheet'!N11*'Output-Calculation-sheet'!N83</f>
        <v>537442701.80976927</v>
      </c>
      <c r="O100" s="2">
        <f>O12/'Output-Calculation-sheet'!O11*'Output-Calculation-sheet'!O83</f>
        <v>69059853.360352308</v>
      </c>
      <c r="P100" s="2">
        <f>P12/'Output-Calculation-sheet'!P11*'Output-Calculation-sheet'!P83</f>
        <v>825339807.20800352</v>
      </c>
      <c r="Q100" s="2">
        <f>Q12/'Output-Calculation-sheet'!Q11*'Output-Calculation-sheet'!Q83</f>
        <v>399050412.40789735</v>
      </c>
      <c r="R100" s="2">
        <f>R12/'Output-Calculation-sheet'!R11*'Output-Calculation-sheet'!R83</f>
        <v>606379935.89603448</v>
      </c>
      <c r="S100" s="2">
        <f>S12/'Output-Calculation-sheet'!S11*'Output-Calculation-sheet'!S83</f>
        <v>271594704.30971664</v>
      </c>
      <c r="T100" s="2">
        <f>T12/'Output-Calculation-sheet'!T11*'Output-Calculation-sheet'!T83</f>
        <v>177871367.64082563</v>
      </c>
      <c r="U100" s="2">
        <f>U12/'Output-Calculation-sheet'!U11*'Output-Calculation-sheet'!U83</f>
        <v>121064043.54980618</v>
      </c>
      <c r="V100" s="2">
        <f>V12/'Output-Calculation-sheet'!V11*'Output-Calculation-sheet'!V83</f>
        <v>71965775.771375448</v>
      </c>
      <c r="W100" s="2">
        <f>W12/'Output-Calculation-sheet'!W11*'Output-Calculation-sheet'!W83</f>
        <v>197544602.07801107</v>
      </c>
      <c r="X100" s="2">
        <f>X12/'Output-Calculation-sheet'!X11*'Output-Calculation-sheet'!X83</f>
        <v>105380966.87732047</v>
      </c>
      <c r="Y100" s="2">
        <f>Y12/'Output-Calculation-sheet'!Y11*'Output-Calculation-sheet'!Y83</f>
        <v>117967300.35449614</v>
      </c>
      <c r="AA100" s="2">
        <f t="shared" si="8"/>
        <v>22.49104041387638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5270.8235589106307</v>
      </c>
      <c r="C19" s="2">
        <f>C8/'Output-Calculation-sheet'!C7*'Output-Calculation-sheet'!C25</f>
        <v>7960.7585753376397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4272.4502015837325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868.56722347794994</v>
      </c>
      <c r="M19" s="2">
        <f>M8/'Output-Calculation-sheet'!M7*'Output-Calculation-sheet'!M25</f>
        <v>5635.1264918525976</v>
      </c>
      <c r="N19" s="2">
        <f>N8/'Output-Calculation-sheet'!N7*'Output-Calculation-sheet'!N25</f>
        <v>2876.9335234122873</v>
      </c>
      <c r="O19" s="2">
        <f>O8/'Output-Calculation-sheet'!O7*'Output-Calculation-sheet'!O25</f>
        <v>1555.0223975608394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550.09296967810008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391.84311074036981</v>
      </c>
      <c r="Y19" s="2">
        <f>Y8/'Output-Calculation-sheet'!Y7*'Output-Calculation-sheet'!Y25</f>
        <v>0</v>
      </c>
      <c r="AA19" s="2">
        <f t="shared" si="0"/>
        <v>29.381618052554145</v>
      </c>
    </row>
    <row r="20" spans="1:27" x14ac:dyDescent="0.25">
      <c r="A20" s="2">
        <v>2032</v>
      </c>
      <c r="B20" s="2">
        <f>B9/'Output-Calculation-sheet'!B8*'Output-Calculation-sheet'!B26</f>
        <v>7130.0315077585001</v>
      </c>
      <c r="C20" s="2">
        <f>C9/'Output-Calculation-sheet'!C8*'Output-Calculation-sheet'!C26</f>
        <v>8832.2222835259272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5817.0470974366972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1010.7990542798652</v>
      </c>
      <c r="M20" s="2">
        <f>M9/'Output-Calculation-sheet'!M8*'Output-Calculation-sheet'!M26</f>
        <v>6151.3249667657064</v>
      </c>
      <c r="N20" s="2">
        <f>N9/'Output-Calculation-sheet'!N8*'Output-Calculation-sheet'!N26</f>
        <v>3464.5366661924559</v>
      </c>
      <c r="O20" s="2">
        <f>O9/'Output-Calculation-sheet'!O8*'Output-Calculation-sheet'!O26</f>
        <v>1723.7214770898158</v>
      </c>
      <c r="P20" s="2">
        <f>P9/'Output-Calculation-sheet'!P8*'Output-Calculation-sheet'!P26</f>
        <v>0</v>
      </c>
      <c r="Q20" s="2">
        <f>Q9/'Output-Calculation-sheet'!Q8*'Output-Calculation-sheet'!Q26</f>
        <v>104.17760839074438</v>
      </c>
      <c r="R20" s="2">
        <f>R9/'Output-Calculation-sheet'!R8*'Output-Calculation-sheet'!R26</f>
        <v>0</v>
      </c>
      <c r="S20" s="2">
        <f>S9/'Output-Calculation-sheet'!S8*'Output-Calculation-sheet'!S26</f>
        <v>735.58047022042592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568.72524166597771</v>
      </c>
      <c r="Y20" s="2">
        <f>Y9/'Output-Calculation-sheet'!Y8*'Output-Calculation-sheet'!Y26</f>
        <v>0</v>
      </c>
      <c r="AA20" s="2">
        <f t="shared" si="0"/>
        <v>35.538166373326114</v>
      </c>
    </row>
    <row r="21" spans="1:27" x14ac:dyDescent="0.25">
      <c r="A21" s="2">
        <v>2033</v>
      </c>
      <c r="B21" s="2">
        <f>B10/'Output-Calculation-sheet'!B9*'Output-Calculation-sheet'!B27</f>
        <v>9513.4572979735276</v>
      </c>
      <c r="C21" s="2">
        <f>C10/'Output-Calculation-sheet'!C9*'Output-Calculation-sheet'!C27</f>
        <v>9548.1387521603647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8370.7831101715255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1162.0934443192878</v>
      </c>
      <c r="M21" s="2">
        <f>M10/'Output-Calculation-sheet'!M9*'Output-Calculation-sheet'!M27</f>
        <v>6515.2769034834482</v>
      </c>
      <c r="N21" s="2">
        <f>N10/'Output-Calculation-sheet'!N9*'Output-Calculation-sheet'!N27</f>
        <v>3797.3163816841375</v>
      </c>
      <c r="O21" s="2">
        <f>O10/'Output-Calculation-sheet'!O9*'Output-Calculation-sheet'!O27</f>
        <v>1857.7490523741008</v>
      </c>
      <c r="P21" s="2">
        <f>P10/'Output-Calculation-sheet'!P9*'Output-Calculation-sheet'!P27</f>
        <v>0</v>
      </c>
      <c r="Q21" s="2">
        <f>Q10/'Output-Calculation-sheet'!Q9*'Output-Calculation-sheet'!Q27</f>
        <v>282.96187011762186</v>
      </c>
      <c r="R21" s="2">
        <f>R10/'Output-Calculation-sheet'!R9*'Output-Calculation-sheet'!R27</f>
        <v>0</v>
      </c>
      <c r="S21" s="2">
        <f>S10/'Output-Calculation-sheet'!S9*'Output-Calculation-sheet'!S27</f>
        <v>964.58834755632734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607.91984138914381</v>
      </c>
      <c r="Y21" s="2">
        <f>Y10/'Output-Calculation-sheet'!Y9*'Output-Calculation-sheet'!Y27</f>
        <v>0</v>
      </c>
      <c r="AA21" s="2">
        <f t="shared" si="0"/>
        <v>42.62028500122949</v>
      </c>
    </row>
    <row r="22" spans="1:27" x14ac:dyDescent="0.25">
      <c r="A22" s="2">
        <v>2034</v>
      </c>
      <c r="B22" s="2">
        <f>B11/'Output-Calculation-sheet'!B10*'Output-Calculation-sheet'!B28</f>
        <v>12365.872001850525</v>
      </c>
      <c r="C22" s="2">
        <f>C11/'Output-Calculation-sheet'!C10*'Output-Calculation-sheet'!C28</f>
        <v>10083.82559058573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8762.5610011276858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1291.0134246344533</v>
      </c>
      <c r="M22" s="2">
        <f>M11/'Output-Calculation-sheet'!M10*'Output-Calculation-sheet'!M28</f>
        <v>6808.9558150677321</v>
      </c>
      <c r="N22" s="2">
        <f>N11/'Output-Calculation-sheet'!N10*'Output-Calculation-sheet'!N28</f>
        <v>4084.0873244966738</v>
      </c>
      <c r="O22" s="2">
        <f>O11/'Output-Calculation-sheet'!O10*'Output-Calculation-sheet'!O28</f>
        <v>1950.1663347008166</v>
      </c>
      <c r="P22" s="2">
        <f>P11/'Output-Calculation-sheet'!P10*'Output-Calculation-sheet'!P28</f>
        <v>0</v>
      </c>
      <c r="Q22" s="2">
        <f>Q11/'Output-Calculation-sheet'!Q10*'Output-Calculation-sheet'!Q28</f>
        <v>559.8375644675873</v>
      </c>
      <c r="R22" s="2">
        <f>R11/'Output-Calculation-sheet'!R10*'Output-Calculation-sheet'!R28</f>
        <v>0</v>
      </c>
      <c r="S22" s="2">
        <f>S11/'Output-Calculation-sheet'!S10*'Output-Calculation-sheet'!S28</f>
        <v>1196.4641851381029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636.74923907138873</v>
      </c>
      <c r="Y22" s="2">
        <f>Y11/'Output-Calculation-sheet'!Y10*'Output-Calculation-sheet'!Y28</f>
        <v>0</v>
      </c>
      <c r="AA22" s="2">
        <f t="shared" si="0"/>
        <v>47.739532481140699</v>
      </c>
    </row>
    <row r="23" spans="1:27" x14ac:dyDescent="0.25">
      <c r="A23" s="2">
        <v>2035</v>
      </c>
      <c r="B23" s="2">
        <f>B12/'Output-Calculation-sheet'!B11*'Output-Calculation-sheet'!B29</f>
        <v>15237.266388813407</v>
      </c>
      <c r="C23" s="2">
        <f>C12/'Output-Calculation-sheet'!C11*'Output-Calculation-sheet'!C29</f>
        <v>10681.718690594007</v>
      </c>
      <c r="D23" s="2">
        <f>D12/'Output-Calculation-sheet'!D11*'Output-Calculation-sheet'!D29</f>
        <v>0</v>
      </c>
      <c r="E23" s="2">
        <f>E12/'Output-Calculation-sheet'!E11*'Output-Calculation-sheet'!E29</f>
        <v>139.63675128141878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8919.8962785486856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1406.1239315010744</v>
      </c>
      <c r="M23" s="2">
        <f>M12/'Output-Calculation-sheet'!M11*'Output-Calculation-sheet'!M29</f>
        <v>6937.2425219516144</v>
      </c>
      <c r="N23" s="2">
        <f>N12/'Output-Calculation-sheet'!N11*'Output-Calculation-sheet'!N29</f>
        <v>4258.3057334575851</v>
      </c>
      <c r="O23" s="2">
        <f>O12/'Output-Calculation-sheet'!O11*'Output-Calculation-sheet'!O29</f>
        <v>2166.2625794290702</v>
      </c>
      <c r="P23" s="2">
        <f>P12/'Output-Calculation-sheet'!P11*'Output-Calculation-sheet'!P29</f>
        <v>0</v>
      </c>
      <c r="Q23" s="2">
        <f>Q12/'Output-Calculation-sheet'!Q11*'Output-Calculation-sheet'!Q29</f>
        <v>837.35178349543082</v>
      </c>
      <c r="R23" s="2">
        <f>R12/'Output-Calculation-sheet'!R11*'Output-Calculation-sheet'!R29</f>
        <v>0</v>
      </c>
      <c r="S23" s="2">
        <f>S12/'Output-Calculation-sheet'!S11*'Output-Calculation-sheet'!S29</f>
        <v>1419.1547245176719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655.76209137817887</v>
      </c>
      <c r="Y23" s="2">
        <f>Y12/'Output-Calculation-sheet'!Y11*'Output-Calculation-sheet'!Y29</f>
        <v>0</v>
      </c>
      <c r="AA23" s="2">
        <f t="shared" si="0"/>
        <v>52.658721474968154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25222.492873993378</v>
      </c>
      <c r="C30" s="2">
        <f>C8/'Output-Calculation-sheet'!C7*'Output-Calculation-sheet'!C16</f>
        <v>0</v>
      </c>
      <c r="D30" s="2">
        <f>D8/'Output-Calculation-sheet'!D7*'Output-Calculation-sheet'!D16</f>
        <v>6893.8976521055529</v>
      </c>
      <c r="E30" s="2">
        <f>E8/'Output-Calculation-sheet'!E7*'Output-Calculation-sheet'!E16</f>
        <v>8417.9474685124223</v>
      </c>
      <c r="F30" s="2">
        <f>F8/'Output-Calculation-sheet'!F7*'Output-Calculation-sheet'!F16</f>
        <v>3786.1515263003512</v>
      </c>
      <c r="G30" s="2">
        <f>G8/'Output-Calculation-sheet'!G7*'Output-Calculation-sheet'!G16</f>
        <v>2180.1986252128613</v>
      </c>
      <c r="H30" s="2">
        <f>H8/'Output-Calculation-sheet'!H7*'Output-Calculation-sheet'!H16</f>
        <v>0</v>
      </c>
      <c r="I30" s="2">
        <f>I8/'Output-Calculation-sheet'!I7*'Output-Calculation-sheet'!I16</f>
        <v>2313.3822059891245</v>
      </c>
      <c r="J30" s="2">
        <f>J8/'Output-Calculation-sheet'!J7*'Output-Calculation-sheet'!J16</f>
        <v>2352.7068538441226</v>
      </c>
      <c r="K30" s="2">
        <f>K8/'Output-Calculation-sheet'!K7*'Output-Calculation-sheet'!K16</f>
        <v>3065.5580908249144</v>
      </c>
      <c r="L30" s="2">
        <f>L8/'Output-Calculation-sheet'!L7*'Output-Calculation-sheet'!L16</f>
        <v>2785.6537696525838</v>
      </c>
      <c r="M30" s="2">
        <f>M8/'Output-Calculation-sheet'!M7*'Output-Calculation-sheet'!M16</f>
        <v>0</v>
      </c>
      <c r="N30" s="2">
        <f>N8/'Output-Calculation-sheet'!N7*'Output-Calculation-sheet'!N16</f>
        <v>1644.7591112955558</v>
      </c>
      <c r="O30" s="2">
        <f>O8/'Output-Calculation-sheet'!O7*'Output-Calculation-sheet'!O16</f>
        <v>0</v>
      </c>
      <c r="P30" s="2">
        <f>P8/'Output-Calculation-sheet'!P7*'Output-Calculation-sheet'!P16</f>
        <v>2475.4233751006541</v>
      </c>
      <c r="Q30" s="2">
        <f>Q8/'Output-Calculation-sheet'!Q7*'Output-Calculation-sheet'!Q16</f>
        <v>2760.7651133403224</v>
      </c>
      <c r="R30" s="2">
        <f>R8/'Output-Calculation-sheet'!R7*'Output-Calculation-sheet'!R16</f>
        <v>2252.1998816434257</v>
      </c>
      <c r="S30" s="2">
        <f>S8/'Output-Calculation-sheet'!S7*'Output-Calculation-sheet'!S16</f>
        <v>1212.3214085404477</v>
      </c>
      <c r="T30" s="2">
        <f>T8/'Output-Calculation-sheet'!T7*'Output-Calculation-sheet'!T16</f>
        <v>714.23836363166379</v>
      </c>
      <c r="U30" s="2">
        <f>U8/'Output-Calculation-sheet'!U7*'Output-Calculation-sheet'!U16</f>
        <v>571.73489674768018</v>
      </c>
      <c r="V30" s="2">
        <f>V8/'Output-Calculation-sheet'!V7*'Output-Calculation-sheet'!V16</f>
        <v>673.1878953426168</v>
      </c>
      <c r="W30" s="2">
        <f>W8/'Output-Calculation-sheet'!W7*'Output-Calculation-sheet'!W16</f>
        <v>310.65006979725962</v>
      </c>
      <c r="X30" s="2">
        <f>X8/'Output-Calculation-sheet'!X7*'Output-Calculation-sheet'!X16</f>
        <v>0</v>
      </c>
      <c r="Y30" s="2">
        <f>Y8/'Output-Calculation-sheet'!Y7*'Output-Calculation-sheet'!Y16</f>
        <v>238.88425352535307</v>
      </c>
      <c r="AA30" s="2">
        <f t="shared" si="1"/>
        <v>69.872153435400307</v>
      </c>
    </row>
    <row r="31" spans="1:27" x14ac:dyDescent="0.25">
      <c r="A31" s="2">
        <v>2032</v>
      </c>
      <c r="B31" s="2">
        <f>B9/'Output-Calculation-sheet'!B8*'Output-Calculation-sheet'!B17</f>
        <v>26728.39379113575</v>
      </c>
      <c r="C31" s="2">
        <f>C9/'Output-Calculation-sheet'!C8*'Output-Calculation-sheet'!C17</f>
        <v>0</v>
      </c>
      <c r="D31" s="2">
        <f>D9/'Output-Calculation-sheet'!D8*'Output-Calculation-sheet'!D17</f>
        <v>7435.1926566052189</v>
      </c>
      <c r="E31" s="2">
        <f>E9/'Output-Calculation-sheet'!E8*'Output-Calculation-sheet'!E17</f>
        <v>9121.7584414468365</v>
      </c>
      <c r="F31" s="2">
        <f>F9/'Output-Calculation-sheet'!F8*'Output-Calculation-sheet'!F17</f>
        <v>4108.4303769211956</v>
      </c>
      <c r="G31" s="2">
        <f>G9/'Output-Calculation-sheet'!G8*'Output-Calculation-sheet'!G17</f>
        <v>2364.6959187132461</v>
      </c>
      <c r="H31" s="2">
        <f>H9/'Output-Calculation-sheet'!H8*'Output-Calculation-sheet'!H17</f>
        <v>0</v>
      </c>
      <c r="I31" s="2">
        <f>I9/'Output-Calculation-sheet'!I8*'Output-Calculation-sheet'!I17</f>
        <v>2506.8661955591047</v>
      </c>
      <c r="J31" s="2">
        <f>J9/'Output-Calculation-sheet'!J8*'Output-Calculation-sheet'!J17</f>
        <v>2543.4322843914915</v>
      </c>
      <c r="K31" s="2">
        <f>K9/'Output-Calculation-sheet'!K8*'Output-Calculation-sheet'!K17</f>
        <v>3307.9542870132013</v>
      </c>
      <c r="L31" s="2">
        <f>L9/'Output-Calculation-sheet'!L8*'Output-Calculation-sheet'!L17</f>
        <v>2992.4303463833285</v>
      </c>
      <c r="M31" s="2">
        <f>M9/'Output-Calculation-sheet'!M8*'Output-Calculation-sheet'!M17</f>
        <v>0</v>
      </c>
      <c r="N31" s="2">
        <f>N9/'Output-Calculation-sheet'!N8*'Output-Calculation-sheet'!N17</f>
        <v>1670.8944800680774</v>
      </c>
      <c r="O31" s="2">
        <f>O9/'Output-Calculation-sheet'!O8*'Output-Calculation-sheet'!O17</f>
        <v>0</v>
      </c>
      <c r="P31" s="2">
        <f>P9/'Output-Calculation-sheet'!P8*'Output-Calculation-sheet'!P17</f>
        <v>2714.8594560000579</v>
      </c>
      <c r="Q31" s="2">
        <f>Q9/'Output-Calculation-sheet'!Q8*'Output-Calculation-sheet'!Q17</f>
        <v>2950.5473549921171</v>
      </c>
      <c r="R31" s="2">
        <f>R9/'Output-Calculation-sheet'!R8*'Output-Calculation-sheet'!R17</f>
        <v>2449.3834980016632</v>
      </c>
      <c r="S31" s="2">
        <f>S9/'Output-Calculation-sheet'!S8*'Output-Calculation-sheet'!S17</f>
        <v>1272.4634627755777</v>
      </c>
      <c r="T31" s="2">
        <f>T9/'Output-Calculation-sheet'!T8*'Output-Calculation-sheet'!T17</f>
        <v>771.64899488903075</v>
      </c>
      <c r="U31" s="2">
        <f>U9/'Output-Calculation-sheet'!U8*'Output-Calculation-sheet'!U17</f>
        <v>619.94847986675325</v>
      </c>
      <c r="V31" s="2">
        <f>V9/'Output-Calculation-sheet'!V8*'Output-Calculation-sheet'!V17</f>
        <v>728.74449693902363</v>
      </c>
      <c r="W31" s="2">
        <f>W9/'Output-Calculation-sheet'!W8*'Output-Calculation-sheet'!W17</f>
        <v>337.06936256272508</v>
      </c>
      <c r="X31" s="2">
        <f>X9/'Output-Calculation-sheet'!X8*'Output-Calculation-sheet'!X17</f>
        <v>0</v>
      </c>
      <c r="Y31" s="2">
        <f>Y9/'Output-Calculation-sheet'!Y8*'Output-Calculation-sheet'!Y17</f>
        <v>259.39661710855916</v>
      </c>
      <c r="AA31" s="2">
        <f t="shared" si="1"/>
        <v>74.884110501372973</v>
      </c>
    </row>
    <row r="32" spans="1:27" x14ac:dyDescent="0.25">
      <c r="A32" s="2">
        <v>2033</v>
      </c>
      <c r="B32" s="2">
        <f>B10/'Output-Calculation-sheet'!B9*'Output-Calculation-sheet'!B18</f>
        <v>27177.23401116809</v>
      </c>
      <c r="C32" s="2">
        <f>C10/'Output-Calculation-sheet'!C9*'Output-Calculation-sheet'!C18</f>
        <v>0</v>
      </c>
      <c r="D32" s="2">
        <f>D10/'Output-Calculation-sheet'!D9*'Output-Calculation-sheet'!D18</f>
        <v>7769.4798611495753</v>
      </c>
      <c r="E32" s="2">
        <f>E10/'Output-Calculation-sheet'!E9*'Output-Calculation-sheet'!E18</f>
        <v>9602.0057833308219</v>
      </c>
      <c r="F32" s="2">
        <f>F10/'Output-Calculation-sheet'!F9*'Output-Calculation-sheet'!F18</f>
        <v>4319.2310409643942</v>
      </c>
      <c r="G32" s="2">
        <f>G10/'Output-Calculation-sheet'!G9*'Output-Calculation-sheet'!G18</f>
        <v>2485.2582542193018</v>
      </c>
      <c r="H32" s="2">
        <f>H10/'Output-Calculation-sheet'!H9*'Output-Calculation-sheet'!H18</f>
        <v>0</v>
      </c>
      <c r="I32" s="2">
        <f>I10/'Output-Calculation-sheet'!I9*'Output-Calculation-sheet'!I18</f>
        <v>2632.580003765745</v>
      </c>
      <c r="J32" s="2">
        <f>J10/'Output-Calculation-sheet'!J9*'Output-Calculation-sheet'!J18</f>
        <v>2650.0503323722683</v>
      </c>
      <c r="K32" s="2">
        <f>K10/'Output-Calculation-sheet'!K9*'Output-Calculation-sheet'!K18</f>
        <v>3498.5198597647609</v>
      </c>
      <c r="L32" s="2">
        <f>L10/'Output-Calculation-sheet'!L9*'Output-Calculation-sheet'!L18</f>
        <v>3052.6564109208748</v>
      </c>
      <c r="M32" s="2">
        <f>M10/'Output-Calculation-sheet'!M9*'Output-Calculation-sheet'!M18</f>
        <v>0</v>
      </c>
      <c r="N32" s="2">
        <f>N10/'Output-Calculation-sheet'!N9*'Output-Calculation-sheet'!N18</f>
        <v>1712.437662928236</v>
      </c>
      <c r="O32" s="2">
        <f>O10/'Output-Calculation-sheet'!O9*'Output-Calculation-sheet'!O18</f>
        <v>0</v>
      </c>
      <c r="P32" s="2">
        <f>P10/'Output-Calculation-sheet'!P9*'Output-Calculation-sheet'!P18</f>
        <v>2878.5259840244789</v>
      </c>
      <c r="Q32" s="2">
        <f>Q10/'Output-Calculation-sheet'!Q9*'Output-Calculation-sheet'!Q18</f>
        <v>3034.0052556003052</v>
      </c>
      <c r="R32" s="2">
        <f>R10/'Output-Calculation-sheet'!R9*'Output-Calculation-sheet'!R18</f>
        <v>2571.0146301626414</v>
      </c>
      <c r="S32" s="2">
        <f>S10/'Output-Calculation-sheet'!S9*'Output-Calculation-sheet'!S18</f>
        <v>1283.15752856208</v>
      </c>
      <c r="T32" s="2">
        <f>T10/'Output-Calculation-sheet'!T9*'Output-Calculation-sheet'!T18</f>
        <v>809.82590225474439</v>
      </c>
      <c r="U32" s="2">
        <f>U10/'Output-Calculation-sheet'!U9*'Output-Calculation-sheet'!U18</f>
        <v>649.32146298034866</v>
      </c>
      <c r="V32" s="2">
        <f>V10/'Output-Calculation-sheet'!V9*'Output-Calculation-sheet'!V18</f>
        <v>755.51771090714044</v>
      </c>
      <c r="W32" s="2">
        <f>W10/'Output-Calculation-sheet'!W9*'Output-Calculation-sheet'!W18</f>
        <v>352.60292320139104</v>
      </c>
      <c r="X32" s="2">
        <f>X10/'Output-Calculation-sheet'!X9*'Output-Calculation-sheet'!X18</f>
        <v>0</v>
      </c>
      <c r="Y32" s="2">
        <f>Y10/'Output-Calculation-sheet'!Y9*'Output-Calculation-sheet'!Y18</f>
        <v>272.75541166239896</v>
      </c>
      <c r="AA32" s="2">
        <f t="shared" si="1"/>
        <v>77.5061800299396</v>
      </c>
    </row>
    <row r="33" spans="1:27" x14ac:dyDescent="0.25">
      <c r="A33" s="2">
        <v>2034</v>
      </c>
      <c r="B33" s="2">
        <f>B11/'Output-Calculation-sheet'!B10*'Output-Calculation-sheet'!B19</f>
        <v>27315.858552194932</v>
      </c>
      <c r="C33" s="2">
        <f>C11/'Output-Calculation-sheet'!C10*'Output-Calculation-sheet'!C19</f>
        <v>0</v>
      </c>
      <c r="D33" s="2">
        <f>D11/'Output-Calculation-sheet'!D10*'Output-Calculation-sheet'!D19</f>
        <v>7905.6117923304291</v>
      </c>
      <c r="E33" s="2">
        <f>E11/'Output-Calculation-sheet'!E10*'Output-Calculation-sheet'!E19</f>
        <v>9834.107934817137</v>
      </c>
      <c r="F33" s="2">
        <f>F11/'Output-Calculation-sheet'!F10*'Output-Calculation-sheet'!F19</f>
        <v>4425.03623130289</v>
      </c>
      <c r="G33" s="2">
        <f>G11/'Output-Calculation-sheet'!G10*'Output-Calculation-sheet'!G19</f>
        <v>2538.8650761199979</v>
      </c>
      <c r="H33" s="2">
        <f>H11/'Output-Calculation-sheet'!H10*'Output-Calculation-sheet'!H19</f>
        <v>0</v>
      </c>
      <c r="I33" s="2">
        <f>I11/'Output-Calculation-sheet'!I10*'Output-Calculation-sheet'!I19</f>
        <v>2700.009881073996</v>
      </c>
      <c r="J33" s="2">
        <f>J11/'Output-Calculation-sheet'!J10*'Output-Calculation-sheet'!J19</f>
        <v>2702.2842183174462</v>
      </c>
      <c r="K33" s="2">
        <f>K11/'Output-Calculation-sheet'!K10*'Output-Calculation-sheet'!K19</f>
        <v>3548.4775319095279</v>
      </c>
      <c r="L33" s="2">
        <f>L11/'Output-Calculation-sheet'!L10*'Output-Calculation-sheet'!L19</f>
        <v>3048.9626332708881</v>
      </c>
      <c r="M33" s="2">
        <f>M11/'Output-Calculation-sheet'!M10*'Output-Calculation-sheet'!M19</f>
        <v>0</v>
      </c>
      <c r="N33" s="2">
        <f>N11/'Output-Calculation-sheet'!N10*'Output-Calculation-sheet'!N19</f>
        <v>1664.5054139245465</v>
      </c>
      <c r="O33" s="2">
        <f>O11/'Output-Calculation-sheet'!O10*'Output-Calculation-sheet'!O19</f>
        <v>0</v>
      </c>
      <c r="P33" s="2">
        <f>P11/'Output-Calculation-sheet'!P10*'Output-Calculation-sheet'!P19</f>
        <v>2978.3338819825071</v>
      </c>
      <c r="Q33" s="2">
        <f>Q11/'Output-Calculation-sheet'!Q10*'Output-Calculation-sheet'!Q19</f>
        <v>2971.378631096436</v>
      </c>
      <c r="R33" s="2">
        <f>R11/'Output-Calculation-sheet'!R10*'Output-Calculation-sheet'!R19</f>
        <v>2625.3438568486063</v>
      </c>
      <c r="S33" s="2">
        <f>S11/'Output-Calculation-sheet'!S10*'Output-Calculation-sheet'!S19</f>
        <v>1279.6289914333977</v>
      </c>
      <c r="T33" s="2">
        <f>T11/'Output-Calculation-sheet'!T10*'Output-Calculation-sheet'!T19</f>
        <v>829.42143271344912</v>
      </c>
      <c r="U33" s="2">
        <f>U11/'Output-Calculation-sheet'!U10*'Output-Calculation-sheet'!U19</f>
        <v>669.16234926561981</v>
      </c>
      <c r="V33" s="2">
        <f>V11/'Output-Calculation-sheet'!V10*'Output-Calculation-sheet'!V19</f>
        <v>767.9153172571522</v>
      </c>
      <c r="W33" s="2">
        <f>W11/'Output-Calculation-sheet'!W10*'Output-Calculation-sheet'!W19</f>
        <v>361.46444681887772</v>
      </c>
      <c r="X33" s="2">
        <f>X11/'Output-Calculation-sheet'!X10*'Output-Calculation-sheet'!X19</f>
        <v>0</v>
      </c>
      <c r="Y33" s="2">
        <f>Y11/'Output-Calculation-sheet'!Y10*'Output-Calculation-sheet'!Y19</f>
        <v>279.50156311444903</v>
      </c>
      <c r="AA33" s="2">
        <f t="shared" si="1"/>
        <v>78.445869735792286</v>
      </c>
    </row>
    <row r="34" spans="1:27" x14ac:dyDescent="0.25">
      <c r="A34" s="2">
        <v>2035</v>
      </c>
      <c r="B34" s="2">
        <f>B12/'Output-Calculation-sheet'!B11*'Output-Calculation-sheet'!B20</f>
        <v>26314.027557177571</v>
      </c>
      <c r="C34" s="2">
        <f>C12/'Output-Calculation-sheet'!C11*'Output-Calculation-sheet'!C20</f>
        <v>0</v>
      </c>
      <c r="D34" s="2">
        <f>D12/'Output-Calculation-sheet'!D11*'Output-Calculation-sheet'!D20</f>
        <v>7932.0020864537828</v>
      </c>
      <c r="E34" s="2">
        <f>E12/'Output-Calculation-sheet'!E11*'Output-Calculation-sheet'!E20</f>
        <v>9764.8785630661987</v>
      </c>
      <c r="F34" s="2">
        <f>F12/'Output-Calculation-sheet'!F11*'Output-Calculation-sheet'!F20</f>
        <v>4434.2235035951417</v>
      </c>
      <c r="G34" s="2">
        <f>G12/'Output-Calculation-sheet'!G11*'Output-Calculation-sheet'!G20</f>
        <v>2540.6622561714471</v>
      </c>
      <c r="H34" s="2">
        <f>H12/'Output-Calculation-sheet'!H11*'Output-Calculation-sheet'!H20</f>
        <v>0</v>
      </c>
      <c r="I34" s="2">
        <f>I12/'Output-Calculation-sheet'!I11*'Output-Calculation-sheet'!I20</f>
        <v>2710.5965688829597</v>
      </c>
      <c r="J34" s="2">
        <f>J12/'Output-Calculation-sheet'!J11*'Output-Calculation-sheet'!J20</f>
        <v>2698.0373354574954</v>
      </c>
      <c r="K34" s="2">
        <f>K12/'Output-Calculation-sheet'!K11*'Output-Calculation-sheet'!K20</f>
        <v>3542.7149100741863</v>
      </c>
      <c r="L34" s="2">
        <f>L12/'Output-Calculation-sheet'!L11*'Output-Calculation-sheet'!L20</f>
        <v>3001.2236824090323</v>
      </c>
      <c r="M34" s="2">
        <f>M12/'Output-Calculation-sheet'!M11*'Output-Calculation-sheet'!M20</f>
        <v>0</v>
      </c>
      <c r="N34" s="2">
        <f>N12/'Output-Calculation-sheet'!N11*'Output-Calculation-sheet'!N20</f>
        <v>1633.2196649151781</v>
      </c>
      <c r="O34" s="2">
        <f>O12/'Output-Calculation-sheet'!O11*'Output-Calculation-sheet'!O20</f>
        <v>0</v>
      </c>
      <c r="P34" s="2">
        <f>P12/'Output-Calculation-sheet'!P11*'Output-Calculation-sheet'!P20</f>
        <v>2991.1185521895395</v>
      </c>
      <c r="Q34" s="2">
        <f>Q12/'Output-Calculation-sheet'!Q11*'Output-Calculation-sheet'!Q20</f>
        <v>2857.1460063252816</v>
      </c>
      <c r="R34" s="2">
        <f>R12/'Output-Calculation-sheet'!R11*'Output-Calculation-sheet'!R20</f>
        <v>2628.4372507452081</v>
      </c>
      <c r="S34" s="2">
        <f>S12/'Output-Calculation-sheet'!S11*'Output-Calculation-sheet'!S20</f>
        <v>1227.6415754558841</v>
      </c>
      <c r="T34" s="2">
        <f>T12/'Output-Calculation-sheet'!T11*'Output-Calculation-sheet'!T20</f>
        <v>829.59170517873088</v>
      </c>
      <c r="U34" s="2">
        <f>U12/'Output-Calculation-sheet'!U11*'Output-Calculation-sheet'!U20</f>
        <v>668.21941298061165</v>
      </c>
      <c r="V34" s="2">
        <f>V12/'Output-Calculation-sheet'!V11*'Output-Calculation-sheet'!V20</f>
        <v>767.11179376807422</v>
      </c>
      <c r="W34" s="2">
        <f>W12/'Output-Calculation-sheet'!W11*'Output-Calculation-sheet'!W20</f>
        <v>362.4547999148125</v>
      </c>
      <c r="X34" s="2">
        <f>X12/'Output-Calculation-sheet'!X11*'Output-Calculation-sheet'!X20</f>
        <v>0</v>
      </c>
      <c r="Y34" s="2">
        <f>Y12/'Output-Calculation-sheet'!Y11*'Output-Calculation-sheet'!Y20</f>
        <v>281.47622554607568</v>
      </c>
      <c r="AA34" s="2">
        <f t="shared" si="1"/>
        <v>77.184783450307222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1114.53537809564</v>
      </c>
      <c r="C52" s="2">
        <f>C8/'Output-Calculation-sheet'!C7*'Output-Calculation-sheet'!C43</f>
        <v>0</v>
      </c>
      <c r="D52" s="2">
        <f>D8/'Output-Calculation-sheet'!D7*'Output-Calculation-sheet'!D43</f>
        <v>2421.0488854367422</v>
      </c>
      <c r="E52" s="2">
        <f>E8/'Output-Calculation-sheet'!E7*'Output-Calculation-sheet'!E43</f>
        <v>1737.8860183028903</v>
      </c>
      <c r="F52" s="2">
        <f>F8/'Output-Calculation-sheet'!F7*'Output-Calculation-sheet'!F43</f>
        <v>0</v>
      </c>
      <c r="G52" s="2">
        <f>G8/'Output-Calculation-sheet'!G7*'Output-Calculation-sheet'!G43</f>
        <v>616.34224379901241</v>
      </c>
      <c r="H52" s="2">
        <f>H8/'Output-Calculation-sheet'!H7*'Output-Calculation-sheet'!H43</f>
        <v>4722.2889317171312</v>
      </c>
      <c r="I52" s="2">
        <f>I8/'Output-Calculation-sheet'!I7*'Output-Calculation-sheet'!I43</f>
        <v>201.58656363799051</v>
      </c>
      <c r="J52" s="2">
        <f>J8/'Output-Calculation-sheet'!J7*'Output-Calculation-sheet'!J43</f>
        <v>1097.2748253073012</v>
      </c>
      <c r="K52" s="2">
        <f>K8/'Output-Calculation-sheet'!K7*'Output-Calculation-sheet'!K43</f>
        <v>2204.1724504036756</v>
      </c>
      <c r="L52" s="2">
        <f>L8/'Output-Calculation-sheet'!L7*'Output-Calculation-sheet'!L43</f>
        <v>2048.0431515373598</v>
      </c>
      <c r="M52" s="2">
        <f>M8/'Output-Calculation-sheet'!M7*'Output-Calculation-sheet'!M43</f>
        <v>13371.081444916554</v>
      </c>
      <c r="N52" s="2">
        <f>N8/'Output-Calculation-sheet'!N7*'Output-Calculation-sheet'!N43</f>
        <v>7653.7132237897467</v>
      </c>
      <c r="O52" s="2">
        <f>O8/'Output-Calculation-sheet'!O7*'Output-Calculation-sheet'!O43</f>
        <v>0</v>
      </c>
      <c r="P52" s="2">
        <f>P8/'Output-Calculation-sheet'!P7*'Output-Calculation-sheet'!P43</f>
        <v>1627.775986257117</v>
      </c>
      <c r="Q52" s="2">
        <f>Q8/'Output-Calculation-sheet'!Q7*'Output-Calculation-sheet'!Q43</f>
        <v>369.86449985919808</v>
      </c>
      <c r="R52" s="2">
        <f>R8/'Output-Calculation-sheet'!R7*'Output-Calculation-sheet'!R43</f>
        <v>2966.211687465408</v>
      </c>
      <c r="S52" s="2">
        <f>S8/'Output-Calculation-sheet'!S7*'Output-Calculation-sheet'!S43</f>
        <v>494.49869127975489</v>
      </c>
      <c r="T52" s="2">
        <f>T8/'Output-Calculation-sheet'!T7*'Output-Calculation-sheet'!T43</f>
        <v>879.09527814037813</v>
      </c>
      <c r="U52" s="2">
        <f>U8/'Output-Calculation-sheet'!U7*'Output-Calculation-sheet'!U43</f>
        <v>328.37391203391815</v>
      </c>
      <c r="V52" s="2">
        <f>V8/'Output-Calculation-sheet'!V7*'Output-Calculation-sheet'!V43</f>
        <v>858.52682446106382</v>
      </c>
      <c r="W52" s="2">
        <f>W8/'Output-Calculation-sheet'!W7*'Output-Calculation-sheet'!W43</f>
        <v>10.277691249068438</v>
      </c>
      <c r="X52" s="2">
        <f>X8/'Output-Calculation-sheet'!X7*'Output-Calculation-sheet'!X43</f>
        <v>696.5444175278966</v>
      </c>
      <c r="Y52" s="2">
        <f>Y8/'Output-Calculation-sheet'!Y7*'Output-Calculation-sheet'!Y43</f>
        <v>0</v>
      </c>
      <c r="AA52" s="2">
        <f t="shared" si="3"/>
        <v>45.419142105217844</v>
      </c>
    </row>
    <row r="53" spans="1:27" x14ac:dyDescent="0.25">
      <c r="A53" s="2">
        <v>2032</v>
      </c>
      <c r="B53" s="2">
        <f>B9/'Output-Calculation-sheet'!B8*'Output-Calculation-sheet'!B44</f>
        <v>3810.0629611714344</v>
      </c>
      <c r="C53" s="2">
        <f>C9/'Output-Calculation-sheet'!C8*'Output-Calculation-sheet'!C44</f>
        <v>0</v>
      </c>
      <c r="D53" s="2">
        <f>D9/'Output-Calculation-sheet'!D8*'Output-Calculation-sheet'!D44</f>
        <v>3372.3900516414606</v>
      </c>
      <c r="E53" s="2">
        <f>E9/'Output-Calculation-sheet'!E8*'Output-Calculation-sheet'!E44</f>
        <v>2211.1242163668162</v>
      </c>
      <c r="F53" s="2">
        <f>F9/'Output-Calculation-sheet'!F8*'Output-Calculation-sheet'!F44</f>
        <v>0</v>
      </c>
      <c r="G53" s="2">
        <f>G9/'Output-Calculation-sheet'!G8*'Output-Calculation-sheet'!G44</f>
        <v>816.58041905736991</v>
      </c>
      <c r="H53" s="2">
        <f>H9/'Output-Calculation-sheet'!H8*'Output-Calculation-sheet'!H44</f>
        <v>10254.330128900685</v>
      </c>
      <c r="I53" s="2">
        <f>I9/'Output-Calculation-sheet'!I8*'Output-Calculation-sheet'!I44</f>
        <v>299.2266173786856</v>
      </c>
      <c r="J53" s="2">
        <f>J9/'Output-Calculation-sheet'!J8*'Output-Calculation-sheet'!J44</f>
        <v>1372.9946918155517</v>
      </c>
      <c r="K53" s="2">
        <f>K9/'Output-Calculation-sheet'!K8*'Output-Calculation-sheet'!K44</f>
        <v>2486.4197973961245</v>
      </c>
      <c r="L53" s="2">
        <f>L9/'Output-Calculation-sheet'!L8*'Output-Calculation-sheet'!L44</f>
        <v>2423.5197212843009</v>
      </c>
      <c r="M53" s="2">
        <f>M9/'Output-Calculation-sheet'!M8*'Output-Calculation-sheet'!M44</f>
        <v>14575.643999435008</v>
      </c>
      <c r="N53" s="2">
        <f>N9/'Output-Calculation-sheet'!N8*'Output-Calculation-sheet'!N44</f>
        <v>9708.85810614804</v>
      </c>
      <c r="O53" s="2">
        <f>O9/'Output-Calculation-sheet'!O8*'Output-Calculation-sheet'!O44</f>
        <v>0</v>
      </c>
      <c r="P53" s="2">
        <f>P9/'Output-Calculation-sheet'!P8*'Output-Calculation-sheet'!P44</f>
        <v>2013.5018484857087</v>
      </c>
      <c r="Q53" s="2">
        <f>Q9/'Output-Calculation-sheet'!Q8*'Output-Calculation-sheet'!Q44</f>
        <v>607.60144870455804</v>
      </c>
      <c r="R53" s="2">
        <f>R9/'Output-Calculation-sheet'!R8*'Output-Calculation-sheet'!R44</f>
        <v>3408.7121693351601</v>
      </c>
      <c r="S53" s="2">
        <f>S9/'Output-Calculation-sheet'!S8*'Output-Calculation-sheet'!S44</f>
        <v>988.14911151702427</v>
      </c>
      <c r="T53" s="2">
        <f>T9/'Output-Calculation-sheet'!T8*'Output-Calculation-sheet'!T44</f>
        <v>1012.7045156732056</v>
      </c>
      <c r="U53" s="2">
        <f>U9/'Output-Calculation-sheet'!U8*'Output-Calculation-sheet'!U44</f>
        <v>437.57420000244366</v>
      </c>
      <c r="V53" s="2">
        <f>V9/'Output-Calculation-sheet'!V8*'Output-Calculation-sheet'!V44</f>
        <v>943.89210216218044</v>
      </c>
      <c r="W53" s="2">
        <f>W9/'Output-Calculation-sheet'!W8*'Output-Calculation-sheet'!W44</f>
        <v>25.888583914187794</v>
      </c>
      <c r="X53" s="2">
        <f>X9/'Output-Calculation-sheet'!X8*'Output-Calculation-sheet'!X44</f>
        <v>1402.1520136268641</v>
      </c>
      <c r="Y53" s="2">
        <f>Y9/'Output-Calculation-sheet'!Y8*'Output-Calculation-sheet'!Y44</f>
        <v>0</v>
      </c>
      <c r="AA53" s="2">
        <f t="shared" si="3"/>
        <v>62.171326704016792</v>
      </c>
    </row>
    <row r="54" spans="1:27" x14ac:dyDescent="0.25">
      <c r="A54" s="2">
        <v>2033</v>
      </c>
      <c r="B54" s="2">
        <f>B10/'Output-Calculation-sheet'!B9*'Output-Calculation-sheet'!B45</f>
        <v>7755.8206461390446</v>
      </c>
      <c r="C54" s="2">
        <f>C10/'Output-Calculation-sheet'!C9*'Output-Calculation-sheet'!C45</f>
        <v>0</v>
      </c>
      <c r="D54" s="2">
        <f>D10/'Output-Calculation-sheet'!D9*'Output-Calculation-sheet'!D45</f>
        <v>4406.5154216526817</v>
      </c>
      <c r="E54" s="2">
        <f>E10/'Output-Calculation-sheet'!E9*'Output-Calculation-sheet'!E45</f>
        <v>2941.6836957386195</v>
      </c>
      <c r="F54" s="2">
        <f>F10/'Output-Calculation-sheet'!F9*'Output-Calculation-sheet'!F45</f>
        <v>0</v>
      </c>
      <c r="G54" s="2">
        <f>G10/'Output-Calculation-sheet'!G9*'Output-Calculation-sheet'!G45</f>
        <v>1043.2697602050191</v>
      </c>
      <c r="H54" s="2">
        <f>H10/'Output-Calculation-sheet'!H9*'Output-Calculation-sheet'!H45</f>
        <v>20703.006978783324</v>
      </c>
      <c r="I54" s="2">
        <f>I10/'Output-Calculation-sheet'!I9*'Output-Calculation-sheet'!I45</f>
        <v>426.5267552708537</v>
      </c>
      <c r="J54" s="2">
        <f>J10/'Output-Calculation-sheet'!J9*'Output-Calculation-sheet'!J45</f>
        <v>1744.7686670462747</v>
      </c>
      <c r="K54" s="2">
        <f>K10/'Output-Calculation-sheet'!K9*'Output-Calculation-sheet'!K45</f>
        <v>2962.4078759501263</v>
      </c>
      <c r="L54" s="2">
        <f>L10/'Output-Calculation-sheet'!L9*'Output-Calculation-sheet'!L45</f>
        <v>2822.233285435223</v>
      </c>
      <c r="M54" s="2">
        <f>M10/'Output-Calculation-sheet'!M9*'Output-Calculation-sheet'!M45</f>
        <v>15404.73791501218</v>
      </c>
      <c r="N54" s="2">
        <f>N10/'Output-Calculation-sheet'!N9*'Output-Calculation-sheet'!N45</f>
        <v>10790.890339573663</v>
      </c>
      <c r="O54" s="2">
        <f>O10/'Output-Calculation-sheet'!O9*'Output-Calculation-sheet'!O45</f>
        <v>0</v>
      </c>
      <c r="P54" s="2">
        <f>P10/'Output-Calculation-sheet'!P9*'Output-Calculation-sheet'!P45</f>
        <v>2449.1579763037312</v>
      </c>
      <c r="Q54" s="2">
        <f>Q10/'Output-Calculation-sheet'!Q9*'Output-Calculation-sheet'!Q45</f>
        <v>943.62965728957465</v>
      </c>
      <c r="R54" s="2">
        <f>R10/'Output-Calculation-sheet'!R9*'Output-Calculation-sheet'!R45</f>
        <v>3635.1638607435839</v>
      </c>
      <c r="S54" s="2">
        <f>S10/'Output-Calculation-sheet'!S9*'Output-Calculation-sheet'!S45</f>
        <v>1614.6917343762066</v>
      </c>
      <c r="T54" s="2">
        <f>T10/'Output-Calculation-sheet'!T9*'Output-Calculation-sheet'!T45</f>
        <v>1171.7791655102151</v>
      </c>
      <c r="U54" s="2">
        <f>U10/'Output-Calculation-sheet'!U9*'Output-Calculation-sheet'!U45</f>
        <v>526.88215584199065</v>
      </c>
      <c r="V54" s="2">
        <f>V10/'Output-Calculation-sheet'!V9*'Output-Calculation-sheet'!V45</f>
        <v>1022.3816422874449</v>
      </c>
      <c r="W54" s="2">
        <f>W10/'Output-Calculation-sheet'!W9*'Output-Calculation-sheet'!W45</f>
        <v>34.793670538582774</v>
      </c>
      <c r="X54" s="2">
        <f>X10/'Output-Calculation-sheet'!X9*'Output-Calculation-sheet'!X45</f>
        <v>1484.1860731658198</v>
      </c>
      <c r="Y54" s="2">
        <f>Y10/'Output-Calculation-sheet'!Y9*'Output-Calculation-sheet'!Y45</f>
        <v>11.154728106592465</v>
      </c>
      <c r="AA54" s="2">
        <f t="shared" si="3"/>
        <v>83.895682004970752</v>
      </c>
    </row>
    <row r="55" spans="1:27" x14ac:dyDescent="0.25">
      <c r="A55" s="2">
        <v>2034</v>
      </c>
      <c r="B55" s="2">
        <f>B11/'Output-Calculation-sheet'!B10*'Output-Calculation-sheet'!B46</f>
        <v>16031.813312684344</v>
      </c>
      <c r="C55" s="2">
        <f>C11/'Output-Calculation-sheet'!C10*'Output-Calculation-sheet'!C46</f>
        <v>0</v>
      </c>
      <c r="D55" s="2">
        <f>D11/'Output-Calculation-sheet'!D10*'Output-Calculation-sheet'!D46</f>
        <v>5122.6595748679547</v>
      </c>
      <c r="E55" s="2">
        <f>E11/'Output-Calculation-sheet'!E10*'Output-Calculation-sheet'!E46</f>
        <v>3356.9114944504959</v>
      </c>
      <c r="F55" s="2">
        <f>F11/'Output-Calculation-sheet'!F10*'Output-Calculation-sheet'!F46</f>
        <v>0</v>
      </c>
      <c r="G55" s="2">
        <f>G11/'Output-Calculation-sheet'!G10*'Output-Calculation-sheet'!G46</f>
        <v>1289.5495104225915</v>
      </c>
      <c r="H55" s="2">
        <f>H11/'Output-Calculation-sheet'!H10*'Output-Calculation-sheet'!H46</f>
        <v>21330.58598866688</v>
      </c>
      <c r="I55" s="2">
        <f>I11/'Output-Calculation-sheet'!I10*'Output-Calculation-sheet'!I46</f>
        <v>579.93639647614668</v>
      </c>
      <c r="J55" s="2">
        <f>J11/'Output-Calculation-sheet'!J10*'Output-Calculation-sheet'!J46</f>
        <v>2008.8132032307249</v>
      </c>
      <c r="K55" s="2">
        <f>K11/'Output-Calculation-sheet'!K10*'Output-Calculation-sheet'!K46</f>
        <v>3419.917146510295</v>
      </c>
      <c r="L55" s="2">
        <f>L11/'Output-Calculation-sheet'!L10*'Output-Calculation-sheet'!L46</f>
        <v>3263.225085963863</v>
      </c>
      <c r="M55" s="2">
        <f>M11/'Output-Calculation-sheet'!M10*'Output-Calculation-sheet'!M46</f>
        <v>15837.979446497409</v>
      </c>
      <c r="N55" s="2">
        <f>N11/'Output-Calculation-sheet'!N10*'Output-Calculation-sheet'!N46</f>
        <v>11658.80352865635</v>
      </c>
      <c r="O55" s="2">
        <f>O11/'Output-Calculation-sheet'!O10*'Output-Calculation-sheet'!O46</f>
        <v>0</v>
      </c>
      <c r="P55" s="2">
        <f>P11/'Output-Calculation-sheet'!P10*'Output-Calculation-sheet'!P46</f>
        <v>2712.1704495880431</v>
      </c>
      <c r="Q55" s="2">
        <f>Q11/'Output-Calculation-sheet'!Q10*'Output-Calculation-sheet'!Q46</f>
        <v>1517.4257193118751</v>
      </c>
      <c r="R55" s="2">
        <f>R11/'Output-Calculation-sheet'!R10*'Output-Calculation-sheet'!R46</f>
        <v>3798.7290533179194</v>
      </c>
      <c r="S55" s="2">
        <f>S11/'Output-Calculation-sheet'!S10*'Output-Calculation-sheet'!S46</f>
        <v>2445.6676185251945</v>
      </c>
      <c r="T55" s="2">
        <f>T11/'Output-Calculation-sheet'!T10*'Output-Calculation-sheet'!T46</f>
        <v>1256.0304919738719</v>
      </c>
      <c r="U55" s="2">
        <f>U11/'Output-Calculation-sheet'!U10*'Output-Calculation-sheet'!U46</f>
        <v>596.33297106655141</v>
      </c>
      <c r="V55" s="2">
        <f>V11/'Output-Calculation-sheet'!V10*'Output-Calculation-sheet'!V46</f>
        <v>1097.2104953369203</v>
      </c>
      <c r="W55" s="2">
        <f>W11/'Output-Calculation-sheet'!W10*'Output-Calculation-sheet'!W46</f>
        <v>55.192634319259746</v>
      </c>
      <c r="X55" s="2">
        <f>X11/'Output-Calculation-sheet'!X10*'Output-Calculation-sheet'!X46</f>
        <v>1534.7218022987079</v>
      </c>
      <c r="Y55" s="2">
        <f>Y11/'Output-Calculation-sheet'!Y10*'Output-Calculation-sheet'!Y46</f>
        <v>18.200122947130339</v>
      </c>
      <c r="AA55" s="2">
        <f t="shared" si="3"/>
        <v>98.931876047112539</v>
      </c>
    </row>
    <row r="56" spans="1:27" x14ac:dyDescent="0.25">
      <c r="A56" s="2">
        <v>2035</v>
      </c>
      <c r="B56" s="2">
        <f>B12/'Output-Calculation-sheet'!B11*'Output-Calculation-sheet'!B47</f>
        <v>27305.782095959734</v>
      </c>
      <c r="C56" s="2">
        <f>C12/'Output-Calculation-sheet'!C11*'Output-Calculation-sheet'!C47</f>
        <v>1619.991649679183</v>
      </c>
      <c r="D56" s="2">
        <f>D12/'Output-Calculation-sheet'!D11*'Output-Calculation-sheet'!D47</f>
        <v>5829.848431890091</v>
      </c>
      <c r="E56" s="2">
        <f>E12/'Output-Calculation-sheet'!E11*'Output-Calculation-sheet'!E47</f>
        <v>4205.496848189744</v>
      </c>
      <c r="F56" s="2">
        <f>F12/'Output-Calculation-sheet'!F11*'Output-Calculation-sheet'!F47</f>
        <v>89.659970551503179</v>
      </c>
      <c r="G56" s="2">
        <f>G12/'Output-Calculation-sheet'!G11*'Output-Calculation-sheet'!G47</f>
        <v>1544.3386262138547</v>
      </c>
      <c r="H56" s="2">
        <f>H12/'Output-Calculation-sheet'!H11*'Output-Calculation-sheet'!H47</f>
        <v>21599.245679563363</v>
      </c>
      <c r="I56" s="2">
        <f>I12/'Output-Calculation-sheet'!I11*'Output-Calculation-sheet'!I47</f>
        <v>665.58185382743375</v>
      </c>
      <c r="J56" s="2">
        <f>J12/'Output-Calculation-sheet'!J11*'Output-Calculation-sheet'!J47</f>
        <v>2176.5987399531846</v>
      </c>
      <c r="K56" s="2">
        <f>K12/'Output-Calculation-sheet'!K11*'Output-Calculation-sheet'!K47</f>
        <v>3583.6711518091479</v>
      </c>
      <c r="L56" s="2">
        <f>L12/'Output-Calculation-sheet'!L11*'Output-Calculation-sheet'!L47</f>
        <v>3686.3401823027766</v>
      </c>
      <c r="M56" s="2">
        <f>M12/'Output-Calculation-sheet'!M11*'Output-Calculation-sheet'!M47</f>
        <v>15977.610393776053</v>
      </c>
      <c r="N56" s="2">
        <f>N12/'Output-Calculation-sheet'!N11*'Output-Calculation-sheet'!N47</f>
        <v>12246.565379705464</v>
      </c>
      <c r="O56" s="2">
        <f>O12/'Output-Calculation-sheet'!O11*'Output-Calculation-sheet'!O47</f>
        <v>767.13194041345446</v>
      </c>
      <c r="P56" s="2">
        <f>P12/'Output-Calculation-sheet'!P11*'Output-Calculation-sheet'!P47</f>
        <v>2823.5367763465183</v>
      </c>
      <c r="Q56" s="2">
        <f>Q12/'Output-Calculation-sheet'!Q11*'Output-Calculation-sheet'!Q47</f>
        <v>2179.2088937707776</v>
      </c>
      <c r="R56" s="2">
        <f>R12/'Output-Calculation-sheet'!R11*'Output-Calculation-sheet'!R47</f>
        <v>3882.6397884445441</v>
      </c>
      <c r="S56" s="2">
        <f>S12/'Output-Calculation-sheet'!S11*'Output-Calculation-sheet'!S47</f>
        <v>3322.7833433433211</v>
      </c>
      <c r="T56" s="2">
        <f>T12/'Output-Calculation-sheet'!T11*'Output-Calculation-sheet'!T47</f>
        <v>1355.1323622413663</v>
      </c>
      <c r="U56" s="2">
        <f>U12/'Output-Calculation-sheet'!U11*'Output-Calculation-sheet'!U47</f>
        <v>677.62365077748882</v>
      </c>
      <c r="V56" s="2">
        <f>V12/'Output-Calculation-sheet'!V11*'Output-Calculation-sheet'!V47</f>
        <v>1122.2590876341656</v>
      </c>
      <c r="W56" s="2">
        <f>W12/'Output-Calculation-sheet'!W11*'Output-Calculation-sheet'!W47</f>
        <v>70.818848287290365</v>
      </c>
      <c r="X56" s="2">
        <f>X12/'Output-Calculation-sheet'!X11*'Output-Calculation-sheet'!X47</f>
        <v>1550.4485376868151</v>
      </c>
      <c r="Y56" s="2">
        <f>Y12/'Output-Calculation-sheet'!Y11*'Output-Calculation-sheet'!Y47</f>
        <v>27.24512769955966</v>
      </c>
      <c r="AA56" s="2">
        <f t="shared" si="3"/>
        <v>118.30955936006684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6.8854300251192138</v>
      </c>
      <c r="C63" s="2">
        <f>C8*'Output-Calculation-sheet'!C52/10^9</f>
        <v>4.230249177961583</v>
      </c>
      <c r="D63" s="2">
        <f>D8*'Output-Calculation-sheet'!D52/10^9</f>
        <v>1.4903977885446282</v>
      </c>
      <c r="E63" s="2">
        <f>E8*'Output-Calculation-sheet'!E52/10^9</f>
        <v>1.7823003846297616</v>
      </c>
      <c r="F63" s="2">
        <f>F8*'Output-Calculation-sheet'!F52/10^9</f>
        <v>0.69197791607831816</v>
      </c>
      <c r="G63" s="2">
        <f>G8*'Output-Calculation-sheet'!G52/10^9</f>
        <v>0.48840041074532392</v>
      </c>
      <c r="H63" s="2">
        <f>H8*'Output-Calculation-sheet'!H52/10^9</f>
        <v>1.3012861932476703</v>
      </c>
      <c r="I63" s="2">
        <f>I8*'Output-Calculation-sheet'!I52/10^9</f>
        <v>0.47850007606736961</v>
      </c>
      <c r="J63" s="2">
        <f>J8*'Output-Calculation-sheet'!J52/10^9</f>
        <v>0.49816680621185583</v>
      </c>
      <c r="K63" s="2">
        <f>K8*'Output-Calculation-sheet'!K52/10^9</f>
        <v>0.60093275863208129</v>
      </c>
      <c r="L63" s="2">
        <f>L8*'Output-Calculation-sheet'!L52/10^9</f>
        <v>0.62728598338818387</v>
      </c>
      <c r="M63" s="2">
        <f>M8*'Output-Calculation-sheet'!M52/10^9</f>
        <v>0.98193820667001863</v>
      </c>
      <c r="N63" s="2">
        <f>N8*'Output-Calculation-sheet'!N52/10^9</f>
        <v>0.84435874038478542</v>
      </c>
      <c r="O63" s="2">
        <f>O8*'Output-Calculation-sheet'!O52/10^9</f>
        <v>0.88540158021597692</v>
      </c>
      <c r="P63" s="2">
        <f>P8*'Output-Calculation-sheet'!P52/10^9</f>
        <v>0.53907520320747671</v>
      </c>
      <c r="Q63" s="2">
        <f>Q8*'Output-Calculation-sheet'!Q52/10^9</f>
        <v>0.58691297594962288</v>
      </c>
      <c r="R63" s="2">
        <f>R8*'Output-Calculation-sheet'!R52/10^9</f>
        <v>0.45273934652554654</v>
      </c>
      <c r="S63" s="2">
        <f>S8*'Output-Calculation-sheet'!S52/10^9</f>
        <v>0.4311686012799027</v>
      </c>
      <c r="T63" s="2">
        <f>T8*'Output-Calculation-sheet'!T52/10^9</f>
        <v>0.14030746106563849</v>
      </c>
      <c r="U63" s="2">
        <f>U8*'Output-Calculation-sheet'!U52/10^9</f>
        <v>0.13682758188547559</v>
      </c>
      <c r="V63" s="2">
        <f>V8*'Output-Calculation-sheet'!V52/10^9</f>
        <v>0.11666414569591935</v>
      </c>
      <c r="W63" s="2">
        <f>W8*'Output-Calculation-sheet'!W52/10^9</f>
        <v>6.0097855425921089E-2</v>
      </c>
      <c r="X63" s="2">
        <f>X8*'Output-Calculation-sheet'!X52/10^9</f>
        <v>0.11361964878754001</v>
      </c>
      <c r="Y63" s="2">
        <f>Y8*'Output-Calculation-sheet'!Y52/10^9</f>
        <v>5.4736714431823458E-2</v>
      </c>
      <c r="AA63" s="2">
        <f t="shared" si="4"/>
        <v>24.418775582151643</v>
      </c>
    </row>
    <row r="64" spans="1:27" x14ac:dyDescent="0.25">
      <c r="A64" s="2">
        <v>2032</v>
      </c>
      <c r="B64" s="2">
        <f>B9*'Output-Calculation-sheet'!B53/10^9</f>
        <v>7.3791558250032159</v>
      </c>
      <c r="C64" s="2">
        <f>C9*'Output-Calculation-sheet'!C53/10^9</f>
        <v>4.5323273820790453</v>
      </c>
      <c r="D64" s="2">
        <f>D9*'Output-Calculation-sheet'!D53/10^9</f>
        <v>1.5983740322784161</v>
      </c>
      <c r="E64" s="2">
        <f>E9*'Output-Calculation-sheet'!E53/10^9</f>
        <v>1.9123609244295179</v>
      </c>
      <c r="F64" s="2">
        <f>F9*'Output-Calculation-sheet'!F53/10^9</f>
        <v>0.74248663769753642</v>
      </c>
      <c r="G64" s="2">
        <f>G9*'Output-Calculation-sheet'!G53/10^9</f>
        <v>0.52402731331440755</v>
      </c>
      <c r="H64" s="2">
        <f>H9*'Output-Calculation-sheet'!H53/10^9</f>
        <v>1.3823154524429535</v>
      </c>
      <c r="I64" s="2">
        <f>I9*'Output-Calculation-sheet'!I53/10^9</f>
        <v>0.51357956377717306</v>
      </c>
      <c r="J64" s="2">
        <f>J9*'Output-Calculation-sheet'!J53/10^9</f>
        <v>0.53395734011498097</v>
      </c>
      <c r="K64" s="2">
        <f>K9*'Output-Calculation-sheet'!K53/10^9</f>
        <v>0.64319246907848082</v>
      </c>
      <c r="L64" s="2">
        <f>L9*'Output-Calculation-sheet'!L53/10^9</f>
        <v>0.66851804209199062</v>
      </c>
      <c r="M64" s="2">
        <f>M9*'Output-Calculation-sheet'!M53/10^9</f>
        <v>1.0289795850856815</v>
      </c>
      <c r="N64" s="2">
        <f>N9*'Output-Calculation-sheet'!N53/10^9</f>
        <v>0.89191926839426305</v>
      </c>
      <c r="O64" s="2">
        <f>O9*'Output-Calculation-sheet'!O53/10^9</f>
        <v>0.94859487252417207</v>
      </c>
      <c r="P64" s="2">
        <f>P9*'Output-Calculation-sheet'!P53/10^9</f>
        <v>0.57756573237216102</v>
      </c>
      <c r="Q64" s="2">
        <f>Q9*'Output-Calculation-sheet'!Q53/10^9</f>
        <v>0.62979903374304358</v>
      </c>
      <c r="R64" s="2">
        <f>R9*'Output-Calculation-sheet'!R53/10^9</f>
        <v>0.48348206594902898</v>
      </c>
      <c r="S64" s="2">
        <f>S9*'Output-Calculation-sheet'!S53/10^9</f>
        <v>0.46118620944603284</v>
      </c>
      <c r="T64" s="2">
        <f>T9*'Output-Calculation-sheet'!T53/10^9</f>
        <v>0.14984888384373921</v>
      </c>
      <c r="U64" s="2">
        <f>U9*'Output-Calculation-sheet'!U53/10^9</f>
        <v>0.14671522310388221</v>
      </c>
      <c r="V64" s="2">
        <f>V9*'Output-Calculation-sheet'!V53/10^9</f>
        <v>0.12442961352782064</v>
      </c>
      <c r="W64" s="2">
        <f>W9*'Output-Calculation-sheet'!W53/10^9</f>
        <v>6.4491189037443497E-2</v>
      </c>
      <c r="X64" s="2">
        <f>X9*'Output-Calculation-sheet'!X53/10^9</f>
        <v>0.11992052889760706</v>
      </c>
      <c r="Y64" s="2">
        <f>Y9*'Output-Calculation-sheet'!Y53/10^9</f>
        <v>5.8804529861543477E-2</v>
      </c>
      <c r="AA64" s="2">
        <f t="shared" si="4"/>
        <v>26.116031718094135</v>
      </c>
    </row>
    <row r="65" spans="1:27" x14ac:dyDescent="0.25">
      <c r="A65" s="2">
        <v>2033</v>
      </c>
      <c r="B65" s="2">
        <f>B10*'Output-Calculation-sheet'!B54/10^9</f>
        <v>7.6490189922987026</v>
      </c>
      <c r="C65" s="2">
        <f>C10*'Output-Calculation-sheet'!C54/10^9</f>
        <v>4.7006094898314448</v>
      </c>
      <c r="D65" s="2">
        <f>D10*'Output-Calculation-sheet'!D54/10^9</f>
        <v>1.659180362440082</v>
      </c>
      <c r="E65" s="2">
        <f>E10*'Output-Calculation-sheet'!E54/10^9</f>
        <v>1.986456279205564</v>
      </c>
      <c r="F65" s="2">
        <f>F10*'Output-Calculation-sheet'!F54/10^9</f>
        <v>0.77137854570039621</v>
      </c>
      <c r="G65" s="2">
        <f>G10*'Output-Calculation-sheet'!G54/10^9</f>
        <v>0.54428042895210871</v>
      </c>
      <c r="H65" s="2">
        <f>H10*'Output-Calculation-sheet'!H54/10^9</f>
        <v>1.4090356975674327</v>
      </c>
      <c r="I65" s="2">
        <f>I10*'Output-Calculation-sheet'!I54/10^9</f>
        <v>0.53366388931765518</v>
      </c>
      <c r="J65" s="2">
        <f>J10*'Output-Calculation-sheet'!J54/10^9</f>
        <v>0.55406383954597338</v>
      </c>
      <c r="K65" s="2">
        <f>K10*'Output-Calculation-sheet'!K54/10^9</f>
        <v>0.66641381697843538</v>
      </c>
      <c r="L65" s="2">
        <f>L10*'Output-Calculation-sheet'!L54/10^9</f>
        <v>0.68925207832700774</v>
      </c>
      <c r="M65" s="2">
        <f>M10*'Output-Calculation-sheet'!M54/10^9</f>
        <v>1.0432229410382747</v>
      </c>
      <c r="N65" s="2">
        <f>N10*'Output-Calculation-sheet'!N54/10^9</f>
        <v>0.91035395908107919</v>
      </c>
      <c r="O65" s="2">
        <f>O10*'Output-Calculation-sheet'!O54/10^9</f>
        <v>0.98381025196836047</v>
      </c>
      <c r="P65" s="2">
        <f>P10*'Output-Calculation-sheet'!P54/10^9</f>
        <v>0.59891475980545883</v>
      </c>
      <c r="Q65" s="2">
        <f>Q10*'Output-Calculation-sheet'!Q54/10^9</f>
        <v>0.65376292680641779</v>
      </c>
      <c r="R65" s="2">
        <f>R10*'Output-Calculation-sheet'!R54/10^9</f>
        <v>0.49988282401263212</v>
      </c>
      <c r="S65" s="2">
        <f>S10*'Output-Calculation-sheet'!S54/10^9</f>
        <v>0.47668277221639693</v>
      </c>
      <c r="T65" s="2">
        <f>T10*'Output-Calculation-sheet'!T54/10^9</f>
        <v>0.15491430782492072</v>
      </c>
      <c r="U65" s="2">
        <f>U10*'Output-Calculation-sheet'!U54/10^9</f>
        <v>0.15228231392495481</v>
      </c>
      <c r="V65" s="2">
        <f>V10*'Output-Calculation-sheet'!V54/10^9</f>
        <v>0.12849673477972492</v>
      </c>
      <c r="W65" s="2">
        <f>W10*'Output-Calculation-sheet'!W54/10^9</f>
        <v>6.7000038566402201E-2</v>
      </c>
      <c r="X65" s="2">
        <f>X10*'Output-Calculation-sheet'!X54/10^9</f>
        <v>0.12207368972601577</v>
      </c>
      <c r="Y65" s="2">
        <f>Y10*'Output-Calculation-sheet'!Y54/10^9</f>
        <v>6.1159199297053435E-2</v>
      </c>
      <c r="AA65" s="2">
        <f t="shared" si="4"/>
        <v>27.01591013921249</v>
      </c>
    </row>
    <row r="66" spans="1:27" x14ac:dyDescent="0.25">
      <c r="A66" s="2">
        <v>2034</v>
      </c>
      <c r="B66" s="2">
        <f>B11*'Output-Calculation-sheet'!B55/10^9</f>
        <v>7.7231839566245259</v>
      </c>
      <c r="C66" s="2">
        <f>C11*'Output-Calculation-sheet'!C55/10^9</f>
        <v>4.7543730376716749</v>
      </c>
      <c r="D66" s="2">
        <f>D11*'Output-Calculation-sheet'!D55/10^9</f>
        <v>1.6798606051905309</v>
      </c>
      <c r="E66" s="2">
        <f>E11*'Output-Calculation-sheet'!E55/10^9</f>
        <v>2.012628304080557</v>
      </c>
      <c r="F66" s="2">
        <f>F11*'Output-Calculation-sheet'!F55/10^9</f>
        <v>0.78174090857423817</v>
      </c>
      <c r="G66" s="2">
        <f>G11*'Output-Calculation-sheet'!G55/10^9</f>
        <v>0.55134981866432309</v>
      </c>
      <c r="H66" s="2">
        <f>H11*'Output-Calculation-sheet'!H55/10^9</f>
        <v>1.3937728165693959</v>
      </c>
      <c r="I66" s="2">
        <f>I11*'Output-Calculation-sheet'!I55/10^9</f>
        <v>0.54083449455804489</v>
      </c>
      <c r="J66" s="2">
        <f>J11*'Output-Calculation-sheet'!J55/10^9</f>
        <v>0.56059512097207176</v>
      </c>
      <c r="K66" s="2">
        <f>K11*'Output-Calculation-sheet'!K55/10^9</f>
        <v>0.67340274678267609</v>
      </c>
      <c r="L66" s="2">
        <f>L11*'Output-Calculation-sheet'!L55/10^9</f>
        <v>0.69261465858549154</v>
      </c>
      <c r="M66" s="2">
        <f>M11*'Output-Calculation-sheet'!M55/10^9</f>
        <v>1.030608898142308</v>
      </c>
      <c r="N66" s="2">
        <f>N11*'Output-Calculation-sheet'!N55/10^9</f>
        <v>0.90514708147004186</v>
      </c>
      <c r="O66" s="2">
        <f>O11*'Output-Calculation-sheet'!O55/10^9</f>
        <v>0.99509673051200531</v>
      </c>
      <c r="P66" s="2">
        <f>P11*'Output-Calculation-sheet'!P55/10^9</f>
        <v>0.60558027288023253</v>
      </c>
      <c r="Q66" s="2">
        <f>Q11*'Output-Calculation-sheet'!Q55/10^9</f>
        <v>0.66101983303692402</v>
      </c>
      <c r="R66" s="2">
        <f>R11*'Output-Calculation-sheet'!R55/10^9</f>
        <v>0.50418996885333223</v>
      </c>
      <c r="S66" s="2">
        <f>S11*'Output-Calculation-sheet'!S55/10^9</f>
        <v>0.47945362088199717</v>
      </c>
      <c r="T66" s="2">
        <f>T11*'Output-Calculation-sheet'!T55/10^9</f>
        <v>0.15618369853862932</v>
      </c>
      <c r="U66" s="2">
        <f>U11*'Output-Calculation-sheet'!U55/10^9</f>
        <v>0.15414146651378879</v>
      </c>
      <c r="V66" s="2">
        <f>V11*'Output-Calculation-sheet'!V55/10^9</f>
        <v>0.12944300166039047</v>
      </c>
      <c r="W66" s="2">
        <f>W11*'Output-Calculation-sheet'!W55/10^9</f>
        <v>6.789007325968667E-2</v>
      </c>
      <c r="X66" s="2">
        <f>X11*'Output-Calculation-sheet'!X55/10^9</f>
        <v>0.12111454989279062</v>
      </c>
      <c r="Y66" s="2">
        <f>Y11*'Output-Calculation-sheet'!Y55/10^9</f>
        <v>6.2048885120566062E-2</v>
      </c>
      <c r="AA66" s="2">
        <f t="shared" si="4"/>
        <v>27.236274549036228</v>
      </c>
    </row>
    <row r="67" spans="1:27" x14ac:dyDescent="0.25">
      <c r="A67" s="2">
        <v>2035</v>
      </c>
      <c r="B67" s="2">
        <f>B12*'Output-Calculation-sheet'!B56/10^9</f>
        <v>7.6150112392159635</v>
      </c>
      <c r="C67" s="2">
        <f>C12*'Output-Calculation-sheet'!C56/10^9</f>
        <v>4.7038271437183452</v>
      </c>
      <c r="D67" s="2">
        <f>D12*'Output-Calculation-sheet'!D56/10^9</f>
        <v>1.663850046938627</v>
      </c>
      <c r="E67" s="2">
        <f>E12*'Output-Calculation-sheet'!E56/10^9</f>
        <v>1.9950992064569308</v>
      </c>
      <c r="F67" s="2">
        <f>F12*'Output-Calculation-sheet'!F56/10^9</f>
        <v>0.77520091353706178</v>
      </c>
      <c r="G67" s="2">
        <f>G12*'Output-Calculation-sheet'!G56/10^9</f>
        <v>0.54642667488259433</v>
      </c>
      <c r="H67" s="2">
        <f>H12*'Output-Calculation-sheet'!H56/10^9</f>
        <v>1.3476822702011284</v>
      </c>
      <c r="I67" s="2">
        <f>I12*'Output-Calculation-sheet'!I56/10^9</f>
        <v>0.53629183839118444</v>
      </c>
      <c r="J67" s="2">
        <f>J12*'Output-Calculation-sheet'!J56/10^9</f>
        <v>0.55502379622095199</v>
      </c>
      <c r="K67" s="2">
        <f>K12*'Output-Calculation-sheet'!K56/10^9</f>
        <v>0.66567068524476036</v>
      </c>
      <c r="L67" s="2">
        <f>L12*'Output-Calculation-sheet'!L56/10^9</f>
        <v>0.68043538510229795</v>
      </c>
      <c r="M67" s="2">
        <f>M12*'Output-Calculation-sheet'!M56/10^9</f>
        <v>0.99520660141632389</v>
      </c>
      <c r="N67" s="2">
        <f>N12*'Output-Calculation-sheet'!N56/10^9</f>
        <v>0.87938962997222869</v>
      </c>
      <c r="O67" s="2">
        <f>O12*'Output-Calculation-sheet'!O56/10^9</f>
        <v>0.98404106762465682</v>
      </c>
      <c r="P67" s="2">
        <f>P12*'Output-Calculation-sheet'!P56/10^9</f>
        <v>0.59915122470483706</v>
      </c>
      <c r="Q67" s="2">
        <f>Q12*'Output-Calculation-sheet'!Q56/10^9</f>
        <v>0.65286019560268593</v>
      </c>
      <c r="R67" s="2">
        <f>R12*'Output-Calculation-sheet'!R56/10^9</f>
        <v>0.49764429873218929</v>
      </c>
      <c r="S67" s="2">
        <f>S12*'Output-Calculation-sheet'!S56/10^9</f>
        <v>0.47062383078562398</v>
      </c>
      <c r="T67" s="2">
        <f>T12*'Output-Calculation-sheet'!T56/10^9</f>
        <v>0.15405322678040043</v>
      </c>
      <c r="U67" s="2">
        <f>U12*'Output-Calculation-sheet'!U56/10^9</f>
        <v>0.15265668334478899</v>
      </c>
      <c r="V67" s="2">
        <f>V12*'Output-Calculation-sheet'!V56/10^9</f>
        <v>0.12757799428277483</v>
      </c>
      <c r="W67" s="2">
        <f>W12*'Output-Calculation-sheet'!W56/10^9</f>
        <v>6.7309054524185979E-2</v>
      </c>
      <c r="X67" s="2">
        <f>X12*'Output-Calculation-sheet'!X56/10^9</f>
        <v>0.11745653794679671</v>
      </c>
      <c r="Y67" s="2">
        <f>Y12*'Output-Calculation-sheet'!Y56/10^9</f>
        <v>6.1597429076335607E-2</v>
      </c>
      <c r="AA67" s="2">
        <f t="shared" si="4"/>
        <v>26.844086974703675</v>
      </c>
    </row>
    <row r="68" spans="1:27" x14ac:dyDescent="0.25">
      <c r="B68" s="2">
        <f>SUM(B60:B67)</f>
        <v>52.110215359019023</v>
      </c>
      <c r="C68" s="2">
        <f t="shared" ref="C68:Y68" si="5">SUM(C60:C67)</f>
        <v>32.030463146738398</v>
      </c>
      <c r="D68" s="2">
        <f t="shared" si="5"/>
        <v>11.311690837665457</v>
      </c>
      <c r="E68" s="2">
        <f t="shared" si="5"/>
        <v>13.537599805788592</v>
      </c>
      <c r="F68" s="2">
        <f t="shared" si="5"/>
        <v>5.257610843958326</v>
      </c>
      <c r="G68" s="2">
        <f t="shared" si="5"/>
        <v>3.7084502504492347</v>
      </c>
      <c r="H68" s="2">
        <f t="shared" si="5"/>
        <v>9.6559023828600363</v>
      </c>
      <c r="I68" s="2">
        <f t="shared" si="5"/>
        <v>3.63500028284157</v>
      </c>
      <c r="J68" s="2">
        <f t="shared" si="5"/>
        <v>3.7803589956856163</v>
      </c>
      <c r="K68" s="2">
        <f t="shared" si="5"/>
        <v>4.557610901115571</v>
      </c>
      <c r="L68" s="2">
        <f t="shared" si="5"/>
        <v>4.732264593785974</v>
      </c>
      <c r="M68" s="2">
        <f t="shared" si="5"/>
        <v>7.3263458101266625</v>
      </c>
      <c r="N68" s="2">
        <f t="shared" si="5"/>
        <v>6.2953773813332692</v>
      </c>
      <c r="O68" s="2">
        <f t="shared" si="5"/>
        <v>6.7036088701679821</v>
      </c>
      <c r="P68" s="2">
        <f t="shared" si="5"/>
        <v>4.0879259288725933</v>
      </c>
      <c r="Q68" s="2">
        <f t="shared" si="5"/>
        <v>4.4504847967253784</v>
      </c>
      <c r="R68" s="2">
        <f t="shared" si="5"/>
        <v>3.432571983672899</v>
      </c>
      <c r="S68" s="2">
        <f t="shared" si="5"/>
        <v>3.2497757319086897</v>
      </c>
      <c r="T68" s="2">
        <f t="shared" si="5"/>
        <v>1.0633198752170596</v>
      </c>
      <c r="U68" s="2">
        <f t="shared" si="5"/>
        <v>1.0382289627544397</v>
      </c>
      <c r="V68" s="2">
        <f t="shared" si="5"/>
        <v>0.8844534082384975</v>
      </c>
      <c r="W68" s="2">
        <f t="shared" si="5"/>
        <v>0.45651472148379246</v>
      </c>
      <c r="X68" s="2">
        <f t="shared" si="5"/>
        <v>0.84134861304944497</v>
      </c>
      <c r="Y68" s="2">
        <f t="shared" si="5"/>
        <v>0.4162004193194796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408.29146017570281</v>
      </c>
      <c r="C74" s="2">
        <f>C8/'Output-Calculation-sheet'!C7*'Output-Calculation-sheet'!C61</f>
        <v>0</v>
      </c>
      <c r="D74" s="2">
        <f>D8/'Output-Calculation-sheet'!D7*'Output-Calculation-sheet'!D61</f>
        <v>668.13139402939771</v>
      </c>
      <c r="E74" s="2">
        <f>E8/'Output-Calculation-sheet'!E7*'Output-Calculation-sheet'!E61</f>
        <v>495.85612143649251</v>
      </c>
      <c r="F74" s="2">
        <f>F8/'Output-Calculation-sheet'!F7*'Output-Calculation-sheet'!F61</f>
        <v>0</v>
      </c>
      <c r="G74" s="2">
        <f>G8/'Output-Calculation-sheet'!G7*'Output-Calculation-sheet'!G61</f>
        <v>225.77737012619278</v>
      </c>
      <c r="H74" s="2">
        <f>H8/'Output-Calculation-sheet'!H7*'Output-Calculation-sheet'!H61</f>
        <v>1084.335241251875</v>
      </c>
      <c r="I74" s="2">
        <f>I8/'Output-Calculation-sheet'!I7*'Output-Calculation-sheet'!I61</f>
        <v>79.601494316551495</v>
      </c>
      <c r="J74" s="2">
        <f>J8/'Output-Calculation-sheet'!J7*'Output-Calculation-sheet'!J61</f>
        <v>331.87575852703554</v>
      </c>
      <c r="K74" s="2">
        <f>K8/'Output-Calculation-sheet'!K7*'Output-Calculation-sheet'!K61</f>
        <v>557.35843816106421</v>
      </c>
      <c r="L74" s="2">
        <f>L8/'Output-Calculation-sheet'!L7*'Output-Calculation-sheet'!L61</f>
        <v>483.5548037115372</v>
      </c>
      <c r="M74" s="2">
        <f>M8/'Output-Calculation-sheet'!M7*'Output-Calculation-sheet'!M61</f>
        <v>2421.6970664998448</v>
      </c>
      <c r="N74" s="2">
        <f>N8/'Output-Calculation-sheet'!N7*'Output-Calculation-sheet'!N61</f>
        <v>1365.9583825920395</v>
      </c>
      <c r="O74" s="2">
        <f>O8/'Output-Calculation-sheet'!O7*'Output-Calculation-sheet'!O61</f>
        <v>0</v>
      </c>
      <c r="P74" s="2">
        <f>P8/'Output-Calculation-sheet'!P7*'Output-Calculation-sheet'!P61</f>
        <v>386.05420474064624</v>
      </c>
      <c r="Q74" s="2">
        <f>Q8/'Output-Calculation-sheet'!Q7*'Output-Calculation-sheet'!Q61</f>
        <v>101.77706172212456</v>
      </c>
      <c r="R74" s="2">
        <f>R8/'Output-Calculation-sheet'!R7*'Output-Calculation-sheet'!R61</f>
        <v>671.3844733456649</v>
      </c>
      <c r="S74" s="2">
        <f>S8/'Output-Calculation-sheet'!S7*'Output-Calculation-sheet'!S61</f>
        <v>118.80594089214877</v>
      </c>
      <c r="T74" s="2">
        <f>T8/'Output-Calculation-sheet'!T7*'Output-Calculation-sheet'!T61</f>
        <v>227.38477865456491</v>
      </c>
      <c r="U74" s="2">
        <f>U8/'Output-Calculation-sheet'!U7*'Output-Calculation-sheet'!U61</f>
        <v>90.092461271930773</v>
      </c>
      <c r="V74" s="2">
        <f>V8/'Output-Calculation-sheet'!V7*'Output-Calculation-sheet'!V61</f>
        <v>158.24587983775865</v>
      </c>
      <c r="W74" s="2">
        <f>W8/'Output-Calculation-sheet'!W7*'Output-Calculation-sheet'!W61</f>
        <v>3.7650608942420711</v>
      </c>
      <c r="X74" s="2">
        <f>X8/'Output-Calculation-sheet'!X7*'Output-Calculation-sheet'!X61</f>
        <v>135.22795268288647</v>
      </c>
      <c r="Y74" s="2">
        <f>Y8/'Output-Calculation-sheet'!Y7*'Output-Calculation-sheet'!Y61</f>
        <v>0</v>
      </c>
      <c r="AA74" s="2">
        <f t="shared" si="6"/>
        <v>10.015175344869702</v>
      </c>
    </row>
    <row r="75" spans="1:27" x14ac:dyDescent="0.25">
      <c r="A75" s="2">
        <v>2032</v>
      </c>
      <c r="B75" s="2">
        <f>B9/'Output-Calculation-sheet'!B8*'Output-Calculation-sheet'!B62</f>
        <v>1080.2531143068693</v>
      </c>
      <c r="C75" s="2">
        <f>C9/'Output-Calculation-sheet'!C8*'Output-Calculation-sheet'!C62</f>
        <v>0</v>
      </c>
      <c r="D75" s="2">
        <f>D9/'Output-Calculation-sheet'!D8*'Output-Calculation-sheet'!D62</f>
        <v>883.65050328135374</v>
      </c>
      <c r="E75" s="2">
        <f>E9/'Output-Calculation-sheet'!E8*'Output-Calculation-sheet'!E62</f>
        <v>621.39290856320758</v>
      </c>
      <c r="F75" s="2">
        <f>F9/'Output-Calculation-sheet'!F8*'Output-Calculation-sheet'!F62</f>
        <v>0</v>
      </c>
      <c r="G75" s="2">
        <f>G9/'Output-Calculation-sheet'!G8*'Output-Calculation-sheet'!G62</f>
        <v>287.10362659672643</v>
      </c>
      <c r="H75" s="2">
        <f>H9/'Output-Calculation-sheet'!H8*'Output-Calculation-sheet'!H62</f>
        <v>2026.8708932785091</v>
      </c>
      <c r="I75" s="2">
        <f>I9/'Output-Calculation-sheet'!I8*'Output-Calculation-sheet'!I62</f>
        <v>122.76452038454617</v>
      </c>
      <c r="J75" s="2">
        <f>J9/'Output-Calculation-sheet'!J8*'Output-Calculation-sheet'!J62</f>
        <v>402.36820909559287</v>
      </c>
      <c r="K75" s="2">
        <f>K9/'Output-Calculation-sheet'!K8*'Output-Calculation-sheet'!K62</f>
        <v>631.04265030043803</v>
      </c>
      <c r="L75" s="2">
        <f>L9/'Output-Calculation-sheet'!L8*'Output-Calculation-sheet'!L62</f>
        <v>547.9705643493345</v>
      </c>
      <c r="M75" s="2">
        <f>M9/'Output-Calculation-sheet'!M8*'Output-Calculation-sheet'!M62</f>
        <v>2638.35284349939</v>
      </c>
      <c r="N75" s="2">
        <f>N9/'Output-Calculation-sheet'!N8*'Output-Calculation-sheet'!N62</f>
        <v>1705.4500893275106</v>
      </c>
      <c r="O75" s="2">
        <f>O9/'Output-Calculation-sheet'!O8*'Output-Calculation-sheet'!O62</f>
        <v>0</v>
      </c>
      <c r="P75" s="2">
        <f>P9/'Output-Calculation-sheet'!P8*'Output-Calculation-sheet'!P62</f>
        <v>470.62860024014594</v>
      </c>
      <c r="Q75" s="2">
        <f>Q9/'Output-Calculation-sheet'!Q8*'Output-Calculation-sheet'!Q62</f>
        <v>166.9167979798379</v>
      </c>
      <c r="R75" s="2">
        <f>R9/'Output-Calculation-sheet'!R8*'Output-Calculation-sheet'!R62</f>
        <v>749.24526425068439</v>
      </c>
      <c r="S75" s="2">
        <f>S9/'Output-Calculation-sheet'!S8*'Output-Calculation-sheet'!S62</f>
        <v>216.93848310316284</v>
      </c>
      <c r="T75" s="2">
        <f>T9/'Output-Calculation-sheet'!T8*'Output-Calculation-sheet'!T62</f>
        <v>250.84499776901592</v>
      </c>
      <c r="U75" s="2">
        <f>U9/'Output-Calculation-sheet'!U8*'Output-Calculation-sheet'!U62</f>
        <v>116.69383855255042</v>
      </c>
      <c r="V75" s="2">
        <f>V9/'Output-Calculation-sheet'!V8*'Output-Calculation-sheet'!V62</f>
        <v>174.04345322673691</v>
      </c>
      <c r="W75" s="2">
        <f>W9/'Output-Calculation-sheet'!W8*'Output-Calculation-sheet'!W62</f>
        <v>9.4826184508539288</v>
      </c>
      <c r="X75" s="2">
        <f>X9/'Output-Calculation-sheet'!X8*'Output-Calculation-sheet'!X62</f>
        <v>249.98335734429861</v>
      </c>
      <c r="Y75" s="2">
        <f>Y9/'Output-Calculation-sheet'!Y8*'Output-Calculation-sheet'!Y62</f>
        <v>0</v>
      </c>
      <c r="AA75" s="2">
        <f t="shared" si="6"/>
        <v>13.351997333900769</v>
      </c>
    </row>
    <row r="76" spans="1:27" x14ac:dyDescent="0.25">
      <c r="A76" s="2">
        <v>2033</v>
      </c>
      <c r="B76" s="2">
        <f>B10/'Output-Calculation-sheet'!B9*'Output-Calculation-sheet'!B63</f>
        <v>2037.0558118697093</v>
      </c>
      <c r="C76" s="2">
        <f>C10/'Output-Calculation-sheet'!C9*'Output-Calculation-sheet'!C63</f>
        <v>0</v>
      </c>
      <c r="D76" s="2">
        <f>D10/'Output-Calculation-sheet'!D9*'Output-Calculation-sheet'!D63</f>
        <v>1089.2024819241099</v>
      </c>
      <c r="E76" s="2">
        <f>E10/'Output-Calculation-sheet'!E9*'Output-Calculation-sheet'!E63</f>
        <v>808.12253527219502</v>
      </c>
      <c r="F76" s="2">
        <f>F10/'Output-Calculation-sheet'!F9*'Output-Calculation-sheet'!F63</f>
        <v>0</v>
      </c>
      <c r="G76" s="2">
        <f>G10/'Output-Calculation-sheet'!G9*'Output-Calculation-sheet'!G63</f>
        <v>362.42559184819214</v>
      </c>
      <c r="H76" s="2">
        <f>H10/'Output-Calculation-sheet'!H9*'Output-Calculation-sheet'!H63</f>
        <v>3716.8022676909786</v>
      </c>
      <c r="I76" s="2">
        <f>I10/'Output-Calculation-sheet'!I9*'Output-Calculation-sheet'!I63</f>
        <v>168.16528204478857</v>
      </c>
      <c r="J76" s="2">
        <f>J10/'Output-Calculation-sheet'!J9*'Output-Calculation-sheet'!J63</f>
        <v>505.95477201330596</v>
      </c>
      <c r="K76" s="2">
        <f>K10/'Output-Calculation-sheet'!K9*'Output-Calculation-sheet'!K63</f>
        <v>698.28984140084765</v>
      </c>
      <c r="L76" s="2">
        <f>L10/'Output-Calculation-sheet'!L9*'Output-Calculation-sheet'!L63</f>
        <v>646.33586698333431</v>
      </c>
      <c r="M76" s="2">
        <f>M10/'Output-Calculation-sheet'!M9*'Output-Calculation-sheet'!M63</f>
        <v>2779.8703044911108</v>
      </c>
      <c r="N76" s="2">
        <f>N10/'Output-Calculation-sheet'!N9*'Output-Calculation-sheet'!N63</f>
        <v>1889.9799124307801</v>
      </c>
      <c r="O76" s="2">
        <f>O10/'Output-Calculation-sheet'!O9*'Output-Calculation-sheet'!O63</f>
        <v>0</v>
      </c>
      <c r="P76" s="2">
        <f>P10/'Output-Calculation-sheet'!P9*'Output-Calculation-sheet'!P63</f>
        <v>546.16222871573211</v>
      </c>
      <c r="Q76" s="2">
        <f>Q10/'Output-Calculation-sheet'!Q9*'Output-Calculation-sheet'!Q63</f>
        <v>240.06301415930349</v>
      </c>
      <c r="R76" s="2">
        <f>R10/'Output-Calculation-sheet'!R9*'Output-Calculation-sheet'!R63</f>
        <v>797.93646329391356</v>
      </c>
      <c r="S76" s="2">
        <f>S10/'Output-Calculation-sheet'!S9*'Output-Calculation-sheet'!S63</f>
        <v>338.21855468511023</v>
      </c>
      <c r="T76" s="2">
        <f>T10/'Output-Calculation-sheet'!T9*'Output-Calculation-sheet'!T63</f>
        <v>280.2283242973009</v>
      </c>
      <c r="U76" s="2">
        <f>U10/'Output-Calculation-sheet'!U9*'Output-Calculation-sheet'!U63</f>
        <v>137.41781414015173</v>
      </c>
      <c r="V76" s="2">
        <f>V10/'Output-Calculation-sheet'!V9*'Output-Calculation-sheet'!V63</f>
        <v>182.85451931513921</v>
      </c>
      <c r="W76" s="2">
        <f>W10/'Output-Calculation-sheet'!W9*'Output-Calculation-sheet'!W63</f>
        <v>12.746081307300825</v>
      </c>
      <c r="X76" s="2">
        <f>X10/'Output-Calculation-sheet'!X9*'Output-Calculation-sheet'!X63</f>
        <v>265.27629832341358</v>
      </c>
      <c r="Y76" s="2">
        <f>Y10/'Output-Calculation-sheet'!Y9*'Output-Calculation-sheet'!Y63</f>
        <v>4.0870923782554787</v>
      </c>
      <c r="AA76" s="2">
        <f t="shared" si="6"/>
        <v>17.507195058584976</v>
      </c>
    </row>
    <row r="77" spans="1:27" x14ac:dyDescent="0.25">
      <c r="A77" s="2">
        <v>2034</v>
      </c>
      <c r="B77" s="2">
        <f>B11/'Output-Calculation-sheet'!B10*'Output-Calculation-sheet'!B64</f>
        <v>3587.9198193787565</v>
      </c>
      <c r="C77" s="2">
        <f>C11/'Output-Calculation-sheet'!C10*'Output-Calculation-sheet'!C64</f>
        <v>0</v>
      </c>
      <c r="D77" s="2">
        <f>D11/'Output-Calculation-sheet'!D10*'Output-Calculation-sheet'!D64</f>
        <v>1274.3739082741683</v>
      </c>
      <c r="E77" s="2">
        <f>E11/'Output-Calculation-sheet'!E10*'Output-Calculation-sheet'!E64</f>
        <v>891.58140819628818</v>
      </c>
      <c r="F77" s="2">
        <f>F11/'Output-Calculation-sheet'!F10*'Output-Calculation-sheet'!F64</f>
        <v>0</v>
      </c>
      <c r="G77" s="2">
        <f>G11/'Output-Calculation-sheet'!G10*'Output-Calculation-sheet'!G64</f>
        <v>414.13882527221529</v>
      </c>
      <c r="H77" s="2">
        <f>H11/'Output-Calculation-sheet'!H10*'Output-Calculation-sheet'!H64</f>
        <v>3879.0435773182412</v>
      </c>
      <c r="I77" s="2">
        <f>I11/'Output-Calculation-sheet'!I10*'Output-Calculation-sheet'!I64</f>
        <v>219.76689744463576</v>
      </c>
      <c r="J77" s="2">
        <f>J11/'Output-Calculation-sheet'!J10*'Output-Calculation-sheet'!J64</f>
        <v>554.83420673232627</v>
      </c>
      <c r="K77" s="2">
        <f>K11/'Output-Calculation-sheet'!K10*'Output-Calculation-sheet'!K64</f>
        <v>780.99507902473442</v>
      </c>
      <c r="L77" s="2">
        <f>L11/'Output-Calculation-sheet'!L10*'Output-Calculation-sheet'!L64</f>
        <v>685.39057447900723</v>
      </c>
      <c r="M77" s="2">
        <f>M11/'Output-Calculation-sheet'!M10*'Output-Calculation-sheet'!M64</f>
        <v>2903.0350141762397</v>
      </c>
      <c r="N77" s="2">
        <f>N11/'Output-Calculation-sheet'!N10*'Output-Calculation-sheet'!N64</f>
        <v>2041.6001208097466</v>
      </c>
      <c r="O77" s="2">
        <f>O11/'Output-Calculation-sheet'!O10*'Output-Calculation-sheet'!O64</f>
        <v>0</v>
      </c>
      <c r="P77" s="2">
        <f>P11/'Output-Calculation-sheet'!P10*'Output-Calculation-sheet'!P64</f>
        <v>597.30188347330341</v>
      </c>
      <c r="Q77" s="2">
        <f>Q11/'Output-Calculation-sheet'!Q10*'Output-Calculation-sheet'!Q64</f>
        <v>364.88536991940919</v>
      </c>
      <c r="R77" s="2">
        <f>R11/'Output-Calculation-sheet'!R10*'Output-Calculation-sheet'!R64</f>
        <v>840.85876919336749</v>
      </c>
      <c r="S77" s="2">
        <f>S11/'Output-Calculation-sheet'!S10*'Output-Calculation-sheet'!S64</f>
        <v>495.36876540573434</v>
      </c>
      <c r="T77" s="2">
        <f>T11/'Output-Calculation-sheet'!T10*'Output-Calculation-sheet'!T64</f>
        <v>296.37567062775912</v>
      </c>
      <c r="U77" s="2">
        <f>U11/'Output-Calculation-sheet'!U10*'Output-Calculation-sheet'!U64</f>
        <v>154.26720661412728</v>
      </c>
      <c r="V77" s="2">
        <f>V11/'Output-Calculation-sheet'!V10*'Output-Calculation-sheet'!V64</f>
        <v>197.06993154005781</v>
      </c>
      <c r="W77" s="2">
        <f>W11/'Output-Calculation-sheet'!W10*'Output-Calculation-sheet'!W64</f>
        <v>20.216273484940285</v>
      </c>
      <c r="X77" s="2">
        <f>X11/'Output-Calculation-sheet'!X10*'Output-Calculation-sheet'!X64</f>
        <v>272.71605654641604</v>
      </c>
      <c r="Y77" s="2">
        <f>Y11/'Output-Calculation-sheet'!Y10*'Output-Calculation-sheet'!Y64</f>
        <v>6.3609429700220534</v>
      </c>
      <c r="AA77" s="2">
        <f t="shared" si="6"/>
        <v>20.478100300881497</v>
      </c>
    </row>
    <row r="78" spans="1:27" x14ac:dyDescent="0.25">
      <c r="A78" s="2">
        <v>2035</v>
      </c>
      <c r="B78" s="2">
        <f>B12/'Output-Calculation-sheet'!B11*'Output-Calculation-sheet'!B65</f>
        <v>5392.8919639520473</v>
      </c>
      <c r="C78" s="2">
        <f>C12/'Output-Calculation-sheet'!C11*'Output-Calculation-sheet'!C65</f>
        <v>445.0927057493555</v>
      </c>
      <c r="D78" s="2">
        <f>D12/'Output-Calculation-sheet'!D11*'Output-Calculation-sheet'!D65</f>
        <v>1391.6296656801023</v>
      </c>
      <c r="E78" s="2">
        <f>E12/'Output-Calculation-sheet'!E11*'Output-Calculation-sheet'!E65</f>
        <v>1089.5800817191257</v>
      </c>
      <c r="F78" s="2">
        <f>F12/'Output-Calculation-sheet'!F11*'Output-Calculation-sheet'!F65</f>
        <v>49.268153818050997</v>
      </c>
      <c r="G78" s="2">
        <f>G12/'Output-Calculation-sheet'!G11*'Output-Calculation-sheet'!G65</f>
        <v>457.67118662275175</v>
      </c>
      <c r="H78" s="2">
        <f>H12/'Output-Calculation-sheet'!H11*'Output-Calculation-sheet'!H65</f>
        <v>3946.2414043673248</v>
      </c>
      <c r="I78" s="2">
        <f>I12/'Output-Calculation-sheet'!I11*'Output-Calculation-sheet'!I65</f>
        <v>249.88257859999524</v>
      </c>
      <c r="J78" s="2">
        <f>J12/'Output-Calculation-sheet'!J11*'Output-Calculation-sheet'!J65</f>
        <v>597.96322488792828</v>
      </c>
      <c r="K78" s="2">
        <f>K12/'Output-Calculation-sheet'!K11*'Output-Calculation-sheet'!K65</f>
        <v>804.81859192653542</v>
      </c>
      <c r="L78" s="2">
        <f>L12/'Output-Calculation-sheet'!L11*'Output-Calculation-sheet'!L65</f>
        <v>727.43025744643444</v>
      </c>
      <c r="M78" s="2">
        <f>M12/'Output-Calculation-sheet'!M11*'Output-Calculation-sheet'!M65</f>
        <v>2957.2519425473552</v>
      </c>
      <c r="N78" s="2">
        <f>N12/'Output-Calculation-sheet'!N11*'Output-Calculation-sheet'!N65</f>
        <v>2145.8259015228496</v>
      </c>
      <c r="O78" s="2">
        <f>O12/'Output-Calculation-sheet'!O11*'Output-Calculation-sheet'!O65</f>
        <v>216.39021734585671</v>
      </c>
      <c r="P78" s="2">
        <f>P12/'Output-Calculation-sheet'!P11*'Output-Calculation-sheet'!P65</f>
        <v>613.54480516638682</v>
      </c>
      <c r="Q78" s="2">
        <f>Q12/'Output-Calculation-sheet'!Q11*'Output-Calculation-sheet'!Q65</f>
        <v>456.11950218941246</v>
      </c>
      <c r="R78" s="2">
        <f>R12/'Output-Calculation-sheet'!R11*'Output-Calculation-sheet'!R65</f>
        <v>854.49209721442014</v>
      </c>
      <c r="S78" s="2">
        <f>S12/'Output-Calculation-sheet'!S11*'Output-Calculation-sheet'!S65</f>
        <v>624.99742261009681</v>
      </c>
      <c r="T78" s="2">
        <f>T12/'Output-Calculation-sheet'!T11*'Output-Calculation-sheet'!T65</f>
        <v>308.41457432251258</v>
      </c>
      <c r="U78" s="2">
        <f>U12/'Output-Calculation-sheet'!U11*'Output-Calculation-sheet'!U65</f>
        <v>166.15921155021223</v>
      </c>
      <c r="V78" s="2">
        <f>V12/'Output-Calculation-sheet'!V11*'Output-Calculation-sheet'!V65</f>
        <v>202.24744440428989</v>
      </c>
      <c r="W78" s="2">
        <f>W12/'Output-Calculation-sheet'!W11*'Output-Calculation-sheet'!W65</f>
        <v>25.215444370735774</v>
      </c>
      <c r="X78" s="2">
        <f>X12/'Output-Calculation-sheet'!X11*'Output-Calculation-sheet'!X65</f>
        <v>279.5842208307663</v>
      </c>
      <c r="Y78" s="2">
        <f>Y12/'Output-Calculation-sheet'!Y11*'Output-Calculation-sheet'!Y65</f>
        <v>8.9227793216057876</v>
      </c>
      <c r="AA78" s="2">
        <f t="shared" si="6"/>
        <v>24.011635378166158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10695785503.052925</v>
      </c>
      <c r="C96" s="2">
        <f>C8/'Output-Calculation-sheet'!C7*'Output-Calculation-sheet'!C79</f>
        <v>1041117695.6943231</v>
      </c>
      <c r="D96" s="2">
        <f>D8/'Output-Calculation-sheet'!D7*'Output-Calculation-sheet'!D79</f>
        <v>2741234943.4862857</v>
      </c>
      <c r="E96" s="2">
        <f>E8/'Output-Calculation-sheet'!E7*'Output-Calculation-sheet'!E79</f>
        <v>9867642331.0944557</v>
      </c>
      <c r="F96" s="2">
        <f>F8/'Output-Calculation-sheet'!F7*'Output-Calculation-sheet'!F79</f>
        <v>3007945166.3273954</v>
      </c>
      <c r="G96" s="2">
        <f>G8/'Output-Calculation-sheet'!G7*'Output-Calculation-sheet'!G79</f>
        <v>1860882354.6120768</v>
      </c>
      <c r="H96" s="2">
        <f>H8/'Output-Calculation-sheet'!H7*'Output-Calculation-sheet'!H79</f>
        <v>1248476033.808219</v>
      </c>
      <c r="I96" s="2">
        <f>I8/'Output-Calculation-sheet'!I7*'Output-Calculation-sheet'!I79</f>
        <v>1337449994.8606801</v>
      </c>
      <c r="J96" s="2">
        <f>J8/'Output-Calculation-sheet'!J7*'Output-Calculation-sheet'!J79</f>
        <v>1087183138.8628216</v>
      </c>
      <c r="K96" s="2">
        <f>K8/'Output-Calculation-sheet'!K7*'Output-Calculation-sheet'!K79</f>
        <v>1329695016.2663426</v>
      </c>
      <c r="L96" s="2">
        <f>L8/'Output-Calculation-sheet'!L7*'Output-Calculation-sheet'!L79</f>
        <v>1278778254.1700904</v>
      </c>
      <c r="M96" s="2">
        <f>M8/'Output-Calculation-sheet'!M7*'Output-Calculation-sheet'!M79</f>
        <v>1758166300.3962908</v>
      </c>
      <c r="N96" s="2">
        <f>N8/'Output-Calculation-sheet'!N7*'Output-Calculation-sheet'!N79</f>
        <v>1102255475.0482955</v>
      </c>
      <c r="O96" s="2">
        <f>O8/'Output-Calculation-sheet'!O7*'Output-Calculation-sheet'!O79</f>
        <v>137403860.73581845</v>
      </c>
      <c r="P96" s="2">
        <f>P8/'Output-Calculation-sheet'!P7*'Output-Calculation-sheet'!P79</f>
        <v>1984518354.0452354</v>
      </c>
      <c r="Q96" s="2">
        <f>Q8/'Output-Calculation-sheet'!Q7*'Output-Calculation-sheet'!Q79</f>
        <v>830476219.62276316</v>
      </c>
      <c r="R96" s="2">
        <f>R8/'Output-Calculation-sheet'!R7*'Output-Calculation-sheet'!R79</f>
        <v>1303891479.8934567</v>
      </c>
      <c r="S96" s="2">
        <f>S8/'Output-Calculation-sheet'!S7*'Output-Calculation-sheet'!S79</f>
        <v>505479192.53835309</v>
      </c>
      <c r="T96" s="2">
        <f>T8/'Output-Calculation-sheet'!T7*'Output-Calculation-sheet'!T79</f>
        <v>460063421.87434471</v>
      </c>
      <c r="U96" s="2">
        <f>U8/'Output-Calculation-sheet'!U7*'Output-Calculation-sheet'!U79</f>
        <v>297186804.97219181</v>
      </c>
      <c r="V96" s="2">
        <f>V8/'Output-Calculation-sheet'!V7*'Output-Calculation-sheet'!V79</f>
        <v>176869225.70582947</v>
      </c>
      <c r="W96" s="2">
        <f>W8/'Output-Calculation-sheet'!W7*'Output-Calculation-sheet'!W79</f>
        <v>487660348.05200714</v>
      </c>
      <c r="X96" s="2">
        <f>X8/'Output-Calculation-sheet'!X7*'Output-Calculation-sheet'!X79</f>
        <v>135508619.1099492</v>
      </c>
      <c r="Y96" s="2">
        <f>Y8/'Output-Calculation-sheet'!Y7*'Output-Calculation-sheet'!Y79</f>
        <v>260308354.67553014</v>
      </c>
      <c r="AA96" s="2">
        <f t="shared" si="8"/>
        <v>44.935978088905671</v>
      </c>
    </row>
    <row r="97" spans="1:27" x14ac:dyDescent="0.25">
      <c r="A97" s="2">
        <v>2032</v>
      </c>
      <c r="B97" s="2">
        <f>B9/'Output-Calculation-sheet'!B8*'Output-Calculation-sheet'!B80</f>
        <v>10765838231.456316</v>
      </c>
      <c r="C97" s="2">
        <f>C9/'Output-Calculation-sheet'!C8*'Output-Calculation-sheet'!C80</f>
        <v>1025022800.9425948</v>
      </c>
      <c r="D97" s="2">
        <f>D9/'Output-Calculation-sheet'!D8*'Output-Calculation-sheet'!D80</f>
        <v>2506852655.3274732</v>
      </c>
      <c r="E97" s="2">
        <f>E9/'Output-Calculation-sheet'!E8*'Output-Calculation-sheet'!E80</f>
        <v>10131786582.730371</v>
      </c>
      <c r="F97" s="2">
        <f>F9/'Output-Calculation-sheet'!F8*'Output-Calculation-sheet'!F80</f>
        <v>2899199211.5763116</v>
      </c>
      <c r="G97" s="2">
        <f>G9/'Output-Calculation-sheet'!G8*'Output-Calculation-sheet'!G80</f>
        <v>1716585415.6603711</v>
      </c>
      <c r="H97" s="2">
        <f>H9/'Output-Calculation-sheet'!H8*'Output-Calculation-sheet'!H80</f>
        <v>1539046040.7692294</v>
      </c>
      <c r="I97" s="2">
        <f>I9/'Output-Calculation-sheet'!I8*'Output-Calculation-sheet'!I80</f>
        <v>1292425046.2659712</v>
      </c>
      <c r="J97" s="2">
        <f>J9/'Output-Calculation-sheet'!J8*'Output-Calculation-sheet'!J80</f>
        <v>1035724199.2786161</v>
      </c>
      <c r="K97" s="2">
        <f>K9/'Output-Calculation-sheet'!K8*'Output-Calculation-sheet'!K80</f>
        <v>1244402310.7729428</v>
      </c>
      <c r="L97" s="2">
        <f>L9/'Output-Calculation-sheet'!L8*'Output-Calculation-sheet'!L80</f>
        <v>1275242471.6150479</v>
      </c>
      <c r="M97" s="2">
        <f>M9/'Output-Calculation-sheet'!M8*'Output-Calculation-sheet'!M80</f>
        <v>1766920650.2606378</v>
      </c>
      <c r="N97" s="2">
        <f>N9/'Output-Calculation-sheet'!N8*'Output-Calculation-sheet'!N80</f>
        <v>1110700698.5219057</v>
      </c>
      <c r="O97" s="2">
        <f>O9/'Output-Calculation-sheet'!O8*'Output-Calculation-sheet'!O80</f>
        <v>133492659.36488296</v>
      </c>
      <c r="P97" s="2">
        <f>P9/'Output-Calculation-sheet'!P8*'Output-Calculation-sheet'!P80</f>
        <v>1913815202.4234071</v>
      </c>
      <c r="Q97" s="2">
        <f>Q9/'Output-Calculation-sheet'!Q8*'Output-Calculation-sheet'!Q80</f>
        <v>813525738.88998687</v>
      </c>
      <c r="R97" s="2">
        <f>R9/'Output-Calculation-sheet'!R8*'Output-Calculation-sheet'!R80</f>
        <v>1282678591.2450898</v>
      </c>
      <c r="S97" s="2">
        <f>S9/'Output-Calculation-sheet'!S8*'Output-Calculation-sheet'!S80</f>
        <v>509125997.59299642</v>
      </c>
      <c r="T97" s="2">
        <f>T9/'Output-Calculation-sheet'!T8*'Output-Calculation-sheet'!T80</f>
        <v>430213247.12970906</v>
      </c>
      <c r="U97" s="2">
        <f>U9/'Output-Calculation-sheet'!U8*'Output-Calculation-sheet'!U80</f>
        <v>282959073.49489665</v>
      </c>
      <c r="V97" s="2">
        <f>V9/'Output-Calculation-sheet'!V8*'Output-Calculation-sheet'!V80</f>
        <v>167635621.7344521</v>
      </c>
      <c r="W97" s="2">
        <f>W9/'Output-Calculation-sheet'!W8*'Output-Calculation-sheet'!W80</f>
        <v>465607291.20740664</v>
      </c>
      <c r="X97" s="2">
        <f>X9/'Output-Calculation-sheet'!X8*'Output-Calculation-sheet'!X80</f>
        <v>184685204.41758263</v>
      </c>
      <c r="Y97" s="2">
        <f>Y9/'Output-Calculation-sheet'!Y8*'Output-Calculation-sheet'!Y80</f>
        <v>254268059.08359751</v>
      </c>
      <c r="AA97" s="2">
        <f t="shared" si="8"/>
        <v>44.74775300176178</v>
      </c>
    </row>
    <row r="98" spans="1:27" x14ac:dyDescent="0.25">
      <c r="A98" s="2">
        <v>2033</v>
      </c>
      <c r="B98" s="2">
        <f>B10/'Output-Calculation-sheet'!B9*'Output-Calculation-sheet'!B81</f>
        <v>10478732062.417799</v>
      </c>
      <c r="C98" s="2">
        <f>C10/'Output-Calculation-sheet'!C9*'Output-Calculation-sheet'!C81</f>
        <v>977649355.75519741</v>
      </c>
      <c r="D98" s="2">
        <f>D10/'Output-Calculation-sheet'!D9*'Output-Calculation-sheet'!D81</f>
        <v>2216432310.6339979</v>
      </c>
      <c r="E98" s="2">
        <f>E10/'Output-Calculation-sheet'!E9*'Output-Calculation-sheet'!E81</f>
        <v>10056355834.146452</v>
      </c>
      <c r="F98" s="2">
        <f>F10/'Output-Calculation-sheet'!F9*'Output-Calculation-sheet'!F81</f>
        <v>2693838659.4139609</v>
      </c>
      <c r="G98" s="2">
        <f>G10/'Output-Calculation-sheet'!G9*'Output-Calculation-sheet'!G81</f>
        <v>1525367561.6769228</v>
      </c>
      <c r="H98" s="2">
        <f>H10/'Output-Calculation-sheet'!H9*'Output-Calculation-sheet'!H81</f>
        <v>1979890421.3959858</v>
      </c>
      <c r="I98" s="2">
        <f>I10/'Output-Calculation-sheet'!I9*'Output-Calculation-sheet'!I81</f>
        <v>1206662389.1361368</v>
      </c>
      <c r="J98" s="2">
        <f>J10/'Output-Calculation-sheet'!J9*'Output-Calculation-sheet'!J81</f>
        <v>954123368.6026417</v>
      </c>
      <c r="K98" s="2">
        <f>K10/'Output-Calculation-sheet'!K9*'Output-Calculation-sheet'!K81</f>
        <v>1131823422.0067689</v>
      </c>
      <c r="L98" s="2">
        <f>L10/'Output-Calculation-sheet'!L9*'Output-Calculation-sheet'!L81</f>
        <v>1225365914.5709054</v>
      </c>
      <c r="M98" s="2">
        <f>M10/'Output-Calculation-sheet'!M9*'Output-Calculation-sheet'!M81</f>
        <v>1715375940.4672828</v>
      </c>
      <c r="N98" s="2">
        <f>N10/'Output-Calculation-sheet'!N9*'Output-Calculation-sheet'!N81</f>
        <v>1055615222.8895049</v>
      </c>
      <c r="O98" s="2">
        <f>O10/'Output-Calculation-sheet'!O9*'Output-Calculation-sheet'!O81</f>
        <v>125723126.41465636</v>
      </c>
      <c r="P98" s="2">
        <f>P10/'Output-Calculation-sheet'!P9*'Output-Calculation-sheet'!P81</f>
        <v>1768959454.4398367</v>
      </c>
      <c r="Q98" s="2">
        <f>Q10/'Output-Calculation-sheet'!Q9*'Output-Calculation-sheet'!Q81</f>
        <v>773372554.36447632</v>
      </c>
      <c r="R98" s="2">
        <f>R10/'Output-Calculation-sheet'!R9*'Output-Calculation-sheet'!R81</f>
        <v>1210850047.311996</v>
      </c>
      <c r="S98" s="2">
        <f>S10/'Output-Calculation-sheet'!S9*'Output-Calculation-sheet'!S81</f>
        <v>497795570.61017549</v>
      </c>
      <c r="T98" s="2">
        <f>T10/'Output-Calculation-sheet'!T9*'Output-Calculation-sheet'!T81</f>
        <v>388679482.09154671</v>
      </c>
      <c r="U98" s="2">
        <f>U10/'Output-Calculation-sheet'!U9*'Output-Calculation-sheet'!U81</f>
        <v>258392678.380959</v>
      </c>
      <c r="V98" s="2">
        <f>V10/'Output-Calculation-sheet'!V9*'Output-Calculation-sheet'!V81</f>
        <v>152957490.6564337</v>
      </c>
      <c r="W98" s="2">
        <f>W10/'Output-Calculation-sheet'!W9*'Output-Calculation-sheet'!W81</f>
        <v>425144633.50362158</v>
      </c>
      <c r="X98" s="2">
        <f>X10/'Output-Calculation-sheet'!X9*'Output-Calculation-sheet'!X81</f>
        <v>184827656.73520589</v>
      </c>
      <c r="Y98" s="2">
        <f>Y10/'Output-Calculation-sheet'!Y9*'Output-Calculation-sheet'!Y81</f>
        <v>239255086.02355617</v>
      </c>
      <c r="AA98" s="2">
        <f t="shared" si="8"/>
        <v>43.243190243646019</v>
      </c>
    </row>
    <row r="99" spans="1:27" x14ac:dyDescent="0.25">
      <c r="A99" s="2">
        <v>2034</v>
      </c>
      <c r="B99" s="2">
        <f>B11/'Output-Calculation-sheet'!B10*'Output-Calculation-sheet'!B82</f>
        <v>10092800282.524021</v>
      </c>
      <c r="C99" s="2">
        <f>C11/'Output-Calculation-sheet'!C10*'Output-Calculation-sheet'!C82</f>
        <v>907430934.10021114</v>
      </c>
      <c r="D99" s="2">
        <f>D11/'Output-Calculation-sheet'!D10*'Output-Calculation-sheet'!D82</f>
        <v>1905712043.3738418</v>
      </c>
      <c r="E99" s="2">
        <f>E11/'Output-Calculation-sheet'!E10*'Output-Calculation-sheet'!E82</f>
        <v>9672704773.2180042</v>
      </c>
      <c r="F99" s="2">
        <f>F11/'Output-Calculation-sheet'!F10*'Output-Calculation-sheet'!F82</f>
        <v>2430521271.0643191</v>
      </c>
      <c r="G99" s="2">
        <f>G11/'Output-Calculation-sheet'!G10*'Output-Calculation-sheet'!G82</f>
        <v>1314570317.1859434</v>
      </c>
      <c r="H99" s="2">
        <f>H11/'Output-Calculation-sheet'!H10*'Output-Calculation-sheet'!H82</f>
        <v>1833310461.1841311</v>
      </c>
      <c r="I99" s="2">
        <f>I11/'Output-Calculation-sheet'!I10*'Output-Calculation-sheet'!I82</f>
        <v>1097045383.4400499</v>
      </c>
      <c r="J99" s="2">
        <f>J11/'Output-Calculation-sheet'!J10*'Output-Calculation-sheet'!J82</f>
        <v>855630165.13100326</v>
      </c>
      <c r="K99" s="2">
        <f>K11/'Output-Calculation-sheet'!K10*'Output-Calculation-sheet'!K82</f>
        <v>996464393.90275562</v>
      </c>
      <c r="L99" s="2">
        <f>L11/'Output-Calculation-sheet'!L10*'Output-Calculation-sheet'!L82</f>
        <v>1145963069.5633595</v>
      </c>
      <c r="M99" s="2">
        <f>M11/'Output-Calculation-sheet'!M10*'Output-Calculation-sheet'!M82</f>
        <v>1625495884.6752577</v>
      </c>
      <c r="N99" s="2">
        <f>N11/'Output-Calculation-sheet'!N10*'Output-Calculation-sheet'!N82</f>
        <v>972944684.91370714</v>
      </c>
      <c r="O99" s="2">
        <f>O11/'Output-Calculation-sheet'!O10*'Output-Calculation-sheet'!O82</f>
        <v>115251713.45352264</v>
      </c>
      <c r="P99" s="2">
        <f>P11/'Output-Calculation-sheet'!P10*'Output-Calculation-sheet'!P82</f>
        <v>1573084616.6243274</v>
      </c>
      <c r="Q99" s="2">
        <f>Q11/'Output-Calculation-sheet'!Q10*'Output-Calculation-sheet'!Q82</f>
        <v>717431478.01397491</v>
      </c>
      <c r="R99" s="2">
        <f>R11/'Output-Calculation-sheet'!R10*'Output-Calculation-sheet'!R82</f>
        <v>1109124464.3982363</v>
      </c>
      <c r="S99" s="2">
        <f>S11/'Output-Calculation-sheet'!S10*'Output-Calculation-sheet'!S82</f>
        <v>477586824.65658605</v>
      </c>
      <c r="T99" s="2">
        <f>T11/'Output-Calculation-sheet'!T10*'Output-Calculation-sheet'!T82</f>
        <v>340081593.92312366</v>
      </c>
      <c r="U99" s="2">
        <f>U11/'Output-Calculation-sheet'!U10*'Output-Calculation-sheet'!U82</f>
        <v>229285067.77414152</v>
      </c>
      <c r="V99" s="2">
        <f>V11/'Output-Calculation-sheet'!V10*'Output-Calculation-sheet'!V82</f>
        <v>135788585.58738786</v>
      </c>
      <c r="W99" s="2">
        <f>W11/'Output-Calculation-sheet'!W10*'Output-Calculation-sheet'!W82</f>
        <v>376085330.45984167</v>
      </c>
      <c r="X99" s="2">
        <f>X11/'Output-Calculation-sheet'!X10*'Output-Calculation-sheet'!X82</f>
        <v>180327407.13685957</v>
      </c>
      <c r="Y99" s="2">
        <f>Y11/'Output-Calculation-sheet'!Y10*'Output-Calculation-sheet'!Y82</f>
        <v>217568000.73520023</v>
      </c>
      <c r="AA99" s="2">
        <f t="shared" si="8"/>
        <v>40.322208747039802</v>
      </c>
    </row>
    <row r="100" spans="1:27" x14ac:dyDescent="0.25">
      <c r="A100" s="2">
        <v>2035</v>
      </c>
      <c r="B100" s="2">
        <f>B12/'Output-Calculation-sheet'!B11*'Output-Calculation-sheet'!B83</f>
        <v>9444304185.1352501</v>
      </c>
      <c r="C100" s="2">
        <f>C12/'Output-Calculation-sheet'!C11*'Output-Calculation-sheet'!C83</f>
        <v>849409062.26851225</v>
      </c>
      <c r="D100" s="2">
        <f>D12/'Output-Calculation-sheet'!D11*'Output-Calculation-sheet'!D83</f>
        <v>1605047860.1749759</v>
      </c>
      <c r="E100" s="2">
        <f>E12/'Output-Calculation-sheet'!E11*'Output-Calculation-sheet'!E83</f>
        <v>9086047220.1215382</v>
      </c>
      <c r="F100" s="2">
        <f>F12/'Output-Calculation-sheet'!F11*'Output-Calculation-sheet'!F83</f>
        <v>2139759853.7035251</v>
      </c>
      <c r="G100" s="2">
        <f>G12/'Output-Calculation-sheet'!G11*'Output-Calculation-sheet'!G83</f>
        <v>1104415429.5156519</v>
      </c>
      <c r="H100" s="2">
        <f>H12/'Output-Calculation-sheet'!H11*'Output-Calculation-sheet'!H83</f>
        <v>1648684448.2052791</v>
      </c>
      <c r="I100" s="2">
        <f>I12/'Output-Calculation-sheet'!I11*'Output-Calculation-sheet'!I83</f>
        <v>972776528.32685053</v>
      </c>
      <c r="J100" s="2">
        <f>J12/'Output-Calculation-sheet'!J11*'Output-Calculation-sheet'!J83</f>
        <v>749511203.31373703</v>
      </c>
      <c r="K100" s="2">
        <f>K12/'Output-Calculation-sheet'!K11*'Output-Calculation-sheet'!K83</f>
        <v>855261038.73501217</v>
      </c>
      <c r="L100" s="2">
        <f>L12/'Output-Calculation-sheet'!L11*'Output-Calculation-sheet'!L83</f>
        <v>1047332667.7133846</v>
      </c>
      <c r="M100" s="2">
        <f>M12/'Output-Calculation-sheet'!M11*'Output-Calculation-sheet'!M83</f>
        <v>1500753567.649359</v>
      </c>
      <c r="N100" s="2">
        <f>N12/'Output-Calculation-sheet'!N11*'Output-Calculation-sheet'!N83</f>
        <v>877417929.0765965</v>
      </c>
      <c r="O100" s="2">
        <f>O12/'Output-Calculation-sheet'!O11*'Output-Calculation-sheet'!O83</f>
        <v>112745699.79968107</v>
      </c>
      <c r="P100" s="2">
        <f>P12/'Output-Calculation-sheet'!P11*'Output-Calculation-sheet'!P83</f>
        <v>1347432837.0008211</v>
      </c>
      <c r="Q100" s="2">
        <f>Q12/'Output-Calculation-sheet'!Q11*'Output-Calculation-sheet'!Q83</f>
        <v>651481516.58412683</v>
      </c>
      <c r="R100" s="2">
        <f>R12/'Output-Calculation-sheet'!R11*'Output-Calculation-sheet'!R83</f>
        <v>989963443.1649965</v>
      </c>
      <c r="S100" s="2">
        <f>S12/'Output-Calculation-sheet'!S11*'Output-Calculation-sheet'!S83</f>
        <v>443399942.35878634</v>
      </c>
      <c r="T100" s="2">
        <f>T12/'Output-Calculation-sheet'!T11*'Output-Calculation-sheet'!T83</f>
        <v>290389145.69292283</v>
      </c>
      <c r="U100" s="2">
        <f>U12/'Output-Calculation-sheet'!U11*'Output-Calculation-sheet'!U83</f>
        <v>197646673.81176627</v>
      </c>
      <c r="V100" s="2">
        <f>V12/'Output-Calculation-sheet'!V11*'Output-Calculation-sheet'!V83</f>
        <v>117489849.11150789</v>
      </c>
      <c r="W100" s="2">
        <f>W12/'Output-Calculation-sheet'!W11*'Output-Calculation-sheet'!W83</f>
        <v>322507264.62911314</v>
      </c>
      <c r="X100" s="2">
        <f>X12/'Output-Calculation-sheet'!X11*'Output-Calculation-sheet'!X83</f>
        <v>172042804.58220041</v>
      </c>
      <c r="Y100" s="2">
        <f>Y12/'Output-Calculation-sheet'!Y11*'Output-Calculation-sheet'!Y83</f>
        <v>192590994.40229362</v>
      </c>
      <c r="AA100" s="2">
        <f t="shared" si="8"/>
        <v>36.718411165077896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5293.3622119354313</v>
      </c>
      <c r="C19" s="2">
        <f>C8/'Output-Calculation-sheet'!C7*'Output-Calculation-sheet'!C25</f>
        <v>7994.7997025615623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4290.7196943077752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872.28131769109984</v>
      </c>
      <c r="M19" s="2">
        <f>M8/'Output-Calculation-sheet'!M7*'Output-Calculation-sheet'!M25</f>
        <v>5659.2229464827296</v>
      </c>
      <c r="N19" s="2">
        <f>N8/'Output-Calculation-sheet'!N7*'Output-Calculation-sheet'!N25</f>
        <v>2889.23562492164</v>
      </c>
      <c r="O19" s="2">
        <f>O8/'Output-Calculation-sheet'!O7*'Output-Calculation-sheet'!O25</f>
        <v>1561.671853736462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552.44523103467623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393.51867734100193</v>
      </c>
      <c r="Y19" s="2">
        <f>Y8/'Output-Calculation-sheet'!Y7*'Output-Calculation-sheet'!Y25</f>
        <v>0</v>
      </c>
      <c r="AA19" s="2">
        <f t="shared" si="0"/>
        <v>29.507257260012373</v>
      </c>
    </row>
    <row r="20" spans="1:27" x14ac:dyDescent="0.25">
      <c r="A20" s="2">
        <v>2032</v>
      </c>
      <c r="B20" s="2">
        <f>B9/'Output-Calculation-sheet'!B8*'Output-Calculation-sheet'!B26</f>
        <v>7226.3239853010464</v>
      </c>
      <c r="C20" s="2">
        <f>C9/'Output-Calculation-sheet'!C8*'Output-Calculation-sheet'!C26</f>
        <v>8951.503182209437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5895.6074623361146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1024.4500942687291</v>
      </c>
      <c r="M20" s="2">
        <f>M9/'Output-Calculation-sheet'!M8*'Output-Calculation-sheet'!M26</f>
        <v>6234.3998200219139</v>
      </c>
      <c r="N20" s="2">
        <f>N9/'Output-Calculation-sheet'!N8*'Output-Calculation-sheet'!N26</f>
        <v>3511.3259151265797</v>
      </c>
      <c r="O20" s="2">
        <f>O9/'Output-Calculation-sheet'!O8*'Output-Calculation-sheet'!O26</f>
        <v>1747.0006745858805</v>
      </c>
      <c r="P20" s="2">
        <f>P9/'Output-Calculation-sheet'!P8*'Output-Calculation-sheet'!P26</f>
        <v>0</v>
      </c>
      <c r="Q20" s="2">
        <f>Q9/'Output-Calculation-sheet'!Q8*'Output-Calculation-sheet'!Q26</f>
        <v>105.58454747726678</v>
      </c>
      <c r="R20" s="2">
        <f>R9/'Output-Calculation-sheet'!R8*'Output-Calculation-sheet'!R26</f>
        <v>0</v>
      </c>
      <c r="S20" s="2">
        <f>S9/'Output-Calculation-sheet'!S8*'Output-Calculation-sheet'!S26</f>
        <v>745.51462911332294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576.40598788728255</v>
      </c>
      <c r="Y20" s="2">
        <f>Y9/'Output-Calculation-sheet'!Y8*'Output-Calculation-sheet'!Y26</f>
        <v>0</v>
      </c>
      <c r="AA20" s="2">
        <f t="shared" si="0"/>
        <v>36.018116298327563</v>
      </c>
    </row>
    <row r="21" spans="1:27" x14ac:dyDescent="0.25">
      <c r="A21" s="2">
        <v>2033</v>
      </c>
      <c r="B21" s="2">
        <f>B10/'Output-Calculation-sheet'!B9*'Output-Calculation-sheet'!B27</f>
        <v>9775.7220303484974</v>
      </c>
      <c r="C21" s="2">
        <f>C10/'Output-Calculation-sheet'!C9*'Output-Calculation-sheet'!C27</f>
        <v>9811.3595746312676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8601.5468717985077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1194.129760520972</v>
      </c>
      <c r="M21" s="2">
        <f>M10/'Output-Calculation-sheet'!M9*'Output-Calculation-sheet'!M27</f>
        <v>6694.8885104861811</v>
      </c>
      <c r="N21" s="2">
        <f>N10/'Output-Calculation-sheet'!N9*'Output-Calculation-sheet'!N27</f>
        <v>3901.9998982431071</v>
      </c>
      <c r="O21" s="2">
        <f>O10/'Output-Calculation-sheet'!O9*'Output-Calculation-sheet'!O27</f>
        <v>1908.9630372357904</v>
      </c>
      <c r="P21" s="2">
        <f>P10/'Output-Calculation-sheet'!P9*'Output-Calculation-sheet'!P27</f>
        <v>0</v>
      </c>
      <c r="Q21" s="2">
        <f>Q10/'Output-Calculation-sheet'!Q9*'Output-Calculation-sheet'!Q27</f>
        <v>290.76249578023197</v>
      </c>
      <c r="R21" s="2">
        <f>R10/'Output-Calculation-sheet'!R9*'Output-Calculation-sheet'!R27</f>
        <v>0</v>
      </c>
      <c r="S21" s="2">
        <f>S10/'Output-Calculation-sheet'!S9*'Output-Calculation-sheet'!S27</f>
        <v>991.17989013651652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624.67883126145023</v>
      </c>
      <c r="Y21" s="2">
        <f>Y10/'Output-Calculation-sheet'!Y9*'Output-Calculation-sheet'!Y27</f>
        <v>0</v>
      </c>
      <c r="AA21" s="2">
        <f t="shared" si="0"/>
        <v>43.795230900442526</v>
      </c>
    </row>
    <row r="22" spans="1:27" x14ac:dyDescent="0.25">
      <c r="A22" s="2">
        <v>2034</v>
      </c>
      <c r="B22" s="2">
        <f>B11/'Output-Calculation-sheet'!B10*'Output-Calculation-sheet'!B28</f>
        <v>12962.095371904212</v>
      </c>
      <c r="C22" s="2">
        <f>C11/'Output-Calculation-sheet'!C10*'Output-Calculation-sheet'!C28</f>
        <v>10570.019566696184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9185.0499003829555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1353.2599346019606</v>
      </c>
      <c r="M22" s="2">
        <f>M11/'Output-Calculation-sheet'!M10*'Output-Calculation-sheet'!M28</f>
        <v>7137.25118978929</v>
      </c>
      <c r="N22" s="2">
        <f>N11/'Output-Calculation-sheet'!N10*'Output-Calculation-sheet'!N28</f>
        <v>4281.0025366095406</v>
      </c>
      <c r="O22" s="2">
        <f>O11/'Output-Calculation-sheet'!O10*'Output-Calculation-sheet'!O28</f>
        <v>2044.1940542232705</v>
      </c>
      <c r="P22" s="2">
        <f>P11/'Output-Calculation-sheet'!P10*'Output-Calculation-sheet'!P28</f>
        <v>0</v>
      </c>
      <c r="Q22" s="2">
        <f>Q11/'Output-Calculation-sheet'!Q10*'Output-Calculation-sheet'!Q28</f>
        <v>586.83026173305814</v>
      </c>
      <c r="R22" s="2">
        <f>R11/'Output-Calculation-sheet'!R10*'Output-Calculation-sheet'!R28</f>
        <v>0</v>
      </c>
      <c r="S22" s="2">
        <f>S11/'Output-Calculation-sheet'!S10*'Output-Calculation-sheet'!S28</f>
        <v>1254.1519817208937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667.45025046318153</v>
      </c>
      <c r="Y22" s="2">
        <f>Y11/'Output-Calculation-sheet'!Y10*'Output-Calculation-sheet'!Y28</f>
        <v>0</v>
      </c>
      <c r="AA22" s="2">
        <f t="shared" si="0"/>
        <v>50.041305048124542</v>
      </c>
    </row>
    <row r="23" spans="1:27" x14ac:dyDescent="0.25">
      <c r="A23" s="2">
        <v>2035</v>
      </c>
      <c r="B23" s="2">
        <f>B12/'Output-Calculation-sheet'!B11*'Output-Calculation-sheet'!B29</f>
        <v>16410.368814572525</v>
      </c>
      <c r="C23" s="2">
        <f>C12/'Output-Calculation-sheet'!C11*'Output-Calculation-sheet'!C29</f>
        <v>11504.093898027013</v>
      </c>
      <c r="D23" s="2">
        <f>D12/'Output-Calculation-sheet'!D11*'Output-Calculation-sheet'!D29</f>
        <v>0</v>
      </c>
      <c r="E23" s="2">
        <f>E12/'Output-Calculation-sheet'!E11*'Output-Calculation-sheet'!E29</f>
        <v>150.3872499255599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9606.6304797415869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1514.3800551961278</v>
      </c>
      <c r="M23" s="2">
        <f>M12/'Output-Calculation-sheet'!M11*'Output-Calculation-sheet'!M29</f>
        <v>7471.3341249280793</v>
      </c>
      <c r="N23" s="2">
        <f>N12/'Output-Calculation-sheet'!N11*'Output-Calculation-sheet'!N29</f>
        <v>4586.1485799415532</v>
      </c>
      <c r="O23" s="2">
        <f>O12/'Output-Calculation-sheet'!O11*'Output-Calculation-sheet'!O29</f>
        <v>2333.0410436177076</v>
      </c>
      <c r="P23" s="2">
        <f>P12/'Output-Calculation-sheet'!P11*'Output-Calculation-sheet'!P29</f>
        <v>0</v>
      </c>
      <c r="Q23" s="2">
        <f>Q12/'Output-Calculation-sheet'!Q11*'Output-Calculation-sheet'!Q29</f>
        <v>901.81868873726467</v>
      </c>
      <c r="R23" s="2">
        <f>R12/'Output-Calculation-sheet'!R11*'Output-Calculation-sheet'!R29</f>
        <v>0</v>
      </c>
      <c r="S23" s="2">
        <f>S12/'Output-Calculation-sheet'!S11*'Output-Calculation-sheet'!S29</f>
        <v>1528.4140763841876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706.24858157181268</v>
      </c>
      <c r="Y23" s="2">
        <f>Y12/'Output-Calculation-sheet'!Y11*'Output-Calculation-sheet'!Y29</f>
        <v>0</v>
      </c>
      <c r="AA23" s="2">
        <f t="shared" si="0"/>
        <v>56.712865592643411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25330.347179673256</v>
      </c>
      <c r="C30" s="2">
        <f>C8/'Output-Calculation-sheet'!C7*'Output-Calculation-sheet'!C16</f>
        <v>0</v>
      </c>
      <c r="D30" s="2">
        <f>D8/'Output-Calculation-sheet'!D7*'Output-Calculation-sheet'!D16</f>
        <v>6923.3767582514247</v>
      </c>
      <c r="E30" s="2">
        <f>E8/'Output-Calculation-sheet'!E7*'Output-Calculation-sheet'!E16</f>
        <v>8453.9435884836639</v>
      </c>
      <c r="F30" s="2">
        <f>F8/'Output-Calculation-sheet'!F7*'Output-Calculation-sheet'!F16</f>
        <v>3802.3415494716519</v>
      </c>
      <c r="G30" s="2">
        <f>G8/'Output-Calculation-sheet'!G7*'Output-Calculation-sheet'!G16</f>
        <v>2189.5214074668311</v>
      </c>
      <c r="H30" s="2">
        <f>H8/'Output-Calculation-sheet'!H7*'Output-Calculation-sheet'!H16</f>
        <v>0</v>
      </c>
      <c r="I30" s="2">
        <f>I8/'Output-Calculation-sheet'!I7*'Output-Calculation-sheet'!I16</f>
        <v>2323.2744966855921</v>
      </c>
      <c r="J30" s="2">
        <f>J8/'Output-Calculation-sheet'!J7*'Output-Calculation-sheet'!J16</f>
        <v>2362.7673012970104</v>
      </c>
      <c r="K30" s="2">
        <f>K8/'Output-Calculation-sheet'!K7*'Output-Calculation-sheet'!K16</f>
        <v>3078.6667728675266</v>
      </c>
      <c r="L30" s="2">
        <f>L8/'Output-Calculation-sheet'!L7*'Output-Calculation-sheet'!L16</f>
        <v>2797.5655483451728</v>
      </c>
      <c r="M30" s="2">
        <f>M8/'Output-Calculation-sheet'!M7*'Output-Calculation-sheet'!M16</f>
        <v>0</v>
      </c>
      <c r="N30" s="2">
        <f>N8/'Output-Calculation-sheet'!N7*'Output-Calculation-sheet'!N16</f>
        <v>1651.7922920697822</v>
      </c>
      <c r="O30" s="2">
        <f>O8/'Output-Calculation-sheet'!O7*'Output-Calculation-sheet'!O16</f>
        <v>0</v>
      </c>
      <c r="P30" s="2">
        <f>P8/'Output-Calculation-sheet'!P7*'Output-Calculation-sheet'!P16</f>
        <v>2486.0085726352131</v>
      </c>
      <c r="Q30" s="2">
        <f>Q8/'Output-Calculation-sheet'!Q7*'Output-Calculation-sheet'!Q16</f>
        <v>2772.5704652510981</v>
      </c>
      <c r="R30" s="2">
        <f>R8/'Output-Calculation-sheet'!R7*'Output-Calculation-sheet'!R16</f>
        <v>2261.8305496230132</v>
      </c>
      <c r="S30" s="2">
        <f>S8/'Output-Calculation-sheet'!S7*'Output-Calculation-sheet'!S16</f>
        <v>1217.5054355290642</v>
      </c>
      <c r="T30" s="2">
        <f>T8/'Output-Calculation-sheet'!T7*'Output-Calculation-sheet'!T16</f>
        <v>717.29252973587347</v>
      </c>
      <c r="U30" s="2">
        <f>U8/'Output-Calculation-sheet'!U7*'Output-Calculation-sheet'!U16</f>
        <v>574.17970149516236</v>
      </c>
      <c r="V30" s="2">
        <f>V8/'Output-Calculation-sheet'!V7*'Output-Calculation-sheet'!V16</f>
        <v>676.06652488201235</v>
      </c>
      <c r="W30" s="2">
        <f>W8/'Output-Calculation-sheet'!W7*'Output-Calculation-sheet'!W16</f>
        <v>311.97844553532684</v>
      </c>
      <c r="X30" s="2">
        <f>X8/'Output-Calculation-sheet'!X7*'Output-Calculation-sheet'!X16</f>
        <v>0</v>
      </c>
      <c r="Y30" s="2">
        <f>Y8/'Output-Calculation-sheet'!Y7*'Output-Calculation-sheet'!Y16</f>
        <v>239.90575030723534</v>
      </c>
      <c r="AA30" s="2">
        <f t="shared" si="1"/>
        <v>70.170934869605901</v>
      </c>
    </row>
    <row r="31" spans="1:27" x14ac:dyDescent="0.25">
      <c r="A31" s="2">
        <v>2032</v>
      </c>
      <c r="B31" s="2">
        <f>B9/'Output-Calculation-sheet'!B8*'Output-Calculation-sheet'!B17</f>
        <v>27089.366005084688</v>
      </c>
      <c r="C31" s="2">
        <f>C9/'Output-Calculation-sheet'!C8*'Output-Calculation-sheet'!C17</f>
        <v>0</v>
      </c>
      <c r="D31" s="2">
        <f>D9/'Output-Calculation-sheet'!D8*'Output-Calculation-sheet'!D17</f>
        <v>7535.6063954690071</v>
      </c>
      <c r="E31" s="2">
        <f>E9/'Output-Calculation-sheet'!E8*'Output-Calculation-sheet'!E17</f>
        <v>9244.9495828766831</v>
      </c>
      <c r="F31" s="2">
        <f>F9/'Output-Calculation-sheet'!F8*'Output-Calculation-sheet'!F17</f>
        <v>4163.9155370322424</v>
      </c>
      <c r="G31" s="2">
        <f>G9/'Output-Calculation-sheet'!G8*'Output-Calculation-sheet'!G17</f>
        <v>2396.6316020829295</v>
      </c>
      <c r="H31" s="2">
        <f>H9/'Output-Calculation-sheet'!H8*'Output-Calculation-sheet'!H17</f>
        <v>0</v>
      </c>
      <c r="I31" s="2">
        <f>I9/'Output-Calculation-sheet'!I8*'Output-Calculation-sheet'!I17</f>
        <v>2540.7219164735734</v>
      </c>
      <c r="J31" s="2">
        <f>J9/'Output-Calculation-sheet'!J8*'Output-Calculation-sheet'!J17</f>
        <v>2577.7818375258989</v>
      </c>
      <c r="K31" s="2">
        <f>K9/'Output-Calculation-sheet'!K8*'Output-Calculation-sheet'!K17</f>
        <v>3352.628860126571</v>
      </c>
      <c r="L31" s="2">
        <f>L9/'Output-Calculation-sheet'!L8*'Output-Calculation-sheet'!L17</f>
        <v>3032.8437066347105</v>
      </c>
      <c r="M31" s="2">
        <f>M9/'Output-Calculation-sheet'!M8*'Output-Calculation-sheet'!M17</f>
        <v>0</v>
      </c>
      <c r="N31" s="2">
        <f>N9/'Output-Calculation-sheet'!N8*'Output-Calculation-sheet'!N17</f>
        <v>1693.4602385816047</v>
      </c>
      <c r="O31" s="2">
        <f>O9/'Output-Calculation-sheet'!O8*'Output-Calculation-sheet'!O17</f>
        <v>0</v>
      </c>
      <c r="P31" s="2">
        <f>P9/'Output-Calculation-sheet'!P8*'Output-Calculation-sheet'!P17</f>
        <v>2751.5241667960186</v>
      </c>
      <c r="Q31" s="2">
        <f>Q9/'Output-Calculation-sheet'!Q8*'Output-Calculation-sheet'!Q17</f>
        <v>2990.3950772090011</v>
      </c>
      <c r="R31" s="2">
        <f>R9/'Output-Calculation-sheet'!R8*'Output-Calculation-sheet'!R17</f>
        <v>2482.4629037823752</v>
      </c>
      <c r="S31" s="2">
        <f>S9/'Output-Calculation-sheet'!S8*'Output-Calculation-sheet'!S17</f>
        <v>1289.6483320541633</v>
      </c>
      <c r="T31" s="2">
        <f>T9/'Output-Calculation-sheet'!T8*'Output-Calculation-sheet'!T17</f>
        <v>782.07026629999518</v>
      </c>
      <c r="U31" s="2">
        <f>U9/'Output-Calculation-sheet'!U8*'Output-Calculation-sheet'!U17</f>
        <v>628.32100599235957</v>
      </c>
      <c r="V31" s="2">
        <f>V9/'Output-Calculation-sheet'!V8*'Output-Calculation-sheet'!V17</f>
        <v>738.58633466854781</v>
      </c>
      <c r="W31" s="2">
        <f>W9/'Output-Calculation-sheet'!W8*'Output-Calculation-sheet'!W17</f>
        <v>341.62155058454977</v>
      </c>
      <c r="X31" s="2">
        <f>X9/'Output-Calculation-sheet'!X8*'Output-Calculation-sheet'!X17</f>
        <v>0</v>
      </c>
      <c r="Y31" s="2">
        <f>Y9/'Output-Calculation-sheet'!Y8*'Output-Calculation-sheet'!Y17</f>
        <v>262.89981942966517</v>
      </c>
      <c r="AA31" s="2">
        <f t="shared" si="1"/>
        <v>75.89543513870457</v>
      </c>
    </row>
    <row r="32" spans="1:27" x14ac:dyDescent="0.25">
      <c r="A32" s="2">
        <v>2033</v>
      </c>
      <c r="B32" s="2">
        <f>B10/'Output-Calculation-sheet'!B9*'Output-Calculation-sheet'!B18</f>
        <v>27926.449546738862</v>
      </c>
      <c r="C32" s="2">
        <f>C10/'Output-Calculation-sheet'!C9*'Output-Calculation-sheet'!C18</f>
        <v>0</v>
      </c>
      <c r="D32" s="2">
        <f>D10/'Output-Calculation-sheet'!D9*'Output-Calculation-sheet'!D18</f>
        <v>7983.6670375519052</v>
      </c>
      <c r="E32" s="2">
        <f>E10/'Output-Calculation-sheet'!E9*'Output-Calculation-sheet'!E18</f>
        <v>9866.7115993294465</v>
      </c>
      <c r="F32" s="2">
        <f>F10/'Output-Calculation-sheet'!F9*'Output-Calculation-sheet'!F18</f>
        <v>4438.3025769522073</v>
      </c>
      <c r="G32" s="2">
        <f>G10/'Output-Calculation-sheet'!G9*'Output-Calculation-sheet'!G18</f>
        <v>2553.771263791999</v>
      </c>
      <c r="H32" s="2">
        <f>H10/'Output-Calculation-sheet'!H9*'Output-Calculation-sheet'!H18</f>
        <v>0</v>
      </c>
      <c r="I32" s="2">
        <f>I10/'Output-Calculation-sheet'!I9*'Output-Calculation-sheet'!I18</f>
        <v>2705.1543443569817</v>
      </c>
      <c r="J32" s="2">
        <f>J10/'Output-Calculation-sheet'!J9*'Output-Calculation-sheet'!J18</f>
        <v>2723.1062908352192</v>
      </c>
      <c r="K32" s="2">
        <f>K10/'Output-Calculation-sheet'!K9*'Output-Calculation-sheet'!K18</f>
        <v>3594.9662247392648</v>
      </c>
      <c r="L32" s="2">
        <f>L10/'Output-Calculation-sheet'!L9*'Output-Calculation-sheet'!L18</f>
        <v>3136.8113181819217</v>
      </c>
      <c r="M32" s="2">
        <f>M10/'Output-Calculation-sheet'!M9*'Output-Calculation-sheet'!M18</f>
        <v>0</v>
      </c>
      <c r="N32" s="2">
        <f>N10/'Output-Calculation-sheet'!N9*'Output-Calculation-sheet'!N18</f>
        <v>1759.6457379013955</v>
      </c>
      <c r="O32" s="2">
        <f>O10/'Output-Calculation-sheet'!O9*'Output-Calculation-sheet'!O18</f>
        <v>0</v>
      </c>
      <c r="P32" s="2">
        <f>P10/'Output-Calculation-sheet'!P9*'Output-Calculation-sheet'!P18</f>
        <v>2957.8805050139604</v>
      </c>
      <c r="Q32" s="2">
        <f>Q10/'Output-Calculation-sheet'!Q9*'Output-Calculation-sheet'!Q18</f>
        <v>3117.6459922391027</v>
      </c>
      <c r="R32" s="2">
        <f>R10/'Output-Calculation-sheet'!R9*'Output-Calculation-sheet'!R18</f>
        <v>2641.8917511494956</v>
      </c>
      <c r="S32" s="2">
        <f>S10/'Output-Calculation-sheet'!S9*'Output-Calculation-sheet'!S18</f>
        <v>1318.5313106985643</v>
      </c>
      <c r="T32" s="2">
        <f>T10/'Output-Calculation-sheet'!T9*'Output-Calculation-sheet'!T18</f>
        <v>832.15099048217564</v>
      </c>
      <c r="U32" s="2">
        <f>U10/'Output-Calculation-sheet'!U9*'Output-Calculation-sheet'!U18</f>
        <v>667.22180292828102</v>
      </c>
      <c r="V32" s="2">
        <f>V10/'Output-Calculation-sheet'!V9*'Output-Calculation-sheet'!V18</f>
        <v>776.34564380781319</v>
      </c>
      <c r="W32" s="2">
        <f>W10/'Output-Calculation-sheet'!W9*'Output-Calculation-sheet'!W18</f>
        <v>362.32339688320837</v>
      </c>
      <c r="X32" s="2">
        <f>X10/'Output-Calculation-sheet'!X9*'Output-Calculation-sheet'!X18</f>
        <v>0</v>
      </c>
      <c r="Y32" s="2">
        <f>Y10/'Output-Calculation-sheet'!Y9*'Output-Calculation-sheet'!Y18</f>
        <v>280.27466810124389</v>
      </c>
      <c r="AA32" s="2">
        <f t="shared" si="1"/>
        <v>79.642852001683039</v>
      </c>
    </row>
    <row r="33" spans="1:27" x14ac:dyDescent="0.25">
      <c r="A33" s="2">
        <v>2034</v>
      </c>
      <c r="B33" s="2">
        <f>B11/'Output-Calculation-sheet'!B10*'Output-Calculation-sheet'!B19</f>
        <v>28632.898971136859</v>
      </c>
      <c r="C33" s="2">
        <f>C11/'Output-Calculation-sheet'!C10*'Output-Calculation-sheet'!C19</f>
        <v>0</v>
      </c>
      <c r="D33" s="2">
        <f>D11/'Output-Calculation-sheet'!D10*'Output-Calculation-sheet'!D19</f>
        <v>8286.7826878769829</v>
      </c>
      <c r="E33" s="2">
        <f>E11/'Output-Calculation-sheet'!E10*'Output-Calculation-sheet'!E19</f>
        <v>10308.261716571547</v>
      </c>
      <c r="F33" s="2">
        <f>F11/'Output-Calculation-sheet'!F10*'Output-Calculation-sheet'!F19</f>
        <v>4638.3903735778749</v>
      </c>
      <c r="G33" s="2">
        <f>G11/'Output-Calculation-sheet'!G10*'Output-Calculation-sheet'!G19</f>
        <v>2661.2770412098316</v>
      </c>
      <c r="H33" s="2">
        <f>H11/'Output-Calculation-sheet'!H10*'Output-Calculation-sheet'!H19</f>
        <v>0</v>
      </c>
      <c r="I33" s="2">
        <f>I11/'Output-Calculation-sheet'!I10*'Output-Calculation-sheet'!I19</f>
        <v>2830.1914800935629</v>
      </c>
      <c r="J33" s="2">
        <f>J11/'Output-Calculation-sheet'!J10*'Output-Calculation-sheet'!J19</f>
        <v>2832.5754750316523</v>
      </c>
      <c r="K33" s="2">
        <f>K11/'Output-Calculation-sheet'!K10*'Output-Calculation-sheet'!K19</f>
        <v>3719.5681943648951</v>
      </c>
      <c r="L33" s="2">
        <f>L11/'Output-Calculation-sheet'!L10*'Output-Calculation-sheet'!L19</f>
        <v>3195.9690697037172</v>
      </c>
      <c r="M33" s="2">
        <f>M11/'Output-Calculation-sheet'!M10*'Output-Calculation-sheet'!M19</f>
        <v>0</v>
      </c>
      <c r="N33" s="2">
        <f>N11/'Output-Calculation-sheet'!N10*'Output-Calculation-sheet'!N19</f>
        <v>1744.7599262803424</v>
      </c>
      <c r="O33" s="2">
        <f>O11/'Output-Calculation-sheet'!O10*'Output-Calculation-sheet'!O19</f>
        <v>0</v>
      </c>
      <c r="P33" s="2">
        <f>P11/'Output-Calculation-sheet'!P10*'Output-Calculation-sheet'!P19</f>
        <v>3121.934936885466</v>
      </c>
      <c r="Q33" s="2">
        <f>Q11/'Output-Calculation-sheet'!Q10*'Output-Calculation-sheet'!Q19</f>
        <v>3114.6443369740896</v>
      </c>
      <c r="R33" s="2">
        <f>R11/'Output-Calculation-sheet'!R10*'Output-Calculation-sheet'!R19</f>
        <v>2751.9254162926782</v>
      </c>
      <c r="S33" s="2">
        <f>S11/'Output-Calculation-sheet'!S10*'Output-Calculation-sheet'!S19</f>
        <v>1341.3265983289448</v>
      </c>
      <c r="T33" s="2">
        <f>T11/'Output-Calculation-sheet'!T10*'Output-Calculation-sheet'!T19</f>
        <v>869.41217835056761</v>
      </c>
      <c r="U33" s="2">
        <f>U11/'Output-Calculation-sheet'!U10*'Output-Calculation-sheet'!U19</f>
        <v>701.42616623966626</v>
      </c>
      <c r="V33" s="2">
        <f>V11/'Output-Calculation-sheet'!V10*'Output-Calculation-sheet'!V19</f>
        <v>804.94053135466106</v>
      </c>
      <c r="W33" s="2">
        <f>W11/'Output-Calculation-sheet'!W10*'Output-Calculation-sheet'!W19</f>
        <v>378.89253847344867</v>
      </c>
      <c r="X33" s="2">
        <f>X11/'Output-Calculation-sheet'!X10*'Output-Calculation-sheet'!X19</f>
        <v>0</v>
      </c>
      <c r="Y33" s="2">
        <f>Y11/'Output-Calculation-sheet'!Y10*'Output-Calculation-sheet'!Y19</f>
        <v>292.97779543113739</v>
      </c>
      <c r="AA33" s="2">
        <f t="shared" si="1"/>
        <v>82.228155434177921</v>
      </c>
    </row>
    <row r="34" spans="1:27" x14ac:dyDescent="0.25">
      <c r="A34" s="2">
        <v>2035</v>
      </c>
      <c r="B34" s="2">
        <f>B12/'Output-Calculation-sheet'!B11*'Output-Calculation-sheet'!B20</f>
        <v>28339.91912926954</v>
      </c>
      <c r="C34" s="2">
        <f>C12/'Output-Calculation-sheet'!C11*'Output-Calculation-sheet'!C20</f>
        <v>0</v>
      </c>
      <c r="D34" s="2">
        <f>D12/'Output-Calculation-sheet'!D11*'Output-Calculation-sheet'!D20</f>
        <v>8542.6792677345911</v>
      </c>
      <c r="E34" s="2">
        <f>E12/'Output-Calculation-sheet'!E11*'Output-Calculation-sheet'!E20</f>
        <v>10516.667134406407</v>
      </c>
      <c r="F34" s="2">
        <f>F12/'Output-Calculation-sheet'!F11*'Output-Calculation-sheet'!F20</f>
        <v>4775.6100893310531</v>
      </c>
      <c r="G34" s="2">
        <f>G12/'Output-Calculation-sheet'!G11*'Output-Calculation-sheet'!G20</f>
        <v>2736.2653899420498</v>
      </c>
      <c r="H34" s="2">
        <f>H12/'Output-Calculation-sheet'!H11*'Output-Calculation-sheet'!H20</f>
        <v>0</v>
      </c>
      <c r="I34" s="2">
        <f>I12/'Output-Calculation-sheet'!I11*'Output-Calculation-sheet'!I20</f>
        <v>2919.2827812960631</v>
      </c>
      <c r="J34" s="2">
        <f>J12/'Output-Calculation-sheet'!J11*'Output-Calculation-sheet'!J20</f>
        <v>2905.7566246167071</v>
      </c>
      <c r="K34" s="2">
        <f>K12/'Output-Calculation-sheet'!K11*'Output-Calculation-sheet'!K20</f>
        <v>3815.4651100596757</v>
      </c>
      <c r="L34" s="2">
        <f>L12/'Output-Calculation-sheet'!L11*'Output-Calculation-sheet'!L20</f>
        <v>3232.284995655124</v>
      </c>
      <c r="M34" s="2">
        <f>M12/'Output-Calculation-sheet'!M11*'Output-Calculation-sheet'!M20</f>
        <v>0</v>
      </c>
      <c r="N34" s="2">
        <f>N12/'Output-Calculation-sheet'!N11*'Output-Calculation-sheet'!N20</f>
        <v>1758.9596698360149</v>
      </c>
      <c r="O34" s="2">
        <f>O12/'Output-Calculation-sheet'!O11*'Output-Calculation-sheet'!O20</f>
        <v>0</v>
      </c>
      <c r="P34" s="2">
        <f>P12/'Output-Calculation-sheet'!P11*'Output-Calculation-sheet'!P20</f>
        <v>3221.4018812178192</v>
      </c>
      <c r="Q34" s="2">
        <f>Q12/'Output-Calculation-sheet'!Q11*'Output-Calculation-sheet'!Q20</f>
        <v>3077.1149184149772</v>
      </c>
      <c r="R34" s="2">
        <f>R12/'Output-Calculation-sheet'!R11*'Output-Calculation-sheet'!R20</f>
        <v>2830.7980965901402</v>
      </c>
      <c r="S34" s="2">
        <f>S12/'Output-Calculation-sheet'!S11*'Output-Calculation-sheet'!S20</f>
        <v>1322.1565149063979</v>
      </c>
      <c r="T34" s="2">
        <f>T12/'Output-Calculation-sheet'!T11*'Output-Calculation-sheet'!T20</f>
        <v>893.46116948430324</v>
      </c>
      <c r="U34" s="2">
        <f>U12/'Output-Calculation-sheet'!U11*'Output-Calculation-sheet'!U20</f>
        <v>719.66498033529081</v>
      </c>
      <c r="V34" s="2">
        <f>V12/'Output-Calculation-sheet'!V11*'Output-Calculation-sheet'!V20</f>
        <v>826.17099002642874</v>
      </c>
      <c r="W34" s="2">
        <f>W12/'Output-Calculation-sheet'!W11*'Output-Calculation-sheet'!W20</f>
        <v>390.35984496411783</v>
      </c>
      <c r="X34" s="2">
        <f>X12/'Output-Calculation-sheet'!X11*'Output-Calculation-sheet'!X20</f>
        <v>0</v>
      </c>
      <c r="Y34" s="2">
        <f>Y12/'Output-Calculation-sheet'!Y11*'Output-Calculation-sheet'!Y20</f>
        <v>303.14680834982869</v>
      </c>
      <c r="AA34" s="2">
        <f t="shared" si="1"/>
        <v>83.127165396436524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1119.3012606735715</v>
      </c>
      <c r="C52" s="2">
        <f>C8/'Output-Calculation-sheet'!C7*'Output-Calculation-sheet'!C43</f>
        <v>0</v>
      </c>
      <c r="D52" s="2">
        <f>D8/'Output-Calculation-sheet'!D7*'Output-Calculation-sheet'!D43</f>
        <v>2431.4015713453209</v>
      </c>
      <c r="E52" s="2">
        <f>E8/'Output-Calculation-sheet'!E7*'Output-Calculation-sheet'!E43</f>
        <v>1745.3174205354619</v>
      </c>
      <c r="F52" s="2">
        <f>F8/'Output-Calculation-sheet'!F7*'Output-Calculation-sheet'!F43</f>
        <v>0</v>
      </c>
      <c r="G52" s="2">
        <f>G8/'Output-Calculation-sheet'!G7*'Output-Calculation-sheet'!G43</f>
        <v>618.97779473754235</v>
      </c>
      <c r="H52" s="2">
        <f>H8/'Output-Calculation-sheet'!H7*'Output-Calculation-sheet'!H43</f>
        <v>4742.4819870386073</v>
      </c>
      <c r="I52" s="2">
        <f>I8/'Output-Calculation-sheet'!I7*'Output-Calculation-sheet'!I43</f>
        <v>202.44857117087736</v>
      </c>
      <c r="J52" s="2">
        <f>J8/'Output-Calculation-sheet'!J7*'Output-Calculation-sheet'!J43</f>
        <v>1101.9668997590518</v>
      </c>
      <c r="K52" s="2">
        <f>K8/'Output-Calculation-sheet'!K7*'Output-Calculation-sheet'!K43</f>
        <v>2213.5977475154496</v>
      </c>
      <c r="L52" s="2">
        <f>L8/'Output-Calculation-sheet'!L7*'Output-Calculation-sheet'!L43</f>
        <v>2056.8008216540693</v>
      </c>
      <c r="M52" s="2">
        <f>M8/'Output-Calculation-sheet'!M7*'Output-Calculation-sheet'!M43</f>
        <v>13428.257740401503</v>
      </c>
      <c r="N52" s="2">
        <f>N8/'Output-Calculation-sheet'!N7*'Output-Calculation-sheet'!N43</f>
        <v>7686.4413894690351</v>
      </c>
      <c r="O52" s="2">
        <f>O8/'Output-Calculation-sheet'!O7*'Output-Calculation-sheet'!O43</f>
        <v>0</v>
      </c>
      <c r="P52" s="2">
        <f>P8/'Output-Calculation-sheet'!P7*'Output-Calculation-sheet'!P43</f>
        <v>1634.7365452184067</v>
      </c>
      <c r="Q52" s="2">
        <f>Q8/'Output-Calculation-sheet'!Q7*'Output-Calculation-sheet'!Q43</f>
        <v>371.44608336988586</v>
      </c>
      <c r="R52" s="2">
        <f>R8/'Output-Calculation-sheet'!R7*'Output-Calculation-sheet'!R43</f>
        <v>2978.8955527617272</v>
      </c>
      <c r="S52" s="2">
        <f>S8/'Output-Calculation-sheet'!S7*'Output-Calculation-sheet'!S43</f>
        <v>496.61322505221068</v>
      </c>
      <c r="T52" s="2">
        <f>T8/'Output-Calculation-sheet'!T7*'Output-Calculation-sheet'!T43</f>
        <v>882.85439153666118</v>
      </c>
      <c r="U52" s="2">
        <f>U8/'Output-Calculation-sheet'!U7*'Output-Calculation-sheet'!U43</f>
        <v>329.77807697759505</v>
      </c>
      <c r="V52" s="2">
        <f>V8/'Output-Calculation-sheet'!V7*'Output-Calculation-sheet'!V43</f>
        <v>862.197984763195</v>
      </c>
      <c r="W52" s="2">
        <f>W8/'Output-Calculation-sheet'!W7*'Output-Calculation-sheet'!W43</f>
        <v>10.321639849200794</v>
      </c>
      <c r="X52" s="2">
        <f>X8/'Output-Calculation-sheet'!X7*'Output-Calculation-sheet'!X43</f>
        <v>699.52292226582938</v>
      </c>
      <c r="Y52" s="2">
        <f>Y8/'Output-Calculation-sheet'!Y7*'Output-Calculation-sheet'!Y43</f>
        <v>0</v>
      </c>
      <c r="AA52" s="2">
        <f t="shared" si="3"/>
        <v>45.613359626095203</v>
      </c>
    </row>
    <row r="53" spans="1:27" x14ac:dyDescent="0.25">
      <c r="A53" s="2">
        <v>2032</v>
      </c>
      <c r="B53" s="2">
        <f>B9/'Output-Calculation-sheet'!B8*'Output-Calculation-sheet'!B44</f>
        <v>3861.5186106626138</v>
      </c>
      <c r="C53" s="2">
        <f>C9/'Output-Calculation-sheet'!C8*'Output-Calculation-sheet'!C44</f>
        <v>0</v>
      </c>
      <c r="D53" s="2">
        <f>D9/'Output-Calculation-sheet'!D8*'Output-Calculation-sheet'!D44</f>
        <v>3417.93484242661</v>
      </c>
      <c r="E53" s="2">
        <f>E9/'Output-Calculation-sheet'!E8*'Output-Calculation-sheet'!E44</f>
        <v>2240.9858836983835</v>
      </c>
      <c r="F53" s="2">
        <f>F9/'Output-Calculation-sheet'!F8*'Output-Calculation-sheet'!F44</f>
        <v>0</v>
      </c>
      <c r="G53" s="2">
        <f>G9/'Output-Calculation-sheet'!G8*'Output-Calculation-sheet'!G44</f>
        <v>827.60849818692247</v>
      </c>
      <c r="H53" s="2">
        <f>H9/'Output-Calculation-sheet'!H8*'Output-Calculation-sheet'!H44</f>
        <v>10392.816873675452</v>
      </c>
      <c r="I53" s="2">
        <f>I9/'Output-Calculation-sheet'!I8*'Output-Calculation-sheet'!I44</f>
        <v>303.26773168550397</v>
      </c>
      <c r="J53" s="2">
        <f>J9/'Output-Calculation-sheet'!J8*'Output-Calculation-sheet'!J44</f>
        <v>1391.5372551105133</v>
      </c>
      <c r="K53" s="2">
        <f>K9/'Output-Calculation-sheet'!K8*'Output-Calculation-sheet'!K44</f>
        <v>2519.9993856828778</v>
      </c>
      <c r="L53" s="2">
        <f>L9/'Output-Calculation-sheet'!L8*'Output-Calculation-sheet'!L44</f>
        <v>2456.2498316746614</v>
      </c>
      <c r="M53" s="2">
        <f>M9/'Output-Calculation-sheet'!M8*'Output-Calculation-sheet'!M44</f>
        <v>14772.490937762905</v>
      </c>
      <c r="N53" s="2">
        <f>N9/'Output-Calculation-sheet'!N8*'Output-Calculation-sheet'!N44</f>
        <v>9839.9781439953786</v>
      </c>
      <c r="O53" s="2">
        <f>O9/'Output-Calculation-sheet'!O8*'Output-Calculation-sheet'!O44</f>
        <v>0</v>
      </c>
      <c r="P53" s="2">
        <f>P9/'Output-Calculation-sheet'!P8*'Output-Calculation-sheet'!P44</f>
        <v>2040.6945868791097</v>
      </c>
      <c r="Q53" s="2">
        <f>Q9/'Output-Calculation-sheet'!Q8*'Output-Calculation-sheet'!Q44</f>
        <v>615.80722574643175</v>
      </c>
      <c r="R53" s="2">
        <f>R9/'Output-Calculation-sheet'!R8*'Output-Calculation-sheet'!R44</f>
        <v>3454.7474974620477</v>
      </c>
      <c r="S53" s="2">
        <f>S9/'Output-Calculation-sheet'!S8*'Output-Calculation-sheet'!S44</f>
        <v>1001.494259575052</v>
      </c>
      <c r="T53" s="2">
        <f>T9/'Output-Calculation-sheet'!T8*'Output-Calculation-sheet'!T44</f>
        <v>1026.3812892928713</v>
      </c>
      <c r="U53" s="2">
        <f>U9/'Output-Calculation-sheet'!U8*'Output-Calculation-sheet'!U44</f>
        <v>443.48372561689337</v>
      </c>
      <c r="V53" s="2">
        <f>V9/'Output-Calculation-sheet'!V8*'Output-Calculation-sheet'!V44</f>
        <v>956.63955060629132</v>
      </c>
      <c r="W53" s="2">
        <f>W9/'Output-Calculation-sheet'!W8*'Output-Calculation-sheet'!W44</f>
        <v>26.238214330610582</v>
      </c>
      <c r="X53" s="2">
        <f>X9/'Output-Calculation-sheet'!X8*'Output-Calculation-sheet'!X44</f>
        <v>1421.0883522863053</v>
      </c>
      <c r="Y53" s="2">
        <f>Y9/'Output-Calculation-sheet'!Y8*'Output-Calculation-sheet'!Y44</f>
        <v>0</v>
      </c>
      <c r="AA53" s="2">
        <f t="shared" si="3"/>
        <v>63.010962696357431</v>
      </c>
    </row>
    <row r="54" spans="1:27" x14ac:dyDescent="0.25">
      <c r="A54" s="2">
        <v>2033</v>
      </c>
      <c r="B54" s="2">
        <f>B10/'Output-Calculation-sheet'!B9*'Output-Calculation-sheet'!B45</f>
        <v>7969.6312685445509</v>
      </c>
      <c r="C54" s="2">
        <f>C10/'Output-Calculation-sheet'!C9*'Output-Calculation-sheet'!C45</f>
        <v>0</v>
      </c>
      <c r="D54" s="2">
        <f>D10/'Output-Calculation-sheet'!D9*'Output-Calculation-sheet'!D45</f>
        <v>4527.9931927267235</v>
      </c>
      <c r="E54" s="2">
        <f>E10/'Output-Calculation-sheet'!E9*'Output-Calculation-sheet'!E45</f>
        <v>3022.7793335315209</v>
      </c>
      <c r="F54" s="2">
        <f>F10/'Output-Calculation-sheet'!F9*'Output-Calculation-sheet'!F45</f>
        <v>0</v>
      </c>
      <c r="G54" s="2">
        <f>G10/'Output-Calculation-sheet'!G9*'Output-Calculation-sheet'!G45</f>
        <v>1072.0303732907948</v>
      </c>
      <c r="H54" s="2">
        <f>H10/'Output-Calculation-sheet'!H9*'Output-Calculation-sheet'!H45</f>
        <v>21273.742560452913</v>
      </c>
      <c r="I54" s="2">
        <f>I10/'Output-Calculation-sheet'!I9*'Output-Calculation-sheet'!I45</f>
        <v>438.28514360625962</v>
      </c>
      <c r="J54" s="2">
        <f>J10/'Output-Calculation-sheet'!J9*'Output-Calculation-sheet'!J45</f>
        <v>1792.8680354658495</v>
      </c>
      <c r="K54" s="2">
        <f>K10/'Output-Calculation-sheet'!K9*'Output-Calculation-sheet'!K45</f>
        <v>3044.0748330233505</v>
      </c>
      <c r="L54" s="2">
        <f>L10/'Output-Calculation-sheet'!L9*'Output-Calculation-sheet'!L45</f>
        <v>2900.035942673413</v>
      </c>
      <c r="M54" s="2">
        <f>M10/'Output-Calculation-sheet'!M9*'Output-Calculation-sheet'!M45</f>
        <v>15829.412072896695</v>
      </c>
      <c r="N54" s="2">
        <f>N10/'Output-Calculation-sheet'!N9*'Output-Calculation-sheet'!N45</f>
        <v>11088.371042787492</v>
      </c>
      <c r="O54" s="2">
        <f>O10/'Output-Calculation-sheet'!O9*'Output-Calculation-sheet'!O45</f>
        <v>0</v>
      </c>
      <c r="P54" s="2">
        <f>P10/'Output-Calculation-sheet'!P9*'Output-Calculation-sheet'!P45</f>
        <v>2516.6757819847576</v>
      </c>
      <c r="Q54" s="2">
        <f>Q10/'Output-Calculation-sheet'!Q9*'Output-Calculation-sheet'!Q45</f>
        <v>969.64341567190809</v>
      </c>
      <c r="R54" s="2">
        <f>R10/'Output-Calculation-sheet'!R9*'Output-Calculation-sheet'!R45</f>
        <v>3735.3771950989253</v>
      </c>
      <c r="S54" s="2">
        <f>S10/'Output-Calculation-sheet'!S9*'Output-Calculation-sheet'!S45</f>
        <v>1659.2051727951141</v>
      </c>
      <c r="T54" s="2">
        <f>T10/'Output-Calculation-sheet'!T9*'Output-Calculation-sheet'!T45</f>
        <v>1204.0824953743816</v>
      </c>
      <c r="U54" s="2">
        <f>U10/'Output-Calculation-sheet'!U9*'Output-Calculation-sheet'!U45</f>
        <v>541.40711803680495</v>
      </c>
      <c r="V54" s="2">
        <f>V10/'Output-Calculation-sheet'!V9*'Output-Calculation-sheet'!V45</f>
        <v>1050.5664166971342</v>
      </c>
      <c r="W54" s="2">
        <f>W10/'Output-Calculation-sheet'!W9*'Output-Calculation-sheet'!W45</f>
        <v>35.752854188262695</v>
      </c>
      <c r="X54" s="2">
        <f>X10/'Output-Calculation-sheet'!X9*'Output-Calculation-sheet'!X45</f>
        <v>1525.1017624974372</v>
      </c>
      <c r="Y54" s="2">
        <f>Y10/'Output-Calculation-sheet'!Y9*'Output-Calculation-sheet'!Y45</f>
        <v>11.462239002995416</v>
      </c>
      <c r="AA54" s="2">
        <f t="shared" si="3"/>
        <v>86.208498250347304</v>
      </c>
    </row>
    <row r="55" spans="1:27" x14ac:dyDescent="0.25">
      <c r="A55" s="2">
        <v>2034</v>
      </c>
      <c r="B55" s="2">
        <f>B11/'Output-Calculation-sheet'!B10*'Output-Calculation-sheet'!B46</f>
        <v>16804.790888380569</v>
      </c>
      <c r="C55" s="2">
        <f>C11/'Output-Calculation-sheet'!C10*'Output-Calculation-sheet'!C46</f>
        <v>0</v>
      </c>
      <c r="D55" s="2">
        <f>D11/'Output-Calculation-sheet'!D10*'Output-Calculation-sheet'!D46</f>
        <v>5369.6497875200421</v>
      </c>
      <c r="E55" s="2">
        <f>E11/'Output-Calculation-sheet'!E10*'Output-Calculation-sheet'!E46</f>
        <v>3518.765756235975</v>
      </c>
      <c r="F55" s="2">
        <f>F11/'Output-Calculation-sheet'!F10*'Output-Calculation-sheet'!F46</f>
        <v>0</v>
      </c>
      <c r="G55" s="2">
        <f>G11/'Output-Calculation-sheet'!G10*'Output-Calculation-sheet'!G46</f>
        <v>1351.7254374288052</v>
      </c>
      <c r="H55" s="2">
        <f>H11/'Output-Calculation-sheet'!H10*'Output-Calculation-sheet'!H46</f>
        <v>22359.045110795894</v>
      </c>
      <c r="I55" s="2">
        <f>I11/'Output-Calculation-sheet'!I10*'Output-Calculation-sheet'!I46</f>
        <v>607.89816356156177</v>
      </c>
      <c r="J55" s="2">
        <f>J11/'Output-Calculation-sheet'!J10*'Output-Calculation-sheet'!J46</f>
        <v>2105.6685950429105</v>
      </c>
      <c r="K55" s="2">
        <f>K11/'Output-Calculation-sheet'!K10*'Output-Calculation-sheet'!K46</f>
        <v>3584.8092403385035</v>
      </c>
      <c r="L55" s="2">
        <f>L11/'Output-Calculation-sheet'!L10*'Output-Calculation-sheet'!L46</f>
        <v>3420.5622359607219</v>
      </c>
      <c r="M55" s="2">
        <f>M11/'Output-Calculation-sheet'!M10*'Output-Calculation-sheet'!M46</f>
        <v>16601.611277638684</v>
      </c>
      <c r="N55" s="2">
        <f>N11/'Output-Calculation-sheet'!N10*'Output-Calculation-sheet'!N46</f>
        <v>12220.935429229887</v>
      </c>
      <c r="O55" s="2">
        <f>O11/'Output-Calculation-sheet'!O10*'Output-Calculation-sheet'!O46</f>
        <v>0</v>
      </c>
      <c r="P55" s="2">
        <f>P11/'Output-Calculation-sheet'!P10*'Output-Calculation-sheet'!P46</f>
        <v>2842.9383732226584</v>
      </c>
      <c r="Q55" s="2">
        <f>Q11/'Output-Calculation-sheet'!Q10*'Output-Calculation-sheet'!Q46</f>
        <v>1590.5887502763615</v>
      </c>
      <c r="R55" s="2">
        <f>R11/'Output-Calculation-sheet'!R10*'Output-Calculation-sheet'!R46</f>
        <v>3981.8856505842609</v>
      </c>
      <c r="S55" s="2">
        <f>S11/'Output-Calculation-sheet'!S10*'Output-Calculation-sheet'!S46</f>
        <v>2563.5860467064067</v>
      </c>
      <c r="T55" s="2">
        <f>T11/'Output-Calculation-sheet'!T10*'Output-Calculation-sheet'!T46</f>
        <v>1316.5902917763271</v>
      </c>
      <c r="U55" s="2">
        <f>U11/'Output-Calculation-sheet'!U10*'Output-Calculation-sheet'!U46</f>
        <v>625.08530277677937</v>
      </c>
      <c r="V55" s="2">
        <f>V11/'Output-Calculation-sheet'!V10*'Output-Calculation-sheet'!V46</f>
        <v>1150.1127523787334</v>
      </c>
      <c r="W55" s="2">
        <f>W11/'Output-Calculation-sheet'!W10*'Output-Calculation-sheet'!W46</f>
        <v>57.853759910002196</v>
      </c>
      <c r="X55" s="2">
        <f>X11/'Output-Calculation-sheet'!X10*'Output-Calculation-sheet'!X46</f>
        <v>1608.7187678927614</v>
      </c>
      <c r="Y55" s="2">
        <f>Y11/'Output-Calculation-sheet'!Y10*'Output-Calculation-sheet'!Y46</f>
        <v>19.077646071848566</v>
      </c>
      <c r="AA55" s="2">
        <f t="shared" si="3"/>
        <v>103.70189926372967</v>
      </c>
    </row>
    <row r="56" spans="1:27" x14ac:dyDescent="0.25">
      <c r="A56" s="2">
        <v>2035</v>
      </c>
      <c r="B56" s="2">
        <f>B12/'Output-Calculation-sheet'!B11*'Output-Calculation-sheet'!B47</f>
        <v>29408.027892327595</v>
      </c>
      <c r="C56" s="2">
        <f>C12/'Output-Calculation-sheet'!C11*'Output-Calculation-sheet'!C47</f>
        <v>1744.7132424803287</v>
      </c>
      <c r="D56" s="2">
        <f>D12/'Output-Calculation-sheet'!D11*'Output-Calculation-sheet'!D47</f>
        <v>6278.6828332023379</v>
      </c>
      <c r="E56" s="2">
        <f>E12/'Output-Calculation-sheet'!E11*'Output-Calculation-sheet'!E47</f>
        <v>4529.2739895906243</v>
      </c>
      <c r="F56" s="2">
        <f>F12/'Output-Calculation-sheet'!F11*'Output-Calculation-sheet'!F47</f>
        <v>96.562805106176256</v>
      </c>
      <c r="G56" s="2">
        <f>G12/'Output-Calculation-sheet'!G11*'Output-Calculation-sheet'!G47</f>
        <v>1663.2357657910063</v>
      </c>
      <c r="H56" s="2">
        <f>H12/'Output-Calculation-sheet'!H11*'Output-Calculation-sheet'!H47</f>
        <v>23262.150747618434</v>
      </c>
      <c r="I56" s="2">
        <f>I12/'Output-Calculation-sheet'!I11*'Output-Calculation-sheet'!I47</f>
        <v>716.82435804980832</v>
      </c>
      <c r="J56" s="2">
        <f>J12/'Output-Calculation-sheet'!J11*'Output-Calculation-sheet'!J47</f>
        <v>2344.1729751596986</v>
      </c>
      <c r="K56" s="2">
        <f>K12/'Output-Calculation-sheet'!K11*'Output-Calculation-sheet'!K47</f>
        <v>3859.5745332973597</v>
      </c>
      <c r="L56" s="2">
        <f>L12/'Output-Calculation-sheet'!L11*'Output-Calculation-sheet'!L47</f>
        <v>3970.1479533087067</v>
      </c>
      <c r="M56" s="2">
        <f>M12/'Output-Calculation-sheet'!M11*'Output-Calculation-sheet'!M47</f>
        <v>17207.711189581099</v>
      </c>
      <c r="N56" s="2">
        <f>N12/'Output-Calculation-sheet'!N11*'Output-Calculation-sheet'!N47</f>
        <v>13189.416622674969</v>
      </c>
      <c r="O56" s="2">
        <f>O12/'Output-Calculation-sheet'!O11*'Output-Calculation-sheet'!O47</f>
        <v>826.19268774258251</v>
      </c>
      <c r="P56" s="2">
        <f>P12/'Output-Calculation-sheet'!P11*'Output-Calculation-sheet'!P47</f>
        <v>3040.9181462741285</v>
      </c>
      <c r="Q56" s="2">
        <f>Q12/'Output-Calculation-sheet'!Q11*'Output-Calculation-sheet'!Q47</f>
        <v>2346.984082199273</v>
      </c>
      <c r="R56" s="2">
        <f>R12/'Output-Calculation-sheet'!R11*'Output-Calculation-sheet'!R47</f>
        <v>4181.5604765751314</v>
      </c>
      <c r="S56" s="2">
        <f>S12/'Output-Calculation-sheet'!S11*'Output-Calculation-sheet'!S47</f>
        <v>3578.6012243780574</v>
      </c>
      <c r="T56" s="2">
        <f>T12/'Output-Calculation-sheet'!T11*'Output-Calculation-sheet'!T47</f>
        <v>1459.4626942579503</v>
      </c>
      <c r="U56" s="2">
        <f>U12/'Output-Calculation-sheet'!U11*'Output-Calculation-sheet'!U47</f>
        <v>729.79324131916383</v>
      </c>
      <c r="V56" s="2">
        <f>V12/'Output-Calculation-sheet'!V11*'Output-Calculation-sheet'!V47</f>
        <v>1208.6607311074592</v>
      </c>
      <c r="W56" s="2">
        <f>W12/'Output-Calculation-sheet'!W11*'Output-Calculation-sheet'!W47</f>
        <v>76.271123032337812</v>
      </c>
      <c r="X56" s="2">
        <f>X12/'Output-Calculation-sheet'!X11*'Output-Calculation-sheet'!X47</f>
        <v>1669.816073448374</v>
      </c>
      <c r="Y56" s="2">
        <f>Y12/'Output-Calculation-sheet'!Y11*'Output-Calculation-sheet'!Y47</f>
        <v>29.342703772518206</v>
      </c>
      <c r="AA56" s="2">
        <f t="shared" si="3"/>
        <v>127.41809809229511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6.9148729227097334</v>
      </c>
      <c r="C63" s="2">
        <f>C8*'Output-Calculation-sheet'!C52/10^9</f>
        <v>4.2483382142127271</v>
      </c>
      <c r="D63" s="2">
        <f>D8*'Output-Calculation-sheet'!D52/10^9</f>
        <v>1.496770902394768</v>
      </c>
      <c r="E63" s="2">
        <f>E8*'Output-Calculation-sheet'!E52/10^9</f>
        <v>1.789921707845415</v>
      </c>
      <c r="F63" s="2">
        <f>F8*'Output-Calculation-sheet'!F52/10^9</f>
        <v>0.69493689392627644</v>
      </c>
      <c r="G63" s="2">
        <f>G8*'Output-Calculation-sheet'!G52/10^9</f>
        <v>0.49048886756273141</v>
      </c>
      <c r="H63" s="2">
        <f>H8*'Output-Calculation-sheet'!H52/10^9</f>
        <v>1.3068506439768146</v>
      </c>
      <c r="I63" s="2">
        <f>I8*'Output-Calculation-sheet'!I52/10^9</f>
        <v>0.48054619790512121</v>
      </c>
      <c r="J63" s="2">
        <f>J8*'Output-Calculation-sheet'!J52/10^9</f>
        <v>0.5002970252693123</v>
      </c>
      <c r="K63" s="2">
        <f>K8*'Output-Calculation-sheet'!K52/10^9</f>
        <v>0.60350241682432859</v>
      </c>
      <c r="L63" s="2">
        <f>L8*'Output-Calculation-sheet'!L52/10^9</f>
        <v>0.62996833102681926</v>
      </c>
      <c r="M63" s="2">
        <f>M8*'Output-Calculation-sheet'!M52/10^9</f>
        <v>0.98613708835986669</v>
      </c>
      <c r="N63" s="2">
        <f>N8*'Output-Calculation-sheet'!N52/10^9</f>
        <v>0.84796931631571715</v>
      </c>
      <c r="O63" s="2">
        <f>O8*'Output-Calculation-sheet'!O52/10^9</f>
        <v>0.8891876600915517</v>
      </c>
      <c r="P63" s="2">
        <f>P8*'Output-Calculation-sheet'!P52/10^9</f>
        <v>0.54138035131641449</v>
      </c>
      <c r="Q63" s="2">
        <f>Q8*'Output-Calculation-sheet'!Q52/10^9</f>
        <v>0.58942268392463526</v>
      </c>
      <c r="R63" s="2">
        <f>R8*'Output-Calculation-sheet'!R52/10^9</f>
        <v>0.45467531249518389</v>
      </c>
      <c r="S63" s="2">
        <f>S8*'Output-Calculation-sheet'!S52/10^9</f>
        <v>0.43301232824037117</v>
      </c>
      <c r="T63" s="2">
        <f>T8*'Output-Calculation-sheet'!T52/10^9</f>
        <v>0.14090743204672035</v>
      </c>
      <c r="U63" s="2">
        <f>U8*'Output-Calculation-sheet'!U52/10^9</f>
        <v>0.13741267249946998</v>
      </c>
      <c r="V63" s="2">
        <f>V8*'Output-Calculation-sheet'!V52/10^9</f>
        <v>0.11716301511753559</v>
      </c>
      <c r="W63" s="2">
        <f>W8*'Output-Calculation-sheet'!W52/10^9</f>
        <v>6.0354840827887266E-2</v>
      </c>
      <c r="X63" s="2">
        <f>X8*'Output-Calculation-sheet'!X52/10^9</f>
        <v>0.11410549958717318</v>
      </c>
      <c r="Y63" s="2">
        <f>Y8*'Output-Calculation-sheet'!Y52/10^9</f>
        <v>5.4970774972933935E-2</v>
      </c>
      <c r="AA63" s="2">
        <f t="shared" si="4"/>
        <v>24.523193099449504</v>
      </c>
    </row>
    <row r="64" spans="1:27" x14ac:dyDescent="0.25">
      <c r="A64" s="2">
        <v>2032</v>
      </c>
      <c r="B64" s="2">
        <f>B9*'Output-Calculation-sheet'!B53/10^9</f>
        <v>7.4788127754372891</v>
      </c>
      <c r="C64" s="2">
        <f>C9*'Output-Calculation-sheet'!C53/10^9</f>
        <v>4.5935373545987188</v>
      </c>
      <c r="D64" s="2">
        <f>D9*'Output-Calculation-sheet'!D53/10^9</f>
        <v>1.6199603878843172</v>
      </c>
      <c r="E64" s="2">
        <f>E9*'Output-Calculation-sheet'!E53/10^9</f>
        <v>1.9381877347554604</v>
      </c>
      <c r="F64" s="2">
        <f>F9*'Output-Calculation-sheet'!F53/10^9</f>
        <v>0.75251406574022206</v>
      </c>
      <c r="G64" s="2">
        <f>G9*'Output-Calculation-sheet'!G53/10^9</f>
        <v>0.53110440522404367</v>
      </c>
      <c r="H64" s="2">
        <f>H9*'Output-Calculation-sheet'!H53/10^9</f>
        <v>1.4009838944429978</v>
      </c>
      <c r="I64" s="2">
        <f>I9*'Output-Calculation-sheet'!I53/10^9</f>
        <v>0.52051555677489136</v>
      </c>
      <c r="J64" s="2">
        <f>J9*'Output-Calculation-sheet'!J53/10^9</f>
        <v>0.5411685389891725</v>
      </c>
      <c r="K64" s="2">
        <f>K9*'Output-Calculation-sheet'!K53/10^9</f>
        <v>0.6518789098490273</v>
      </c>
      <c r="L64" s="2">
        <f>L9*'Output-Calculation-sheet'!L53/10^9</f>
        <v>0.67754650970603725</v>
      </c>
      <c r="M64" s="2">
        <f>M9*'Output-Calculation-sheet'!M53/10^9</f>
        <v>1.0428761567180487</v>
      </c>
      <c r="N64" s="2">
        <f>N9*'Output-Calculation-sheet'!N53/10^9</f>
        <v>0.90396481349853952</v>
      </c>
      <c r="O64" s="2">
        <f>O9*'Output-Calculation-sheet'!O53/10^9</f>
        <v>0.96140583280676173</v>
      </c>
      <c r="P64" s="2">
        <f>P9*'Output-Calculation-sheet'!P53/10^9</f>
        <v>0.5853658711588231</v>
      </c>
      <c r="Q64" s="2">
        <f>Q9*'Output-Calculation-sheet'!Q53/10^9</f>
        <v>0.63830459353573565</v>
      </c>
      <c r="R64" s="2">
        <f>R9*'Output-Calculation-sheet'!R53/10^9</f>
        <v>0.49001158632028685</v>
      </c>
      <c r="S64" s="2">
        <f>S9*'Output-Calculation-sheet'!S53/10^9</f>
        <v>0.4674146198910204</v>
      </c>
      <c r="T64" s="2">
        <f>T9*'Output-Calculation-sheet'!T53/10^9</f>
        <v>0.15187262248593139</v>
      </c>
      <c r="U64" s="2">
        <f>U9*'Output-Calculation-sheet'!U53/10^9</f>
        <v>0.148696641041588</v>
      </c>
      <c r="V64" s="2">
        <f>V9*'Output-Calculation-sheet'!V53/10^9</f>
        <v>0.12611005992601923</v>
      </c>
      <c r="W64" s="2">
        <f>W9*'Output-Calculation-sheet'!W53/10^9</f>
        <v>6.5362155226768553E-2</v>
      </c>
      <c r="X64" s="2">
        <f>X9*'Output-Calculation-sheet'!X53/10^9</f>
        <v>0.12154007922122032</v>
      </c>
      <c r="Y64" s="2">
        <f>Y9*'Output-Calculation-sheet'!Y53/10^9</f>
        <v>5.959869660048861E-2</v>
      </c>
      <c r="AA64" s="2">
        <f t="shared" si="4"/>
        <v>26.46873386183341</v>
      </c>
    </row>
    <row r="65" spans="1:27" x14ac:dyDescent="0.25">
      <c r="A65" s="2">
        <v>2033</v>
      </c>
      <c r="B65" s="2">
        <f>B10*'Output-Calculation-sheet'!B54/10^9</f>
        <v>7.8598853320649615</v>
      </c>
      <c r="C65" s="2">
        <f>C10*'Output-Calculation-sheet'!C54/10^9</f>
        <v>4.830194776361556</v>
      </c>
      <c r="D65" s="2">
        <f>D10*'Output-Calculation-sheet'!D54/10^9</f>
        <v>1.7049202527962242</v>
      </c>
      <c r="E65" s="2">
        <f>E10*'Output-Calculation-sheet'!E54/10^9</f>
        <v>2.041218434342519</v>
      </c>
      <c r="F65" s="2">
        <f>F10*'Output-Calculation-sheet'!F54/10^9</f>
        <v>0.79264372632941937</v>
      </c>
      <c r="G65" s="2">
        <f>G10*'Output-Calculation-sheet'!G54/10^9</f>
        <v>0.55928502260981749</v>
      </c>
      <c r="H65" s="2">
        <f>H10*'Output-Calculation-sheet'!H54/10^9</f>
        <v>1.4478796591846268</v>
      </c>
      <c r="I65" s="2">
        <f>I10*'Output-Calculation-sheet'!I54/10^9</f>
        <v>0.54837580873099945</v>
      </c>
      <c r="J65" s="2">
        <f>J10*'Output-Calculation-sheet'!J54/10^9</f>
        <v>0.56933813994443383</v>
      </c>
      <c r="K65" s="2">
        <f>K10*'Output-Calculation-sheet'!K54/10^9</f>
        <v>0.68478535488380432</v>
      </c>
      <c r="L65" s="2">
        <f>L10*'Output-Calculation-sheet'!L54/10^9</f>
        <v>0.70825321599962099</v>
      </c>
      <c r="M65" s="2">
        <f>M10*'Output-Calculation-sheet'!M54/10^9</f>
        <v>1.0719822634243761</v>
      </c>
      <c r="N65" s="2">
        <f>N10*'Output-Calculation-sheet'!N54/10^9</f>
        <v>0.935450380914575</v>
      </c>
      <c r="O65" s="2">
        <f>O10*'Output-Calculation-sheet'!O54/10^9</f>
        <v>1.0109316994462603</v>
      </c>
      <c r="P65" s="2">
        <f>P10*'Output-Calculation-sheet'!P54/10^9</f>
        <v>0.61542549972639748</v>
      </c>
      <c r="Q65" s="2">
        <f>Q10*'Output-Calculation-sheet'!Q54/10^9</f>
        <v>0.67178570797474058</v>
      </c>
      <c r="R65" s="2">
        <f>R10*'Output-Calculation-sheet'!R54/10^9</f>
        <v>0.51366347503699139</v>
      </c>
      <c r="S65" s="2">
        <f>S10*'Output-Calculation-sheet'!S54/10^9</f>
        <v>0.48982384972033671</v>
      </c>
      <c r="T65" s="2">
        <f>T10*'Output-Calculation-sheet'!T54/10^9</f>
        <v>0.15918494868767105</v>
      </c>
      <c r="U65" s="2">
        <f>U10*'Output-Calculation-sheet'!U54/10^9</f>
        <v>0.15648039660468432</v>
      </c>
      <c r="V65" s="2">
        <f>V10*'Output-Calculation-sheet'!V54/10^9</f>
        <v>0.13203910226007723</v>
      </c>
      <c r="W65" s="2">
        <f>W10*'Output-Calculation-sheet'!W54/10^9</f>
        <v>6.8847079724349378E-2</v>
      </c>
      <c r="X65" s="2">
        <f>X10*'Output-Calculation-sheet'!X54/10^9</f>
        <v>0.12543898822510488</v>
      </c>
      <c r="Y65" s="2">
        <f>Y10*'Output-Calculation-sheet'!Y54/10^9</f>
        <v>6.2845221584589828E-2</v>
      </c>
      <c r="AA65" s="2">
        <f t="shared" si="4"/>
        <v>27.760678336578142</v>
      </c>
    </row>
    <row r="66" spans="1:27" x14ac:dyDescent="0.25">
      <c r="A66" s="2">
        <v>2034</v>
      </c>
      <c r="B66" s="2">
        <f>B11*'Output-Calculation-sheet'!B55/10^9</f>
        <v>8.0955590520059229</v>
      </c>
      <c r="C66" s="2">
        <f>C11*'Output-Calculation-sheet'!C55/10^9</f>
        <v>4.9836062300085189</v>
      </c>
      <c r="D66" s="2">
        <f>D11*'Output-Calculation-sheet'!D55/10^9</f>
        <v>1.760855471634017</v>
      </c>
      <c r="E66" s="2">
        <f>E11*'Output-Calculation-sheet'!E55/10^9</f>
        <v>2.1096676418599531</v>
      </c>
      <c r="F66" s="2">
        <f>F11*'Output-Calculation-sheet'!F55/10^9</f>
        <v>0.81943272674518597</v>
      </c>
      <c r="G66" s="2">
        <f>G11*'Output-Calculation-sheet'!G55/10^9</f>
        <v>0.57793327730867405</v>
      </c>
      <c r="H66" s="2">
        <f>H11*'Output-Calculation-sheet'!H55/10^9</f>
        <v>1.4609738943146506</v>
      </c>
      <c r="I66" s="2">
        <f>I11*'Output-Calculation-sheet'!I55/10^9</f>
        <v>0.56691095442585082</v>
      </c>
      <c r="J66" s="2">
        <f>J11*'Output-Calculation-sheet'!J55/10^9</f>
        <v>0.58762434399909369</v>
      </c>
      <c r="K66" s="2">
        <f>K11*'Output-Calculation-sheet'!K55/10^9</f>
        <v>0.70587101550081366</v>
      </c>
      <c r="L66" s="2">
        <f>L11*'Output-Calculation-sheet'!L55/10^9</f>
        <v>0.72600923406133577</v>
      </c>
      <c r="M66" s="2">
        <f>M11*'Output-Calculation-sheet'!M55/10^9</f>
        <v>1.0802999438175154</v>
      </c>
      <c r="N66" s="2">
        <f>N11*'Output-Calculation-sheet'!N55/10^9</f>
        <v>0.94878895672376995</v>
      </c>
      <c r="O66" s="2">
        <f>O11*'Output-Calculation-sheet'!O55/10^9</f>
        <v>1.0430755488360577</v>
      </c>
      <c r="P66" s="2">
        <f>P11*'Output-Calculation-sheet'!P55/10^9</f>
        <v>0.63477846537977112</v>
      </c>
      <c r="Q66" s="2">
        <f>Q11*'Output-Calculation-sheet'!Q55/10^9</f>
        <v>0.6928910567133959</v>
      </c>
      <c r="R66" s="2">
        <f>R11*'Output-Calculation-sheet'!R55/10^9</f>
        <v>0.52849960446431155</v>
      </c>
      <c r="S66" s="2">
        <f>S11*'Output-Calculation-sheet'!S55/10^9</f>
        <v>0.50257058777150798</v>
      </c>
      <c r="T66" s="2">
        <f>T11*'Output-Calculation-sheet'!T55/10^9</f>
        <v>0.16371413157854883</v>
      </c>
      <c r="U66" s="2">
        <f>U11*'Output-Calculation-sheet'!U55/10^9</f>
        <v>0.16157343286570605</v>
      </c>
      <c r="V66" s="2">
        <f>V11*'Output-Calculation-sheet'!V55/10^9</f>
        <v>0.13568412583410613</v>
      </c>
      <c r="W66" s="2">
        <f>W11*'Output-Calculation-sheet'!W55/10^9</f>
        <v>7.1163408796883307E-2</v>
      </c>
      <c r="X66" s="2">
        <f>X11*'Output-Calculation-sheet'!X55/10^9</f>
        <v>0.12695411584404812</v>
      </c>
      <c r="Y66" s="2">
        <f>Y11*'Output-Calculation-sheet'!Y55/10^9</f>
        <v>6.5040586424697455E-2</v>
      </c>
      <c r="AA66" s="2">
        <f t="shared" si="4"/>
        <v>28.549477806914336</v>
      </c>
    </row>
    <row r="67" spans="1:27" x14ac:dyDescent="0.25">
      <c r="A67" s="2">
        <v>2035</v>
      </c>
      <c r="B67" s="2">
        <f>B12*'Output-Calculation-sheet'!B56/10^9</f>
        <v>8.2012836012628458</v>
      </c>
      <c r="C67" s="2">
        <f>C12*'Output-Calculation-sheet'!C56/10^9</f>
        <v>5.065970253370792</v>
      </c>
      <c r="D67" s="2">
        <f>D12*'Output-Calculation-sheet'!D56/10^9</f>
        <v>1.7919482553939257</v>
      </c>
      <c r="E67" s="2">
        <f>E12*'Output-Calculation-sheet'!E56/10^9</f>
        <v>2.1486999678404159</v>
      </c>
      <c r="F67" s="2">
        <f>F12*'Output-Calculation-sheet'!F56/10^9</f>
        <v>0.83488288331535843</v>
      </c>
      <c r="G67" s="2">
        <f>G12*'Output-Calculation-sheet'!G56/10^9</f>
        <v>0.58849553693746193</v>
      </c>
      <c r="H67" s="2">
        <f>H12*'Output-Calculation-sheet'!H56/10^9</f>
        <v>1.4514390268255442</v>
      </c>
      <c r="I67" s="2">
        <f>I12*'Output-Calculation-sheet'!I56/10^9</f>
        <v>0.57758042917105012</v>
      </c>
      <c r="J67" s="2">
        <f>J12*'Output-Calculation-sheet'!J56/10^9</f>
        <v>0.59775454234604741</v>
      </c>
      <c r="K67" s="2">
        <f>K12*'Output-Calculation-sheet'!K56/10^9</f>
        <v>0.71692002851217684</v>
      </c>
      <c r="L67" s="2">
        <f>L12*'Output-Calculation-sheet'!L56/10^9</f>
        <v>0.73282144835455354</v>
      </c>
      <c r="M67" s="2">
        <f>M12*'Output-Calculation-sheet'!M56/10^9</f>
        <v>1.0718265966610154</v>
      </c>
      <c r="N67" s="2">
        <f>N12*'Output-Calculation-sheet'!N56/10^9</f>
        <v>0.94709298842143252</v>
      </c>
      <c r="O67" s="2">
        <f>O12*'Output-Calculation-sheet'!O56/10^9</f>
        <v>1.0598014392044683</v>
      </c>
      <c r="P67" s="2">
        <f>P12*'Output-Calculation-sheet'!P56/10^9</f>
        <v>0.64527929893827118</v>
      </c>
      <c r="Q67" s="2">
        <f>Q12*'Output-Calculation-sheet'!Q56/10^9</f>
        <v>0.70312327164271338</v>
      </c>
      <c r="R67" s="2">
        <f>R12*'Output-Calculation-sheet'!R56/10^9</f>
        <v>0.53595745275281603</v>
      </c>
      <c r="S67" s="2">
        <f>S12*'Output-Calculation-sheet'!S56/10^9</f>
        <v>0.50685670507073777</v>
      </c>
      <c r="T67" s="2">
        <f>T12*'Output-Calculation-sheet'!T56/10^9</f>
        <v>0.16591363595227032</v>
      </c>
      <c r="U67" s="2">
        <f>U12*'Output-Calculation-sheet'!U56/10^9</f>
        <v>0.16440957398609118</v>
      </c>
      <c r="V67" s="2">
        <f>V12*'Output-Calculation-sheet'!V56/10^9</f>
        <v>0.13740010086985155</v>
      </c>
      <c r="W67" s="2">
        <f>W12*'Output-Calculation-sheet'!W56/10^9</f>
        <v>7.2491113636563589E-2</v>
      </c>
      <c r="X67" s="2">
        <f>X12*'Output-Calculation-sheet'!X56/10^9</f>
        <v>0.1264994033841178</v>
      </c>
      <c r="Y67" s="2">
        <f>Y12*'Output-Calculation-sheet'!Y56/10^9</f>
        <v>6.6339755660782887E-2</v>
      </c>
      <c r="AA67" s="2">
        <f t="shared" si="4"/>
        <v>28.910787309511296</v>
      </c>
    </row>
    <row r="68" spans="1:27" x14ac:dyDescent="0.25">
      <c r="B68" s="2">
        <f>SUM(B60:B67)</f>
        <v>53.408829004238157</v>
      </c>
      <c r="C68" s="2">
        <f t="shared" ref="C68:Y68" si="5">SUM(C60:C67)</f>
        <v>32.830723744028617</v>
      </c>
      <c r="D68" s="2">
        <f t="shared" si="5"/>
        <v>11.594483272376426</v>
      </c>
      <c r="E68" s="2">
        <f t="shared" si="5"/>
        <v>13.876450193630022</v>
      </c>
      <c r="F68" s="2">
        <f t="shared" si="5"/>
        <v>5.3892362184272375</v>
      </c>
      <c r="G68" s="2">
        <f t="shared" si="5"/>
        <v>3.8012727135332063</v>
      </c>
      <c r="H68" s="2">
        <f t="shared" si="5"/>
        <v>9.8899370715760888</v>
      </c>
      <c r="I68" s="2">
        <f t="shared" si="5"/>
        <v>3.7260593677380558</v>
      </c>
      <c r="J68" s="2">
        <f t="shared" si="5"/>
        <v>3.874734683167842</v>
      </c>
      <c r="K68" s="2">
        <f t="shared" si="5"/>
        <v>4.670956149969288</v>
      </c>
      <c r="L68" s="2">
        <f t="shared" si="5"/>
        <v>4.8487571854393705</v>
      </c>
      <c r="M68" s="2">
        <f t="shared" si="5"/>
        <v>7.4995116267548774</v>
      </c>
      <c r="N68" s="2">
        <f t="shared" si="5"/>
        <v>6.447475157904905</v>
      </c>
      <c r="O68" s="2">
        <f t="shared" si="5"/>
        <v>6.8710665477079109</v>
      </c>
      <c r="P68" s="2">
        <f t="shared" si="5"/>
        <v>4.1898682224221044</v>
      </c>
      <c r="Q68" s="2">
        <f t="shared" si="5"/>
        <v>4.5616571453779047</v>
      </c>
      <c r="R68" s="2">
        <f t="shared" si="5"/>
        <v>3.5174409106697588</v>
      </c>
      <c r="S68" s="2">
        <f t="shared" si="5"/>
        <v>3.3303387879927095</v>
      </c>
      <c r="T68" s="2">
        <f t="shared" si="5"/>
        <v>1.0896050679148734</v>
      </c>
      <c r="U68" s="2">
        <f t="shared" si="5"/>
        <v>1.0641784109790888</v>
      </c>
      <c r="V68" s="2">
        <f t="shared" si="5"/>
        <v>0.906238322299457</v>
      </c>
      <c r="W68" s="2">
        <f t="shared" si="5"/>
        <v>0.46794510888260527</v>
      </c>
      <c r="X68" s="2">
        <f t="shared" si="5"/>
        <v>0.86170174406035926</v>
      </c>
      <c r="Y68" s="2">
        <f t="shared" si="5"/>
        <v>0.42664869677565032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410.03736182675169</v>
      </c>
      <c r="C74" s="2">
        <f>C8/'Output-Calculation-sheet'!C7*'Output-Calculation-sheet'!C61</f>
        <v>0</v>
      </c>
      <c r="D74" s="2">
        <f>D8/'Output-Calculation-sheet'!D7*'Output-Calculation-sheet'!D61</f>
        <v>670.98840138255548</v>
      </c>
      <c r="E74" s="2">
        <f>E8/'Output-Calculation-sheet'!E7*'Output-Calculation-sheet'!E61</f>
        <v>497.97645973777878</v>
      </c>
      <c r="F74" s="2">
        <f>F8/'Output-Calculation-sheet'!F7*'Output-Calculation-sheet'!F61</f>
        <v>0</v>
      </c>
      <c r="G74" s="2">
        <f>G8/'Output-Calculation-sheet'!G7*'Output-Calculation-sheet'!G61</f>
        <v>226.74282035408424</v>
      </c>
      <c r="H74" s="2">
        <f>H8/'Output-Calculation-sheet'!H7*'Output-Calculation-sheet'!H61</f>
        <v>1088.9719845410375</v>
      </c>
      <c r="I74" s="2">
        <f>I8/'Output-Calculation-sheet'!I7*'Output-Calculation-sheet'!I61</f>
        <v>79.941879541100192</v>
      </c>
      <c r="J74" s="2">
        <f>J8/'Output-Calculation-sheet'!J7*'Output-Calculation-sheet'!J61</f>
        <v>333.29489777257862</v>
      </c>
      <c r="K74" s="2">
        <f>K8/'Output-Calculation-sheet'!K7*'Output-Calculation-sheet'!K61</f>
        <v>559.74176750376614</v>
      </c>
      <c r="L74" s="2">
        <f>L8/'Output-Calculation-sheet'!L7*'Output-Calculation-sheet'!L61</f>
        <v>485.62254015111222</v>
      </c>
      <c r="M74" s="2">
        <f>M8/'Output-Calculation-sheet'!M7*'Output-Calculation-sheet'!M61</f>
        <v>2432.0525241058463</v>
      </c>
      <c r="N74" s="2">
        <f>N8/'Output-Calculation-sheet'!N7*'Output-Calculation-sheet'!N61</f>
        <v>1371.7993791056704</v>
      </c>
      <c r="O74" s="2">
        <f>O8/'Output-Calculation-sheet'!O7*'Output-Calculation-sheet'!O61</f>
        <v>0</v>
      </c>
      <c r="P74" s="2">
        <f>P8/'Output-Calculation-sheet'!P7*'Output-Calculation-sheet'!P61</f>
        <v>387.70501730763215</v>
      </c>
      <c r="Q74" s="2">
        <f>Q8/'Output-Calculation-sheet'!Q7*'Output-Calculation-sheet'!Q61</f>
        <v>102.21227224556554</v>
      </c>
      <c r="R74" s="2">
        <f>R8/'Output-Calculation-sheet'!R7*'Output-Calculation-sheet'!R61</f>
        <v>674.25539124338025</v>
      </c>
      <c r="S74" s="2">
        <f>S8/'Output-Calculation-sheet'!S7*'Output-Calculation-sheet'!S61</f>
        <v>119.31396887850133</v>
      </c>
      <c r="T74" s="2">
        <f>T8/'Output-Calculation-sheet'!T7*'Output-Calculation-sheet'!T61</f>
        <v>228.35710234780487</v>
      </c>
      <c r="U74" s="2">
        <f>U8/'Output-Calculation-sheet'!U7*'Output-Calculation-sheet'!U61</f>
        <v>90.477707088274869</v>
      </c>
      <c r="V74" s="2">
        <f>V8/'Output-Calculation-sheet'!V7*'Output-Calculation-sheet'!V61</f>
        <v>158.92255757860954</v>
      </c>
      <c r="W74" s="2">
        <f>W8/'Output-Calculation-sheet'!W7*'Output-Calculation-sheet'!W61</f>
        <v>3.7811607314238911</v>
      </c>
      <c r="X74" s="2">
        <f>X8/'Output-Calculation-sheet'!X7*'Output-Calculation-sheet'!X61</f>
        <v>135.80620309683195</v>
      </c>
      <c r="Y74" s="2">
        <f>Y8/'Output-Calculation-sheet'!Y7*'Output-Calculation-sheet'!Y61</f>
        <v>0</v>
      </c>
      <c r="AA74" s="2">
        <f t="shared" si="6"/>
        <v>10.058001396540305</v>
      </c>
    </row>
    <row r="75" spans="1:27" x14ac:dyDescent="0.25">
      <c r="A75" s="2">
        <v>2032</v>
      </c>
      <c r="B75" s="2">
        <f>B9/'Output-Calculation-sheet'!B8*'Output-Calculation-sheet'!B62</f>
        <v>1094.8421450336577</v>
      </c>
      <c r="C75" s="2">
        <f>C9/'Output-Calculation-sheet'!C8*'Output-Calculation-sheet'!C62</f>
        <v>0</v>
      </c>
      <c r="D75" s="2">
        <f>D9/'Output-Calculation-sheet'!D8*'Output-Calculation-sheet'!D62</f>
        <v>895.58437708683255</v>
      </c>
      <c r="E75" s="2">
        <f>E9/'Output-Calculation-sheet'!E8*'Output-Calculation-sheet'!E62</f>
        <v>629.78494198238809</v>
      </c>
      <c r="F75" s="2">
        <f>F9/'Output-Calculation-sheet'!F8*'Output-Calculation-sheet'!F62</f>
        <v>0</v>
      </c>
      <c r="G75" s="2">
        <f>G9/'Output-Calculation-sheet'!G8*'Output-Calculation-sheet'!G62</f>
        <v>290.98101752920206</v>
      </c>
      <c r="H75" s="2">
        <f>H9/'Output-Calculation-sheet'!H8*'Output-Calculation-sheet'!H62</f>
        <v>2054.2441832506902</v>
      </c>
      <c r="I75" s="2">
        <f>I9/'Output-Calculation-sheet'!I8*'Output-Calculation-sheet'!I62</f>
        <v>124.4224793724254</v>
      </c>
      <c r="J75" s="2">
        <f>J9/'Output-Calculation-sheet'!J8*'Output-Calculation-sheet'!J62</f>
        <v>407.80227088003392</v>
      </c>
      <c r="K75" s="2">
        <f>K9/'Output-Calculation-sheet'!K8*'Output-Calculation-sheet'!K62</f>
        <v>639.56500537927923</v>
      </c>
      <c r="L75" s="2">
        <f>L9/'Output-Calculation-sheet'!L8*'Output-Calculation-sheet'!L62</f>
        <v>555.37101457233393</v>
      </c>
      <c r="M75" s="2">
        <f>M9/'Output-Calculation-sheet'!M8*'Output-Calculation-sheet'!M62</f>
        <v>2673.9843174494736</v>
      </c>
      <c r="N75" s="2">
        <f>N9/'Output-Calculation-sheet'!N8*'Output-Calculation-sheet'!N62</f>
        <v>1728.4825281390085</v>
      </c>
      <c r="O75" s="2">
        <f>O9/'Output-Calculation-sheet'!O8*'Output-Calculation-sheet'!O62</f>
        <v>0</v>
      </c>
      <c r="P75" s="2">
        <f>P9/'Output-Calculation-sheet'!P8*'Output-Calculation-sheet'!P62</f>
        <v>476.98453202953442</v>
      </c>
      <c r="Q75" s="2">
        <f>Q9/'Output-Calculation-sheet'!Q8*'Output-Calculation-sheet'!Q62</f>
        <v>169.1710421586269</v>
      </c>
      <c r="R75" s="2">
        <f>R9/'Output-Calculation-sheet'!R8*'Output-Calculation-sheet'!R62</f>
        <v>759.36396887396859</v>
      </c>
      <c r="S75" s="2">
        <f>S9/'Output-Calculation-sheet'!S8*'Output-Calculation-sheet'!S62</f>
        <v>219.86827997567235</v>
      </c>
      <c r="T75" s="2">
        <f>T9/'Output-Calculation-sheet'!T8*'Output-Calculation-sheet'!T62</f>
        <v>254.23270878937385</v>
      </c>
      <c r="U75" s="2">
        <f>U9/'Output-Calculation-sheet'!U8*'Output-Calculation-sheet'!U62</f>
        <v>118.26981178856595</v>
      </c>
      <c r="V75" s="2">
        <f>V9/'Output-Calculation-sheet'!V8*'Output-Calculation-sheet'!V62</f>
        <v>176.39394428600167</v>
      </c>
      <c r="W75" s="2">
        <f>W9/'Output-Calculation-sheet'!W8*'Output-Calculation-sheet'!W62</f>
        <v>9.6106830776693624</v>
      </c>
      <c r="X75" s="2">
        <f>X9/'Output-Calculation-sheet'!X8*'Output-Calculation-sheet'!X62</f>
        <v>253.35943174129014</v>
      </c>
      <c r="Y75" s="2">
        <f>Y9/'Output-Calculation-sheet'!Y8*'Output-Calculation-sheet'!Y62</f>
        <v>0</v>
      </c>
      <c r="AA75" s="2">
        <f t="shared" si="6"/>
        <v>13.532318683396028</v>
      </c>
    </row>
    <row r="76" spans="1:27" x14ac:dyDescent="0.25">
      <c r="A76" s="2">
        <v>2033</v>
      </c>
      <c r="B76" s="2">
        <f>B10/'Output-Calculation-sheet'!B9*'Output-Calculation-sheet'!B63</f>
        <v>2093.2128829112416</v>
      </c>
      <c r="C76" s="2">
        <f>C10/'Output-Calculation-sheet'!C9*'Output-Calculation-sheet'!C63</f>
        <v>0</v>
      </c>
      <c r="D76" s="2">
        <f>D10/'Output-Calculation-sheet'!D9*'Output-Calculation-sheet'!D63</f>
        <v>1119.2293573781915</v>
      </c>
      <c r="E76" s="2">
        <f>E10/'Output-Calculation-sheet'!E9*'Output-Calculation-sheet'!E63</f>
        <v>830.40066548301638</v>
      </c>
      <c r="F76" s="2">
        <f>F10/'Output-Calculation-sheet'!F9*'Output-Calculation-sheet'!F63</f>
        <v>0</v>
      </c>
      <c r="G76" s="2">
        <f>G10/'Output-Calculation-sheet'!G9*'Output-Calculation-sheet'!G63</f>
        <v>372.41685452744463</v>
      </c>
      <c r="H76" s="2">
        <f>H10/'Output-Calculation-sheet'!H9*'Output-Calculation-sheet'!H63</f>
        <v>3819.2661902687664</v>
      </c>
      <c r="I76" s="2">
        <f>I10/'Output-Calculation-sheet'!I9*'Output-Calculation-sheet'!I63</f>
        <v>172.80122261916131</v>
      </c>
      <c r="J76" s="2">
        <f>J10/'Output-Calculation-sheet'!J9*'Output-Calculation-sheet'!J63</f>
        <v>519.90281305871792</v>
      </c>
      <c r="K76" s="2">
        <f>K10/'Output-Calculation-sheet'!K9*'Output-Calculation-sheet'!K63</f>
        <v>717.54012998039093</v>
      </c>
      <c r="L76" s="2">
        <f>L10/'Output-Calculation-sheet'!L9*'Output-Calculation-sheet'!L63</f>
        <v>664.15390072957655</v>
      </c>
      <c r="M76" s="2">
        <f>M10/'Output-Calculation-sheet'!M9*'Output-Calculation-sheet'!M63</f>
        <v>2856.505109127253</v>
      </c>
      <c r="N76" s="2">
        <f>N10/'Output-Calculation-sheet'!N9*'Output-Calculation-sheet'!N63</f>
        <v>1942.0824299911737</v>
      </c>
      <c r="O76" s="2">
        <f>O10/'Output-Calculation-sheet'!O9*'Output-Calculation-sheet'!O63</f>
        <v>0</v>
      </c>
      <c r="P76" s="2">
        <f>P10/'Output-Calculation-sheet'!P9*'Output-Calculation-sheet'!P63</f>
        <v>561.2186993826009</v>
      </c>
      <c r="Q76" s="2">
        <f>Q10/'Output-Calculation-sheet'!Q9*'Output-Calculation-sheet'!Q63</f>
        <v>246.68101434468599</v>
      </c>
      <c r="R76" s="2">
        <f>R10/'Output-Calculation-sheet'!R9*'Output-Calculation-sheet'!R63</f>
        <v>819.93378629052654</v>
      </c>
      <c r="S76" s="2">
        <f>S10/'Output-Calculation-sheet'!S9*'Output-Calculation-sheet'!S63</f>
        <v>347.54248351040007</v>
      </c>
      <c r="T76" s="2">
        <f>T10/'Output-Calculation-sheet'!T9*'Output-Calculation-sheet'!T63</f>
        <v>287.9535922176575</v>
      </c>
      <c r="U76" s="2">
        <f>U10/'Output-Calculation-sheet'!U9*'Output-Calculation-sheet'!U63</f>
        <v>141.20611581852231</v>
      </c>
      <c r="V76" s="2">
        <f>V10/'Output-Calculation-sheet'!V9*'Output-Calculation-sheet'!V63</f>
        <v>187.89540929547829</v>
      </c>
      <c r="W76" s="2">
        <f>W10/'Output-Calculation-sheet'!W9*'Output-Calculation-sheet'!W63</f>
        <v>13.097462250966901</v>
      </c>
      <c r="X76" s="2">
        <f>X10/'Output-Calculation-sheet'!X9*'Output-Calculation-sheet'!X63</f>
        <v>272.58937234120862</v>
      </c>
      <c r="Y76" s="2">
        <f>Y10/'Output-Calculation-sheet'!Y9*'Output-Calculation-sheet'!Y63</f>
        <v>4.1997643706975207</v>
      </c>
      <c r="AA76" s="2">
        <f t="shared" si="6"/>
        <v>17.989829255897671</v>
      </c>
    </row>
    <row r="77" spans="1:27" x14ac:dyDescent="0.25">
      <c r="A77" s="2">
        <v>2034</v>
      </c>
      <c r="B77" s="2">
        <f>B11/'Output-Calculation-sheet'!B10*'Output-Calculation-sheet'!B64</f>
        <v>3760.9122008195714</v>
      </c>
      <c r="C77" s="2">
        <f>C11/'Output-Calculation-sheet'!C10*'Output-Calculation-sheet'!C64</f>
        <v>0</v>
      </c>
      <c r="D77" s="2">
        <f>D11/'Output-Calculation-sheet'!D10*'Output-Calculation-sheet'!D64</f>
        <v>1335.8181401234069</v>
      </c>
      <c r="E77" s="2">
        <f>E11/'Output-Calculation-sheet'!E10*'Output-Calculation-sheet'!E64</f>
        <v>934.56921138497182</v>
      </c>
      <c r="F77" s="2">
        <f>F11/'Output-Calculation-sheet'!F10*'Output-Calculation-sheet'!F64</f>
        <v>0</v>
      </c>
      <c r="G77" s="2">
        <f>G11/'Output-Calculation-sheet'!G10*'Output-Calculation-sheet'!G64</f>
        <v>434.10662423026082</v>
      </c>
      <c r="H77" s="2">
        <f>H11/'Output-Calculation-sheet'!H10*'Output-Calculation-sheet'!H64</f>
        <v>4066.0725578792317</v>
      </c>
      <c r="I77" s="2">
        <f>I11/'Output-Calculation-sheet'!I10*'Output-Calculation-sheet'!I64</f>
        <v>230.36300908165381</v>
      </c>
      <c r="J77" s="2">
        <f>J11/'Output-Calculation-sheet'!J10*'Output-Calculation-sheet'!J64</f>
        <v>581.58566595085188</v>
      </c>
      <c r="K77" s="2">
        <f>K11/'Output-Calculation-sheet'!K10*'Output-Calculation-sheet'!K64</f>
        <v>818.65093685196962</v>
      </c>
      <c r="L77" s="2">
        <f>L11/'Output-Calculation-sheet'!L10*'Output-Calculation-sheet'!L64</f>
        <v>718.43683907383354</v>
      </c>
      <c r="M77" s="2">
        <f>M11/'Output-Calculation-sheet'!M10*'Output-Calculation-sheet'!M64</f>
        <v>3043.0055168045214</v>
      </c>
      <c r="N77" s="2">
        <f>N11/'Output-Calculation-sheet'!N10*'Output-Calculation-sheet'!N64</f>
        <v>2140.0363414134408</v>
      </c>
      <c r="O77" s="2">
        <f>O11/'Output-Calculation-sheet'!O10*'Output-Calculation-sheet'!O64</f>
        <v>0</v>
      </c>
      <c r="P77" s="2">
        <f>P11/'Output-Calculation-sheet'!P10*'Output-Calculation-sheet'!P64</f>
        <v>626.1009315186476</v>
      </c>
      <c r="Q77" s="2">
        <f>Q11/'Output-Calculation-sheet'!Q10*'Output-Calculation-sheet'!Q64</f>
        <v>382.47840217011333</v>
      </c>
      <c r="R77" s="2">
        <f>R11/'Output-Calculation-sheet'!R10*'Output-Calculation-sheet'!R64</f>
        <v>881.40096864623592</v>
      </c>
      <c r="S77" s="2">
        <f>S11/'Output-Calculation-sheet'!S10*'Output-Calculation-sheet'!S64</f>
        <v>519.25308465837929</v>
      </c>
      <c r="T77" s="2">
        <f>T11/'Output-Calculation-sheet'!T10*'Output-Calculation-sheet'!T64</f>
        <v>310.66549192925407</v>
      </c>
      <c r="U77" s="2">
        <f>U11/'Output-Calculation-sheet'!U10*'Output-Calculation-sheet'!U64</f>
        <v>161.70523555397716</v>
      </c>
      <c r="V77" s="2">
        <f>V11/'Output-Calculation-sheet'!V10*'Output-Calculation-sheet'!V64</f>
        <v>206.57170373222345</v>
      </c>
      <c r="W77" s="2">
        <f>W11/'Output-Calculation-sheet'!W10*'Output-Calculation-sheet'!W64</f>
        <v>21.191005772749378</v>
      </c>
      <c r="X77" s="2">
        <f>X11/'Output-Calculation-sheet'!X10*'Output-Calculation-sheet'!X64</f>
        <v>285.86512409923586</v>
      </c>
      <c r="Y77" s="2">
        <f>Y11/'Output-Calculation-sheet'!Y10*'Output-Calculation-sheet'!Y64</f>
        <v>6.6676373021110731</v>
      </c>
      <c r="AA77" s="2">
        <f t="shared" si="6"/>
        <v>21.465456628996641</v>
      </c>
    </row>
    <row r="78" spans="1:27" x14ac:dyDescent="0.25">
      <c r="A78" s="2">
        <v>2035</v>
      </c>
      <c r="B78" s="2">
        <f>B12/'Output-Calculation-sheet'!B11*'Output-Calculation-sheet'!B65</f>
        <v>5808.0855087346999</v>
      </c>
      <c r="C78" s="2">
        <f>C12/'Output-Calculation-sheet'!C11*'Output-Calculation-sheet'!C65</f>
        <v>479.35996337147031</v>
      </c>
      <c r="D78" s="2">
        <f>D12/'Output-Calculation-sheet'!D11*'Output-Calculation-sheet'!D65</f>
        <v>1498.7698898456536</v>
      </c>
      <c r="E78" s="2">
        <f>E12/'Output-Calculation-sheet'!E11*'Output-Calculation-sheet'!E65</f>
        <v>1173.4658000827505</v>
      </c>
      <c r="F78" s="2">
        <f>F12/'Output-Calculation-sheet'!F11*'Output-Calculation-sheet'!F65</f>
        <v>53.061261405843851</v>
      </c>
      <c r="G78" s="2">
        <f>G12/'Output-Calculation-sheet'!G11*'Output-Calculation-sheet'!G65</f>
        <v>492.90684934118883</v>
      </c>
      <c r="H78" s="2">
        <f>H12/'Output-Calculation-sheet'!H11*'Output-Calculation-sheet'!H65</f>
        <v>4250.0587194923701</v>
      </c>
      <c r="I78" s="2">
        <f>I12/'Output-Calculation-sheet'!I11*'Output-Calculation-sheet'!I65</f>
        <v>269.12079703304761</v>
      </c>
      <c r="J78" s="2">
        <f>J12/'Output-Calculation-sheet'!J11*'Output-Calculation-sheet'!J65</f>
        <v>643.99983616262307</v>
      </c>
      <c r="K78" s="2">
        <f>K12/'Output-Calculation-sheet'!K11*'Output-Calculation-sheet'!K65</f>
        <v>866.78079816440788</v>
      </c>
      <c r="L78" s="2">
        <f>L12/'Output-Calculation-sheet'!L11*'Output-Calculation-sheet'!L65</f>
        <v>783.43441054094819</v>
      </c>
      <c r="M78" s="2">
        <f>M12/'Output-Calculation-sheet'!M11*'Output-Calculation-sheet'!M65</f>
        <v>3184.9279140017952</v>
      </c>
      <c r="N78" s="2">
        <f>N12/'Output-Calculation-sheet'!N11*'Output-Calculation-sheet'!N65</f>
        <v>2311.0309656136956</v>
      </c>
      <c r="O78" s="2">
        <f>O12/'Output-Calculation-sheet'!O11*'Output-Calculation-sheet'!O65</f>
        <v>233.04989122708074</v>
      </c>
      <c r="P78" s="2">
        <f>P12/'Output-Calculation-sheet'!P11*'Output-Calculation-sheet'!P65</f>
        <v>660.78102726072586</v>
      </c>
      <c r="Q78" s="2">
        <f>Q12/'Output-Calculation-sheet'!Q11*'Output-Calculation-sheet'!Q65</f>
        <v>491.2357022216749</v>
      </c>
      <c r="R78" s="2">
        <f>R12/'Output-Calculation-sheet'!R11*'Output-Calculation-sheet'!R65</f>
        <v>920.27861865832972</v>
      </c>
      <c r="S78" s="2">
        <f>S12/'Output-Calculation-sheet'!S11*'Output-Calculation-sheet'!S65</f>
        <v>673.11537066247047</v>
      </c>
      <c r="T78" s="2">
        <f>T12/'Output-Calculation-sheet'!T11*'Output-Calculation-sheet'!T65</f>
        <v>332.15911458616688</v>
      </c>
      <c r="U78" s="2">
        <f>U12/'Output-Calculation-sheet'!U11*'Output-Calculation-sheet'!U65</f>
        <v>178.95164879964435</v>
      </c>
      <c r="V78" s="2">
        <f>V12/'Output-Calculation-sheet'!V11*'Output-Calculation-sheet'!V65</f>
        <v>217.81827985338597</v>
      </c>
      <c r="W78" s="2">
        <f>W12/'Output-Calculation-sheet'!W11*'Output-Calculation-sheet'!W65</f>
        <v>27.156757084125168</v>
      </c>
      <c r="X78" s="2">
        <f>X12/'Output-Calculation-sheet'!X11*'Output-Calculation-sheet'!X65</f>
        <v>301.10914001845839</v>
      </c>
      <c r="Y78" s="2">
        <f>Y12/'Output-Calculation-sheet'!Y11*'Output-Calculation-sheet'!Y65</f>
        <v>9.6097354854997121</v>
      </c>
      <c r="AA78" s="2">
        <f t="shared" si="6"/>
        <v>25.860267999648059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10741521922.719917</v>
      </c>
      <c r="C96" s="2">
        <f>C8/'Output-Calculation-sheet'!C7*'Output-Calculation-sheet'!C79</f>
        <v>1045569635.7448608</v>
      </c>
      <c r="D96" s="2">
        <f>D8/'Output-Calculation-sheet'!D7*'Output-Calculation-sheet'!D79</f>
        <v>2752956782.1250019</v>
      </c>
      <c r="E96" s="2">
        <f>E8/'Output-Calculation-sheet'!E7*'Output-Calculation-sheet'!E79</f>
        <v>9909837514.4823303</v>
      </c>
      <c r="F96" s="2">
        <f>F8/'Output-Calculation-sheet'!F7*'Output-Calculation-sheet'!F79</f>
        <v>3020807488.8209772</v>
      </c>
      <c r="G96" s="2">
        <f>G8/'Output-Calculation-sheet'!G7*'Output-Calculation-sheet'!G79</f>
        <v>1868839703.4479468</v>
      </c>
      <c r="H96" s="2">
        <f>H8/'Output-Calculation-sheet'!H7*'Output-Calculation-sheet'!H79</f>
        <v>1253814662.1689067</v>
      </c>
      <c r="I96" s="2">
        <f>I8/'Output-Calculation-sheet'!I7*'Output-Calculation-sheet'!I79</f>
        <v>1343169086.2010124</v>
      </c>
      <c r="J96" s="2">
        <f>J8/'Output-Calculation-sheet'!J7*'Output-Calculation-sheet'!J79</f>
        <v>1091832060.0925632</v>
      </c>
      <c r="K96" s="2">
        <f>K8/'Output-Calculation-sheet'!K7*'Output-Calculation-sheet'!K79</f>
        <v>1335380946.4185228</v>
      </c>
      <c r="L96" s="2">
        <f>L8/'Output-Calculation-sheet'!L7*'Output-Calculation-sheet'!L79</f>
        <v>1284246458.3405135</v>
      </c>
      <c r="M96" s="2">
        <f>M8/'Output-Calculation-sheet'!M7*'Output-Calculation-sheet'!M79</f>
        <v>1765684423.467881</v>
      </c>
      <c r="N96" s="2">
        <f>N8/'Output-Calculation-sheet'!N7*'Output-Calculation-sheet'!N79</f>
        <v>1106968847.3361614</v>
      </c>
      <c r="O96" s="2">
        <f>O8/'Output-Calculation-sheet'!O7*'Output-Calculation-sheet'!O79</f>
        <v>137991415.58503303</v>
      </c>
      <c r="P96" s="2">
        <f>P8/'Output-Calculation-sheet'!P7*'Output-Calculation-sheet'!P79</f>
        <v>1993004384.758132</v>
      </c>
      <c r="Q96" s="2">
        <f>Q8/'Output-Calculation-sheet'!Q7*'Output-Calculation-sheet'!Q79</f>
        <v>834027432.28435588</v>
      </c>
      <c r="R96" s="2">
        <f>R8/'Output-Calculation-sheet'!R7*'Output-Calculation-sheet'!R79</f>
        <v>1309467071.130547</v>
      </c>
      <c r="S96" s="2">
        <f>S8/'Output-Calculation-sheet'!S7*'Output-Calculation-sheet'!S79</f>
        <v>507640680.20807743</v>
      </c>
      <c r="T96" s="2">
        <f>T8/'Output-Calculation-sheet'!T7*'Output-Calculation-sheet'!T79</f>
        <v>462030706.43986541</v>
      </c>
      <c r="U96" s="2">
        <f>U8/'Output-Calculation-sheet'!U7*'Output-Calculation-sheet'!U79</f>
        <v>298457610.22794604</v>
      </c>
      <c r="V96" s="2">
        <f>V8/'Output-Calculation-sheet'!V7*'Output-Calculation-sheet'!V79</f>
        <v>177625539.03417251</v>
      </c>
      <c r="W96" s="2">
        <f>W8/'Output-Calculation-sheet'!W7*'Output-Calculation-sheet'!W79</f>
        <v>489745640.27548063</v>
      </c>
      <c r="X96" s="2">
        <f>X8/'Output-Calculation-sheet'!X7*'Output-Calculation-sheet'!X79</f>
        <v>136088069.68609789</v>
      </c>
      <c r="Y96" s="2">
        <f>Y8/'Output-Calculation-sheet'!Y7*'Output-Calculation-sheet'!Y79</f>
        <v>261421463.39941636</v>
      </c>
      <c r="AA96" s="2">
        <f t="shared" si="8"/>
        <v>45.128129544395712</v>
      </c>
    </row>
    <row r="97" spans="1:27" x14ac:dyDescent="0.25">
      <c r="A97" s="2">
        <v>2032</v>
      </c>
      <c r="B97" s="2">
        <f>B9/'Output-Calculation-sheet'!B8*'Output-Calculation-sheet'!B80</f>
        <v>10911232993.737682</v>
      </c>
      <c r="C97" s="2">
        <f>C9/'Output-Calculation-sheet'!C8*'Output-Calculation-sheet'!C80</f>
        <v>1038865935.4270579</v>
      </c>
      <c r="D97" s="2">
        <f>D9/'Output-Calculation-sheet'!D8*'Output-Calculation-sheet'!D80</f>
        <v>2540708193.3784509</v>
      </c>
      <c r="E97" s="2">
        <f>E9/'Output-Calculation-sheet'!E8*'Output-Calculation-sheet'!E80</f>
        <v>10268618352.817476</v>
      </c>
      <c r="F97" s="2">
        <f>F9/'Output-Calculation-sheet'!F8*'Output-Calculation-sheet'!F80</f>
        <v>2938353467.0194039</v>
      </c>
      <c r="G97" s="2">
        <f>G9/'Output-Calculation-sheet'!G8*'Output-Calculation-sheet'!G80</f>
        <v>1739768239.2436149</v>
      </c>
      <c r="H97" s="2">
        <f>H9/'Output-Calculation-sheet'!H8*'Output-Calculation-sheet'!H80</f>
        <v>1559831160.1837022</v>
      </c>
      <c r="I97" s="2">
        <f>I9/'Output-Calculation-sheet'!I8*'Output-Calculation-sheet'!I80</f>
        <v>1309879500.6547866</v>
      </c>
      <c r="J97" s="2">
        <f>J9/'Output-Calculation-sheet'!J8*'Output-Calculation-sheet'!J80</f>
        <v>1049711858.2519014</v>
      </c>
      <c r="K97" s="2">
        <f>K9/'Output-Calculation-sheet'!K8*'Output-Calculation-sheet'!K80</f>
        <v>1261208208.6758633</v>
      </c>
      <c r="L97" s="2">
        <f>L9/'Output-Calculation-sheet'!L8*'Output-Calculation-sheet'!L80</f>
        <v>1292464871.9544675</v>
      </c>
      <c r="M97" s="2">
        <f>M9/'Output-Calculation-sheet'!M8*'Output-Calculation-sheet'!M80</f>
        <v>1790783261.0849435</v>
      </c>
      <c r="N97" s="2">
        <f>N9/'Output-Calculation-sheet'!N8*'Output-Calculation-sheet'!N80</f>
        <v>1125700929.8606496</v>
      </c>
      <c r="O97" s="2">
        <f>O9/'Output-Calculation-sheet'!O8*'Output-Calculation-sheet'!O80</f>
        <v>135295503.97924408</v>
      </c>
      <c r="P97" s="2">
        <f>P9/'Output-Calculation-sheet'!P8*'Output-Calculation-sheet'!P80</f>
        <v>1939661653.0596223</v>
      </c>
      <c r="Q97" s="2">
        <f>Q9/'Output-Calculation-sheet'!Q8*'Output-Calculation-sheet'!Q80</f>
        <v>824512563.96321476</v>
      </c>
      <c r="R97" s="2">
        <f>R9/'Output-Calculation-sheet'!R8*'Output-Calculation-sheet'!R80</f>
        <v>1300001417.8423316</v>
      </c>
      <c r="S97" s="2">
        <f>S9/'Output-Calculation-sheet'!S8*'Output-Calculation-sheet'!S80</f>
        <v>516001844.30366009</v>
      </c>
      <c r="T97" s="2">
        <f>T9/'Output-Calculation-sheet'!T8*'Output-Calculation-sheet'!T80</f>
        <v>436023361.62817448</v>
      </c>
      <c r="U97" s="2">
        <f>U9/'Output-Calculation-sheet'!U8*'Output-Calculation-sheet'!U80</f>
        <v>286780491.42275828</v>
      </c>
      <c r="V97" s="2">
        <f>V9/'Output-Calculation-sheet'!V8*'Output-Calculation-sheet'!V80</f>
        <v>169899573.76939479</v>
      </c>
      <c r="W97" s="2">
        <f>W9/'Output-Calculation-sheet'!W8*'Output-Calculation-sheet'!W80</f>
        <v>471895409.23093122</v>
      </c>
      <c r="X97" s="2">
        <f>X9/'Output-Calculation-sheet'!X8*'Output-Calculation-sheet'!X80</f>
        <v>187179414.41924524</v>
      </c>
      <c r="Y97" s="2">
        <f>Y9/'Output-Calculation-sheet'!Y8*'Output-Calculation-sheet'!Y80</f>
        <v>257701999.22011048</v>
      </c>
      <c r="AA97" s="2">
        <f t="shared" si="8"/>
        <v>45.352080205128672</v>
      </c>
    </row>
    <row r="98" spans="1:27" x14ac:dyDescent="0.25">
      <c r="A98" s="2">
        <v>2033</v>
      </c>
      <c r="B98" s="2">
        <f>B10/'Output-Calculation-sheet'!B9*'Output-Calculation-sheet'!B81</f>
        <v>10767607260.350775</v>
      </c>
      <c r="C98" s="2">
        <f>C10/'Output-Calculation-sheet'!C9*'Output-Calculation-sheet'!C81</f>
        <v>1004600961.1088382</v>
      </c>
      <c r="D98" s="2">
        <f>D10/'Output-Calculation-sheet'!D9*'Output-Calculation-sheet'!D81</f>
        <v>2277534390.4109759</v>
      </c>
      <c r="E98" s="2">
        <f>E10/'Output-Calculation-sheet'!E9*'Output-Calculation-sheet'!E81</f>
        <v>10333587064.487041</v>
      </c>
      <c r="F98" s="2">
        <f>F10/'Output-Calculation-sheet'!F9*'Output-Calculation-sheet'!F81</f>
        <v>2768101764.0818124</v>
      </c>
      <c r="G98" s="2">
        <f>G10/'Output-Calculation-sheet'!G9*'Output-Calculation-sheet'!G81</f>
        <v>1567418532.5076711</v>
      </c>
      <c r="H98" s="2">
        <f>H10/'Output-Calculation-sheet'!H9*'Output-Calculation-sheet'!H81</f>
        <v>2034471570.5235262</v>
      </c>
      <c r="I98" s="2">
        <f>I10/'Output-Calculation-sheet'!I9*'Output-Calculation-sheet'!I81</f>
        <v>1239927371.4282358</v>
      </c>
      <c r="J98" s="2">
        <f>J10/'Output-Calculation-sheet'!J9*'Output-Calculation-sheet'!J81</f>
        <v>980426415.12733448</v>
      </c>
      <c r="K98" s="2">
        <f>K10/'Output-Calculation-sheet'!K9*'Output-Calculation-sheet'!K81</f>
        <v>1163025261.419193</v>
      </c>
      <c r="L98" s="2">
        <f>L10/'Output-Calculation-sheet'!L9*'Output-Calculation-sheet'!L81</f>
        <v>1259146511.2121286</v>
      </c>
      <c r="M98" s="2">
        <f>M10/'Output-Calculation-sheet'!M9*'Output-Calculation-sheet'!M81</f>
        <v>1762665017.1781168</v>
      </c>
      <c r="N98" s="2">
        <f>N10/'Output-Calculation-sheet'!N9*'Output-Calculation-sheet'!N81</f>
        <v>1084716172.7598562</v>
      </c>
      <c r="O98" s="2">
        <f>O10/'Output-Calculation-sheet'!O9*'Output-Calculation-sheet'!O81</f>
        <v>129189031.718032</v>
      </c>
      <c r="P98" s="2">
        <f>P10/'Output-Calculation-sheet'!P9*'Output-Calculation-sheet'!P81</f>
        <v>1817725708.7435858</v>
      </c>
      <c r="Q98" s="2">
        <f>Q10/'Output-Calculation-sheet'!Q9*'Output-Calculation-sheet'!Q81</f>
        <v>794692705.3509897</v>
      </c>
      <c r="R98" s="2">
        <f>R10/'Output-Calculation-sheet'!R9*'Output-Calculation-sheet'!R81</f>
        <v>1244230473.9705722</v>
      </c>
      <c r="S98" s="2">
        <f>S10/'Output-Calculation-sheet'!S9*'Output-Calculation-sheet'!S81</f>
        <v>511518680.72823244</v>
      </c>
      <c r="T98" s="2">
        <f>T10/'Output-Calculation-sheet'!T9*'Output-Calculation-sheet'!T81</f>
        <v>399394505.78457308</v>
      </c>
      <c r="U98" s="2">
        <f>U10/'Output-Calculation-sheet'!U9*'Output-Calculation-sheet'!U81</f>
        <v>265515986.39829445</v>
      </c>
      <c r="V98" s="2">
        <f>V10/'Output-Calculation-sheet'!V9*'Output-Calculation-sheet'!V81</f>
        <v>157174186.44801527</v>
      </c>
      <c r="W98" s="2">
        <f>W10/'Output-Calculation-sheet'!W9*'Output-Calculation-sheet'!W81</f>
        <v>436864919.83425272</v>
      </c>
      <c r="X98" s="2">
        <f>X10/'Output-Calculation-sheet'!X9*'Output-Calculation-sheet'!X81</f>
        <v>189922941.69953501</v>
      </c>
      <c r="Y98" s="2">
        <f>Y10/'Output-Calculation-sheet'!Y9*'Output-Calculation-sheet'!Y81</f>
        <v>245850813.43788797</v>
      </c>
      <c r="AA98" s="2">
        <f t="shared" si="8"/>
        <v>44.435308246709475</v>
      </c>
    </row>
    <row r="99" spans="1:27" x14ac:dyDescent="0.25">
      <c r="A99" s="2">
        <v>2034</v>
      </c>
      <c r="B99" s="2">
        <f>B11/'Output-Calculation-sheet'!B10*'Output-Calculation-sheet'!B82</f>
        <v>10579426975.47578</v>
      </c>
      <c r="C99" s="2">
        <f>C11/'Output-Calculation-sheet'!C10*'Output-Calculation-sheet'!C82</f>
        <v>951182925.83514333</v>
      </c>
      <c r="D99" s="2">
        <f>D11/'Output-Calculation-sheet'!D10*'Output-Calculation-sheet'!D82</f>
        <v>1997596388.989114</v>
      </c>
      <c r="E99" s="2">
        <f>E11/'Output-Calculation-sheet'!E10*'Output-Calculation-sheet'!E82</f>
        <v>10139076464.317459</v>
      </c>
      <c r="F99" s="2">
        <f>F11/'Output-Calculation-sheet'!F10*'Output-Calculation-sheet'!F82</f>
        <v>2547709414.6100621</v>
      </c>
      <c r="G99" s="2">
        <f>G11/'Output-Calculation-sheet'!G10*'Output-Calculation-sheet'!G82</f>
        <v>1377952628.1598771</v>
      </c>
      <c r="H99" s="2">
        <f>H11/'Output-Calculation-sheet'!H10*'Output-Calculation-sheet'!H82</f>
        <v>1921703947.8188231</v>
      </c>
      <c r="I99" s="2">
        <f>I11/'Output-Calculation-sheet'!I10*'Output-Calculation-sheet'!I82</f>
        <v>1149939679.5736816</v>
      </c>
      <c r="J99" s="2">
        <f>J11/'Output-Calculation-sheet'!J10*'Output-Calculation-sheet'!J82</f>
        <v>896884570.84518647</v>
      </c>
      <c r="K99" s="2">
        <f>K11/'Output-Calculation-sheet'!K10*'Output-Calculation-sheet'!K82</f>
        <v>1044509154.4325668</v>
      </c>
      <c r="L99" s="2">
        <f>L11/'Output-Calculation-sheet'!L10*'Output-Calculation-sheet'!L82</f>
        <v>1201215943.2135065</v>
      </c>
      <c r="M99" s="2">
        <f>M11/'Output-Calculation-sheet'!M10*'Output-Calculation-sheet'!M82</f>
        <v>1703869543.5829716</v>
      </c>
      <c r="N99" s="2">
        <f>N11/'Output-Calculation-sheet'!N10*'Output-Calculation-sheet'!N82</f>
        <v>1019855437.2511294</v>
      </c>
      <c r="O99" s="2">
        <f>O11/'Output-Calculation-sheet'!O10*'Output-Calculation-sheet'!O82</f>
        <v>120808601.39393137</v>
      </c>
      <c r="P99" s="2">
        <f>P11/'Output-Calculation-sheet'!P10*'Output-Calculation-sheet'!P82</f>
        <v>1648931254.1572905</v>
      </c>
      <c r="Q99" s="2">
        <f>Q11/'Output-Calculation-sheet'!Q10*'Output-Calculation-sheet'!Q82</f>
        <v>752022602.1611501</v>
      </c>
      <c r="R99" s="2">
        <f>R11/'Output-Calculation-sheet'!R10*'Output-Calculation-sheet'!R82</f>
        <v>1162601156.2056196</v>
      </c>
      <c r="S99" s="2">
        <f>S11/'Output-Calculation-sheet'!S10*'Output-Calculation-sheet'!S82</f>
        <v>500613783.53561848</v>
      </c>
      <c r="T99" s="2">
        <f>T11/'Output-Calculation-sheet'!T10*'Output-Calculation-sheet'!T82</f>
        <v>356478706.39458799</v>
      </c>
      <c r="U99" s="2">
        <f>U11/'Output-Calculation-sheet'!U10*'Output-Calculation-sheet'!U82</f>
        <v>240340100.18842086</v>
      </c>
      <c r="V99" s="2">
        <f>V11/'Output-Calculation-sheet'!V10*'Output-Calculation-sheet'!V82</f>
        <v>142335663.55339146</v>
      </c>
      <c r="W99" s="2">
        <f>W11/'Output-Calculation-sheet'!W10*'Output-Calculation-sheet'!W82</f>
        <v>394218371.39063627</v>
      </c>
      <c r="X99" s="2">
        <f>X11/'Output-Calculation-sheet'!X10*'Output-Calculation-sheet'!X82</f>
        <v>189021934.65421477</v>
      </c>
      <c r="Y99" s="2">
        <f>Y11/'Output-Calculation-sheet'!Y10*'Output-Calculation-sheet'!Y82</f>
        <v>228058092.06032249</v>
      </c>
      <c r="AA99" s="2">
        <f t="shared" si="8"/>
        <v>42.266353339800482</v>
      </c>
    </row>
    <row r="100" spans="1:27" x14ac:dyDescent="0.25">
      <c r="A100" s="2">
        <v>2035</v>
      </c>
      <c r="B100" s="2">
        <f>B12/'Output-Calculation-sheet'!B11*'Output-Calculation-sheet'!B83</f>
        <v>10171412044.673822</v>
      </c>
      <c r="C100" s="2">
        <f>C12/'Output-Calculation-sheet'!C11*'Output-Calculation-sheet'!C83</f>
        <v>914804245.76025212</v>
      </c>
      <c r="D100" s="2">
        <f>D12/'Output-Calculation-sheet'!D11*'Output-Calculation-sheet'!D83</f>
        <v>1728618945.0523195</v>
      </c>
      <c r="E100" s="2">
        <f>E12/'Output-Calculation-sheet'!E11*'Output-Calculation-sheet'!E83</f>
        <v>9785573221.8663006</v>
      </c>
      <c r="F100" s="2">
        <f>F12/'Output-Calculation-sheet'!F11*'Output-Calculation-sheet'!F83</f>
        <v>2304497898.6303005</v>
      </c>
      <c r="G100" s="2">
        <f>G12/'Output-Calculation-sheet'!G11*'Output-Calculation-sheet'!G83</f>
        <v>1189443306.9807193</v>
      </c>
      <c r="H100" s="2">
        <f>H12/'Output-Calculation-sheet'!H11*'Output-Calculation-sheet'!H83</f>
        <v>1775615071.8584082</v>
      </c>
      <c r="I100" s="2">
        <f>I12/'Output-Calculation-sheet'!I11*'Output-Calculation-sheet'!I83</f>
        <v>1047669653.9034674</v>
      </c>
      <c r="J100" s="2">
        <f>J12/'Output-Calculation-sheet'!J11*'Output-Calculation-sheet'!J83</f>
        <v>807215347.10861719</v>
      </c>
      <c r="K100" s="2">
        <f>K12/'Output-Calculation-sheet'!K11*'Output-Calculation-sheet'!K83</f>
        <v>921106760.24408138</v>
      </c>
      <c r="L100" s="2">
        <f>L12/'Output-Calculation-sheet'!L11*'Output-Calculation-sheet'!L83</f>
        <v>1127965798.4679506</v>
      </c>
      <c r="M100" s="2">
        <f>M12/'Output-Calculation-sheet'!M11*'Output-Calculation-sheet'!M83</f>
        <v>1616295135.6545384</v>
      </c>
      <c r="N100" s="2">
        <f>N12/'Output-Calculation-sheet'!N11*'Output-Calculation-sheet'!N83</f>
        <v>944969488.17777312</v>
      </c>
      <c r="O100" s="2">
        <f>O12/'Output-Calculation-sheet'!O11*'Output-Calculation-sheet'!O83</f>
        <v>121425882.35696818</v>
      </c>
      <c r="P100" s="2">
        <f>P12/'Output-Calculation-sheet'!P11*'Output-Calculation-sheet'!P83</f>
        <v>1451170390.0040047</v>
      </c>
      <c r="Q100" s="2">
        <f>Q12/'Output-Calculation-sheet'!Q11*'Output-Calculation-sheet'!Q83</f>
        <v>701638449.45780516</v>
      </c>
      <c r="R100" s="2">
        <f>R12/'Output-Calculation-sheet'!R11*'Output-Calculation-sheet'!R83</f>
        <v>1066179772.7188535</v>
      </c>
      <c r="S100" s="2">
        <f>S12/'Output-Calculation-sheet'!S11*'Output-Calculation-sheet'!S83</f>
        <v>477536875.76203924</v>
      </c>
      <c r="T100" s="2">
        <f>T12/'Output-Calculation-sheet'!T11*'Output-Calculation-sheet'!T83</f>
        <v>312745925.61222535</v>
      </c>
      <c r="U100" s="2">
        <f>U12/'Output-Calculation-sheet'!U11*'Output-Calculation-sheet'!U83</f>
        <v>212863300.37557212</v>
      </c>
      <c r="V100" s="2">
        <f>V12/'Output-Calculation-sheet'!V11*'Output-Calculation-sheet'!V83</f>
        <v>126535279.14323397</v>
      </c>
      <c r="W100" s="2">
        <f>W12/'Output-Calculation-sheet'!W11*'Output-Calculation-sheet'!W83</f>
        <v>347336787.51119059</v>
      </c>
      <c r="X100" s="2">
        <f>X12/'Output-Calculation-sheet'!X11*'Output-Calculation-sheet'!X83</f>
        <v>185288213.9778091</v>
      </c>
      <c r="Y100" s="2">
        <f>Y12/'Output-Calculation-sheet'!Y11*'Output-Calculation-sheet'!Y83</f>
        <v>207418389.09026471</v>
      </c>
      <c r="AA100" s="2">
        <f t="shared" si="8"/>
        <v>39.545326184388522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5126.0985628216758</v>
      </c>
      <c r="C19" s="2">
        <f>C8/'Output-Calculation-sheet'!C7*'Output-Calculation-sheet'!C25</f>
        <v>7742.1739953751521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4155.1382992209346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844.71831512124152</v>
      </c>
      <c r="M19" s="2">
        <f>M8/'Output-Calculation-sheet'!M7*'Output-Calculation-sheet'!M25</f>
        <v>5480.3985541064349</v>
      </c>
      <c r="N19" s="2">
        <f>N8/'Output-Calculation-sheet'!N7*'Output-Calculation-sheet'!N25</f>
        <v>2797.9393798462147</v>
      </c>
      <c r="O19" s="2">
        <f>O8/'Output-Calculation-sheet'!O7*'Output-Calculation-sheet'!O25</f>
        <v>1512.3249693715068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534.98865021162203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381.08397755452955</v>
      </c>
      <c r="Y19" s="2">
        <f>Y8/'Output-Calculation-sheet'!Y7*'Output-Calculation-sheet'!Y25</f>
        <v>0</v>
      </c>
      <c r="AA19" s="2">
        <f t="shared" si="0"/>
        <v>28.574864703629313</v>
      </c>
    </row>
    <row r="20" spans="1:27" x14ac:dyDescent="0.25">
      <c r="A20" s="2">
        <v>2032</v>
      </c>
      <c r="B20" s="2">
        <f>B9/'Output-Calculation-sheet'!B8*'Output-Calculation-sheet'!B26</f>
        <v>6411.4451286876601</v>
      </c>
      <c r="C20" s="2">
        <f>C9/'Output-Calculation-sheet'!C8*'Output-Calculation-sheet'!C26</f>
        <v>7942.0839127541349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5230.787302359623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908.92763455432419</v>
      </c>
      <c r="M20" s="2">
        <f>M9/'Output-Calculation-sheet'!M8*'Output-Calculation-sheet'!M26</f>
        <v>5531.3756257920568</v>
      </c>
      <c r="N20" s="2">
        <f>N9/'Output-Calculation-sheet'!N8*'Output-Calculation-sheet'!N26</f>
        <v>3115.3700663803247</v>
      </c>
      <c r="O20" s="2">
        <f>O9/'Output-Calculation-sheet'!O8*'Output-Calculation-sheet'!O26</f>
        <v>1549.999555468461</v>
      </c>
      <c r="P20" s="2">
        <f>P9/'Output-Calculation-sheet'!P8*'Output-Calculation-sheet'!P26</f>
        <v>0</v>
      </c>
      <c r="Q20" s="2">
        <f>Q9/'Output-Calculation-sheet'!Q8*'Output-Calculation-sheet'!Q26</f>
        <v>93.678270440792005</v>
      </c>
      <c r="R20" s="2">
        <f>R9/'Output-Calculation-sheet'!R8*'Output-Calculation-sheet'!R26</f>
        <v>0</v>
      </c>
      <c r="S20" s="2">
        <f>S9/'Output-Calculation-sheet'!S8*'Output-Calculation-sheet'!S26</f>
        <v>661.4464210180131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511.40737264250384</v>
      </c>
      <c r="Y20" s="2">
        <f>Y9/'Output-Calculation-sheet'!Y8*'Output-Calculation-sheet'!Y26</f>
        <v>0</v>
      </c>
      <c r="AA20" s="2">
        <f t="shared" si="0"/>
        <v>31.956521290097896</v>
      </c>
    </row>
    <row r="21" spans="1:27" x14ac:dyDescent="0.25">
      <c r="A21" s="2">
        <v>2033</v>
      </c>
      <c r="B21" s="2">
        <f>B10/'Output-Calculation-sheet'!B9*'Output-Calculation-sheet'!B27</f>
        <v>7499.0751298854357</v>
      </c>
      <c r="C21" s="2">
        <f>C10/'Output-Calculation-sheet'!C9*'Output-Calculation-sheet'!C27</f>
        <v>7526.4131230476223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6598.3511012892986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916.03144618665465</v>
      </c>
      <c r="M21" s="2">
        <f>M10/'Output-Calculation-sheet'!M9*'Output-Calculation-sheet'!M27</f>
        <v>5135.7303092785342</v>
      </c>
      <c r="N21" s="2">
        <f>N10/'Output-Calculation-sheet'!N9*'Output-Calculation-sheet'!N27</f>
        <v>2993.2715254064201</v>
      </c>
      <c r="O21" s="2">
        <f>O10/'Output-Calculation-sheet'!O9*'Output-Calculation-sheet'!O27</f>
        <v>1464.3887369100185</v>
      </c>
      <c r="P21" s="2">
        <f>P10/'Output-Calculation-sheet'!P9*'Output-Calculation-sheet'!P27</f>
        <v>0</v>
      </c>
      <c r="Q21" s="2">
        <f>Q10/'Output-Calculation-sheet'!Q9*'Output-Calculation-sheet'!Q27</f>
        <v>223.04744284256472</v>
      </c>
      <c r="R21" s="2">
        <f>R10/'Output-Calculation-sheet'!R9*'Output-Calculation-sheet'!R27</f>
        <v>0</v>
      </c>
      <c r="S21" s="2">
        <f>S10/'Output-Calculation-sheet'!S9*'Output-Calculation-sheet'!S27</f>
        <v>760.34613507728295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479.19872037438057</v>
      </c>
      <c r="Y21" s="2">
        <f>Y10/'Output-Calculation-sheet'!Y9*'Output-Calculation-sheet'!Y27</f>
        <v>0</v>
      </c>
      <c r="AA21" s="2">
        <f t="shared" si="0"/>
        <v>33.595853670298212</v>
      </c>
    </row>
    <row r="22" spans="1:27" x14ac:dyDescent="0.25">
      <c r="A22" s="2">
        <v>2034</v>
      </c>
      <c r="B22" s="2">
        <f>B11/'Output-Calculation-sheet'!B10*'Output-Calculation-sheet'!B28</f>
        <v>8037.1169694747596</v>
      </c>
      <c r="C22" s="2">
        <f>C11/'Output-Calculation-sheet'!C10*'Output-Calculation-sheet'!C28</f>
        <v>6553.9159518384331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5695.1687440790283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839.08566265254399</v>
      </c>
      <c r="M22" s="2">
        <f>M11/'Output-Calculation-sheet'!M10*'Output-Calculation-sheet'!M28</f>
        <v>4425.4359350877421</v>
      </c>
      <c r="N22" s="2">
        <f>N11/'Output-Calculation-sheet'!N10*'Output-Calculation-sheet'!N28</f>
        <v>2654.4256268880113</v>
      </c>
      <c r="O22" s="2">
        <f>O11/'Output-Calculation-sheet'!O10*'Output-Calculation-sheet'!O28</f>
        <v>1267.4977502255233</v>
      </c>
      <c r="P22" s="2">
        <f>P11/'Output-Calculation-sheet'!P10*'Output-Calculation-sheet'!P28</f>
        <v>0</v>
      </c>
      <c r="Q22" s="2">
        <f>Q11/'Output-Calculation-sheet'!Q10*'Output-Calculation-sheet'!Q28</f>
        <v>363.86273356691123</v>
      </c>
      <c r="R22" s="2">
        <f>R11/'Output-Calculation-sheet'!R10*'Output-Calculation-sheet'!R28</f>
        <v>0</v>
      </c>
      <c r="S22" s="2">
        <f>S11/'Output-Calculation-sheet'!S10*'Output-Calculation-sheet'!S28</f>
        <v>777.63400788098136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413.85096933519588</v>
      </c>
      <c r="Y22" s="2">
        <f>Y11/'Output-Calculation-sheet'!Y10*'Output-Calculation-sheet'!Y28</f>
        <v>0</v>
      </c>
      <c r="AA22" s="2">
        <f t="shared" si="0"/>
        <v>31.027994351029129</v>
      </c>
    </row>
    <row r="23" spans="1:27" x14ac:dyDescent="0.25">
      <c r="A23" s="2">
        <v>2035</v>
      </c>
      <c r="B23" s="2">
        <f>B12/'Output-Calculation-sheet'!B11*'Output-Calculation-sheet'!B29</f>
        <v>7553.9831994165907</v>
      </c>
      <c r="C23" s="2">
        <f>C12/'Output-Calculation-sheet'!C11*'Output-Calculation-sheet'!C29</f>
        <v>5295.538023072193</v>
      </c>
      <c r="D23" s="2">
        <f>D12/'Output-Calculation-sheet'!D11*'Output-Calculation-sheet'!D29</f>
        <v>0</v>
      </c>
      <c r="E23" s="2">
        <f>E12/'Output-Calculation-sheet'!E11*'Output-Calculation-sheet'!E29</f>
        <v>69.22591272509041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4422.1020299391494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697.09594121520706</v>
      </c>
      <c r="M23" s="2">
        <f>M12/'Output-Calculation-sheet'!M11*'Output-Calculation-sheet'!M29</f>
        <v>3439.1873269062007</v>
      </c>
      <c r="N23" s="2">
        <f>N12/'Output-Calculation-sheet'!N11*'Output-Calculation-sheet'!N29</f>
        <v>2111.0853579441127</v>
      </c>
      <c r="O23" s="2">
        <f>O12/'Output-Calculation-sheet'!O11*'Output-Calculation-sheet'!O29</f>
        <v>1073.9400830155319</v>
      </c>
      <c r="P23" s="2">
        <f>P12/'Output-Calculation-sheet'!P11*'Output-Calculation-sheet'!P29</f>
        <v>0</v>
      </c>
      <c r="Q23" s="2">
        <f>Q12/'Output-Calculation-sheet'!Q11*'Output-Calculation-sheet'!Q29</f>
        <v>415.12310299764886</v>
      </c>
      <c r="R23" s="2">
        <f>R12/'Output-Calculation-sheet'!R11*'Output-Calculation-sheet'!R29</f>
        <v>0</v>
      </c>
      <c r="S23" s="2">
        <f>S12/'Output-Calculation-sheet'!S11*'Output-Calculation-sheet'!S29</f>
        <v>703.55604954505282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325.09872142957329</v>
      </c>
      <c r="Y23" s="2">
        <f>Y12/'Output-Calculation-sheet'!Y11*'Output-Calculation-sheet'!Y29</f>
        <v>0</v>
      </c>
      <c r="AA23" s="2">
        <f t="shared" si="0"/>
        <v>26.105935748206353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24529.939776409359</v>
      </c>
      <c r="C30" s="2">
        <f>C8/'Output-Calculation-sheet'!C7*'Output-Calculation-sheet'!C16</f>
        <v>0</v>
      </c>
      <c r="D30" s="2">
        <f>D8/'Output-Calculation-sheet'!D7*'Output-Calculation-sheet'!D16</f>
        <v>6704.6066808583873</v>
      </c>
      <c r="E30" s="2">
        <f>E8/'Output-Calculation-sheet'!E7*'Output-Calculation-sheet'!E16</f>
        <v>8186.809506704175</v>
      </c>
      <c r="F30" s="2">
        <f>F8/'Output-Calculation-sheet'!F7*'Output-Calculation-sheet'!F16</f>
        <v>3682.1922951267579</v>
      </c>
      <c r="G30" s="2">
        <f>G8/'Output-Calculation-sheet'!G7*'Output-Calculation-sheet'!G16</f>
        <v>2120.3352596532882</v>
      </c>
      <c r="H30" s="2">
        <f>H8/'Output-Calculation-sheet'!H7*'Output-Calculation-sheet'!H16</f>
        <v>0</v>
      </c>
      <c r="I30" s="2">
        <f>I8/'Output-Calculation-sheet'!I7*'Output-Calculation-sheet'!I16</f>
        <v>2249.8619179407738</v>
      </c>
      <c r="J30" s="2">
        <f>J8/'Output-Calculation-sheet'!J7*'Output-Calculation-sheet'!J16</f>
        <v>2288.1067991438622</v>
      </c>
      <c r="K30" s="2">
        <f>K8/'Output-Calculation-sheet'!K7*'Output-Calculation-sheet'!K16</f>
        <v>2981.3847395931011</v>
      </c>
      <c r="L30" s="2">
        <f>L8/'Output-Calculation-sheet'!L7*'Output-Calculation-sheet'!L16</f>
        <v>2709.1659634469306</v>
      </c>
      <c r="M30" s="2">
        <f>M8/'Output-Calculation-sheet'!M7*'Output-Calculation-sheet'!M16</f>
        <v>0</v>
      </c>
      <c r="N30" s="2">
        <f>N8/'Output-Calculation-sheet'!N7*'Output-Calculation-sheet'!N16</f>
        <v>1599.5977141649109</v>
      </c>
      <c r="O30" s="2">
        <f>O8/'Output-Calculation-sheet'!O7*'Output-Calculation-sheet'!O16</f>
        <v>0</v>
      </c>
      <c r="P30" s="2">
        <f>P8/'Output-Calculation-sheet'!P7*'Output-Calculation-sheet'!P16</f>
        <v>2407.4537998955998</v>
      </c>
      <c r="Q30" s="2">
        <f>Q8/'Output-Calculation-sheet'!Q7*'Output-Calculation-sheet'!Q16</f>
        <v>2684.960693828833</v>
      </c>
      <c r="R30" s="2">
        <f>R8/'Output-Calculation-sheet'!R7*'Output-Calculation-sheet'!R16</f>
        <v>2190.3595230316578</v>
      </c>
      <c r="S30" s="2">
        <f>S8/'Output-Calculation-sheet'!S7*'Output-Calculation-sheet'!S16</f>
        <v>1179.0337810665665</v>
      </c>
      <c r="T30" s="2">
        <f>T8/'Output-Calculation-sheet'!T7*'Output-Calculation-sheet'!T16</f>
        <v>694.62697971265084</v>
      </c>
      <c r="U30" s="2">
        <f>U8/'Output-Calculation-sheet'!U7*'Output-Calculation-sheet'!U16</f>
        <v>556.03633849185644</v>
      </c>
      <c r="V30" s="2">
        <f>V8/'Output-Calculation-sheet'!V7*'Output-Calculation-sheet'!V16</f>
        <v>654.70366523480266</v>
      </c>
      <c r="W30" s="2">
        <f>W8/'Output-Calculation-sheet'!W7*'Output-Calculation-sheet'!W16</f>
        <v>302.12031545546671</v>
      </c>
      <c r="X30" s="2">
        <f>X8/'Output-Calculation-sheet'!X7*'Output-Calculation-sheet'!X16</f>
        <v>0</v>
      </c>
      <c r="Y30" s="2">
        <f>Y8/'Output-Calculation-sheet'!Y7*'Output-Calculation-sheet'!Y16</f>
        <v>232.32502757692936</v>
      </c>
      <c r="AA30" s="2">
        <f t="shared" si="1"/>
        <v>67.9536207773359</v>
      </c>
    </row>
    <row r="31" spans="1:27" x14ac:dyDescent="0.25">
      <c r="A31" s="2">
        <v>2032</v>
      </c>
      <c r="B31" s="2">
        <f>B9/'Output-Calculation-sheet'!B8*'Output-Calculation-sheet'!B17</f>
        <v>24034.624529127279</v>
      </c>
      <c r="C31" s="2">
        <f>C9/'Output-Calculation-sheet'!C8*'Output-Calculation-sheet'!C17</f>
        <v>0</v>
      </c>
      <c r="D31" s="2">
        <f>D9/'Output-Calculation-sheet'!D8*'Output-Calculation-sheet'!D17</f>
        <v>6685.8512037672781</v>
      </c>
      <c r="E31" s="2">
        <f>E9/'Output-Calculation-sheet'!E8*'Output-Calculation-sheet'!E17</f>
        <v>8202.4397312748533</v>
      </c>
      <c r="F31" s="2">
        <f>F9/'Output-Calculation-sheet'!F8*'Output-Calculation-sheet'!F17</f>
        <v>3694.3701999073969</v>
      </c>
      <c r="G31" s="2">
        <f>G9/'Output-Calculation-sheet'!G8*'Output-Calculation-sheet'!G17</f>
        <v>2126.3746327578151</v>
      </c>
      <c r="H31" s="2">
        <f>H9/'Output-Calculation-sheet'!H8*'Output-Calculation-sheet'!H17</f>
        <v>0</v>
      </c>
      <c r="I31" s="2">
        <f>I9/'Output-Calculation-sheet'!I8*'Output-Calculation-sheet'!I17</f>
        <v>2254.2165543447941</v>
      </c>
      <c r="J31" s="2">
        <f>J9/'Output-Calculation-sheet'!J8*'Output-Calculation-sheet'!J17</f>
        <v>2287.0974009251304</v>
      </c>
      <c r="K31" s="2">
        <f>K9/'Output-Calculation-sheet'!K8*'Output-Calculation-sheet'!K17</f>
        <v>2974.5685382054844</v>
      </c>
      <c r="L31" s="2">
        <f>L9/'Output-Calculation-sheet'!L8*'Output-Calculation-sheet'!L17</f>
        <v>2690.8440651881556</v>
      </c>
      <c r="M31" s="2">
        <f>M9/'Output-Calculation-sheet'!M8*'Output-Calculation-sheet'!M17</f>
        <v>0</v>
      </c>
      <c r="N31" s="2">
        <f>N9/'Output-Calculation-sheet'!N8*'Output-Calculation-sheet'!N17</f>
        <v>1502.4966247521425</v>
      </c>
      <c r="O31" s="2">
        <f>O9/'Output-Calculation-sheet'!O8*'Output-Calculation-sheet'!O17</f>
        <v>0</v>
      </c>
      <c r="P31" s="2">
        <f>P9/'Output-Calculation-sheet'!P8*'Output-Calculation-sheet'!P17</f>
        <v>2441.2476179527084</v>
      </c>
      <c r="Q31" s="2">
        <f>Q9/'Output-Calculation-sheet'!Q8*'Output-Calculation-sheet'!Q17</f>
        <v>2653.1821697480232</v>
      </c>
      <c r="R31" s="2">
        <f>R9/'Output-Calculation-sheet'!R8*'Output-Calculation-sheet'!R17</f>
        <v>2202.527138829947</v>
      </c>
      <c r="S31" s="2">
        <f>S9/'Output-Calculation-sheet'!S8*'Output-Calculation-sheet'!S17</f>
        <v>1144.2207037890466</v>
      </c>
      <c r="T31" s="2">
        <f>T9/'Output-Calculation-sheet'!T8*'Output-Calculation-sheet'!T17</f>
        <v>693.87984947254984</v>
      </c>
      <c r="U31" s="2">
        <f>U9/'Output-Calculation-sheet'!U8*'Output-Calculation-sheet'!U17</f>
        <v>557.46817625614938</v>
      </c>
      <c r="V31" s="2">
        <f>V9/'Output-Calculation-sheet'!V8*'Output-Calculation-sheet'!V17</f>
        <v>655.29939802839601</v>
      </c>
      <c r="W31" s="2">
        <f>W9/'Output-Calculation-sheet'!W8*'Output-Calculation-sheet'!W17</f>
        <v>303.09848144163857</v>
      </c>
      <c r="X31" s="2">
        <f>X9/'Output-Calculation-sheet'!X8*'Output-Calculation-sheet'!X17</f>
        <v>0</v>
      </c>
      <c r="Y31" s="2">
        <f>Y9/'Output-Calculation-sheet'!Y8*'Output-Calculation-sheet'!Y17</f>
        <v>233.25383279849885</v>
      </c>
      <c r="AA31" s="2">
        <f t="shared" si="1"/>
        <v>67.33706084856729</v>
      </c>
    </row>
    <row r="32" spans="1:27" x14ac:dyDescent="0.25">
      <c r="A32" s="2">
        <v>2033</v>
      </c>
      <c r="B32" s="2">
        <f>B10/'Output-Calculation-sheet'!B9*'Output-Calculation-sheet'!B18</f>
        <v>21422.71871190716</v>
      </c>
      <c r="C32" s="2">
        <f>C10/'Output-Calculation-sheet'!C9*'Output-Calculation-sheet'!C18</f>
        <v>0</v>
      </c>
      <c r="D32" s="2">
        <f>D10/'Output-Calculation-sheet'!D9*'Output-Calculation-sheet'!D18</f>
        <v>6124.3679741226551</v>
      </c>
      <c r="E32" s="2">
        <f>E10/'Output-Calculation-sheet'!E9*'Output-Calculation-sheet'!E18</f>
        <v>7568.8743336379284</v>
      </c>
      <c r="F32" s="2">
        <f>F10/'Output-Calculation-sheet'!F9*'Output-Calculation-sheet'!F18</f>
        <v>3404.6758255197865</v>
      </c>
      <c r="G32" s="2">
        <f>G10/'Output-Calculation-sheet'!G9*'Output-Calculation-sheet'!G18</f>
        <v>1959.0289609570623</v>
      </c>
      <c r="H32" s="2">
        <f>H10/'Output-Calculation-sheet'!H9*'Output-Calculation-sheet'!H18</f>
        <v>0</v>
      </c>
      <c r="I32" s="2">
        <f>I10/'Output-Calculation-sheet'!I9*'Output-Calculation-sheet'!I18</f>
        <v>2075.1567611365272</v>
      </c>
      <c r="J32" s="2">
        <f>J10/'Output-Calculation-sheet'!J9*'Output-Calculation-sheet'!J18</f>
        <v>2088.9279173692894</v>
      </c>
      <c r="K32" s="2">
        <f>K10/'Output-Calculation-sheet'!K9*'Output-Calculation-sheet'!K18</f>
        <v>2757.742264461594</v>
      </c>
      <c r="L32" s="2">
        <f>L10/'Output-Calculation-sheet'!L9*'Output-Calculation-sheet'!L18</f>
        <v>2406.2860697444175</v>
      </c>
      <c r="M32" s="2">
        <f>M10/'Output-Calculation-sheet'!M9*'Output-Calculation-sheet'!M18</f>
        <v>0</v>
      </c>
      <c r="N32" s="2">
        <f>N10/'Output-Calculation-sheet'!N9*'Output-Calculation-sheet'!N18</f>
        <v>1349.845622608691</v>
      </c>
      <c r="O32" s="2">
        <f>O10/'Output-Calculation-sheet'!O9*'Output-Calculation-sheet'!O18</f>
        <v>0</v>
      </c>
      <c r="P32" s="2">
        <f>P10/'Output-Calculation-sheet'!P9*'Output-Calculation-sheet'!P18</f>
        <v>2269.0260692214474</v>
      </c>
      <c r="Q32" s="2">
        <f>Q10/'Output-Calculation-sheet'!Q9*'Output-Calculation-sheet'!Q18</f>
        <v>2391.5841153836291</v>
      </c>
      <c r="R32" s="2">
        <f>R10/'Output-Calculation-sheet'!R9*'Output-Calculation-sheet'!R18</f>
        <v>2026.6272573411529</v>
      </c>
      <c r="S32" s="2">
        <f>S10/'Output-Calculation-sheet'!S9*'Output-Calculation-sheet'!S18</f>
        <v>1011.4613866207035</v>
      </c>
      <c r="T32" s="2">
        <f>T10/'Output-Calculation-sheet'!T9*'Output-Calculation-sheet'!T18</f>
        <v>638.35313418910198</v>
      </c>
      <c r="U32" s="2">
        <f>U10/'Output-Calculation-sheet'!U9*'Output-Calculation-sheet'!U18</f>
        <v>511.83395077349815</v>
      </c>
      <c r="V32" s="2">
        <f>V10/'Output-Calculation-sheet'!V9*'Output-Calculation-sheet'!V18</f>
        <v>595.54417480368193</v>
      </c>
      <c r="W32" s="2">
        <f>W10/'Output-Calculation-sheet'!W9*'Output-Calculation-sheet'!W18</f>
        <v>277.94267943660174</v>
      </c>
      <c r="X32" s="2">
        <f>X10/'Output-Calculation-sheet'!X9*'Output-Calculation-sheet'!X18</f>
        <v>0</v>
      </c>
      <c r="Y32" s="2">
        <f>Y10/'Output-Calculation-sheet'!Y9*'Output-Calculation-sheet'!Y18</f>
        <v>215.00210281858895</v>
      </c>
      <c r="AA32" s="2">
        <f t="shared" si="1"/>
        <v>61.094999312053524</v>
      </c>
    </row>
    <row r="33" spans="1:27" x14ac:dyDescent="0.25">
      <c r="A33" s="2">
        <v>2034</v>
      </c>
      <c r="B33" s="2">
        <f>B11/'Output-Calculation-sheet'!B10*'Output-Calculation-sheet'!B19</f>
        <v>17753.7621506</v>
      </c>
      <c r="C33" s="2">
        <f>C11/'Output-Calculation-sheet'!C10*'Output-Calculation-sheet'!C19</f>
        <v>0</v>
      </c>
      <c r="D33" s="2">
        <f>D11/'Output-Calculation-sheet'!D10*'Output-Calculation-sheet'!D19</f>
        <v>5138.2002563757978</v>
      </c>
      <c r="E33" s="2">
        <f>E11/'Output-Calculation-sheet'!E10*'Output-Calculation-sheet'!E19</f>
        <v>6391.6136080607475</v>
      </c>
      <c r="F33" s="2">
        <f>F11/'Output-Calculation-sheet'!F10*'Output-Calculation-sheet'!F19</f>
        <v>2876.0231207166739</v>
      </c>
      <c r="G33" s="2">
        <f>G11/'Output-Calculation-sheet'!G10*'Output-Calculation-sheet'!G19</f>
        <v>1650.1186154471984</v>
      </c>
      <c r="H33" s="2">
        <f>H11/'Output-Calculation-sheet'!H10*'Output-Calculation-sheet'!H19</f>
        <v>0</v>
      </c>
      <c r="I33" s="2">
        <f>I11/'Output-Calculation-sheet'!I10*'Output-Calculation-sheet'!I19</f>
        <v>1754.8536188698979</v>
      </c>
      <c r="J33" s="2">
        <f>J11/'Output-Calculation-sheet'!J10*'Output-Calculation-sheet'!J19</f>
        <v>1756.3318093647463</v>
      </c>
      <c r="K33" s="2">
        <f>K11/'Output-Calculation-sheet'!K10*'Output-Calculation-sheet'!K19</f>
        <v>2306.3095739016298</v>
      </c>
      <c r="L33" s="2">
        <f>L11/'Output-Calculation-sheet'!L10*'Output-Calculation-sheet'!L19</f>
        <v>1981.6531592344484</v>
      </c>
      <c r="M33" s="2">
        <f>M11/'Output-Calculation-sheet'!M10*'Output-Calculation-sheet'!M19</f>
        <v>0</v>
      </c>
      <c r="N33" s="2">
        <f>N11/'Output-Calculation-sheet'!N10*'Output-Calculation-sheet'!N19</f>
        <v>1081.8343183589172</v>
      </c>
      <c r="O33" s="2">
        <f>O11/'Output-Calculation-sheet'!O10*'Output-Calculation-sheet'!O19</f>
        <v>0</v>
      </c>
      <c r="P33" s="2">
        <f>P11/'Output-Calculation-sheet'!P10*'Output-Calculation-sheet'!P19</f>
        <v>1935.7484680466609</v>
      </c>
      <c r="Q33" s="2">
        <f>Q11/'Output-Calculation-sheet'!Q10*'Output-Calculation-sheet'!Q19</f>
        <v>1931.227948594815</v>
      </c>
      <c r="R33" s="2">
        <f>R11/'Output-Calculation-sheet'!R10*'Output-Calculation-sheet'!R19</f>
        <v>1706.3249287576853</v>
      </c>
      <c r="S33" s="2">
        <f>S11/'Output-Calculation-sheet'!S10*'Output-Calculation-sheet'!S19</f>
        <v>831.68642536023162</v>
      </c>
      <c r="T33" s="2">
        <f>T11/'Output-Calculation-sheet'!T10*'Output-Calculation-sheet'!T19</f>
        <v>539.07699115030096</v>
      </c>
      <c r="U33" s="2">
        <f>U11/'Output-Calculation-sheet'!U10*'Output-Calculation-sheet'!U19</f>
        <v>434.91765658026253</v>
      </c>
      <c r="V33" s="2">
        <f>V11/'Output-Calculation-sheet'!V10*'Output-Calculation-sheet'!V19</f>
        <v>499.10149696870974</v>
      </c>
      <c r="W33" s="2">
        <f>W11/'Output-Calculation-sheet'!W10*'Output-Calculation-sheet'!W19</f>
        <v>234.93143378445637</v>
      </c>
      <c r="X33" s="2">
        <f>X11/'Output-Calculation-sheet'!X10*'Output-Calculation-sheet'!X19</f>
        <v>0</v>
      </c>
      <c r="Y33" s="2">
        <f>Y11/'Output-Calculation-sheet'!Y10*'Output-Calculation-sheet'!Y19</f>
        <v>181.6601979678984</v>
      </c>
      <c r="AA33" s="2">
        <f t="shared" si="1"/>
        <v>50.985375778141076</v>
      </c>
    </row>
    <row r="34" spans="1:27" x14ac:dyDescent="0.25">
      <c r="A34" s="2">
        <v>2035</v>
      </c>
      <c r="B34" s="2">
        <f>B12/'Output-Calculation-sheet'!B11*'Output-Calculation-sheet'!B20</f>
        <v>13045.3663408968</v>
      </c>
      <c r="C34" s="2">
        <f>C12/'Output-Calculation-sheet'!C11*'Output-Calculation-sheet'!C20</f>
        <v>0</v>
      </c>
      <c r="D34" s="2">
        <f>D12/'Output-Calculation-sheet'!D11*'Output-Calculation-sheet'!D20</f>
        <v>3932.3464570258343</v>
      </c>
      <c r="E34" s="2">
        <f>E12/'Output-Calculation-sheet'!E11*'Output-Calculation-sheet'!E20</f>
        <v>4841.0080080964954</v>
      </c>
      <c r="F34" s="2">
        <f>F12/'Output-Calculation-sheet'!F11*'Output-Calculation-sheet'!F20</f>
        <v>2198.297843844703</v>
      </c>
      <c r="G34" s="2">
        <f>G12/'Output-Calculation-sheet'!G11*'Output-Calculation-sheet'!G20</f>
        <v>1259.5513859757057</v>
      </c>
      <c r="H34" s="2">
        <f>H12/'Output-Calculation-sheet'!H11*'Output-Calculation-sheet'!H20</f>
        <v>0</v>
      </c>
      <c r="I34" s="2">
        <f>I12/'Output-Calculation-sheet'!I11*'Output-Calculation-sheet'!I20</f>
        <v>1343.7975302952404</v>
      </c>
      <c r="J34" s="2">
        <f>J12/'Output-Calculation-sheet'!J11*'Output-Calculation-sheet'!J20</f>
        <v>1337.5712009870413</v>
      </c>
      <c r="K34" s="2">
        <f>K12/'Output-Calculation-sheet'!K11*'Output-Calculation-sheet'!K20</f>
        <v>1756.3261170435642</v>
      </c>
      <c r="L34" s="2">
        <f>L12/'Output-Calculation-sheet'!L11*'Output-Calculation-sheet'!L20</f>
        <v>1487.8779891420227</v>
      </c>
      <c r="M34" s="2">
        <f>M12/'Output-Calculation-sheet'!M11*'Output-Calculation-sheet'!M20</f>
        <v>0</v>
      </c>
      <c r="N34" s="2">
        <f>N12/'Output-Calculation-sheet'!N11*'Output-Calculation-sheet'!N20</f>
        <v>809.68026645406792</v>
      </c>
      <c r="O34" s="2">
        <f>O12/'Output-Calculation-sheet'!O11*'Output-Calculation-sheet'!O20</f>
        <v>0</v>
      </c>
      <c r="P34" s="2">
        <f>P12/'Output-Calculation-sheet'!P11*'Output-Calculation-sheet'!P20</f>
        <v>1482.8682989549427</v>
      </c>
      <c r="Q34" s="2">
        <f>Q12/'Output-Calculation-sheet'!Q11*'Output-Calculation-sheet'!Q20</f>
        <v>1416.4504563565704</v>
      </c>
      <c r="R34" s="2">
        <f>R12/'Output-Calculation-sheet'!R11*'Output-Calculation-sheet'!R20</f>
        <v>1303.066463905029</v>
      </c>
      <c r="S34" s="2">
        <f>S12/'Output-Calculation-sheet'!S11*'Output-Calculation-sheet'!S20</f>
        <v>608.61204360825241</v>
      </c>
      <c r="T34" s="2">
        <f>T12/'Output-Calculation-sheet'!T11*'Output-Calculation-sheet'!T20</f>
        <v>411.27598897242297</v>
      </c>
      <c r="U34" s="2">
        <f>U12/'Output-Calculation-sheet'!U11*'Output-Calculation-sheet'!U20</f>
        <v>331.27452722657591</v>
      </c>
      <c r="V34" s="2">
        <f>V12/'Output-Calculation-sheet'!V11*'Output-Calculation-sheet'!V20</f>
        <v>380.30112845258338</v>
      </c>
      <c r="W34" s="2">
        <f>W12/'Output-Calculation-sheet'!W11*'Output-Calculation-sheet'!W20</f>
        <v>179.68954530548271</v>
      </c>
      <c r="X34" s="2">
        <f>X12/'Output-Calculation-sheet'!X11*'Output-Calculation-sheet'!X20</f>
        <v>0</v>
      </c>
      <c r="Y34" s="2">
        <f>Y12/'Output-Calculation-sheet'!Y11*'Output-Calculation-sheet'!Y20</f>
        <v>139.54384103773833</v>
      </c>
      <c r="AA34" s="2">
        <f t="shared" si="1"/>
        <v>38.26490543358107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1083.9327357508391</v>
      </c>
      <c r="C52" s="2">
        <f>C8/'Output-Calculation-sheet'!C7*'Output-Calculation-sheet'!C43</f>
        <v>0</v>
      </c>
      <c r="D52" s="2">
        <f>D8/'Output-Calculation-sheet'!D7*'Output-Calculation-sheet'!D43</f>
        <v>2354.5723117932075</v>
      </c>
      <c r="E52" s="2">
        <f>E8/'Output-Calculation-sheet'!E7*'Output-Calculation-sheet'!E43</f>
        <v>1690.167565125543</v>
      </c>
      <c r="F52" s="2">
        <f>F8/'Output-Calculation-sheet'!F7*'Output-Calculation-sheet'!F43</f>
        <v>0</v>
      </c>
      <c r="G52" s="2">
        <f>G8/'Output-Calculation-sheet'!G7*'Output-Calculation-sheet'!G43</f>
        <v>599.41886781681467</v>
      </c>
      <c r="H52" s="2">
        <f>H8/'Output-Calculation-sheet'!H7*'Output-Calculation-sheet'!H43</f>
        <v>4592.6254665043198</v>
      </c>
      <c r="I52" s="2">
        <f>I8/'Output-Calculation-sheet'!I7*'Output-Calculation-sheet'!I43</f>
        <v>196.05144862076085</v>
      </c>
      <c r="J52" s="2">
        <f>J8/'Output-Calculation-sheet'!J7*'Output-Calculation-sheet'!J43</f>
        <v>1067.1461190384978</v>
      </c>
      <c r="K52" s="2">
        <f>K8/'Output-Calculation-sheet'!K7*'Output-Calculation-sheet'!K43</f>
        <v>2143.6508173611942</v>
      </c>
      <c r="L52" s="2">
        <f>L8/'Output-Calculation-sheet'!L7*'Output-Calculation-sheet'!L43</f>
        <v>1991.8084789509162</v>
      </c>
      <c r="M52" s="2">
        <f>M8/'Output-Calculation-sheet'!M7*'Output-Calculation-sheet'!M43</f>
        <v>13003.941530595348</v>
      </c>
      <c r="N52" s="2">
        <f>N8/'Output-Calculation-sheet'!N7*'Output-Calculation-sheet'!N43</f>
        <v>7443.5594206888345</v>
      </c>
      <c r="O52" s="2">
        <f>O8/'Output-Calculation-sheet'!O7*'Output-Calculation-sheet'!O43</f>
        <v>0</v>
      </c>
      <c r="P52" s="2">
        <f>P8/'Output-Calculation-sheet'!P7*'Output-Calculation-sheet'!P43</f>
        <v>1583.0809076585376</v>
      </c>
      <c r="Q52" s="2">
        <f>Q8/'Output-Calculation-sheet'!Q7*'Output-Calculation-sheet'!Q43</f>
        <v>359.70885004521932</v>
      </c>
      <c r="R52" s="2">
        <f>R8/'Output-Calculation-sheet'!R7*'Output-Calculation-sheet'!R43</f>
        <v>2884.7661657040676</v>
      </c>
      <c r="S52" s="2">
        <f>S8/'Output-Calculation-sheet'!S7*'Output-Calculation-sheet'!S43</f>
        <v>480.9208660382954</v>
      </c>
      <c r="T52" s="2">
        <f>T8/'Output-Calculation-sheet'!T7*'Output-Calculation-sheet'!T43</f>
        <v>854.95729300983794</v>
      </c>
      <c r="U52" s="2">
        <f>U8/'Output-Calculation-sheet'!U7*'Output-Calculation-sheet'!U43</f>
        <v>319.35750072671709</v>
      </c>
      <c r="V52" s="2">
        <f>V8/'Output-Calculation-sheet'!V7*'Output-Calculation-sheet'!V43</f>
        <v>834.9536029476368</v>
      </c>
      <c r="W52" s="2">
        <f>W8/'Output-Calculation-sheet'!W7*'Output-Calculation-sheet'!W43</f>
        <v>9.9954888931746755</v>
      </c>
      <c r="X52" s="2">
        <f>X8/'Output-Calculation-sheet'!X7*'Output-Calculation-sheet'!X43</f>
        <v>677.41886969351935</v>
      </c>
      <c r="Y52" s="2">
        <f>Y8/'Output-Calculation-sheet'!Y7*'Output-Calculation-sheet'!Y43</f>
        <v>0</v>
      </c>
      <c r="AA52" s="2">
        <f t="shared" si="3"/>
        <v>44.172034306963276</v>
      </c>
    </row>
    <row r="53" spans="1:27" x14ac:dyDescent="0.25">
      <c r="A53" s="2">
        <v>2032</v>
      </c>
      <c r="B53" s="2">
        <f>B9/'Output-Calculation-sheet'!B8*'Output-Calculation-sheet'!B44</f>
        <v>3426.0731647279094</v>
      </c>
      <c r="C53" s="2">
        <f>C9/'Output-Calculation-sheet'!C8*'Output-Calculation-sheet'!C44</f>
        <v>0</v>
      </c>
      <c r="D53" s="2">
        <f>D9/'Output-Calculation-sheet'!D8*'Output-Calculation-sheet'!D44</f>
        <v>3032.5102694291936</v>
      </c>
      <c r="E53" s="2">
        <f>E9/'Output-Calculation-sheet'!E8*'Output-Calculation-sheet'!E44</f>
        <v>1988.2803561979031</v>
      </c>
      <c r="F53" s="2">
        <f>F9/'Output-Calculation-sheet'!F8*'Output-Calculation-sheet'!F44</f>
        <v>0</v>
      </c>
      <c r="G53" s="2">
        <f>G9/'Output-Calculation-sheet'!G8*'Output-Calculation-sheet'!G44</f>
        <v>734.28294731238805</v>
      </c>
      <c r="H53" s="2">
        <f>H9/'Output-Calculation-sheet'!H8*'Output-Calculation-sheet'!H44</f>
        <v>9220.8673806497609</v>
      </c>
      <c r="I53" s="2">
        <f>I9/'Output-Calculation-sheet'!I8*'Output-Calculation-sheet'!I44</f>
        <v>269.06964384079964</v>
      </c>
      <c r="J53" s="2">
        <f>J9/'Output-Calculation-sheet'!J8*'Output-Calculation-sheet'!J44</f>
        <v>1234.6200881407092</v>
      </c>
      <c r="K53" s="2">
        <f>K9/'Output-Calculation-sheet'!K8*'Output-Calculation-sheet'!K44</f>
        <v>2235.8308067140024</v>
      </c>
      <c r="L53" s="2">
        <f>L9/'Output-Calculation-sheet'!L8*'Output-Calculation-sheet'!L44</f>
        <v>2179.2699926218893</v>
      </c>
      <c r="M53" s="2">
        <f>M9/'Output-Calculation-sheet'!M8*'Output-Calculation-sheet'!M44</f>
        <v>13106.666024683762</v>
      </c>
      <c r="N53" s="2">
        <f>N9/'Output-Calculation-sheet'!N8*'Output-Calculation-sheet'!N44</f>
        <v>8730.3696964098926</v>
      </c>
      <c r="O53" s="2">
        <f>O9/'Output-Calculation-sheet'!O8*'Output-Calculation-sheet'!O44</f>
        <v>0</v>
      </c>
      <c r="P53" s="2">
        <f>P9/'Output-Calculation-sheet'!P8*'Output-Calculation-sheet'!P44</f>
        <v>1810.5749748833432</v>
      </c>
      <c r="Q53" s="2">
        <f>Q9/'Output-Calculation-sheet'!Q8*'Output-Calculation-sheet'!Q44</f>
        <v>546.3655166518447</v>
      </c>
      <c r="R53" s="2">
        <f>R9/'Output-Calculation-sheet'!R8*'Output-Calculation-sheet'!R44</f>
        <v>3065.1717330282659</v>
      </c>
      <c r="S53" s="2">
        <f>S9/'Output-Calculation-sheet'!S8*'Output-Calculation-sheet'!S44</f>
        <v>888.56042228690967</v>
      </c>
      <c r="T53" s="2">
        <f>T9/'Output-Calculation-sheet'!T8*'Output-Calculation-sheet'!T44</f>
        <v>910.64105772152084</v>
      </c>
      <c r="U53" s="2">
        <f>U9/'Output-Calculation-sheet'!U8*'Output-Calculation-sheet'!U44</f>
        <v>393.47413401922523</v>
      </c>
      <c r="V53" s="2">
        <f>V9/'Output-Calculation-sheet'!V8*'Output-Calculation-sheet'!V44</f>
        <v>848.76376967329441</v>
      </c>
      <c r="W53" s="2">
        <f>W9/'Output-Calculation-sheet'!W8*'Output-Calculation-sheet'!W44</f>
        <v>23.279453259726466</v>
      </c>
      <c r="X53" s="2">
        <f>X9/'Output-Calculation-sheet'!X8*'Output-Calculation-sheet'!X44</f>
        <v>1260.8388458964498</v>
      </c>
      <c r="Y53" s="2">
        <f>Y9/'Output-Calculation-sheet'!Y8*'Output-Calculation-sheet'!Y44</f>
        <v>0</v>
      </c>
      <c r="AA53" s="2">
        <f t="shared" si="3"/>
        <v>55.905510278148782</v>
      </c>
    </row>
    <row r="54" spans="1:27" x14ac:dyDescent="0.25">
      <c r="A54" s="2">
        <v>2033</v>
      </c>
      <c r="B54" s="2">
        <f>B10/'Output-Calculation-sheet'!B9*'Output-Calculation-sheet'!B45</f>
        <v>6113.6009652035063</v>
      </c>
      <c r="C54" s="2">
        <f>C10/'Output-Calculation-sheet'!C9*'Output-Calculation-sheet'!C45</f>
        <v>0</v>
      </c>
      <c r="D54" s="2">
        <f>D10/'Output-Calculation-sheet'!D9*'Output-Calculation-sheet'!D45</f>
        <v>3473.478586487287</v>
      </c>
      <c r="E54" s="2">
        <f>E10/'Output-Calculation-sheet'!E9*'Output-Calculation-sheet'!E45</f>
        <v>2318.810749000992</v>
      </c>
      <c r="F54" s="2">
        <f>F10/'Output-Calculation-sheet'!F9*'Output-Calculation-sheet'!F45</f>
        <v>0</v>
      </c>
      <c r="G54" s="2">
        <f>G10/'Output-Calculation-sheet'!G9*'Output-Calculation-sheet'!G45</f>
        <v>822.36752291740527</v>
      </c>
      <c r="H54" s="2">
        <f>H10/'Output-Calculation-sheet'!H9*'Output-Calculation-sheet'!H45</f>
        <v>16319.346362285069</v>
      </c>
      <c r="I54" s="2">
        <f>I10/'Output-Calculation-sheet'!I9*'Output-Calculation-sheet'!I45</f>
        <v>336.21385816949203</v>
      </c>
      <c r="J54" s="2">
        <f>J10/'Output-Calculation-sheet'!J9*'Output-Calculation-sheet'!J45</f>
        <v>1375.3308506716216</v>
      </c>
      <c r="K54" s="2">
        <f>K10/'Output-Calculation-sheet'!K9*'Output-Calculation-sheet'!K45</f>
        <v>2335.1467853696504</v>
      </c>
      <c r="L54" s="2">
        <f>L10/'Output-Calculation-sheet'!L9*'Output-Calculation-sheet'!L45</f>
        <v>2224.6528027250765</v>
      </c>
      <c r="M54" s="2">
        <f>M10/'Output-Calculation-sheet'!M9*'Output-Calculation-sheet'!M45</f>
        <v>12142.934304806138</v>
      </c>
      <c r="N54" s="2">
        <f>N10/'Output-Calculation-sheet'!N9*'Output-Calculation-sheet'!N45</f>
        <v>8506.0241340500979</v>
      </c>
      <c r="O54" s="2">
        <f>O10/'Output-Calculation-sheet'!O9*'Output-Calculation-sheet'!O45</f>
        <v>0</v>
      </c>
      <c r="P54" s="2">
        <f>P10/'Output-Calculation-sheet'!P9*'Output-Calculation-sheet'!P45</f>
        <v>1930.5725662080915</v>
      </c>
      <c r="Q54" s="2">
        <f>Q10/'Output-Calculation-sheet'!Q9*'Output-Calculation-sheet'!Q45</f>
        <v>743.8252438795206</v>
      </c>
      <c r="R54" s="2">
        <f>R10/'Output-Calculation-sheet'!R9*'Output-Calculation-sheet'!R45</f>
        <v>2865.4532256078237</v>
      </c>
      <c r="S54" s="2">
        <f>S10/'Output-Calculation-sheet'!S9*'Output-Calculation-sheet'!S45</f>
        <v>1272.7964449129843</v>
      </c>
      <c r="T54" s="2">
        <f>T10/'Output-Calculation-sheet'!T9*'Output-Calculation-sheet'!T45</f>
        <v>923.66631000355119</v>
      </c>
      <c r="U54" s="2">
        <f>U10/'Output-Calculation-sheet'!U9*'Output-Calculation-sheet'!U45</f>
        <v>415.31997753295525</v>
      </c>
      <c r="V54" s="2">
        <f>V10/'Output-Calculation-sheet'!V9*'Output-Calculation-sheet'!V45</f>
        <v>805.90226105943032</v>
      </c>
      <c r="W54" s="2">
        <f>W10/'Output-Calculation-sheet'!W9*'Output-Calculation-sheet'!W45</f>
        <v>27.426448791533716</v>
      </c>
      <c r="X54" s="2">
        <f>X10/'Output-Calculation-sheet'!X9*'Output-Calculation-sheet'!X45</f>
        <v>1169.9240897177247</v>
      </c>
      <c r="Y54" s="2">
        <f>Y10/'Output-Calculation-sheet'!Y9*'Output-Calculation-sheet'!Y45</f>
        <v>8.7928227882622672</v>
      </c>
      <c r="AA54" s="2">
        <f t="shared" si="3"/>
        <v>66.131586312188219</v>
      </c>
    </row>
    <row r="55" spans="1:27" x14ac:dyDescent="0.25">
      <c r="A55" s="2">
        <v>2034</v>
      </c>
      <c r="B55" s="2">
        <f>B11/'Output-Calculation-sheet'!B10*'Output-Calculation-sheet'!B46</f>
        <v>10419.771351955176</v>
      </c>
      <c r="C55" s="2">
        <f>C11/'Output-Calculation-sheet'!C10*'Output-Calculation-sheet'!C46</f>
        <v>0</v>
      </c>
      <c r="D55" s="2">
        <f>D11/'Output-Calculation-sheet'!D10*'Output-Calculation-sheet'!D46</f>
        <v>3329.4388128756623</v>
      </c>
      <c r="E55" s="2">
        <f>E11/'Output-Calculation-sheet'!E10*'Output-Calculation-sheet'!E46</f>
        <v>2181.8024910039085</v>
      </c>
      <c r="F55" s="2">
        <f>F11/'Output-Calculation-sheet'!F10*'Output-Calculation-sheet'!F46</f>
        <v>0</v>
      </c>
      <c r="G55" s="2">
        <f>G11/'Output-Calculation-sheet'!G10*'Output-Calculation-sheet'!G46</f>
        <v>838.13420126330686</v>
      </c>
      <c r="H55" s="2">
        <f>H11/'Output-Calculation-sheet'!H10*'Output-Calculation-sheet'!H46</f>
        <v>13863.67371364511</v>
      </c>
      <c r="I55" s="2">
        <f>I11/'Output-Calculation-sheet'!I10*'Output-Calculation-sheet'!I46</f>
        <v>376.92583690312904</v>
      </c>
      <c r="J55" s="2">
        <f>J11/'Output-Calculation-sheet'!J10*'Output-Calculation-sheet'!J46</f>
        <v>1305.6148957206206</v>
      </c>
      <c r="K55" s="2">
        <f>K11/'Output-Calculation-sheet'!K10*'Output-Calculation-sheet'!K46</f>
        <v>2222.7525991132957</v>
      </c>
      <c r="L55" s="2">
        <f>L11/'Output-Calculation-sheet'!L10*'Output-Calculation-sheet'!L46</f>
        <v>2120.911627557773</v>
      </c>
      <c r="M55" s="2">
        <f>M11/'Output-Calculation-sheet'!M10*'Output-Calculation-sheet'!M46</f>
        <v>10293.790308729371</v>
      </c>
      <c r="N55" s="2">
        <f>N11/'Output-Calculation-sheet'!N10*'Output-Calculation-sheet'!N46</f>
        <v>7577.562477592659</v>
      </c>
      <c r="O55" s="2">
        <f>O11/'Output-Calculation-sheet'!O10*'Output-Calculation-sheet'!O46</f>
        <v>0</v>
      </c>
      <c r="P55" s="2">
        <f>P11/'Output-Calculation-sheet'!P10*'Output-Calculation-sheet'!P46</f>
        <v>1762.757300191206</v>
      </c>
      <c r="Q55" s="2">
        <f>Q11/'Output-Calculation-sheet'!Q10*'Output-Calculation-sheet'!Q46</f>
        <v>986.24084065999148</v>
      </c>
      <c r="R55" s="2">
        <f>R11/'Output-Calculation-sheet'!R10*'Output-Calculation-sheet'!R46</f>
        <v>2468.958900131699</v>
      </c>
      <c r="S55" s="2">
        <f>S11/'Output-Calculation-sheet'!S10*'Output-Calculation-sheet'!S46</f>
        <v>1589.5455424091624</v>
      </c>
      <c r="T55" s="2">
        <f>T11/'Output-Calculation-sheet'!T10*'Output-Calculation-sheet'!T46</f>
        <v>816.34873624037709</v>
      </c>
      <c r="U55" s="2">
        <f>U11/'Output-Calculation-sheet'!U10*'Output-Calculation-sheet'!U46</f>
        <v>387.58268244237451</v>
      </c>
      <c r="V55" s="2">
        <f>V11/'Output-Calculation-sheet'!V10*'Output-Calculation-sheet'!V46</f>
        <v>713.1247266540131</v>
      </c>
      <c r="W55" s="2">
        <f>W11/'Output-Calculation-sheet'!W10*'Output-Calculation-sheet'!W46</f>
        <v>35.872088746426897</v>
      </c>
      <c r="X55" s="2">
        <f>X11/'Output-Calculation-sheet'!X10*'Output-Calculation-sheet'!X46</f>
        <v>997.482315750314</v>
      </c>
      <c r="Y55" s="2">
        <f>Y11/'Output-Calculation-sheet'!Y10*'Output-Calculation-sheet'!Y46</f>
        <v>11.82904990145606</v>
      </c>
      <c r="AA55" s="2">
        <f t="shared" si="3"/>
        <v>64.300120499487036</v>
      </c>
    </row>
    <row r="56" spans="1:27" x14ac:dyDescent="0.25">
      <c r="A56" s="2">
        <v>2035</v>
      </c>
      <c r="B56" s="2">
        <f>B12/'Output-Calculation-sheet'!B11*'Output-Calculation-sheet'!B47</f>
        <v>13537.035708140109</v>
      </c>
      <c r="C56" s="2">
        <f>C12/'Output-Calculation-sheet'!C11*'Output-Calculation-sheet'!C47</f>
        <v>803.12238380605595</v>
      </c>
      <c r="D56" s="2">
        <f>D12/'Output-Calculation-sheet'!D11*'Output-Calculation-sheet'!D47</f>
        <v>2890.1888295379727</v>
      </c>
      <c r="E56" s="2">
        <f>E12/'Output-Calculation-sheet'!E11*'Output-Calculation-sheet'!E47</f>
        <v>2084.9049774274295</v>
      </c>
      <c r="F56" s="2">
        <f>F12/'Output-Calculation-sheet'!F11*'Output-Calculation-sheet'!F47</f>
        <v>44.449568178678078</v>
      </c>
      <c r="G56" s="2">
        <f>G12/'Output-Calculation-sheet'!G11*'Output-Calculation-sheet'!G47</f>
        <v>765.61685928088787</v>
      </c>
      <c r="H56" s="2">
        <f>H12/'Output-Calculation-sheet'!H11*'Output-Calculation-sheet'!H47</f>
        <v>10707.979687437823</v>
      </c>
      <c r="I56" s="2">
        <f>I12/'Output-Calculation-sheet'!I11*'Output-Calculation-sheet'!I47</f>
        <v>329.96693851465312</v>
      </c>
      <c r="J56" s="2">
        <f>J12/'Output-Calculation-sheet'!J11*'Output-Calculation-sheet'!J47</f>
        <v>1079.0643081195149</v>
      </c>
      <c r="K56" s="2">
        <f>K12/'Output-Calculation-sheet'!K11*'Output-Calculation-sheet'!K47</f>
        <v>1776.6304652174783</v>
      </c>
      <c r="L56" s="2">
        <f>L12/'Output-Calculation-sheet'!L11*'Output-Calculation-sheet'!L47</f>
        <v>1827.5293673997387</v>
      </c>
      <c r="M56" s="2">
        <f>M12/'Output-Calculation-sheet'!M11*'Output-Calculation-sheet'!M47</f>
        <v>7921.0140061617203</v>
      </c>
      <c r="N56" s="2">
        <f>N12/'Output-Calculation-sheet'!N11*'Output-Calculation-sheet'!N47</f>
        <v>6071.3219004144576</v>
      </c>
      <c r="O56" s="2">
        <f>O12/'Output-Calculation-sheet'!O11*'Output-Calculation-sheet'!O47</f>
        <v>380.31111629533956</v>
      </c>
      <c r="P56" s="2">
        <f>P12/'Output-Calculation-sheet'!P11*'Output-Calculation-sheet'!P47</f>
        <v>1399.7884415222497</v>
      </c>
      <c r="Q56" s="2">
        <f>Q12/'Output-Calculation-sheet'!Q11*'Output-Calculation-sheet'!Q47</f>
        <v>1080.358310441379</v>
      </c>
      <c r="R56" s="2">
        <f>R12/'Output-Calculation-sheet'!R11*'Output-Calculation-sheet'!R47</f>
        <v>1924.8462934814179</v>
      </c>
      <c r="S56" s="2">
        <f>S12/'Output-Calculation-sheet'!S11*'Output-Calculation-sheet'!S47</f>
        <v>1647.2934783987459</v>
      </c>
      <c r="T56" s="2">
        <f>T12/'Output-Calculation-sheet'!T11*'Output-Calculation-sheet'!T47</f>
        <v>671.81650803666048</v>
      </c>
      <c r="U56" s="2">
        <f>U12/'Output-Calculation-sheet'!U11*'Output-Calculation-sheet'!U47</f>
        <v>335.93674500949021</v>
      </c>
      <c r="V56" s="2">
        <f>V12/'Output-Calculation-sheet'!V11*'Output-Calculation-sheet'!V47</f>
        <v>556.36792565397036</v>
      </c>
      <c r="W56" s="2">
        <f>W12/'Output-Calculation-sheet'!W11*'Output-Calculation-sheet'!W47</f>
        <v>35.10894779374425</v>
      </c>
      <c r="X56" s="2">
        <f>X12/'Output-Calculation-sheet'!X11*'Output-Calculation-sheet'!X47</f>
        <v>768.64589135520737</v>
      </c>
      <c r="Y56" s="2">
        <f>Y12/'Output-Calculation-sheet'!Y11*'Output-Calculation-sheet'!Y47</f>
        <v>13.506965859672192</v>
      </c>
      <c r="AA56" s="2">
        <f t="shared" si="3"/>
        <v>58.652805623484376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6.6963715559220187</v>
      </c>
      <c r="C63" s="2">
        <f>C8*'Output-Calculation-sheet'!C52/10^9</f>
        <v>4.1140960210795248</v>
      </c>
      <c r="D63" s="2">
        <f>D8*'Output-Calculation-sheet'!D52/10^9</f>
        <v>1.4494748072102486</v>
      </c>
      <c r="E63" s="2">
        <f>E8*'Output-Calculation-sheet'!E52/10^9</f>
        <v>1.733362412544011</v>
      </c>
      <c r="F63" s="2">
        <f>F8*'Output-Calculation-sheet'!F52/10^9</f>
        <v>0.67297775413421845</v>
      </c>
      <c r="G63" s="2">
        <f>G8*'Output-Calculation-sheet'!G52/10^9</f>
        <v>0.47499003061308326</v>
      </c>
      <c r="H63" s="2">
        <f>H8*'Output-Calculation-sheet'!H52/10^9</f>
        <v>1.2655557922726652</v>
      </c>
      <c r="I63" s="2">
        <f>I8*'Output-Calculation-sheet'!I52/10^9</f>
        <v>0.46536153692573162</v>
      </c>
      <c r="J63" s="2">
        <f>J8*'Output-Calculation-sheet'!J52/10^9</f>
        <v>0.48448826275942447</v>
      </c>
      <c r="K63" s="2">
        <f>K8*'Output-Calculation-sheet'!K52/10^9</f>
        <v>0.58443249255967111</v>
      </c>
      <c r="L63" s="2">
        <f>L8*'Output-Calculation-sheet'!L52/10^9</f>
        <v>0.61006211685616252</v>
      </c>
      <c r="M63" s="2">
        <f>M8*'Output-Calculation-sheet'!M52/10^9</f>
        <v>0.95497638532814011</v>
      </c>
      <c r="N63" s="2">
        <f>N8*'Output-Calculation-sheet'!N52/10^9</f>
        <v>0.82117454269080714</v>
      </c>
      <c r="O63" s="2">
        <f>O8*'Output-Calculation-sheet'!O52/10^9</f>
        <v>0.86109043817114705</v>
      </c>
      <c r="P63" s="2">
        <f>P8*'Output-Calculation-sheet'!P52/10^9</f>
        <v>0.52427340690299573</v>
      </c>
      <c r="Q63" s="2">
        <f>Q8*'Output-Calculation-sheet'!Q52/10^9</f>
        <v>0.57079766167292534</v>
      </c>
      <c r="R63" s="2">
        <f>R8*'Output-Calculation-sheet'!R52/10^9</f>
        <v>0.44030813925349593</v>
      </c>
      <c r="S63" s="2">
        <f>S8*'Output-Calculation-sheet'!S52/10^9</f>
        <v>0.41932967830392448</v>
      </c>
      <c r="T63" s="2">
        <f>T8*'Output-Calculation-sheet'!T52/10^9</f>
        <v>0.13645493279808771</v>
      </c>
      <c r="U63" s="2">
        <f>U8*'Output-Calculation-sheet'!U52/10^9</f>
        <v>0.13307060329723208</v>
      </c>
      <c r="V63" s="2">
        <f>V8*'Output-Calculation-sheet'!V52/10^9</f>
        <v>0.11346080985269624</v>
      </c>
      <c r="W63" s="2">
        <f>W8*'Output-Calculation-sheet'!W52/10^9</f>
        <v>5.8447703074156795E-2</v>
      </c>
      <c r="X63" s="2">
        <f>X8*'Output-Calculation-sheet'!X52/10^9</f>
        <v>0.11049990800270455</v>
      </c>
      <c r="Y63" s="2">
        <f>Y8*'Output-Calculation-sheet'!Y52/10^9</f>
        <v>5.3233766990398355E-2</v>
      </c>
      <c r="AA63" s="2">
        <f t="shared" si="4"/>
        <v>23.748290759215475</v>
      </c>
    </row>
    <row r="64" spans="1:27" x14ac:dyDescent="0.25">
      <c r="A64" s="2">
        <v>2032</v>
      </c>
      <c r="B64" s="2">
        <f>B9*'Output-Calculation-sheet'!B53/10^9</f>
        <v>6.6354619354154041</v>
      </c>
      <c r="C64" s="2">
        <f>C9*'Output-Calculation-sheet'!C53/10^9</f>
        <v>4.0755455686034852</v>
      </c>
      <c r="D64" s="2">
        <f>D9*'Output-Calculation-sheet'!D53/10^9</f>
        <v>1.4372850094590923</v>
      </c>
      <c r="E64" s="2">
        <f>E9*'Output-Calculation-sheet'!E53/10^9</f>
        <v>1.719627342443653</v>
      </c>
      <c r="F64" s="2">
        <f>F9*'Output-Calculation-sheet'!F53/10^9</f>
        <v>0.66765656381764038</v>
      </c>
      <c r="G64" s="2">
        <f>G9*'Output-Calculation-sheet'!G53/10^9</f>
        <v>0.47121423819698754</v>
      </c>
      <c r="H64" s="2">
        <f>H9*'Output-Calculation-sheet'!H53/10^9</f>
        <v>1.2430014740090873</v>
      </c>
      <c r="I64" s="2">
        <f>I9*'Output-Calculation-sheet'!I53/10^9</f>
        <v>0.46181944480745463</v>
      </c>
      <c r="J64" s="2">
        <f>J9*'Output-Calculation-sheet'!J53/10^9</f>
        <v>0.48014348653046213</v>
      </c>
      <c r="K64" s="2">
        <f>K9*'Output-Calculation-sheet'!K53/10^9</f>
        <v>0.57836956515473092</v>
      </c>
      <c r="L64" s="2">
        <f>L9*'Output-Calculation-sheet'!L53/10^9</f>
        <v>0.60114274947404356</v>
      </c>
      <c r="M64" s="2">
        <f>M9*'Output-Calculation-sheet'!M53/10^9</f>
        <v>0.92527587586925641</v>
      </c>
      <c r="N64" s="2">
        <f>N9*'Output-Calculation-sheet'!N53/10^9</f>
        <v>0.80202891702603518</v>
      </c>
      <c r="O64" s="2">
        <f>O9*'Output-Calculation-sheet'!O53/10^9</f>
        <v>0.85299258045707793</v>
      </c>
      <c r="P64" s="2">
        <f>P9*'Output-Calculation-sheet'!P53/10^9</f>
        <v>0.51935689166099497</v>
      </c>
      <c r="Q64" s="2">
        <f>Q9*'Output-Calculation-sheet'!Q53/10^9</f>
        <v>0.56632596118967937</v>
      </c>
      <c r="R64" s="2">
        <f>R9*'Output-Calculation-sheet'!R53/10^9</f>
        <v>0.4347552648489279</v>
      </c>
      <c r="S64" s="2">
        <f>S9*'Output-Calculation-sheet'!S53/10^9</f>
        <v>0.41470645294529118</v>
      </c>
      <c r="T64" s="2">
        <f>T9*'Output-Calculation-sheet'!T53/10^9</f>
        <v>0.13474665509034467</v>
      </c>
      <c r="U64" s="2">
        <f>U9*'Output-Calculation-sheet'!U53/10^9</f>
        <v>0.13192881426262129</v>
      </c>
      <c r="V64" s="2">
        <f>V9*'Output-Calculation-sheet'!V53/10^9</f>
        <v>0.11188921656928744</v>
      </c>
      <c r="W64" s="2">
        <f>W9*'Output-Calculation-sheet'!W53/10^9</f>
        <v>5.7991569791446859E-2</v>
      </c>
      <c r="X64" s="2">
        <f>X9*'Output-Calculation-sheet'!X53/10^9</f>
        <v>0.10783457127693979</v>
      </c>
      <c r="Y64" s="2">
        <f>Y9*'Output-Calculation-sheet'!Y53/10^9</f>
        <v>5.2878029517163666E-2</v>
      </c>
      <c r="AA64" s="2">
        <f t="shared" si="4"/>
        <v>23.483978178417107</v>
      </c>
    </row>
    <row r="65" spans="1:27" x14ac:dyDescent="0.25">
      <c r="A65" s="2">
        <v>2033</v>
      </c>
      <c r="B65" s="2">
        <f>B10*'Output-Calculation-sheet'!B54/10^9</f>
        <v>6.0294135240809874</v>
      </c>
      <c r="C65" s="2">
        <f>C10*'Output-Calculation-sheet'!C54/10^9</f>
        <v>3.7053010925909278</v>
      </c>
      <c r="D65" s="2">
        <f>D10*'Output-Calculation-sheet'!D54/10^9</f>
        <v>1.3078650381517005</v>
      </c>
      <c r="E65" s="2">
        <f>E10*'Output-Calculation-sheet'!E54/10^9</f>
        <v>1.5658434587359047</v>
      </c>
      <c r="F65" s="2">
        <f>F10*'Output-Calculation-sheet'!F54/10^9</f>
        <v>0.60804663190333808</v>
      </c>
      <c r="G65" s="2">
        <f>G10*'Output-Calculation-sheet'!G54/10^9</f>
        <v>0.42903433532072099</v>
      </c>
      <c r="H65" s="2">
        <f>H10*'Output-Calculation-sheet'!H54/10^9</f>
        <v>1.1106860761333825</v>
      </c>
      <c r="I65" s="2">
        <f>I10*'Output-Calculation-sheet'!I54/10^9</f>
        <v>0.42066574482364349</v>
      </c>
      <c r="J65" s="2">
        <f>J10*'Output-Calculation-sheet'!J54/10^9</f>
        <v>0.43674620375844836</v>
      </c>
      <c r="K65" s="2">
        <f>K10*'Output-Calculation-sheet'!K54/10^9</f>
        <v>0.52530716484947371</v>
      </c>
      <c r="L65" s="2">
        <f>L10*'Output-Calculation-sheet'!L54/10^9</f>
        <v>0.54330964621083799</v>
      </c>
      <c r="M65" s="2">
        <f>M10*'Output-Calculation-sheet'!M54/10^9</f>
        <v>0.82233061725441225</v>
      </c>
      <c r="N65" s="2">
        <f>N10*'Output-Calculation-sheet'!N54/10^9</f>
        <v>0.71759535152292653</v>
      </c>
      <c r="O65" s="2">
        <f>O10*'Output-Calculation-sheet'!O54/10^9</f>
        <v>0.77549798795373581</v>
      </c>
      <c r="P65" s="2">
        <f>P10*'Output-Calculation-sheet'!P54/10^9</f>
        <v>0.47210037733969995</v>
      </c>
      <c r="Q65" s="2">
        <f>Q10*'Output-Calculation-sheet'!Q54/10^9</f>
        <v>0.5153349777792593</v>
      </c>
      <c r="R65" s="2">
        <f>R10*'Output-Calculation-sheet'!R54/10^9</f>
        <v>0.39403749194402055</v>
      </c>
      <c r="S65" s="2">
        <f>S10*'Output-Calculation-sheet'!S54/10^9</f>
        <v>0.3757498257478144</v>
      </c>
      <c r="T65" s="2">
        <f>T10*'Output-Calculation-sheet'!T54/10^9</f>
        <v>0.12211270799741095</v>
      </c>
      <c r="U65" s="2">
        <f>U10*'Output-Calculation-sheet'!U54/10^9</f>
        <v>0.12003801323828812</v>
      </c>
      <c r="V65" s="2">
        <f>V10*'Output-Calculation-sheet'!V54/10^9</f>
        <v>0.10128879942136061</v>
      </c>
      <c r="W65" s="2">
        <f>W10*'Output-Calculation-sheet'!W54/10^9</f>
        <v>5.2813431245620532E-2</v>
      </c>
      <c r="X65" s="2">
        <f>X10*'Output-Calculation-sheet'!X54/10^9</f>
        <v>9.622577176361688E-2</v>
      </c>
      <c r="Y65" s="2">
        <f>Y10*'Output-Calculation-sheet'!Y54/10^9</f>
        <v>4.8209332953009117E-2</v>
      </c>
      <c r="AA65" s="2">
        <f t="shared" si="4"/>
        <v>21.295553602720538</v>
      </c>
    </row>
    <row r="66" spans="1:27" x14ac:dyDescent="0.25">
      <c r="A66" s="2">
        <v>2034</v>
      </c>
      <c r="B66" s="2">
        <f>B11*'Output-Calculation-sheet'!B55/10^9</f>
        <v>5.0196324874520162</v>
      </c>
      <c r="C66" s="2">
        <f>C11*'Output-Calculation-sheet'!C55/10^9</f>
        <v>3.0900734064339352</v>
      </c>
      <c r="D66" s="2">
        <f>D11*'Output-Calculation-sheet'!D55/10^9</f>
        <v>1.0918143236731326</v>
      </c>
      <c r="E66" s="2">
        <f>E11*'Output-Calculation-sheet'!E55/10^9</f>
        <v>1.3080944953619438</v>
      </c>
      <c r="F66" s="2">
        <f>F11*'Output-Calculation-sheet'!F55/10^9</f>
        <v>0.50808734888201956</v>
      </c>
      <c r="G66" s="2">
        <f>G11*'Output-Calculation-sheet'!G55/10^9</f>
        <v>0.35834617914860628</v>
      </c>
      <c r="H66" s="2">
        <f>H11*'Output-Calculation-sheet'!H55/10^9</f>
        <v>0.90587345186543911</v>
      </c>
      <c r="I66" s="2">
        <f>I11*'Output-Calculation-sheet'!I55/10^9</f>
        <v>0.35151181358170985</v>
      </c>
      <c r="J66" s="2">
        <f>J11*'Output-Calculation-sheet'!J55/10^9</f>
        <v>0.36435510242182251</v>
      </c>
      <c r="K66" s="2">
        <f>K11*'Output-Calculation-sheet'!K55/10^9</f>
        <v>0.4376736749861258</v>
      </c>
      <c r="L66" s="2">
        <f>L11*'Output-Calculation-sheet'!L55/10^9</f>
        <v>0.45016033038279785</v>
      </c>
      <c r="M66" s="2">
        <f>M11*'Output-Calculation-sheet'!M55/10^9</f>
        <v>0.6698374577152082</v>
      </c>
      <c r="N66" s="2">
        <f>N11*'Output-Calculation-sheet'!N55/10^9</f>
        <v>0.58829437723961342</v>
      </c>
      <c r="O66" s="2">
        <f>O11*'Output-Calculation-sheet'!O55/10^9</f>
        <v>0.64675655852414227</v>
      </c>
      <c r="P66" s="2">
        <f>P11*'Output-Calculation-sheet'!P55/10^9</f>
        <v>0.3935929052812871</v>
      </c>
      <c r="Q66" s="2">
        <f>Q11*'Output-Calculation-sheet'!Q55/10^9</f>
        <v>0.42962548184757227</v>
      </c>
      <c r="R66" s="2">
        <f>R11*'Output-Calculation-sheet'!R55/10^9</f>
        <v>0.32769494572672753</v>
      </c>
      <c r="S66" s="2">
        <f>S11*'Output-Calculation-sheet'!S55/10^9</f>
        <v>0.31161771946937189</v>
      </c>
      <c r="T66" s="2">
        <f>T11*'Output-Calculation-sheet'!T55/10^9</f>
        <v>0.10151056502059055</v>
      </c>
      <c r="U66" s="2">
        <f>U11*'Output-Calculation-sheet'!U55/10^9</f>
        <v>0.10018322978212181</v>
      </c>
      <c r="V66" s="2">
        <f>V11*'Output-Calculation-sheet'!V55/10^9</f>
        <v>8.4130625407475346E-2</v>
      </c>
      <c r="W66" s="2">
        <f>W11*'Output-Calculation-sheet'!W55/10^9</f>
        <v>4.4124705461342194E-2</v>
      </c>
      <c r="X66" s="2">
        <f>X11*'Output-Calculation-sheet'!X55/10^9</f>
        <v>7.871760309729682E-2</v>
      </c>
      <c r="Y66" s="2">
        <f>Y11*'Output-Calculation-sheet'!Y55/10^9</f>
        <v>4.0328263745966555E-2</v>
      </c>
      <c r="AA66" s="2">
        <f t="shared" si="4"/>
        <v>17.70203705250826</v>
      </c>
    </row>
    <row r="67" spans="1:27" x14ac:dyDescent="0.25">
      <c r="A67" s="2">
        <v>2035</v>
      </c>
      <c r="B67" s="2">
        <f>B12*'Output-Calculation-sheet'!B56/10^9</f>
        <v>3.7751959896584526</v>
      </c>
      <c r="C67" s="2">
        <f>C12*'Output-Calculation-sheet'!C56/10^9</f>
        <v>2.3319557662058568</v>
      </c>
      <c r="D67" s="2">
        <f>D12*'Output-Calculation-sheet'!D56/10^9</f>
        <v>0.82486549622511884</v>
      </c>
      <c r="E67" s="2">
        <f>E12*'Output-Calculation-sheet'!E56/10^9</f>
        <v>0.98908462332912372</v>
      </c>
      <c r="F67" s="2">
        <f>F12*'Output-Calculation-sheet'!F56/10^9</f>
        <v>0.38431136711834968</v>
      </c>
      <c r="G67" s="2">
        <f>G12*'Output-Calculation-sheet'!G56/10^9</f>
        <v>0.27089491096687657</v>
      </c>
      <c r="H67" s="2">
        <f>H12*'Output-Calculation-sheet'!H56/10^9</f>
        <v>0.66812307191301434</v>
      </c>
      <c r="I67" s="2">
        <f>I12*'Output-Calculation-sheet'!I56/10^9</f>
        <v>0.26587049368418408</v>
      </c>
      <c r="J67" s="2">
        <f>J12*'Output-Calculation-sheet'!J56/10^9</f>
        <v>0.27515699502422286</v>
      </c>
      <c r="K67" s="2">
        <f>K12*'Output-Calculation-sheet'!K56/10^9</f>
        <v>0.33001097732167678</v>
      </c>
      <c r="L67" s="2">
        <f>L12*'Output-Calculation-sheet'!L56/10^9</f>
        <v>0.33733068230170854</v>
      </c>
      <c r="M67" s="2">
        <f>M12*'Output-Calculation-sheet'!M56/10^9</f>
        <v>0.49338075184973101</v>
      </c>
      <c r="N67" s="2">
        <f>N12*'Output-Calculation-sheet'!N56/10^9</f>
        <v>0.43596366441610135</v>
      </c>
      <c r="O67" s="2">
        <f>O12*'Output-Calculation-sheet'!O56/10^9</f>
        <v>0.48784535904878251</v>
      </c>
      <c r="P67" s="2">
        <f>P12*'Output-Calculation-sheet'!P56/10^9</f>
        <v>0.29703348158650078</v>
      </c>
      <c r="Q67" s="2">
        <f>Q12*'Output-Calculation-sheet'!Q56/10^9</f>
        <v>0.3236600859568336</v>
      </c>
      <c r="R67" s="2">
        <f>R12*'Output-Calculation-sheet'!R56/10^9</f>
        <v>0.24671070098690809</v>
      </c>
      <c r="S67" s="2">
        <f>S12*'Output-Calculation-sheet'!S56/10^9</f>
        <v>0.2333151117978538</v>
      </c>
      <c r="T67" s="2">
        <f>T12*'Output-Calculation-sheet'!T56/10^9</f>
        <v>7.6372983002345643E-2</v>
      </c>
      <c r="U67" s="2">
        <f>U12*'Output-Calculation-sheet'!U56/10^9</f>
        <v>7.568063666011661E-2</v>
      </c>
      <c r="V67" s="2">
        <f>V12*'Output-Calculation-sheet'!V56/10^9</f>
        <v>6.3247698165523544E-2</v>
      </c>
      <c r="W67" s="2">
        <f>W12*'Output-Calculation-sheet'!W56/10^9</f>
        <v>3.3368942569488774E-2</v>
      </c>
      <c r="X67" s="2">
        <f>X12*'Output-Calculation-sheet'!X56/10^9</f>
        <v>5.8229914190063251E-2</v>
      </c>
      <c r="Y67" s="2">
        <f>Y12*'Output-Calculation-sheet'!Y56/10^9</f>
        <v>3.0537363625243393E-2</v>
      </c>
      <c r="AA67" s="2">
        <f t="shared" si="4"/>
        <v>13.308147067604077</v>
      </c>
    </row>
    <row r="68" spans="1:27" x14ac:dyDescent="0.25">
      <c r="B68" s="2">
        <f>SUM(B60:B67)</f>
        <v>43.01449081328628</v>
      </c>
      <c r="C68" s="2">
        <f t="shared" ref="C68:Y68" si="5">SUM(C60:C67)</f>
        <v>26.426048770390032</v>
      </c>
      <c r="D68" s="2">
        <f t="shared" si="5"/>
        <v>9.3313326769924654</v>
      </c>
      <c r="E68" s="2">
        <f t="shared" si="5"/>
        <v>11.164767039400896</v>
      </c>
      <c r="F68" s="2">
        <f t="shared" si="5"/>
        <v>4.3359055882263409</v>
      </c>
      <c r="G68" s="2">
        <f t="shared" si="5"/>
        <v>3.0584452981367525</v>
      </c>
      <c r="H68" s="2">
        <f t="shared" si="5"/>
        <v>8.0150498190250463</v>
      </c>
      <c r="I68" s="2">
        <f t="shared" si="5"/>
        <v>2.9973594545528663</v>
      </c>
      <c r="J68" s="2">
        <f t="shared" si="5"/>
        <v>3.1194421431141626</v>
      </c>
      <c r="K68" s="2">
        <f t="shared" si="5"/>
        <v>3.7637922992708157</v>
      </c>
      <c r="L68" s="2">
        <f t="shared" si="5"/>
        <v>3.9161639715165535</v>
      </c>
      <c r="M68" s="2">
        <f t="shared" si="5"/>
        <v>6.1121906657908029</v>
      </c>
      <c r="N68" s="2">
        <f t="shared" si="5"/>
        <v>5.2292655549263536</v>
      </c>
      <c r="O68" s="2">
        <f t="shared" si="5"/>
        <v>5.5308472914776976</v>
      </c>
      <c r="P68" s="2">
        <f t="shared" si="5"/>
        <v>3.373995798673906</v>
      </c>
      <c r="Q68" s="2">
        <f t="shared" si="5"/>
        <v>3.6718740000329535</v>
      </c>
      <c r="R68" s="2">
        <f t="shared" si="5"/>
        <v>2.8381400223602493</v>
      </c>
      <c r="S68" s="2">
        <f t="shared" si="5"/>
        <v>2.6853794855629918</v>
      </c>
      <c r="T68" s="2">
        <f t="shared" si="5"/>
        <v>0.87921014107251083</v>
      </c>
      <c r="U68" s="2">
        <f t="shared" si="5"/>
        <v>0.85650699122192908</v>
      </c>
      <c r="V68" s="2">
        <f t="shared" si="5"/>
        <v>0.73185906770821052</v>
      </c>
      <c r="W68" s="2">
        <f t="shared" si="5"/>
        <v>0.37647286281220826</v>
      </c>
      <c r="X68" s="2">
        <f t="shared" si="5"/>
        <v>0.69867142612931621</v>
      </c>
      <c r="Y68" s="2">
        <f t="shared" si="5"/>
        <v>0.34304041836393873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397.08069219672404</v>
      </c>
      <c r="C74" s="2">
        <f>C8/'Output-Calculation-sheet'!C7*'Output-Calculation-sheet'!C61</f>
        <v>0</v>
      </c>
      <c r="D74" s="2">
        <f>D8/'Output-Calculation-sheet'!D7*'Output-Calculation-sheet'!D61</f>
        <v>649.7860041093835</v>
      </c>
      <c r="E74" s="2">
        <f>E8/'Output-Calculation-sheet'!E7*'Output-Calculation-sheet'!E61</f>
        <v>482.24102420671295</v>
      </c>
      <c r="F74" s="2">
        <f>F8/'Output-Calculation-sheet'!F7*'Output-Calculation-sheet'!F61</f>
        <v>0</v>
      </c>
      <c r="G74" s="2">
        <f>G8/'Output-Calculation-sheet'!G7*'Output-Calculation-sheet'!G61</f>
        <v>219.57802980616862</v>
      </c>
      <c r="H74" s="2">
        <f>H8/'Output-Calculation-sheet'!H7*'Output-Calculation-sheet'!H61</f>
        <v>1054.5618269466297</v>
      </c>
      <c r="I74" s="2">
        <f>I8/'Output-Calculation-sheet'!I7*'Output-Calculation-sheet'!I61</f>
        <v>77.415815774122933</v>
      </c>
      <c r="J74" s="2">
        <f>J8/'Output-Calculation-sheet'!J7*'Output-Calculation-sheet'!J61</f>
        <v>322.76319436737106</v>
      </c>
      <c r="K74" s="2">
        <f>K8/'Output-Calculation-sheet'!K7*'Output-Calculation-sheet'!K61</f>
        <v>542.05462522150196</v>
      </c>
      <c r="L74" s="2">
        <f>L8/'Output-Calculation-sheet'!L7*'Output-Calculation-sheet'!L61</f>
        <v>470.27747308307448</v>
      </c>
      <c r="M74" s="2">
        <f>M8/'Output-Calculation-sheet'!M7*'Output-Calculation-sheet'!M61</f>
        <v>2355.2026952577421</v>
      </c>
      <c r="N74" s="2">
        <f>N8/'Output-Calculation-sheet'!N7*'Output-Calculation-sheet'!N61</f>
        <v>1328.4522283129602</v>
      </c>
      <c r="O74" s="2">
        <f>O8/'Output-Calculation-sheet'!O7*'Output-Calculation-sheet'!O61</f>
        <v>0</v>
      </c>
      <c r="P74" s="2">
        <f>P8/'Output-Calculation-sheet'!P7*'Output-Calculation-sheet'!P61</f>
        <v>375.45402193301652</v>
      </c>
      <c r="Q74" s="2">
        <f>Q8/'Output-Calculation-sheet'!Q7*'Output-Calculation-sheet'!Q61</f>
        <v>98.982491823312742</v>
      </c>
      <c r="R74" s="2">
        <f>R8/'Output-Calculation-sheet'!R7*'Output-Calculation-sheet'!R61</f>
        <v>652.94976116204975</v>
      </c>
      <c r="S74" s="2">
        <f>S8/'Output-Calculation-sheet'!S7*'Output-Calculation-sheet'!S61</f>
        <v>115.54379615541345</v>
      </c>
      <c r="T74" s="2">
        <f>T8/'Output-Calculation-sheet'!T7*'Output-Calculation-sheet'!T61</f>
        <v>221.14130250066546</v>
      </c>
      <c r="U74" s="2">
        <f>U8/'Output-Calculation-sheet'!U7*'Output-Calculation-sheet'!U61</f>
        <v>87.618724300944152</v>
      </c>
      <c r="V74" s="2">
        <f>V8/'Output-Calculation-sheet'!V7*'Output-Calculation-sheet'!V61</f>
        <v>153.90080281428374</v>
      </c>
      <c r="W74" s="2">
        <f>W8/'Output-Calculation-sheet'!W7*'Output-Calculation-sheet'!W61</f>
        <v>3.6616807645329894</v>
      </c>
      <c r="X74" s="2">
        <f>X8/'Output-Calculation-sheet'!X7*'Output-Calculation-sheet'!X61</f>
        <v>131.51489632567595</v>
      </c>
      <c r="Y74" s="2">
        <f>Y8/'Output-Calculation-sheet'!Y7*'Output-Calculation-sheet'!Y61</f>
        <v>0</v>
      </c>
      <c r="AA74" s="2">
        <f t="shared" si="6"/>
        <v>9.740181087062286</v>
      </c>
    </row>
    <row r="75" spans="1:27" x14ac:dyDescent="0.25">
      <c r="A75" s="2">
        <v>2032</v>
      </c>
      <c r="B75" s="2">
        <f>B9/'Output-Calculation-sheet'!B8*'Output-Calculation-sheet'!B62</f>
        <v>971.38190202048668</v>
      </c>
      <c r="C75" s="2">
        <f>C9/'Output-Calculation-sheet'!C8*'Output-Calculation-sheet'!C62</f>
        <v>0</v>
      </c>
      <c r="D75" s="2">
        <f>D9/'Output-Calculation-sheet'!D8*'Output-Calculation-sheet'!D62</f>
        <v>794.59350334718442</v>
      </c>
      <c r="E75" s="2">
        <f>E9/'Output-Calculation-sheet'!E8*'Output-Calculation-sheet'!E62</f>
        <v>558.76703101149553</v>
      </c>
      <c r="F75" s="2">
        <f>F9/'Output-Calculation-sheet'!F8*'Output-Calculation-sheet'!F62</f>
        <v>0</v>
      </c>
      <c r="G75" s="2">
        <f>G9/'Output-Calculation-sheet'!G8*'Output-Calculation-sheet'!G62</f>
        <v>258.16844514209259</v>
      </c>
      <c r="H75" s="2">
        <f>H9/'Output-Calculation-sheet'!H8*'Output-Calculation-sheet'!H62</f>
        <v>1822.5966464592318</v>
      </c>
      <c r="I75" s="2">
        <f>I9/'Output-Calculation-sheet'!I8*'Output-Calculation-sheet'!I62</f>
        <v>110.39193660486626</v>
      </c>
      <c r="J75" s="2">
        <f>J9/'Output-Calculation-sheet'!J8*'Output-Calculation-sheet'!J62</f>
        <v>361.81631053629491</v>
      </c>
      <c r="K75" s="2">
        <f>K9/'Output-Calculation-sheet'!K8*'Output-Calculation-sheet'!K62</f>
        <v>567.44424226742581</v>
      </c>
      <c r="L75" s="2">
        <f>L9/'Output-Calculation-sheet'!L8*'Output-Calculation-sheet'!L62</f>
        <v>492.74441517387555</v>
      </c>
      <c r="M75" s="2">
        <f>M9/'Output-Calculation-sheet'!M8*'Output-Calculation-sheet'!M62</f>
        <v>2372.451575817965</v>
      </c>
      <c r="N75" s="2">
        <f>N9/'Output-Calculation-sheet'!N8*'Output-Calculation-sheet'!N62</f>
        <v>1533.5696140389564</v>
      </c>
      <c r="O75" s="2">
        <f>O9/'Output-Calculation-sheet'!O8*'Output-Calculation-sheet'!O62</f>
        <v>0</v>
      </c>
      <c r="P75" s="2">
        <f>P9/'Output-Calculation-sheet'!P8*'Output-Calculation-sheet'!P62</f>
        <v>423.19721072023299</v>
      </c>
      <c r="Q75" s="2">
        <f>Q9/'Output-Calculation-sheet'!Q8*'Output-Calculation-sheet'!Q62</f>
        <v>150.09441264592817</v>
      </c>
      <c r="R75" s="2">
        <f>R9/'Output-Calculation-sheet'!R8*'Output-Calculation-sheet'!R62</f>
        <v>673.73403531880376</v>
      </c>
      <c r="S75" s="2">
        <f>S9/'Output-Calculation-sheet'!S8*'Output-Calculation-sheet'!S62</f>
        <v>195.07475937563191</v>
      </c>
      <c r="T75" s="2">
        <f>T9/'Output-Calculation-sheet'!T8*'Output-Calculation-sheet'!T62</f>
        <v>225.56407180694578</v>
      </c>
      <c r="U75" s="2">
        <f>U9/'Output-Calculation-sheet'!U8*'Output-Calculation-sheet'!U62</f>
        <v>104.93307665211439</v>
      </c>
      <c r="V75" s="2">
        <f>V9/'Output-Calculation-sheet'!V8*'Output-Calculation-sheet'!V62</f>
        <v>156.50282178365043</v>
      </c>
      <c r="W75" s="2">
        <f>W9/'Output-Calculation-sheet'!W8*'Output-Calculation-sheet'!W62</f>
        <v>8.5269311654198088</v>
      </c>
      <c r="X75" s="2">
        <f>X9/'Output-Calculation-sheet'!X8*'Output-Calculation-sheet'!X62</f>
        <v>224.78927013913787</v>
      </c>
      <c r="Y75" s="2">
        <f>Y9/'Output-Calculation-sheet'!Y8*'Output-Calculation-sheet'!Y62</f>
        <v>0</v>
      </c>
      <c r="AA75" s="2">
        <f t="shared" si="6"/>
        <v>12.006342212027736</v>
      </c>
    </row>
    <row r="76" spans="1:27" x14ac:dyDescent="0.25">
      <c r="A76" s="2">
        <v>2033</v>
      </c>
      <c r="B76" s="2">
        <f>B10/'Output-Calculation-sheet'!B9*'Output-Calculation-sheet'!B63</f>
        <v>1605.7290318877749</v>
      </c>
      <c r="C76" s="2">
        <f>C10/'Output-Calculation-sheet'!C9*'Output-Calculation-sheet'!C63</f>
        <v>0</v>
      </c>
      <c r="D76" s="2">
        <f>D10/'Output-Calculation-sheet'!D9*'Output-Calculation-sheet'!D63</f>
        <v>858.5744370079276</v>
      </c>
      <c r="E76" s="2">
        <f>E10/'Output-Calculation-sheet'!E9*'Output-Calculation-sheet'!E63</f>
        <v>637.01043861841549</v>
      </c>
      <c r="F76" s="2">
        <f>F10/'Output-Calculation-sheet'!F9*'Output-Calculation-sheet'!F63</f>
        <v>0</v>
      </c>
      <c r="G76" s="2">
        <f>G10/'Output-Calculation-sheet'!G9*'Output-Calculation-sheet'!G63</f>
        <v>285.68549341591313</v>
      </c>
      <c r="H76" s="2">
        <f>H10/'Output-Calculation-sheet'!H9*'Output-Calculation-sheet'!H63</f>
        <v>2929.8054929284622</v>
      </c>
      <c r="I76" s="2">
        <f>I10/'Output-Calculation-sheet'!I9*'Output-Calculation-sheet'!I63</f>
        <v>132.55791714762503</v>
      </c>
      <c r="J76" s="2">
        <f>J10/'Output-Calculation-sheet'!J9*'Output-Calculation-sheet'!J63</f>
        <v>398.82376393911426</v>
      </c>
      <c r="K76" s="2">
        <f>K10/'Output-Calculation-sheet'!K9*'Output-Calculation-sheet'!K63</f>
        <v>550.43375074760468</v>
      </c>
      <c r="L76" s="2">
        <f>L10/'Output-Calculation-sheet'!L9*'Output-Calculation-sheet'!L63</f>
        <v>509.48052572644764</v>
      </c>
      <c r="M76" s="2">
        <f>M10/'Output-Calculation-sheet'!M9*'Output-Calculation-sheet'!M63</f>
        <v>2191.2597714772805</v>
      </c>
      <c r="N76" s="2">
        <f>N10/'Output-Calculation-sheet'!N9*'Output-Calculation-sheet'!N63</f>
        <v>1489.7950254437726</v>
      </c>
      <c r="O76" s="2">
        <f>O10/'Output-Calculation-sheet'!O9*'Output-Calculation-sheet'!O63</f>
        <v>0</v>
      </c>
      <c r="P76" s="2">
        <f>P10/'Output-Calculation-sheet'!P9*'Output-Calculation-sheet'!P63</f>
        <v>430.51768226440441</v>
      </c>
      <c r="Q76" s="2">
        <f>Q10/'Output-Calculation-sheet'!Q9*'Output-Calculation-sheet'!Q63</f>
        <v>189.23200290927267</v>
      </c>
      <c r="R76" s="2">
        <f>R10/'Output-Calculation-sheet'!R9*'Output-Calculation-sheet'!R63</f>
        <v>628.9811684329253</v>
      </c>
      <c r="S76" s="2">
        <f>S10/'Output-Calculation-sheet'!S9*'Output-Calculation-sheet'!S63</f>
        <v>266.60406122232484</v>
      </c>
      <c r="T76" s="2">
        <f>T10/'Output-Calculation-sheet'!T9*'Output-Calculation-sheet'!T63</f>
        <v>220.89269879573564</v>
      </c>
      <c r="U76" s="2">
        <f>U10/'Output-Calculation-sheet'!U9*'Output-Calculation-sheet'!U63</f>
        <v>108.32092688755121</v>
      </c>
      <c r="V76" s="2">
        <f>V10/'Output-Calculation-sheet'!V9*'Output-Calculation-sheet'!V63</f>
        <v>144.13685111882572</v>
      </c>
      <c r="W76" s="2">
        <f>W10/'Output-Calculation-sheet'!W9*'Output-Calculation-sheet'!W63</f>
        <v>10.047222407298518</v>
      </c>
      <c r="X76" s="2">
        <f>X10/'Output-Calculation-sheet'!X9*'Output-Calculation-sheet'!X63</f>
        <v>209.10661907621414</v>
      </c>
      <c r="Y76" s="2">
        <f>Y10/'Output-Calculation-sheet'!Y9*'Output-Calculation-sheet'!Y63</f>
        <v>3.2216902696192946</v>
      </c>
      <c r="AA76" s="2">
        <f t="shared" si="6"/>
        <v>13.80021657172451</v>
      </c>
    </row>
    <row r="77" spans="1:27" x14ac:dyDescent="0.25">
      <c r="A77" s="2">
        <v>2034</v>
      </c>
      <c r="B77" s="2">
        <f>B11/'Output-Calculation-sheet'!B10*'Output-Calculation-sheet'!B64</f>
        <v>2331.9448285675685</v>
      </c>
      <c r="C77" s="2">
        <f>C11/'Output-Calculation-sheet'!C10*'Output-Calculation-sheet'!C64</f>
        <v>0</v>
      </c>
      <c r="D77" s="2">
        <f>D11/'Output-Calculation-sheet'!D10*'Output-Calculation-sheet'!D64</f>
        <v>828.2709187118752</v>
      </c>
      <c r="E77" s="2">
        <f>E11/'Output-Calculation-sheet'!E10*'Output-Calculation-sheet'!E64</f>
        <v>579.47745734471891</v>
      </c>
      <c r="F77" s="2">
        <f>F11/'Output-Calculation-sheet'!F10*'Output-Calculation-sheet'!F64</f>
        <v>0</v>
      </c>
      <c r="G77" s="2">
        <f>G11/'Output-Calculation-sheet'!G10*'Output-Calculation-sheet'!G64</f>
        <v>269.16679873571098</v>
      </c>
      <c r="H77" s="2">
        <f>H11/'Output-Calculation-sheet'!H10*'Output-Calculation-sheet'!H64</f>
        <v>2521.1587954275324</v>
      </c>
      <c r="I77" s="2">
        <f>I11/'Output-Calculation-sheet'!I10*'Output-Calculation-sheet'!I64</f>
        <v>142.83604589444073</v>
      </c>
      <c r="J77" s="2">
        <f>J11/'Output-Calculation-sheet'!J10*'Output-Calculation-sheet'!J64</f>
        <v>360.61083419803538</v>
      </c>
      <c r="K77" s="2">
        <f>K11/'Output-Calculation-sheet'!K10*'Output-Calculation-sheet'!K64</f>
        <v>507.602601884173</v>
      </c>
      <c r="L77" s="2">
        <f>L11/'Output-Calculation-sheet'!L10*'Output-Calculation-sheet'!L64</f>
        <v>445.46508455197812</v>
      </c>
      <c r="M77" s="2">
        <f>M11/'Output-Calculation-sheet'!M10*'Output-Calculation-sheet'!M64</f>
        <v>1886.8084654219022</v>
      </c>
      <c r="N77" s="2">
        <f>N11/'Output-Calculation-sheet'!N10*'Output-Calculation-sheet'!N64</f>
        <v>1326.9245366106188</v>
      </c>
      <c r="O77" s="2">
        <f>O11/'Output-Calculation-sheet'!O10*'Output-Calculation-sheet'!O64</f>
        <v>0</v>
      </c>
      <c r="P77" s="2">
        <f>P11/'Output-Calculation-sheet'!P10*'Output-Calculation-sheet'!P64</f>
        <v>388.21242067232515</v>
      </c>
      <c r="Q77" s="2">
        <f>Q11/'Output-Calculation-sheet'!Q10*'Output-Calculation-sheet'!Q64</f>
        <v>237.15484019675259</v>
      </c>
      <c r="R77" s="2">
        <f>R11/'Output-Calculation-sheet'!R10*'Output-Calculation-sheet'!R64</f>
        <v>546.51061257987658</v>
      </c>
      <c r="S77" s="2">
        <f>S11/'Output-Calculation-sheet'!S10*'Output-Calculation-sheet'!S64</f>
        <v>321.96166271124196</v>
      </c>
      <c r="T77" s="2">
        <f>T11/'Output-Calculation-sheet'!T10*'Output-Calculation-sheet'!T64</f>
        <v>192.627412881628</v>
      </c>
      <c r="U77" s="2">
        <f>U11/'Output-Calculation-sheet'!U10*'Output-Calculation-sheet'!U64</f>
        <v>100.2649537312313</v>
      </c>
      <c r="V77" s="2">
        <f>V11/'Output-Calculation-sheet'!V10*'Output-Calculation-sheet'!V64</f>
        <v>128.08430256408968</v>
      </c>
      <c r="W77" s="2">
        <f>W11/'Output-Calculation-sheet'!W10*'Output-Calculation-sheet'!W64</f>
        <v>13.139433649405509</v>
      </c>
      <c r="X77" s="2">
        <f>X11/'Output-Calculation-sheet'!X10*'Output-Calculation-sheet'!X64</f>
        <v>177.25000271630117</v>
      </c>
      <c r="Y77" s="2">
        <f>Y11/'Output-Calculation-sheet'!Y10*'Output-Calculation-sheet'!Y64</f>
        <v>4.1342529405588921</v>
      </c>
      <c r="AA77" s="2">
        <f t="shared" si="6"/>
        <v>13.309606261991965</v>
      </c>
    </row>
    <row r="78" spans="1:27" x14ac:dyDescent="0.25">
      <c r="A78" s="2">
        <v>2035</v>
      </c>
      <c r="B78" s="2">
        <f>B12/'Output-Calculation-sheet'!B11*'Output-Calculation-sheet'!B65</f>
        <v>2673.5645523576718</v>
      </c>
      <c r="C78" s="2">
        <f>C12/'Output-Calculation-sheet'!C11*'Output-Calculation-sheet'!C65</f>
        <v>220.65787495071388</v>
      </c>
      <c r="D78" s="2">
        <f>D12/'Output-Calculation-sheet'!D11*'Output-Calculation-sheet'!D65</f>
        <v>689.91030583247971</v>
      </c>
      <c r="E78" s="2">
        <f>E12/'Output-Calculation-sheet'!E11*'Output-Calculation-sheet'!E65</f>
        <v>540.16707601619805</v>
      </c>
      <c r="F78" s="2">
        <f>F12/'Output-Calculation-sheet'!F11*'Output-Calculation-sheet'!F65</f>
        <v>24.425037714183603</v>
      </c>
      <c r="G78" s="2">
        <f>G12/'Output-Calculation-sheet'!G11*'Output-Calculation-sheet'!G65</f>
        <v>226.89374631813814</v>
      </c>
      <c r="H78" s="2">
        <f>H12/'Output-Calculation-sheet'!H11*'Output-Calculation-sheet'!H65</f>
        <v>1956.3772469921573</v>
      </c>
      <c r="I78" s="2">
        <f>I12/'Output-Calculation-sheet'!I11*'Output-Calculation-sheet'!I65</f>
        <v>123.88106582930564</v>
      </c>
      <c r="J78" s="2">
        <f>J12/'Output-Calculation-sheet'!J11*'Output-Calculation-sheet'!J65</f>
        <v>296.4445222266757</v>
      </c>
      <c r="K78" s="2">
        <f>K12/'Output-Calculation-sheet'!K11*'Output-Calculation-sheet'!K65</f>
        <v>398.99454185919831</v>
      </c>
      <c r="L78" s="2">
        <f>L12/'Output-Calculation-sheet'!L11*'Output-Calculation-sheet'!L65</f>
        <v>360.62872455467851</v>
      </c>
      <c r="M78" s="2">
        <f>M12/'Output-Calculation-sheet'!M11*'Output-Calculation-sheet'!M65</f>
        <v>1466.0786863216638</v>
      </c>
      <c r="N78" s="2">
        <f>N12/'Output-Calculation-sheet'!N11*'Output-Calculation-sheet'!N65</f>
        <v>1063.808454571416</v>
      </c>
      <c r="O78" s="2">
        <f>O12/'Output-Calculation-sheet'!O11*'Output-Calculation-sheet'!O65</f>
        <v>107.27698949653923</v>
      </c>
      <c r="P78" s="2">
        <f>P12/'Output-Calculation-sheet'!P11*'Output-Calculation-sheet'!P65</f>
        <v>304.16920148608995</v>
      </c>
      <c r="Q78" s="2">
        <f>Q12/'Output-Calculation-sheet'!Q11*'Output-Calculation-sheet'!Q65</f>
        <v>226.12448772272185</v>
      </c>
      <c r="R78" s="2">
        <f>R12/'Output-Calculation-sheet'!R11*'Output-Calculation-sheet'!R65</f>
        <v>423.62053544793639</v>
      </c>
      <c r="S78" s="2">
        <f>S12/'Output-Calculation-sheet'!S11*'Output-Calculation-sheet'!S65</f>
        <v>309.84691804964922</v>
      </c>
      <c r="T78" s="2">
        <f>T12/'Output-Calculation-sheet'!T11*'Output-Calculation-sheet'!T65</f>
        <v>152.89871906406356</v>
      </c>
      <c r="U78" s="2">
        <f>U12/'Output-Calculation-sheet'!U11*'Output-Calculation-sheet'!U65</f>
        <v>82.374611065414044</v>
      </c>
      <c r="V78" s="2">
        <f>V12/'Output-Calculation-sheet'!V11*'Output-Calculation-sheet'!V65</f>
        <v>100.26560920904933</v>
      </c>
      <c r="W78" s="2">
        <f>W12/'Output-Calculation-sheet'!W11*'Output-Calculation-sheet'!W65</f>
        <v>12.500735911672605</v>
      </c>
      <c r="X78" s="2">
        <f>X12/'Output-Calculation-sheet'!X11*'Output-Calculation-sheet'!X65</f>
        <v>138.60586624173703</v>
      </c>
      <c r="Y78" s="2">
        <f>Y12/'Output-Calculation-sheet'!Y11*'Output-Calculation-sheet'!Y65</f>
        <v>4.4235313190426435</v>
      </c>
      <c r="AA78" s="2">
        <f t="shared" si="6"/>
        <v>11.903939040558395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10402103216.443134</v>
      </c>
      <c r="C96" s="2">
        <f>C8/'Output-Calculation-sheet'!C7*'Output-Calculation-sheet'!C79</f>
        <v>1012530938.2828028</v>
      </c>
      <c r="D96" s="2">
        <f>D8/'Output-Calculation-sheet'!D7*'Output-Calculation-sheet'!D79</f>
        <v>2665966778.6462255</v>
      </c>
      <c r="E96" s="2">
        <f>E8/'Output-Calculation-sheet'!E7*'Output-Calculation-sheet'!E79</f>
        <v>9596698999.0300426</v>
      </c>
      <c r="F96" s="2">
        <f>F8/'Output-Calculation-sheet'!F7*'Output-Calculation-sheet'!F79</f>
        <v>2925353736.8160462</v>
      </c>
      <c r="G96" s="2">
        <f>G8/'Output-Calculation-sheet'!G7*'Output-Calculation-sheet'!G79</f>
        <v>1809786697.8360224</v>
      </c>
      <c r="H96" s="2">
        <f>H8/'Output-Calculation-sheet'!H7*'Output-Calculation-sheet'!H79</f>
        <v>1214195681.3944888</v>
      </c>
      <c r="I96" s="2">
        <f>I8/'Output-Calculation-sheet'!I7*'Output-Calculation-sheet'!I79</f>
        <v>1300726616.9839616</v>
      </c>
      <c r="J96" s="2">
        <f>J8/'Output-Calculation-sheet'!J7*'Output-Calculation-sheet'!J79</f>
        <v>1057331527.6750588</v>
      </c>
      <c r="K96" s="2">
        <f>K8/'Output-Calculation-sheet'!K7*'Output-Calculation-sheet'!K79</f>
        <v>1293184572.7127316</v>
      </c>
      <c r="L96" s="2">
        <f>L8/'Output-Calculation-sheet'!L7*'Output-Calculation-sheet'!L79</f>
        <v>1243665870.7323008</v>
      </c>
      <c r="M96" s="2">
        <f>M8/'Output-Calculation-sheet'!M7*'Output-Calculation-sheet'!M79</f>
        <v>1709890996.1474092</v>
      </c>
      <c r="N96" s="2">
        <f>N8/'Output-Calculation-sheet'!N7*'Output-Calculation-sheet'!N79</f>
        <v>1071990011.3057824</v>
      </c>
      <c r="O96" s="2">
        <f>O8/'Output-Calculation-sheet'!O7*'Output-Calculation-sheet'!O79</f>
        <v>133631058.82254237</v>
      </c>
      <c r="P96" s="2">
        <f>P8/'Output-Calculation-sheet'!P7*'Output-Calculation-sheet'!P79</f>
        <v>1930027929.9554155</v>
      </c>
      <c r="Q96" s="2">
        <f>Q8/'Output-Calculation-sheet'!Q7*'Output-Calculation-sheet'!Q79</f>
        <v>807673204.81994641</v>
      </c>
      <c r="R96" s="2">
        <f>R8/'Output-Calculation-sheet'!R7*'Output-Calculation-sheet'!R79</f>
        <v>1268089543.5890279</v>
      </c>
      <c r="S96" s="2">
        <f>S8/'Output-Calculation-sheet'!S7*'Output-Calculation-sheet'!S79</f>
        <v>491599867.35405856</v>
      </c>
      <c r="T96" s="2">
        <f>T8/'Output-Calculation-sheet'!T7*'Output-Calculation-sheet'!T79</f>
        <v>447431111.91608894</v>
      </c>
      <c r="U96" s="2">
        <f>U8/'Output-Calculation-sheet'!U7*'Output-Calculation-sheet'!U79</f>
        <v>289026721.69363511</v>
      </c>
      <c r="V96" s="2">
        <f>V8/'Output-Calculation-sheet'!V7*'Output-Calculation-sheet'!V79</f>
        <v>172012793.36419687</v>
      </c>
      <c r="W96" s="2">
        <f>W8/'Output-Calculation-sheet'!W7*'Output-Calculation-sheet'!W79</f>
        <v>474270288.38187236</v>
      </c>
      <c r="X96" s="2">
        <f>X8/'Output-Calculation-sheet'!X7*'Output-Calculation-sheet'!X79</f>
        <v>131787856.28199363</v>
      </c>
      <c r="Y96" s="2">
        <f>Y8/'Output-Calculation-sheet'!Y7*'Output-Calculation-sheet'!Y79</f>
        <v>253160870.94907343</v>
      </c>
      <c r="AA96" s="2">
        <f t="shared" si="8"/>
        <v>43.702136891133861</v>
      </c>
    </row>
    <row r="97" spans="1:27" x14ac:dyDescent="0.25">
      <c r="A97" s="2">
        <v>2032</v>
      </c>
      <c r="B97" s="2">
        <f>B9/'Output-Calculation-sheet'!B8*'Output-Calculation-sheet'!B80</f>
        <v>9680824132.4321346</v>
      </c>
      <c r="C97" s="2">
        <f>C9/'Output-Calculation-sheet'!C8*'Output-Calculation-sheet'!C80</f>
        <v>921717868.53200161</v>
      </c>
      <c r="D97" s="2">
        <f>D9/'Output-Calculation-sheet'!D8*'Output-Calculation-sheet'!D80</f>
        <v>2254204378.7391133</v>
      </c>
      <c r="E97" s="2">
        <f>E9/'Output-Calculation-sheet'!E8*'Output-Calculation-sheet'!E80</f>
        <v>9110674147.8020782</v>
      </c>
      <c r="F97" s="2">
        <f>F9/'Output-Calculation-sheet'!F8*'Output-Calculation-sheet'!F80</f>
        <v>2607009049.2488804</v>
      </c>
      <c r="G97" s="2">
        <f>G9/'Output-Calculation-sheet'!G8*'Output-Calculation-sheet'!G80</f>
        <v>1543582688.1320341</v>
      </c>
      <c r="H97" s="2">
        <f>H9/'Output-Calculation-sheet'!H8*'Output-Calculation-sheet'!H80</f>
        <v>1383936274.3598866</v>
      </c>
      <c r="I97" s="2">
        <f>I9/'Output-Calculation-sheet'!I8*'Output-Calculation-sheet'!I80</f>
        <v>1162170497.8525245</v>
      </c>
      <c r="J97" s="2">
        <f>J9/'Output-Calculation-sheet'!J8*'Output-Calculation-sheet'!J80</f>
        <v>931340747.21871877</v>
      </c>
      <c r="K97" s="2">
        <f>K9/'Output-Calculation-sheet'!K8*'Output-Calculation-sheet'!K80</f>
        <v>1118987640.4965651</v>
      </c>
      <c r="L97" s="2">
        <f>L9/'Output-Calculation-sheet'!L8*'Output-Calculation-sheet'!L80</f>
        <v>1146719635.6194339</v>
      </c>
      <c r="M97" s="2">
        <f>M9/'Output-Calculation-sheet'!M8*'Output-Calculation-sheet'!M80</f>
        <v>1588844983.8635554</v>
      </c>
      <c r="N97" s="2">
        <f>N9/'Output-Calculation-sheet'!N8*'Output-Calculation-sheet'!N80</f>
        <v>998760885.58926654</v>
      </c>
      <c r="O97" s="2">
        <f>O9/'Output-Calculation-sheet'!O8*'Output-Calculation-sheet'!O80</f>
        <v>120038860.93199144</v>
      </c>
      <c r="P97" s="2">
        <f>P9/'Output-Calculation-sheet'!P8*'Output-Calculation-sheet'!P80</f>
        <v>1720935053.8541186</v>
      </c>
      <c r="Q97" s="2">
        <f>Q9/'Output-Calculation-sheet'!Q8*'Output-Calculation-sheet'!Q80</f>
        <v>731536127.1535213</v>
      </c>
      <c r="R97" s="2">
        <f>R9/'Output-Calculation-sheet'!R8*'Output-Calculation-sheet'!R80</f>
        <v>1153406320.3734202</v>
      </c>
      <c r="S97" s="2">
        <f>S9/'Output-Calculation-sheet'!S8*'Output-Calculation-sheet'!S80</f>
        <v>457814722.6423763</v>
      </c>
      <c r="T97" s="2">
        <f>T9/'Output-Calculation-sheet'!T8*'Output-Calculation-sheet'!T80</f>
        <v>386855040.48688406</v>
      </c>
      <c r="U97" s="2">
        <f>U9/'Output-Calculation-sheet'!U8*'Output-Calculation-sheet'!U80</f>
        <v>254441592.7759566</v>
      </c>
      <c r="V97" s="2">
        <f>V9/'Output-Calculation-sheet'!V8*'Output-Calculation-sheet'!V80</f>
        <v>150740791.14438102</v>
      </c>
      <c r="W97" s="2">
        <f>W9/'Output-Calculation-sheet'!W8*'Output-Calculation-sheet'!W80</f>
        <v>418681964.56703448</v>
      </c>
      <c r="X97" s="2">
        <f>X9/'Output-Calculation-sheet'!X8*'Output-Calculation-sheet'!X80</f>
        <v>166072064.74688432</v>
      </c>
      <c r="Y97" s="2">
        <f>Y9/'Output-Calculation-sheet'!Y8*'Output-Calculation-sheet'!Y80</f>
        <v>228642146.53448266</v>
      </c>
      <c r="AA97" s="2">
        <f t="shared" si="8"/>
        <v>40.237937615097245</v>
      </c>
    </row>
    <row r="98" spans="1:27" x14ac:dyDescent="0.25">
      <c r="A98" s="2">
        <v>2033</v>
      </c>
      <c r="B98" s="2">
        <f>B10/'Output-Calculation-sheet'!B9*'Output-Calculation-sheet'!B81</f>
        <v>8259962339.742568</v>
      </c>
      <c r="C98" s="2">
        <f>C10/'Output-Calculation-sheet'!C9*'Output-Calculation-sheet'!C81</f>
        <v>770641601.66609478</v>
      </c>
      <c r="D98" s="2">
        <f>D10/'Output-Calculation-sheet'!D9*'Output-Calculation-sheet'!D81</f>
        <v>1747124299.5215232</v>
      </c>
      <c r="E98" s="2">
        <f>E10/'Output-Calculation-sheet'!E9*'Output-Calculation-sheet'!E81</f>
        <v>7927020174.7991056</v>
      </c>
      <c r="F98" s="2">
        <f>F10/'Output-Calculation-sheet'!F9*'Output-Calculation-sheet'!F81</f>
        <v>2123444491.5244694</v>
      </c>
      <c r="G98" s="2">
        <f>G10/'Output-Calculation-sheet'!G9*'Output-Calculation-sheet'!G81</f>
        <v>1202385798.0780551</v>
      </c>
      <c r="H98" s="2">
        <f>H10/'Output-Calculation-sheet'!H9*'Output-Calculation-sheet'!H81</f>
        <v>1560667857.5360487</v>
      </c>
      <c r="I98" s="2">
        <f>I10/'Output-Calculation-sheet'!I9*'Output-Calculation-sheet'!I81</f>
        <v>951163349.88610816</v>
      </c>
      <c r="J98" s="2">
        <f>J10/'Output-Calculation-sheet'!J9*'Output-Calculation-sheet'!J81</f>
        <v>752097013.75909758</v>
      </c>
      <c r="K98" s="2">
        <f>K10/'Output-Calculation-sheet'!K9*'Output-Calculation-sheet'!K81</f>
        <v>892170807.05252612</v>
      </c>
      <c r="L98" s="2">
        <f>L10/'Output-Calculation-sheet'!L9*'Output-Calculation-sheet'!L81</f>
        <v>965906585.49814272</v>
      </c>
      <c r="M98" s="2">
        <f>M10/'Output-Calculation-sheet'!M9*'Output-Calculation-sheet'!M81</f>
        <v>1352161748.421592</v>
      </c>
      <c r="N98" s="2">
        <f>N10/'Output-Calculation-sheet'!N9*'Output-Calculation-sheet'!N81</f>
        <v>832098953.80361688</v>
      </c>
      <c r="O98" s="2">
        <f>O10/'Output-Calculation-sheet'!O9*'Output-Calculation-sheet'!O81</f>
        <v>99102475.684462309</v>
      </c>
      <c r="P98" s="2">
        <f>P10/'Output-Calculation-sheet'!P9*'Output-Calculation-sheet'!P81</f>
        <v>1394399473.8265338</v>
      </c>
      <c r="Q98" s="2">
        <f>Q10/'Output-Calculation-sheet'!Q9*'Output-Calculation-sheet'!Q81</f>
        <v>609618428.6028161</v>
      </c>
      <c r="R98" s="2">
        <f>R10/'Output-Calculation-sheet'!R9*'Output-Calculation-sheet'!R81</f>
        <v>954464312.12259579</v>
      </c>
      <c r="S98" s="2">
        <f>S10/'Output-Calculation-sheet'!S9*'Output-Calculation-sheet'!S81</f>
        <v>392392194.17372781</v>
      </c>
      <c r="T98" s="2">
        <f>T10/'Output-Calculation-sheet'!T9*'Output-Calculation-sheet'!T81</f>
        <v>306380377.43337965</v>
      </c>
      <c r="U98" s="2">
        <f>U10/'Output-Calculation-sheet'!U9*'Output-Calculation-sheet'!U81</f>
        <v>203680538.78834236</v>
      </c>
      <c r="V98" s="2">
        <f>V10/'Output-Calculation-sheet'!V9*'Output-Calculation-sheet'!V81</f>
        <v>120570227.85561647</v>
      </c>
      <c r="W98" s="2">
        <f>W10/'Output-Calculation-sheet'!W9*'Output-Calculation-sheet'!W81</f>
        <v>335124387.26039028</v>
      </c>
      <c r="X98" s="2">
        <f>X10/'Output-Calculation-sheet'!X9*'Output-Calculation-sheet'!X81</f>
        <v>145692195.85746455</v>
      </c>
      <c r="Y98" s="2">
        <f>Y10/'Output-Calculation-sheet'!Y9*'Output-Calculation-sheet'!Y81</f>
        <v>188595145.70796818</v>
      </c>
      <c r="AA98" s="2">
        <f t="shared" si="8"/>
        <v>34.086864778602255</v>
      </c>
    </row>
    <row r="99" spans="1:27" x14ac:dyDescent="0.25">
      <c r="A99" s="2">
        <v>2034</v>
      </c>
      <c r="B99" s="2">
        <f>B11/'Output-Calculation-sheet'!B10*'Output-Calculation-sheet'!B82</f>
        <v>6559748993.6863708</v>
      </c>
      <c r="C99" s="2">
        <f>C11/'Output-Calculation-sheet'!C10*'Output-Calculation-sheet'!C82</f>
        <v>589778752.19731688</v>
      </c>
      <c r="D99" s="2">
        <f>D11/'Output-Calculation-sheet'!D10*'Output-Calculation-sheet'!D82</f>
        <v>1238604976.7004104</v>
      </c>
      <c r="E99" s="2">
        <f>E11/'Output-Calculation-sheet'!E10*'Output-Calculation-sheet'!E82</f>
        <v>6286710687.4400949</v>
      </c>
      <c r="F99" s="2">
        <f>F11/'Output-Calculation-sheet'!F10*'Output-Calculation-sheet'!F82</f>
        <v>1579701273.7490025</v>
      </c>
      <c r="G99" s="2">
        <f>G11/'Output-Calculation-sheet'!G10*'Output-Calculation-sheet'!G82</f>
        <v>854396309.63686848</v>
      </c>
      <c r="H99" s="2">
        <f>H11/'Output-Calculation-sheet'!H10*'Output-Calculation-sheet'!H82</f>
        <v>1191548045.7580016</v>
      </c>
      <c r="I99" s="2">
        <f>I11/'Output-Calculation-sheet'!I10*'Output-Calculation-sheet'!I82</f>
        <v>713017413.26535749</v>
      </c>
      <c r="J99" s="2">
        <f>J11/'Output-Calculation-sheet'!J10*'Output-Calculation-sheet'!J82</f>
        <v>556111183.9698633</v>
      </c>
      <c r="K99" s="2">
        <f>K11/'Output-Calculation-sheet'!K10*'Output-Calculation-sheet'!K82</f>
        <v>647645462.32685685</v>
      </c>
      <c r="L99" s="2">
        <f>L11/'Output-Calculation-sheet'!L10*'Output-Calculation-sheet'!L82</f>
        <v>744811140.80760098</v>
      </c>
      <c r="M99" s="2">
        <f>M11/'Output-Calculation-sheet'!M10*'Output-Calculation-sheet'!M82</f>
        <v>1056480332.0445057</v>
      </c>
      <c r="N99" s="2">
        <f>N11/'Output-Calculation-sheet'!N10*'Output-Calculation-sheet'!N82</f>
        <v>632358982.55376029</v>
      </c>
      <c r="O99" s="2">
        <f>O11/'Output-Calculation-sheet'!O10*'Output-Calculation-sheet'!O82</f>
        <v>74907091.211985052</v>
      </c>
      <c r="P99" s="2">
        <f>P11/'Output-Calculation-sheet'!P10*'Output-Calculation-sheet'!P82</f>
        <v>1022415973.9643978</v>
      </c>
      <c r="Q99" s="2">
        <f>Q11/'Output-Calculation-sheet'!Q10*'Output-Calculation-sheet'!Q82</f>
        <v>466289858.5331139</v>
      </c>
      <c r="R99" s="2">
        <f>R11/'Output-Calculation-sheet'!R10*'Output-Calculation-sheet'!R82</f>
        <v>720868132.28704667</v>
      </c>
      <c r="S99" s="2">
        <f>S11/'Output-Calculation-sheet'!S10*'Output-Calculation-sheet'!S82</f>
        <v>310404407.57195318</v>
      </c>
      <c r="T99" s="2">
        <f>T11/'Output-Calculation-sheet'!T10*'Output-Calculation-sheet'!T82</f>
        <v>221033789.53918764</v>
      </c>
      <c r="U99" s="2">
        <f>U11/'Output-Calculation-sheet'!U10*'Output-Calculation-sheet'!U82</f>
        <v>149022317.93915981</v>
      </c>
      <c r="V99" s="2">
        <f>V11/'Output-Calculation-sheet'!V10*'Output-Calculation-sheet'!V82</f>
        <v>88254895.839294881</v>
      </c>
      <c r="W99" s="2">
        <f>W11/'Output-Calculation-sheet'!W10*'Output-Calculation-sheet'!W82</f>
        <v>244434180.69966966</v>
      </c>
      <c r="X99" s="2">
        <f>X11/'Output-Calculation-sheet'!X10*'Output-Calculation-sheet'!X82</f>
        <v>117202609.22514413</v>
      </c>
      <c r="Y99" s="2">
        <f>Y11/'Output-Calculation-sheet'!Y10*'Output-Calculation-sheet'!Y82</f>
        <v>141406887.47723553</v>
      </c>
      <c r="AA99" s="2">
        <f t="shared" si="8"/>
        <v>26.207153698424207</v>
      </c>
    </row>
    <row r="100" spans="1:27" x14ac:dyDescent="0.25">
      <c r="A100" s="2">
        <v>2035</v>
      </c>
      <c r="B100" s="2">
        <f>B12/'Output-Calculation-sheet'!B11*'Output-Calculation-sheet'!B83</f>
        <v>4682080979.8972874</v>
      </c>
      <c r="C100" s="2">
        <f>C12/'Output-Calculation-sheet'!C11*'Output-Calculation-sheet'!C83</f>
        <v>421100584.71637827</v>
      </c>
      <c r="D100" s="2">
        <f>D12/'Output-Calculation-sheet'!D11*'Output-Calculation-sheet'!D83</f>
        <v>795713893.85977054</v>
      </c>
      <c r="E100" s="2">
        <f>E12/'Output-Calculation-sheet'!E11*'Output-Calculation-sheet'!E83</f>
        <v>4504472541.1044598</v>
      </c>
      <c r="F100" s="2">
        <f>F12/'Output-Calculation-sheet'!F11*'Output-Calculation-sheet'!F83</f>
        <v>1060801168.2154014</v>
      </c>
      <c r="G100" s="2">
        <f>G12/'Output-Calculation-sheet'!G11*'Output-Calculation-sheet'!G83</f>
        <v>547521805.21452308</v>
      </c>
      <c r="H100" s="2">
        <f>H12/'Output-Calculation-sheet'!H11*'Output-Calculation-sheet'!H83</f>
        <v>817347042.77569234</v>
      </c>
      <c r="I100" s="2">
        <f>I12/'Output-Calculation-sheet'!I11*'Output-Calculation-sheet'!I83</f>
        <v>482260883.56391031</v>
      </c>
      <c r="J100" s="2">
        <f>J12/'Output-Calculation-sheet'!J11*'Output-Calculation-sheet'!J83</f>
        <v>371575510.53666335</v>
      </c>
      <c r="K100" s="2">
        <f>K12/'Output-Calculation-sheet'!K11*'Output-Calculation-sheet'!K83</f>
        <v>424001743.67647725</v>
      </c>
      <c r="L100" s="2">
        <f>L12/'Output-Calculation-sheet'!L11*'Output-Calculation-sheet'!L83</f>
        <v>519222620.00455666</v>
      </c>
      <c r="M100" s="2">
        <f>M12/'Output-Calculation-sheet'!M11*'Output-Calculation-sheet'!M83</f>
        <v>744009256.46418417</v>
      </c>
      <c r="N100" s="2">
        <f>N12/'Output-Calculation-sheet'!N11*'Output-Calculation-sheet'!N83</f>
        <v>434986179.6718027</v>
      </c>
      <c r="O100" s="2">
        <f>O12/'Output-Calculation-sheet'!O11*'Output-Calculation-sheet'!O83</f>
        <v>55894482.669051848</v>
      </c>
      <c r="P100" s="2">
        <f>P12/'Output-Calculation-sheet'!P11*'Output-Calculation-sheet'!P83</f>
        <v>667999413.62967002</v>
      </c>
      <c r="Q100" s="2">
        <f>Q12/'Output-Calculation-sheet'!Q11*'Output-Calculation-sheet'!Q83</f>
        <v>322976596.02643305</v>
      </c>
      <c r="R100" s="2">
        <f>R12/'Output-Calculation-sheet'!R11*'Output-Calculation-sheet'!R83</f>
        <v>490781418.85050708</v>
      </c>
      <c r="S100" s="2">
        <f>S12/'Output-Calculation-sheet'!S11*'Output-Calculation-sheet'!S83</f>
        <v>219818675.45871475</v>
      </c>
      <c r="T100" s="2">
        <f>T12/'Output-Calculation-sheet'!T11*'Output-Calculation-sheet'!T83</f>
        <v>143962484.60076311</v>
      </c>
      <c r="U100" s="2">
        <f>U12/'Output-Calculation-sheet'!U11*'Output-Calculation-sheet'!U83</f>
        <v>97984744.461169809</v>
      </c>
      <c r="V100" s="2">
        <f>V12/'Output-Calculation-sheet'!V11*'Output-Calculation-sheet'!V83</f>
        <v>58246428.436920956</v>
      </c>
      <c r="W100" s="2">
        <f>W12/'Output-Calculation-sheet'!W11*'Output-Calculation-sheet'!W83</f>
        <v>159885270.52901646</v>
      </c>
      <c r="X100" s="2">
        <f>X12/'Output-Calculation-sheet'!X11*'Output-Calculation-sheet'!X83</f>
        <v>85291444.162751809</v>
      </c>
      <c r="Y100" s="2">
        <f>Y12/'Output-Calculation-sheet'!Y11*'Output-Calculation-sheet'!Y83</f>
        <v>95478355.431387529</v>
      </c>
      <c r="AA100" s="2">
        <f t="shared" si="8"/>
        <v>18.203413523957487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5217.6764947845195</v>
      </c>
      <c r="C19" s="2">
        <f>C8/'Output-Calculation-sheet'!C7*'Output-Calculation-sheet'!C25</f>
        <v>7880.4882073833351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4229.369991764278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859.80923767021363</v>
      </c>
      <c r="M19" s="2">
        <f>M8/'Output-Calculation-sheet'!M7*'Output-Calculation-sheet'!M25</f>
        <v>5578.3060679332775</v>
      </c>
      <c r="N19" s="2">
        <f>N8/'Output-Calculation-sheet'!N7*'Output-Calculation-sheet'!N25</f>
        <v>2847.9246657363619</v>
      </c>
      <c r="O19" s="2">
        <f>O8/'Output-Calculation-sheet'!O7*'Output-Calculation-sheet'!O25</f>
        <v>1539.3427083894974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544.54624135224276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387.89205627968937</v>
      </c>
      <c r="Y19" s="2">
        <f>Y8/'Output-Calculation-sheet'!Y7*'Output-Calculation-sheet'!Y25</f>
        <v>0</v>
      </c>
      <c r="AA19" s="2">
        <f t="shared" si="0"/>
        <v>29.085355671293414</v>
      </c>
    </row>
    <row r="20" spans="1:27" x14ac:dyDescent="0.25">
      <c r="A20" s="2">
        <v>2032</v>
      </c>
      <c r="B20" s="2">
        <f>B9/'Output-Calculation-sheet'!B8*'Output-Calculation-sheet'!B26</f>
        <v>6798.9812434945698</v>
      </c>
      <c r="C20" s="2">
        <f>C9/'Output-Calculation-sheet'!C8*'Output-Calculation-sheet'!C26</f>
        <v>8422.1386088861436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5546.9592336247815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963.86724287440927</v>
      </c>
      <c r="M20" s="2">
        <f>M9/'Output-Calculation-sheet'!M8*'Output-Calculation-sheet'!M26</f>
        <v>5865.716445456198</v>
      </c>
      <c r="N20" s="2">
        <f>N9/'Output-Calculation-sheet'!N8*'Output-Calculation-sheet'!N26</f>
        <v>3303.6768189888267</v>
      </c>
      <c r="O20" s="2">
        <f>O9/'Output-Calculation-sheet'!O8*'Output-Calculation-sheet'!O26</f>
        <v>1643.6883874902735</v>
      </c>
      <c r="P20" s="2">
        <f>P9/'Output-Calculation-sheet'!P8*'Output-Calculation-sheet'!P26</f>
        <v>0</v>
      </c>
      <c r="Q20" s="2">
        <f>Q9/'Output-Calculation-sheet'!Q8*'Output-Calculation-sheet'!Q26</f>
        <v>99.340599641117905</v>
      </c>
      <c r="R20" s="2">
        <f>R9/'Output-Calculation-sheet'!R8*'Output-Calculation-sheet'!R26</f>
        <v>0</v>
      </c>
      <c r="S20" s="2">
        <f>S9/'Output-Calculation-sheet'!S8*'Output-Calculation-sheet'!S26</f>
        <v>701.42716966503838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542.31909726924971</v>
      </c>
      <c r="Y20" s="2">
        <f>Y9/'Output-Calculation-sheet'!Y8*'Output-Calculation-sheet'!Y26</f>
        <v>0</v>
      </c>
      <c r="AA20" s="2">
        <f t="shared" si="0"/>
        <v>33.888114847390604</v>
      </c>
    </row>
    <row r="21" spans="1:27" x14ac:dyDescent="0.25">
      <c r="A21" s="2">
        <v>2033</v>
      </c>
      <c r="B21" s="2">
        <f>B10/'Output-Calculation-sheet'!B9*'Output-Calculation-sheet'!B27</f>
        <v>8444.3854039709386</v>
      </c>
      <c r="C21" s="2">
        <f>C10/'Output-Calculation-sheet'!C9*'Output-Calculation-sheet'!C27</f>
        <v>8475.1695402056357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7430.1188833207698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1031.5035440743943</v>
      </c>
      <c r="M21" s="2">
        <f>M10/'Output-Calculation-sheet'!M9*'Output-Calculation-sheet'!M27</f>
        <v>5783.124626871866</v>
      </c>
      <c r="N21" s="2">
        <f>N10/'Output-Calculation-sheet'!N9*'Output-Calculation-sheet'!N27</f>
        <v>3370.5940988018815</v>
      </c>
      <c r="O21" s="2">
        <f>O10/'Output-Calculation-sheet'!O9*'Output-Calculation-sheet'!O27</f>
        <v>1648.9850630275409</v>
      </c>
      <c r="P21" s="2">
        <f>P10/'Output-Calculation-sheet'!P9*'Output-Calculation-sheet'!P27</f>
        <v>0</v>
      </c>
      <c r="Q21" s="2">
        <f>Q10/'Output-Calculation-sheet'!Q9*'Output-Calculation-sheet'!Q27</f>
        <v>251.16411532225442</v>
      </c>
      <c r="R21" s="2">
        <f>R10/'Output-Calculation-sheet'!R9*'Output-Calculation-sheet'!R27</f>
        <v>0</v>
      </c>
      <c r="S21" s="2">
        <f>S10/'Output-Calculation-sheet'!S9*'Output-Calculation-sheet'!S27</f>
        <v>856.19302298021023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539.60503259990548</v>
      </c>
      <c r="Y21" s="2">
        <f>Y10/'Output-Calculation-sheet'!Y9*'Output-Calculation-sheet'!Y27</f>
        <v>0</v>
      </c>
      <c r="AA21" s="2">
        <f t="shared" si="0"/>
        <v>37.830843331175394</v>
      </c>
    </row>
    <row r="22" spans="1:27" x14ac:dyDescent="0.25">
      <c r="A22" s="2">
        <v>2034</v>
      </c>
      <c r="B22" s="2">
        <f>B11/'Output-Calculation-sheet'!B10*'Output-Calculation-sheet'!B28</f>
        <v>9829.8067089196738</v>
      </c>
      <c r="C22" s="2">
        <f>C11/'Output-Calculation-sheet'!C10*'Output-Calculation-sheet'!C28</f>
        <v>8015.7757113353682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6965.4837849941377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1026.2448471792384</v>
      </c>
      <c r="M22" s="2">
        <f>M11/'Output-Calculation-sheet'!M10*'Output-Calculation-sheet'!M28</f>
        <v>5412.5353668285088</v>
      </c>
      <c r="N22" s="2">
        <f>N11/'Output-Calculation-sheet'!N10*'Output-Calculation-sheet'!N28</f>
        <v>3246.4988296938109</v>
      </c>
      <c r="O22" s="2">
        <f>O11/'Output-Calculation-sheet'!O10*'Output-Calculation-sheet'!O28</f>
        <v>1550.2148265389344</v>
      </c>
      <c r="P22" s="2">
        <f>P11/'Output-Calculation-sheet'!P10*'Output-Calculation-sheet'!P28</f>
        <v>0</v>
      </c>
      <c r="Q22" s="2">
        <f>Q11/'Output-Calculation-sheet'!Q10*'Output-Calculation-sheet'!Q28</f>
        <v>445.02280520817396</v>
      </c>
      <c r="R22" s="2">
        <f>R11/'Output-Calculation-sheet'!R10*'Output-Calculation-sheet'!R28</f>
        <v>0</v>
      </c>
      <c r="S22" s="2">
        <f>S11/'Output-Calculation-sheet'!S10*'Output-Calculation-sheet'!S28</f>
        <v>951.08631823882911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506.16098413332838</v>
      </c>
      <c r="Y22" s="2">
        <f>Y11/'Output-Calculation-sheet'!Y10*'Output-Calculation-sheet'!Y28</f>
        <v>0</v>
      </c>
      <c r="AA22" s="2">
        <f t="shared" si="0"/>
        <v>37.948830183070001</v>
      </c>
    </row>
    <row r="23" spans="1:27" x14ac:dyDescent="0.25">
      <c r="A23" s="2">
        <v>2035</v>
      </c>
      <c r="B23" s="2">
        <f>B12/'Output-Calculation-sheet'!B11*'Output-Calculation-sheet'!B29</f>
        <v>10386.814095287116</v>
      </c>
      <c r="C23" s="2">
        <f>C12/'Output-Calculation-sheet'!C11*'Output-Calculation-sheet'!C29</f>
        <v>7281.4259084430041</v>
      </c>
      <c r="D23" s="2">
        <f>D12/'Output-Calculation-sheet'!D11*'Output-Calculation-sheet'!D29</f>
        <v>0</v>
      </c>
      <c r="E23" s="2">
        <f>E12/'Output-Calculation-sheet'!E11*'Output-Calculation-sheet'!E29</f>
        <v>95.186429075936729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6080.4413357600679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958.51496579192269</v>
      </c>
      <c r="M23" s="2">
        <f>M12/'Output-Calculation-sheet'!M11*'Output-Calculation-sheet'!M29</f>
        <v>4728.9222732453318</v>
      </c>
      <c r="N23" s="2">
        <f>N12/'Output-Calculation-sheet'!N11*'Output-Calculation-sheet'!N29</f>
        <v>2902.7667355603407</v>
      </c>
      <c r="O23" s="2">
        <f>O12/'Output-Calculation-sheet'!O11*'Output-Calculation-sheet'!O29</f>
        <v>1476.6800107023075</v>
      </c>
      <c r="P23" s="2">
        <f>P12/'Output-Calculation-sheet'!P11*'Output-Calculation-sheet'!P29</f>
        <v>0</v>
      </c>
      <c r="Q23" s="2">
        <f>Q12/'Output-Calculation-sheet'!Q11*'Output-Calculation-sheet'!Q29</f>
        <v>570.79905841309176</v>
      </c>
      <c r="R23" s="2">
        <f>R12/'Output-Calculation-sheet'!R11*'Output-Calculation-sheet'!R29</f>
        <v>0</v>
      </c>
      <c r="S23" s="2">
        <f>S12/'Output-Calculation-sheet'!S11*'Output-Calculation-sheet'!S29</f>
        <v>967.3976893148855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447.01449460005477</v>
      </c>
      <c r="Y23" s="2">
        <f>Y12/'Output-Calculation-sheet'!Y11*'Output-Calculation-sheet'!Y29</f>
        <v>0</v>
      </c>
      <c r="AA23" s="2">
        <f t="shared" si="0"/>
        <v>35.895962996194058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24968.168017315467</v>
      </c>
      <c r="C30" s="2">
        <f>C8/'Output-Calculation-sheet'!C7*'Output-Calculation-sheet'!C16</f>
        <v>0</v>
      </c>
      <c r="D30" s="2">
        <f>D8/'Output-Calculation-sheet'!D7*'Output-Calculation-sheet'!D16</f>
        <v>6824.3847161288022</v>
      </c>
      <c r="E30" s="2">
        <f>E8/'Output-Calculation-sheet'!E7*'Output-Calculation-sheet'!E16</f>
        <v>8333.0671478340828</v>
      </c>
      <c r="F30" s="2">
        <f>F8/'Output-Calculation-sheet'!F7*'Output-Calculation-sheet'!F16</f>
        <v>3747.9747905947356</v>
      </c>
      <c r="G30" s="2">
        <f>G8/'Output-Calculation-sheet'!G7*'Output-Calculation-sheet'!G16</f>
        <v>2158.2151239920768</v>
      </c>
      <c r="H30" s="2">
        <f>H8/'Output-Calculation-sheet'!H7*'Output-Calculation-sheet'!H16</f>
        <v>0</v>
      </c>
      <c r="I30" s="2">
        <f>I8/'Output-Calculation-sheet'!I7*'Output-Calculation-sheet'!I16</f>
        <v>2290.0557806068787</v>
      </c>
      <c r="J30" s="2">
        <f>J8/'Output-Calculation-sheet'!J7*'Output-Calculation-sheet'!J16</f>
        <v>2328.9839079640979</v>
      </c>
      <c r="K30" s="2">
        <f>K8/'Output-Calculation-sheet'!K7*'Output-Calculation-sheet'!K16</f>
        <v>3034.6472833174312</v>
      </c>
      <c r="L30" s="2">
        <f>L8/'Output-Calculation-sheet'!L7*'Output-Calculation-sheet'!L16</f>
        <v>2757.5653091161685</v>
      </c>
      <c r="M30" s="2">
        <f>M8/'Output-Calculation-sheet'!M7*'Output-Calculation-sheet'!M16</f>
        <v>0</v>
      </c>
      <c r="N30" s="2">
        <f>N8/'Output-Calculation-sheet'!N7*'Output-Calculation-sheet'!N16</f>
        <v>1628.174583852543</v>
      </c>
      <c r="O30" s="2">
        <f>O8/'Output-Calculation-sheet'!O7*'Output-Calculation-sheet'!O16</f>
        <v>0</v>
      </c>
      <c r="P30" s="2">
        <f>P8/'Output-Calculation-sheet'!P7*'Output-Calculation-sheet'!P16</f>
        <v>2450.4630471015626</v>
      </c>
      <c r="Q30" s="2">
        <f>Q8/'Output-Calculation-sheet'!Q7*'Output-Calculation-sheet'!Q16</f>
        <v>2732.9276115010161</v>
      </c>
      <c r="R30" s="2">
        <f>R8/'Output-Calculation-sheet'!R7*'Output-Calculation-sheet'!R16</f>
        <v>2229.4903733101087</v>
      </c>
      <c r="S30" s="2">
        <f>S8/'Output-Calculation-sheet'!S7*'Output-Calculation-sheet'!S16</f>
        <v>1200.0972612281678</v>
      </c>
      <c r="T30" s="2">
        <f>T8/'Output-Calculation-sheet'!T7*'Output-Calculation-sheet'!T16</f>
        <v>707.03651525085638</v>
      </c>
      <c r="U30" s="2">
        <f>U8/'Output-Calculation-sheet'!U7*'Output-Calculation-sheet'!U16</f>
        <v>565.96994732735368</v>
      </c>
      <c r="V30" s="2">
        <f>V8/'Output-Calculation-sheet'!V7*'Output-Calculation-sheet'!V16</f>
        <v>666.39996934911403</v>
      </c>
      <c r="W30" s="2">
        <f>W8/'Output-Calculation-sheet'!W7*'Output-Calculation-sheet'!W16</f>
        <v>307.51770556693259</v>
      </c>
      <c r="X30" s="2">
        <f>X8/'Output-Calculation-sheet'!X7*'Output-Calculation-sheet'!X16</f>
        <v>0</v>
      </c>
      <c r="Y30" s="2">
        <f>Y8/'Output-Calculation-sheet'!Y7*'Output-Calculation-sheet'!Y16</f>
        <v>236.47552240412875</v>
      </c>
      <c r="AA30" s="2">
        <f t="shared" si="1"/>
        <v>69.167614613761529</v>
      </c>
    </row>
    <row r="31" spans="1:27" x14ac:dyDescent="0.25">
      <c r="A31" s="2">
        <v>2032</v>
      </c>
      <c r="B31" s="2">
        <f>B9/'Output-Calculation-sheet'!B8*'Output-Calculation-sheet'!B17</f>
        <v>25487.383591071764</v>
      </c>
      <c r="C31" s="2">
        <f>C9/'Output-Calculation-sheet'!C8*'Output-Calculation-sheet'!C17</f>
        <v>0</v>
      </c>
      <c r="D31" s="2">
        <f>D9/'Output-Calculation-sheet'!D8*'Output-Calculation-sheet'!D17</f>
        <v>7089.9736360238912</v>
      </c>
      <c r="E31" s="2">
        <f>E9/'Output-Calculation-sheet'!E8*'Output-Calculation-sheet'!E17</f>
        <v>8698.2314851764786</v>
      </c>
      <c r="F31" s="2">
        <f>F9/'Output-Calculation-sheet'!F8*'Output-Calculation-sheet'!F17</f>
        <v>3917.6742827146354</v>
      </c>
      <c r="G31" s="2">
        <f>G9/'Output-Calculation-sheet'!G8*'Output-Calculation-sheet'!G17</f>
        <v>2254.9021249632433</v>
      </c>
      <c r="H31" s="2">
        <f>H9/'Output-Calculation-sheet'!H8*'Output-Calculation-sheet'!H17</f>
        <v>0</v>
      </c>
      <c r="I31" s="2">
        <f>I9/'Output-Calculation-sheet'!I8*'Output-Calculation-sheet'!I17</f>
        <v>2390.4713780030938</v>
      </c>
      <c r="J31" s="2">
        <f>J9/'Output-Calculation-sheet'!J8*'Output-Calculation-sheet'!J17</f>
        <v>2425.3396884514887</v>
      </c>
      <c r="K31" s="2">
        <f>K9/'Output-Calculation-sheet'!K8*'Output-Calculation-sheet'!K17</f>
        <v>3154.3646233915051</v>
      </c>
      <c r="L31" s="2">
        <f>L9/'Output-Calculation-sheet'!L8*'Output-Calculation-sheet'!L17</f>
        <v>2853.4905877183569</v>
      </c>
      <c r="M31" s="2">
        <f>M9/'Output-Calculation-sheet'!M8*'Output-Calculation-sheet'!M17</f>
        <v>0</v>
      </c>
      <c r="N31" s="2">
        <f>N9/'Output-Calculation-sheet'!N8*'Output-Calculation-sheet'!N17</f>
        <v>1593.3141694366625</v>
      </c>
      <c r="O31" s="2">
        <f>O9/'Output-Calculation-sheet'!O8*'Output-Calculation-sheet'!O17</f>
        <v>0</v>
      </c>
      <c r="P31" s="2">
        <f>P9/'Output-Calculation-sheet'!P8*'Output-Calculation-sheet'!P17</f>
        <v>2588.8074267249731</v>
      </c>
      <c r="Q31" s="2">
        <f>Q9/'Output-Calculation-sheet'!Q8*'Output-Calculation-sheet'!Q17</f>
        <v>2813.5522406605032</v>
      </c>
      <c r="R31" s="2">
        <f>R9/'Output-Calculation-sheet'!R8*'Output-Calculation-sheet'!R17</f>
        <v>2335.6576254841552</v>
      </c>
      <c r="S31" s="2">
        <f>S9/'Output-Calculation-sheet'!S8*'Output-Calculation-sheet'!S17</f>
        <v>1213.3824664069541</v>
      </c>
      <c r="T31" s="2">
        <f>T9/'Output-Calculation-sheet'!T8*'Output-Calculation-sheet'!T17</f>
        <v>735.82101805624404</v>
      </c>
      <c r="U31" s="2">
        <f>U9/'Output-Calculation-sheet'!U8*'Output-Calculation-sheet'!U17</f>
        <v>591.16401967655815</v>
      </c>
      <c r="V31" s="2">
        <f>V9/'Output-Calculation-sheet'!V8*'Output-Calculation-sheet'!V17</f>
        <v>694.90859340479187</v>
      </c>
      <c r="W31" s="2">
        <f>W9/'Output-Calculation-sheet'!W8*'Output-Calculation-sheet'!W17</f>
        <v>321.4190948983757</v>
      </c>
      <c r="X31" s="2">
        <f>X9/'Output-Calculation-sheet'!X8*'Output-Calculation-sheet'!X17</f>
        <v>0</v>
      </c>
      <c r="Y31" s="2">
        <f>Y9/'Output-Calculation-sheet'!Y8*'Output-Calculation-sheet'!Y17</f>
        <v>247.35272662230875</v>
      </c>
      <c r="AA31" s="2">
        <f t="shared" si="1"/>
        <v>71.407210778885968</v>
      </c>
    </row>
    <row r="32" spans="1:27" x14ac:dyDescent="0.25">
      <c r="A32" s="2">
        <v>2033</v>
      </c>
      <c r="B32" s="2">
        <f>B10/'Output-Calculation-sheet'!B9*'Output-Calculation-sheet'!B18</f>
        <v>24123.200537526496</v>
      </c>
      <c r="C32" s="2">
        <f>C10/'Output-Calculation-sheet'!C9*'Output-Calculation-sheet'!C18</f>
        <v>0</v>
      </c>
      <c r="D32" s="2">
        <f>D10/'Output-Calculation-sheet'!D9*'Output-Calculation-sheet'!D18</f>
        <v>6896.3869055167734</v>
      </c>
      <c r="E32" s="2">
        <f>E10/'Output-Calculation-sheet'!E9*'Output-Calculation-sheet'!E18</f>
        <v>8522.9832799979995</v>
      </c>
      <c r="F32" s="2">
        <f>F10/'Output-Calculation-sheet'!F9*'Output-Calculation-sheet'!F18</f>
        <v>3833.8587556878124</v>
      </c>
      <c r="G32" s="2">
        <f>G10/'Output-Calculation-sheet'!G9*'Output-Calculation-sheet'!G18</f>
        <v>2205.9781076116378</v>
      </c>
      <c r="H32" s="2">
        <f>H10/'Output-Calculation-sheet'!H9*'Output-Calculation-sheet'!H18</f>
        <v>0</v>
      </c>
      <c r="I32" s="2">
        <f>I10/'Output-Calculation-sheet'!I9*'Output-Calculation-sheet'!I18</f>
        <v>2336.7446199943065</v>
      </c>
      <c r="J32" s="2">
        <f>J10/'Output-Calculation-sheet'!J9*'Output-Calculation-sheet'!J18</f>
        <v>2352.2517256938218</v>
      </c>
      <c r="K32" s="2">
        <f>K10/'Output-Calculation-sheet'!K9*'Output-Calculation-sheet'!K18</f>
        <v>3105.3747458973671</v>
      </c>
      <c r="L32" s="2">
        <f>L10/'Output-Calculation-sheet'!L9*'Output-Calculation-sheet'!L18</f>
        <v>2709.615067616849</v>
      </c>
      <c r="M32" s="2">
        <f>M10/'Output-Calculation-sheet'!M9*'Output-Calculation-sheet'!M18</f>
        <v>0</v>
      </c>
      <c r="N32" s="2">
        <f>N10/'Output-Calculation-sheet'!N9*'Output-Calculation-sheet'!N18</f>
        <v>1520.0029971355991</v>
      </c>
      <c r="O32" s="2">
        <f>O10/'Output-Calculation-sheet'!O9*'Output-Calculation-sheet'!O18</f>
        <v>0</v>
      </c>
      <c r="P32" s="2">
        <f>P10/'Output-Calculation-sheet'!P9*'Output-Calculation-sheet'!P18</f>
        <v>2555.0524949142446</v>
      </c>
      <c r="Q32" s="2">
        <f>Q10/'Output-Calculation-sheet'!Q9*'Output-Calculation-sheet'!Q18</f>
        <v>2693.0598302490662</v>
      </c>
      <c r="R32" s="2">
        <f>R10/'Output-Calculation-sheet'!R9*'Output-Calculation-sheet'!R18</f>
        <v>2282.0976366778623</v>
      </c>
      <c r="S32" s="2">
        <f>S10/'Output-Calculation-sheet'!S9*'Output-Calculation-sheet'!S18</f>
        <v>1138.9630883709467</v>
      </c>
      <c r="T32" s="2">
        <f>T10/'Output-Calculation-sheet'!T9*'Output-Calculation-sheet'!T18</f>
        <v>718.82196078330344</v>
      </c>
      <c r="U32" s="2">
        <f>U10/'Output-Calculation-sheet'!U9*'Output-Calculation-sheet'!U18</f>
        <v>576.35415945413217</v>
      </c>
      <c r="V32" s="2">
        <f>V10/'Output-Calculation-sheet'!V9*'Output-Calculation-sheet'!V18</f>
        <v>670.61663605561944</v>
      </c>
      <c r="W32" s="2">
        <f>W10/'Output-Calculation-sheet'!W9*'Output-Calculation-sheet'!W18</f>
        <v>312.97927607385753</v>
      </c>
      <c r="X32" s="2">
        <f>X10/'Output-Calculation-sheet'!X9*'Output-Calculation-sheet'!X18</f>
        <v>0</v>
      </c>
      <c r="Y32" s="2">
        <f>Y10/'Output-Calculation-sheet'!Y9*'Output-Calculation-sheet'!Y18</f>
        <v>242.10460455702727</v>
      </c>
      <c r="AA32" s="2">
        <f t="shared" si="1"/>
        <v>68.796446429814722</v>
      </c>
    </row>
    <row r="33" spans="1:27" x14ac:dyDescent="0.25">
      <c r="A33" s="2">
        <v>2034</v>
      </c>
      <c r="B33" s="2">
        <f>B11/'Output-Calculation-sheet'!B10*'Output-Calculation-sheet'!B19</f>
        <v>21713.762653865793</v>
      </c>
      <c r="C33" s="2">
        <f>C11/'Output-Calculation-sheet'!C10*'Output-Calculation-sheet'!C19</f>
        <v>0</v>
      </c>
      <c r="D33" s="2">
        <f>D11/'Output-Calculation-sheet'!D10*'Output-Calculation-sheet'!D19</f>
        <v>6284.2827277150291</v>
      </c>
      <c r="E33" s="2">
        <f>E11/'Output-Calculation-sheet'!E10*'Output-Calculation-sheet'!E19</f>
        <v>7817.2716116938327</v>
      </c>
      <c r="F33" s="2">
        <f>F11/'Output-Calculation-sheet'!F10*'Output-Calculation-sheet'!F19</f>
        <v>3517.5239422795662</v>
      </c>
      <c r="G33" s="2">
        <f>G11/'Output-Calculation-sheet'!G10*'Output-Calculation-sheet'!G19</f>
        <v>2018.179789872604</v>
      </c>
      <c r="H33" s="2">
        <f>H11/'Output-Calculation-sheet'!H10*'Output-Calculation-sheet'!H19</f>
        <v>0</v>
      </c>
      <c r="I33" s="2">
        <f>I11/'Output-Calculation-sheet'!I10*'Output-Calculation-sheet'!I19</f>
        <v>2146.2760765402422</v>
      </c>
      <c r="J33" s="2">
        <f>J11/'Output-Calculation-sheet'!J10*'Output-Calculation-sheet'!J19</f>
        <v>2148.0839794111976</v>
      </c>
      <c r="K33" s="2">
        <f>K11/'Output-Calculation-sheet'!K10*'Output-Calculation-sheet'!K19</f>
        <v>2820.7350233283319</v>
      </c>
      <c r="L33" s="2">
        <f>L11/'Output-Calculation-sheet'!L10*'Output-Calculation-sheet'!L19</f>
        <v>2423.663559131659</v>
      </c>
      <c r="M33" s="2">
        <f>M11/'Output-Calculation-sheet'!M10*'Output-Calculation-sheet'!M19</f>
        <v>0</v>
      </c>
      <c r="N33" s="2">
        <f>N11/'Output-Calculation-sheet'!N10*'Output-Calculation-sheet'!N19</f>
        <v>1323.1389167201569</v>
      </c>
      <c r="O33" s="2">
        <f>O11/'Output-Calculation-sheet'!O10*'Output-Calculation-sheet'!O19</f>
        <v>0</v>
      </c>
      <c r="P33" s="2">
        <f>P11/'Output-Calculation-sheet'!P10*'Output-Calculation-sheet'!P19</f>
        <v>2367.5197648927042</v>
      </c>
      <c r="Q33" s="2">
        <f>Q11/'Output-Calculation-sheet'!Q10*'Output-Calculation-sheet'!Q19</f>
        <v>2361.9909375029415</v>
      </c>
      <c r="R33" s="2">
        <f>R11/'Output-Calculation-sheet'!R10*'Output-Calculation-sheet'!R19</f>
        <v>2086.9229968909253</v>
      </c>
      <c r="S33" s="2">
        <f>S11/'Output-Calculation-sheet'!S10*'Output-Calculation-sheet'!S19</f>
        <v>1017.1952000665852</v>
      </c>
      <c r="T33" s="2">
        <f>T11/'Output-Calculation-sheet'!T10*'Output-Calculation-sheet'!T19</f>
        <v>659.31883837939961</v>
      </c>
      <c r="U33" s="2">
        <f>U11/'Output-Calculation-sheet'!U10*'Output-Calculation-sheet'!U19</f>
        <v>531.92662427552989</v>
      </c>
      <c r="V33" s="2">
        <f>V11/'Output-Calculation-sheet'!V10*'Output-Calculation-sheet'!V19</f>
        <v>610.42675650588365</v>
      </c>
      <c r="W33" s="2">
        <f>W11/'Output-Calculation-sheet'!W10*'Output-Calculation-sheet'!W19</f>
        <v>287.33320576538603</v>
      </c>
      <c r="X33" s="2">
        <f>X11/'Output-Calculation-sheet'!X10*'Output-Calculation-sheet'!X19</f>
        <v>0</v>
      </c>
      <c r="Y33" s="2">
        <f>Y11/'Output-Calculation-sheet'!Y10*'Output-Calculation-sheet'!Y19</f>
        <v>222.17974921985257</v>
      </c>
      <c r="AA33" s="2">
        <f t="shared" si="1"/>
        <v>62.35773235405761</v>
      </c>
    </row>
    <row r="34" spans="1:27" x14ac:dyDescent="0.25">
      <c r="A34" s="2">
        <v>2035</v>
      </c>
      <c r="B34" s="2">
        <f>B12/'Output-Calculation-sheet'!B11*'Output-Calculation-sheet'!B20</f>
        <v>17937.529302193303</v>
      </c>
      <c r="C34" s="2">
        <f>C12/'Output-Calculation-sheet'!C11*'Output-Calculation-sheet'!C20</f>
        <v>0</v>
      </c>
      <c r="D34" s="2">
        <f>D12/'Output-Calculation-sheet'!D11*'Output-Calculation-sheet'!D20</f>
        <v>5407.0217697257785</v>
      </c>
      <c r="E34" s="2">
        <f>E12/'Output-Calculation-sheet'!E11*'Output-Calculation-sheet'!E20</f>
        <v>6656.4418911837038</v>
      </c>
      <c r="F34" s="2">
        <f>F12/'Output-Calculation-sheet'!F11*'Output-Calculation-sheet'!F20</f>
        <v>3022.6849103727022</v>
      </c>
      <c r="G34" s="2">
        <f>G12/'Output-Calculation-sheet'!G11*'Output-Calculation-sheet'!G20</f>
        <v>1731.8976947951498</v>
      </c>
      <c r="H34" s="2">
        <f>H12/'Output-Calculation-sheet'!H11*'Output-Calculation-sheet'!H20</f>
        <v>0</v>
      </c>
      <c r="I34" s="2">
        <f>I12/'Output-Calculation-sheet'!I11*'Output-Calculation-sheet'!I20</f>
        <v>1847.737115692898</v>
      </c>
      <c r="J34" s="2">
        <f>J12/'Output-Calculation-sheet'!J11*'Output-Calculation-sheet'!J20</f>
        <v>1839.1758410232244</v>
      </c>
      <c r="K34" s="2">
        <f>K12/'Output-Calculation-sheet'!K11*'Output-Calculation-sheet'!K20</f>
        <v>2414.9686843145087</v>
      </c>
      <c r="L34" s="2">
        <f>L12/'Output-Calculation-sheet'!L11*'Output-Calculation-sheet'!L20</f>
        <v>2045.8494097367575</v>
      </c>
      <c r="M34" s="2">
        <f>M12/'Output-Calculation-sheet'!M11*'Output-Calculation-sheet'!M20</f>
        <v>0</v>
      </c>
      <c r="N34" s="2">
        <f>N12/'Output-Calculation-sheet'!N11*'Output-Calculation-sheet'!N20</f>
        <v>1113.3197125630966</v>
      </c>
      <c r="O34" s="2">
        <f>O12/'Output-Calculation-sheet'!O11*'Output-Calculation-sheet'!O20</f>
        <v>0</v>
      </c>
      <c r="P34" s="2">
        <f>P12/'Output-Calculation-sheet'!P11*'Output-Calculation-sheet'!P20</f>
        <v>2038.9610279023625</v>
      </c>
      <c r="Q34" s="2">
        <f>Q12/'Output-Calculation-sheet'!Q11*'Output-Calculation-sheet'!Q20</f>
        <v>1947.635727664388</v>
      </c>
      <c r="R34" s="2">
        <f>R12/'Output-Calculation-sheet'!R11*'Output-Calculation-sheet'!R20</f>
        <v>1791.7314292451706</v>
      </c>
      <c r="S34" s="2">
        <f>S12/'Output-Calculation-sheet'!S11*'Output-Calculation-sheet'!S20</f>
        <v>836.84858520732723</v>
      </c>
      <c r="T34" s="2">
        <f>T12/'Output-Calculation-sheet'!T11*'Output-Calculation-sheet'!T20</f>
        <v>565.50923222093422</v>
      </c>
      <c r="U34" s="2">
        <f>U12/'Output-Calculation-sheet'!U11*'Output-Calculation-sheet'!U20</f>
        <v>455.50629885863668</v>
      </c>
      <c r="V34" s="2">
        <f>V12/'Output-Calculation-sheet'!V11*'Output-Calculation-sheet'!V20</f>
        <v>522.91844146144854</v>
      </c>
      <c r="W34" s="2">
        <f>W12/'Output-Calculation-sheet'!W11*'Output-Calculation-sheet'!W20</f>
        <v>247.07519896243173</v>
      </c>
      <c r="X34" s="2">
        <f>X12/'Output-Calculation-sheet'!X11*'Output-Calculation-sheet'!X20</f>
        <v>0</v>
      </c>
      <c r="Y34" s="2">
        <f>Y12/'Output-Calculation-sheet'!Y11*'Output-Calculation-sheet'!Y20</f>
        <v>191.87439218996761</v>
      </c>
      <c r="AA34" s="2">
        <f t="shared" si="1"/>
        <v>52.614686665313791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1103.2972323773433</v>
      </c>
      <c r="C52" s="2">
        <f>C8/'Output-Calculation-sheet'!C7*'Output-Calculation-sheet'!C43</f>
        <v>0</v>
      </c>
      <c r="D52" s="2">
        <f>D8/'Output-Calculation-sheet'!D7*'Output-Calculation-sheet'!D43</f>
        <v>2396.636829345578</v>
      </c>
      <c r="E52" s="2">
        <f>E8/'Output-Calculation-sheet'!E7*'Output-Calculation-sheet'!E43</f>
        <v>1720.3624684010022</v>
      </c>
      <c r="F52" s="2">
        <f>F8/'Output-Calculation-sheet'!F7*'Output-Calculation-sheet'!F43</f>
        <v>0</v>
      </c>
      <c r="G52" s="2">
        <f>G8/'Output-Calculation-sheet'!G7*'Output-Calculation-sheet'!G43</f>
        <v>610.1275070716863</v>
      </c>
      <c r="H52" s="2">
        <f>H8/'Output-Calculation-sheet'!H7*'Output-Calculation-sheet'!H43</f>
        <v>4674.6728827504166</v>
      </c>
      <c r="I52" s="2">
        <f>I8/'Output-Calculation-sheet'!I7*'Output-Calculation-sheet'!I43</f>
        <v>199.55391467812944</v>
      </c>
      <c r="J52" s="2">
        <f>J8/'Output-Calculation-sheet'!J7*'Output-Calculation-sheet'!J43</f>
        <v>1086.2107221642568</v>
      </c>
      <c r="K52" s="2">
        <f>K8/'Output-Calculation-sheet'!K7*'Output-Calculation-sheet'!K43</f>
        <v>2181.9472149623234</v>
      </c>
      <c r="L52" s="2">
        <f>L8/'Output-Calculation-sheet'!L7*'Output-Calculation-sheet'!L43</f>
        <v>2027.3922078107787</v>
      </c>
      <c r="M52" s="2">
        <f>M8/'Output-Calculation-sheet'!M7*'Output-Calculation-sheet'!M43</f>
        <v>13236.257405552329</v>
      </c>
      <c r="N52" s="2">
        <f>N8/'Output-Calculation-sheet'!N7*'Output-Calculation-sheet'!N43</f>
        <v>7576.538872768273</v>
      </c>
      <c r="O52" s="2">
        <f>O8/'Output-Calculation-sheet'!O7*'Output-Calculation-sheet'!O43</f>
        <v>0</v>
      </c>
      <c r="P52" s="2">
        <f>P8/'Output-Calculation-sheet'!P7*'Output-Calculation-sheet'!P43</f>
        <v>1611.3627040142883</v>
      </c>
      <c r="Q52" s="2">
        <f>Q8/'Output-Calculation-sheet'!Q7*'Output-Calculation-sheet'!Q43</f>
        <v>366.13506136210447</v>
      </c>
      <c r="R52" s="2">
        <f>R8/'Output-Calculation-sheet'!R7*'Output-Calculation-sheet'!R43</f>
        <v>2936.3026151917143</v>
      </c>
      <c r="S52" s="2">
        <f>S8/'Output-Calculation-sheet'!S7*'Output-Calculation-sheet'!S43</f>
        <v>489.51253430409707</v>
      </c>
      <c r="T52" s="2">
        <f>T8/'Output-Calculation-sheet'!T7*'Output-Calculation-sheet'!T43</f>
        <v>870.23113526059899</v>
      </c>
      <c r="U52" s="2">
        <f>U8/'Output-Calculation-sheet'!U7*'Output-Calculation-sheet'!U43</f>
        <v>325.06283376215447</v>
      </c>
      <c r="V52" s="2">
        <f>V8/'Output-Calculation-sheet'!V7*'Output-Calculation-sheet'!V43</f>
        <v>849.87007856857758</v>
      </c>
      <c r="W52" s="2">
        <f>W8/'Output-Calculation-sheet'!W7*'Output-Calculation-sheet'!W43</f>
        <v>10.174058655456154</v>
      </c>
      <c r="X52" s="2">
        <f>X8/'Output-Calculation-sheet'!X7*'Output-Calculation-sheet'!X43</f>
        <v>689.52098173816</v>
      </c>
      <c r="Y52" s="2">
        <f>Y8/'Output-Calculation-sheet'!Y7*'Output-Calculation-sheet'!Y43</f>
        <v>0</v>
      </c>
      <c r="AA52" s="2">
        <f t="shared" si="3"/>
        <v>44.961169260739275</v>
      </c>
    </row>
    <row r="53" spans="1:27" x14ac:dyDescent="0.25">
      <c r="A53" s="2">
        <v>2032</v>
      </c>
      <c r="B53" s="2">
        <f>B9/'Output-Calculation-sheet'!B8*'Output-Calculation-sheet'!B44</f>
        <v>3633.1601874900675</v>
      </c>
      <c r="C53" s="2">
        <f>C9/'Output-Calculation-sheet'!C8*'Output-Calculation-sheet'!C44</f>
        <v>0</v>
      </c>
      <c r="D53" s="2">
        <f>D9/'Output-Calculation-sheet'!D8*'Output-Calculation-sheet'!D44</f>
        <v>3215.8086092478161</v>
      </c>
      <c r="E53" s="2">
        <f>E9/'Output-Calculation-sheet'!E8*'Output-Calculation-sheet'!E44</f>
        <v>2108.4608192482906</v>
      </c>
      <c r="F53" s="2">
        <f>F9/'Output-Calculation-sheet'!F8*'Output-Calculation-sheet'!F44</f>
        <v>0</v>
      </c>
      <c r="G53" s="2">
        <f>G9/'Output-Calculation-sheet'!G8*'Output-Calculation-sheet'!G44</f>
        <v>778.66625791691263</v>
      </c>
      <c r="H53" s="2">
        <f>H9/'Output-Calculation-sheet'!H8*'Output-Calculation-sheet'!H44</f>
        <v>9778.2174083147747</v>
      </c>
      <c r="I53" s="2">
        <f>I9/'Output-Calculation-sheet'!I8*'Output-Calculation-sheet'!I44</f>
        <v>285.33340377223436</v>
      </c>
      <c r="J53" s="2">
        <f>J9/'Output-Calculation-sheet'!J8*'Output-Calculation-sheet'!J44</f>
        <v>1309.2459895743459</v>
      </c>
      <c r="K53" s="2">
        <f>K9/'Output-Calculation-sheet'!K8*'Output-Calculation-sheet'!K44</f>
        <v>2370.9743144268878</v>
      </c>
      <c r="L53" s="2">
        <f>L9/'Output-Calculation-sheet'!L8*'Output-Calculation-sheet'!L44</f>
        <v>2310.9947144442899</v>
      </c>
      <c r="M53" s="2">
        <f>M9/'Output-Calculation-sheet'!M8*'Output-Calculation-sheet'!M44</f>
        <v>13898.89091740734</v>
      </c>
      <c r="N53" s="2">
        <f>N9/'Output-Calculation-sheet'!N8*'Output-Calculation-sheet'!N44</f>
        <v>9258.0718735424907</v>
      </c>
      <c r="O53" s="2">
        <f>O9/'Output-Calculation-sheet'!O8*'Output-Calculation-sheet'!O44</f>
        <v>0</v>
      </c>
      <c r="P53" s="2">
        <f>P9/'Output-Calculation-sheet'!P8*'Output-Calculation-sheet'!P44</f>
        <v>1920.0141383245707</v>
      </c>
      <c r="Q53" s="2">
        <f>Q9/'Output-Calculation-sheet'!Q8*'Output-Calculation-sheet'!Q44</f>
        <v>579.39026619548849</v>
      </c>
      <c r="R53" s="2">
        <f>R9/'Output-Calculation-sheet'!R8*'Output-Calculation-sheet'!R44</f>
        <v>3250.4442762367698</v>
      </c>
      <c r="S53" s="2">
        <f>S9/'Output-Calculation-sheet'!S8*'Output-Calculation-sheet'!S44</f>
        <v>942.26894617078165</v>
      </c>
      <c r="T53" s="2">
        <f>T9/'Output-Calculation-sheet'!T8*'Output-Calculation-sheet'!T44</f>
        <v>965.68423291988472</v>
      </c>
      <c r="U53" s="2">
        <f>U9/'Output-Calculation-sheet'!U8*'Output-Calculation-sheet'!U44</f>
        <v>417.25745183825114</v>
      </c>
      <c r="V53" s="2">
        <f>V9/'Output-Calculation-sheet'!V8*'Output-Calculation-sheet'!V44</f>
        <v>900.06680776938447</v>
      </c>
      <c r="W53" s="2">
        <f>W9/'Output-Calculation-sheet'!W8*'Output-Calculation-sheet'!W44</f>
        <v>24.686566428446675</v>
      </c>
      <c r="X53" s="2">
        <f>X9/'Output-Calculation-sheet'!X8*'Output-Calculation-sheet'!X44</f>
        <v>1337.0495250692356</v>
      </c>
      <c r="Y53" s="2">
        <f>Y9/'Output-Calculation-sheet'!Y8*'Output-Calculation-sheet'!Y44</f>
        <v>0</v>
      </c>
      <c r="AA53" s="2">
        <f t="shared" si="3"/>
        <v>59.284686706338263</v>
      </c>
    </row>
    <row r="54" spans="1:27" x14ac:dyDescent="0.25">
      <c r="A54" s="2">
        <v>2033</v>
      </c>
      <c r="B54" s="2">
        <f>B10/'Output-Calculation-sheet'!B9*'Output-Calculation-sheet'!B45</f>
        <v>6884.2626406725731</v>
      </c>
      <c r="C54" s="2">
        <f>C10/'Output-Calculation-sheet'!C9*'Output-Calculation-sheet'!C45</f>
        <v>0</v>
      </c>
      <c r="D54" s="2">
        <f>D10/'Output-Calculation-sheet'!D9*'Output-Calculation-sheet'!D45</f>
        <v>3911.3345804267133</v>
      </c>
      <c r="E54" s="2">
        <f>E10/'Output-Calculation-sheet'!E9*'Output-Calculation-sheet'!E45</f>
        <v>2611.1128778268471</v>
      </c>
      <c r="F54" s="2">
        <f>F10/'Output-Calculation-sheet'!F9*'Output-Calculation-sheet'!F45</f>
        <v>0</v>
      </c>
      <c r="G54" s="2">
        <f>G10/'Output-Calculation-sheet'!G9*'Output-Calculation-sheet'!G45</f>
        <v>926.03263561776885</v>
      </c>
      <c r="H54" s="2">
        <f>H10/'Output-Calculation-sheet'!H9*'Output-Calculation-sheet'!H45</f>
        <v>18376.512814871821</v>
      </c>
      <c r="I54" s="2">
        <f>I10/'Output-Calculation-sheet'!I9*'Output-Calculation-sheet'!I45</f>
        <v>378.59593981459244</v>
      </c>
      <c r="J54" s="2">
        <f>J10/'Output-Calculation-sheet'!J9*'Output-Calculation-sheet'!J45</f>
        <v>1548.7008144189376</v>
      </c>
      <c r="K54" s="2">
        <f>K10/'Output-Calculation-sheet'!K9*'Output-Calculation-sheet'!K45</f>
        <v>2629.5081845388022</v>
      </c>
      <c r="L54" s="2">
        <f>L10/'Output-Calculation-sheet'!L9*'Output-Calculation-sheet'!L45</f>
        <v>2505.0856713475368</v>
      </c>
      <c r="M54" s="2">
        <f>M10/'Output-Calculation-sheet'!M9*'Output-Calculation-sheet'!M45</f>
        <v>13673.635138850708</v>
      </c>
      <c r="N54" s="2">
        <f>N10/'Output-Calculation-sheet'!N9*'Output-Calculation-sheet'!N45</f>
        <v>9578.2672928754237</v>
      </c>
      <c r="O54" s="2">
        <f>O10/'Output-Calculation-sheet'!O9*'Output-Calculation-sheet'!O45</f>
        <v>0</v>
      </c>
      <c r="P54" s="2">
        <f>P10/'Output-Calculation-sheet'!P9*'Output-Calculation-sheet'!P45</f>
        <v>2173.9345875367144</v>
      </c>
      <c r="Q54" s="2">
        <f>Q10/'Output-Calculation-sheet'!Q9*'Output-Calculation-sheet'!Q45</f>
        <v>837.58955920972426</v>
      </c>
      <c r="R54" s="2">
        <f>R10/'Output-Calculation-sheet'!R9*'Output-Calculation-sheet'!R45</f>
        <v>3226.663418486622</v>
      </c>
      <c r="S54" s="2">
        <f>S10/'Output-Calculation-sheet'!S9*'Output-Calculation-sheet'!S45</f>
        <v>1433.241237818283</v>
      </c>
      <c r="T54" s="2">
        <f>T10/'Output-Calculation-sheet'!T9*'Output-Calculation-sheet'!T45</f>
        <v>1040.1008352683143</v>
      </c>
      <c r="U54" s="2">
        <f>U10/'Output-Calculation-sheet'!U9*'Output-Calculation-sheet'!U45</f>
        <v>467.67393252004985</v>
      </c>
      <c r="V54" s="2">
        <f>V10/'Output-Calculation-sheet'!V9*'Output-Calculation-sheet'!V45</f>
        <v>907.49181365001152</v>
      </c>
      <c r="W54" s="2">
        <f>W10/'Output-Calculation-sheet'!W9*'Output-Calculation-sheet'!W45</f>
        <v>30.883742307769339</v>
      </c>
      <c r="X54" s="2">
        <f>X10/'Output-Calculation-sheet'!X9*'Output-Calculation-sheet'!X45</f>
        <v>1317.4011109176965</v>
      </c>
      <c r="Y54" s="2">
        <f>Y10/'Output-Calculation-sheet'!Y9*'Output-Calculation-sheet'!Y45</f>
        <v>9.9012189005818438</v>
      </c>
      <c r="AA54" s="2">
        <f t="shared" si="3"/>
        <v>74.467930047877488</v>
      </c>
    </row>
    <row r="55" spans="1:27" x14ac:dyDescent="0.25">
      <c r="A55" s="2">
        <v>2034</v>
      </c>
      <c r="B55" s="2">
        <f>B11/'Output-Calculation-sheet'!B10*'Output-Calculation-sheet'!B46</f>
        <v>12743.915352964139</v>
      </c>
      <c r="C55" s="2">
        <f>C11/'Output-Calculation-sheet'!C10*'Output-Calculation-sheet'!C46</f>
        <v>0</v>
      </c>
      <c r="D55" s="2">
        <f>D11/'Output-Calculation-sheet'!D10*'Output-Calculation-sheet'!D46</f>
        <v>4072.0746138253039</v>
      </c>
      <c r="E55" s="2">
        <f>E11/'Output-Calculation-sheet'!E10*'Output-Calculation-sheet'!E46</f>
        <v>2668.4564682911973</v>
      </c>
      <c r="F55" s="2">
        <f>F11/'Output-Calculation-sheet'!F10*'Output-Calculation-sheet'!F46</f>
        <v>0</v>
      </c>
      <c r="G55" s="2">
        <f>G11/'Output-Calculation-sheet'!G10*'Output-Calculation-sheet'!G46</f>
        <v>1025.0811610486612</v>
      </c>
      <c r="H55" s="2">
        <f>H11/'Output-Calculation-sheet'!H10*'Output-Calculation-sheet'!H46</f>
        <v>16955.984763970406</v>
      </c>
      <c r="I55" s="2">
        <f>I11/'Output-Calculation-sheet'!I10*'Output-Calculation-sheet'!I46</f>
        <v>460.99965129631249</v>
      </c>
      <c r="J55" s="2">
        <f>J11/'Output-Calculation-sheet'!J10*'Output-Calculation-sheet'!J46</f>
        <v>1596.8340525543867</v>
      </c>
      <c r="K55" s="2">
        <f>K11/'Output-Calculation-sheet'!K10*'Output-Calculation-sheet'!K46</f>
        <v>2718.5405530386861</v>
      </c>
      <c r="L55" s="2">
        <f>L11/'Output-Calculation-sheet'!L10*'Output-Calculation-sheet'!L46</f>
        <v>2593.9838159348838</v>
      </c>
      <c r="M55" s="2">
        <f>M11/'Output-Calculation-sheet'!M10*'Output-Calculation-sheet'!M46</f>
        <v>12589.834068767197</v>
      </c>
      <c r="N55" s="2">
        <f>N11/'Output-Calculation-sheet'!N10*'Output-Calculation-sheet'!N46</f>
        <v>9267.7479701239281</v>
      </c>
      <c r="O55" s="2">
        <f>O11/'Output-Calculation-sheet'!O10*'Output-Calculation-sheet'!O46</f>
        <v>0</v>
      </c>
      <c r="P55" s="2">
        <f>P11/'Output-Calculation-sheet'!P10*'Output-Calculation-sheet'!P46</f>
        <v>2155.9426846003753</v>
      </c>
      <c r="Q55" s="2">
        <f>Q11/'Output-Calculation-sheet'!Q10*'Output-Calculation-sheet'!Q46</f>
        <v>1206.2231853723686</v>
      </c>
      <c r="R55" s="2">
        <f>R11/'Output-Calculation-sheet'!R10*'Output-Calculation-sheet'!R46</f>
        <v>3019.6635003244896</v>
      </c>
      <c r="S55" s="2">
        <f>S11/'Output-Calculation-sheet'!S10*'Output-Calculation-sheet'!S46</f>
        <v>1944.0958115019273</v>
      </c>
      <c r="T55" s="2">
        <f>T11/'Output-Calculation-sheet'!T10*'Output-Calculation-sheet'!T46</f>
        <v>998.43641877942878</v>
      </c>
      <c r="U55" s="2">
        <f>U11/'Output-Calculation-sheet'!U10*'Output-Calculation-sheet'!U46</f>
        <v>474.03352055259654</v>
      </c>
      <c r="V55" s="2">
        <f>V11/'Output-Calculation-sheet'!V10*'Output-Calculation-sheet'!V46</f>
        <v>872.18815515363019</v>
      </c>
      <c r="W55" s="2">
        <f>W11/'Output-Calculation-sheet'!W10*'Output-Calculation-sheet'!W46</f>
        <v>43.87340634232838</v>
      </c>
      <c r="X55" s="2">
        <f>X11/'Output-Calculation-sheet'!X10*'Output-Calculation-sheet'!X46</f>
        <v>1219.9720865866589</v>
      </c>
      <c r="Y55" s="2">
        <f>Y11/'Output-Calculation-sheet'!Y10*'Output-Calculation-sheet'!Y46</f>
        <v>14.467535376566419</v>
      </c>
      <c r="AA55" s="2">
        <f t="shared" si="3"/>
        <v>78.642348776405456</v>
      </c>
    </row>
    <row r="56" spans="1:27" x14ac:dyDescent="0.25">
      <c r="A56" s="2">
        <v>2035</v>
      </c>
      <c r="B56" s="2">
        <f>B12/'Output-Calculation-sheet'!B11*'Output-Calculation-sheet'!B47</f>
        <v>18613.580357522376</v>
      </c>
      <c r="C56" s="2">
        <f>C12/'Output-Calculation-sheet'!C11*'Output-Calculation-sheet'!C47</f>
        <v>1104.3025482240407</v>
      </c>
      <c r="D56" s="2">
        <f>D12/'Output-Calculation-sheet'!D11*'Output-Calculation-sheet'!D47</f>
        <v>3974.0430022408418</v>
      </c>
      <c r="E56" s="2">
        <f>E12/'Output-Calculation-sheet'!E11*'Output-Calculation-sheet'!E47</f>
        <v>2866.7684101481709</v>
      </c>
      <c r="F56" s="2">
        <f>F12/'Output-Calculation-sheet'!F11*'Output-Calculation-sheet'!F47</f>
        <v>61.11866932976185</v>
      </c>
      <c r="G56" s="2">
        <f>G12/'Output-Calculation-sheet'!G11*'Output-Calculation-sheet'!G47</f>
        <v>1052.7320190733749</v>
      </c>
      <c r="H56" s="2">
        <f>H12/'Output-Calculation-sheet'!H11*'Output-Calculation-sheet'!H47</f>
        <v>14723.595673090349</v>
      </c>
      <c r="I56" s="2">
        <f>I12/'Output-Calculation-sheet'!I11*'Output-Calculation-sheet'!I47</f>
        <v>453.70834928616654</v>
      </c>
      <c r="J56" s="2">
        <f>J12/'Output-Calculation-sheet'!J11*'Output-Calculation-sheet'!J47</f>
        <v>1483.7258793695273</v>
      </c>
      <c r="K56" s="2">
        <f>K12/'Output-Calculation-sheet'!K11*'Output-Calculation-sheet'!K47</f>
        <v>2442.8873974279709</v>
      </c>
      <c r="L56" s="2">
        <f>L12/'Output-Calculation-sheet'!L11*'Output-Calculation-sheet'!L47</f>
        <v>2512.8739754577146</v>
      </c>
      <c r="M56" s="2">
        <f>M12/'Output-Calculation-sheet'!M11*'Output-Calculation-sheet'!M47</f>
        <v>10891.485691220683</v>
      </c>
      <c r="N56" s="2">
        <f>N12/'Output-Calculation-sheet'!N11*'Output-Calculation-sheet'!N47</f>
        <v>8348.1376947092795</v>
      </c>
      <c r="O56" s="2">
        <f>O12/'Output-Calculation-sheet'!O11*'Output-Calculation-sheet'!O47</f>
        <v>522.93217486052845</v>
      </c>
      <c r="P56" s="2">
        <f>P12/'Output-Calculation-sheet'!P11*'Output-Calculation-sheet'!P47</f>
        <v>1924.7252649365428</v>
      </c>
      <c r="Q56" s="2">
        <f>Q12/'Output-Calculation-sheet'!Q11*'Output-Calculation-sheet'!Q47</f>
        <v>1485.5051474988384</v>
      </c>
      <c r="R56" s="2">
        <f>R12/'Output-Calculation-sheet'!R11*'Output-Calculation-sheet'!R47</f>
        <v>2646.685872155243</v>
      </c>
      <c r="S56" s="2">
        <f>S12/'Output-Calculation-sheet'!S11*'Output-Calculation-sheet'!S47</f>
        <v>2265.047547607478</v>
      </c>
      <c r="T56" s="2">
        <f>T12/'Output-Calculation-sheet'!T11*'Output-Calculation-sheet'!T47</f>
        <v>923.75545336938046</v>
      </c>
      <c r="U56" s="2">
        <f>U12/'Output-Calculation-sheet'!U11*'Output-Calculation-sheet'!U47</f>
        <v>461.91690212640844</v>
      </c>
      <c r="V56" s="2">
        <f>V12/'Output-Calculation-sheet'!V11*'Output-Calculation-sheet'!V47</f>
        <v>765.01231996314607</v>
      </c>
      <c r="W56" s="2">
        <f>W12/'Output-Calculation-sheet'!W11*'Output-Calculation-sheet'!W47</f>
        <v>48.27520848112642</v>
      </c>
      <c r="X56" s="2">
        <f>X12/'Output-Calculation-sheet'!X11*'Output-Calculation-sheet'!X47</f>
        <v>1056.8969731398663</v>
      </c>
      <c r="Y56" s="2">
        <f>Y12/'Output-Calculation-sheet'!Y11*'Output-Calculation-sheet'!Y47</f>
        <v>18.572233968780893</v>
      </c>
      <c r="AA56" s="2">
        <f t="shared" si="3"/>
        <v>80.648284765207592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6.8160024703944453</v>
      </c>
      <c r="C63" s="2">
        <f>C8*'Output-Calculation-sheet'!C52/10^9</f>
        <v>4.1875944918735843</v>
      </c>
      <c r="D63" s="2">
        <f>D8*'Output-Calculation-sheet'!D52/10^9</f>
        <v>1.4753697258603278</v>
      </c>
      <c r="E63" s="2">
        <f>E8*'Output-Calculation-sheet'!E52/10^9</f>
        <v>1.7643289932949531</v>
      </c>
      <c r="F63" s="2">
        <f>F8*'Output-Calculation-sheet'!F52/10^9</f>
        <v>0.68500052549245893</v>
      </c>
      <c r="G63" s="2">
        <f>G8*'Output-Calculation-sheet'!G52/10^9</f>
        <v>0.48347574429443896</v>
      </c>
      <c r="H63" s="2">
        <f>H8*'Output-Calculation-sheet'!H52/10^9</f>
        <v>1.2881649912218425</v>
      </c>
      <c r="I63" s="2">
        <f>I8*'Output-Calculation-sheet'!I52/10^9</f>
        <v>0.47367523722712612</v>
      </c>
      <c r="J63" s="2">
        <f>J8*'Output-Calculation-sheet'!J52/10^9</f>
        <v>0.49314366269370818</v>
      </c>
      <c r="K63" s="2">
        <f>K8*'Output-Calculation-sheet'!K52/10^9</f>
        <v>0.59487339969100883</v>
      </c>
      <c r="L63" s="2">
        <f>L8*'Output-Calculation-sheet'!L52/10^9</f>
        <v>0.62096089813121624</v>
      </c>
      <c r="M63" s="2">
        <f>M8*'Output-Calculation-sheet'!M52/10^9</f>
        <v>0.97203707219748547</v>
      </c>
      <c r="N63" s="2">
        <f>N8*'Output-Calculation-sheet'!N52/10^9</f>
        <v>0.83584485491335681</v>
      </c>
      <c r="O63" s="2">
        <f>O8*'Output-Calculation-sheet'!O52/10^9</f>
        <v>0.87647384927693839</v>
      </c>
      <c r="P63" s="2">
        <f>P8*'Output-Calculation-sheet'!P52/10^9</f>
        <v>0.53363956984326943</v>
      </c>
      <c r="Q63" s="2">
        <f>Q8*'Output-Calculation-sheet'!Q52/10^9</f>
        <v>0.58099498206866496</v>
      </c>
      <c r="R63" s="2">
        <f>R8*'Output-Calculation-sheet'!R52/10^9</f>
        <v>0.44817425972017827</v>
      </c>
      <c r="S63" s="2">
        <f>S8*'Output-Calculation-sheet'!S52/10^9</f>
        <v>0.42682101782443882</v>
      </c>
      <c r="T63" s="2">
        <f>T8*'Output-Calculation-sheet'!T52/10^9</f>
        <v>0.13889270499435602</v>
      </c>
      <c r="U63" s="2">
        <f>U8*'Output-Calculation-sheet'!U52/10^9</f>
        <v>0.13544791432737743</v>
      </c>
      <c r="V63" s="2">
        <f>V8*'Output-Calculation-sheet'!V52/10^9</f>
        <v>0.11548779123001486</v>
      </c>
      <c r="W63" s="2">
        <f>W8*'Output-Calculation-sheet'!W52/10^9</f>
        <v>5.949187335490988E-2</v>
      </c>
      <c r="X63" s="2">
        <f>X8*'Output-Calculation-sheet'!X52/10^9</f>
        <v>0.11247399276384536</v>
      </c>
      <c r="Y63" s="2">
        <f>Y8*'Output-Calculation-sheet'!Y52/10^9</f>
        <v>5.4184790118773217E-2</v>
      </c>
      <c r="AA63" s="2">
        <f t="shared" si="4"/>
        <v>24.172554812808716</v>
      </c>
    </row>
    <row r="64" spans="1:27" x14ac:dyDescent="0.25">
      <c r="A64" s="2">
        <v>2032</v>
      </c>
      <c r="B64" s="2">
        <f>B9*'Output-Calculation-sheet'!B53/10^9</f>
        <v>7.0365386173157249</v>
      </c>
      <c r="C64" s="2">
        <f>C9*'Output-Calculation-sheet'!C53/10^9</f>
        <v>4.3218895774304631</v>
      </c>
      <c r="D64" s="2">
        <f>D9*'Output-Calculation-sheet'!D53/10^9</f>
        <v>1.5241608755479596</v>
      </c>
      <c r="E64" s="2">
        <f>E9*'Output-Calculation-sheet'!E53/10^9</f>
        <v>1.8235692285286631</v>
      </c>
      <c r="F64" s="2">
        <f>F9*'Output-Calculation-sheet'!F53/10^9</f>
        <v>0.70801268097592307</v>
      </c>
      <c r="G64" s="2">
        <f>G9*'Output-Calculation-sheet'!G53/10^9</f>
        <v>0.4996965119195636</v>
      </c>
      <c r="H64" s="2">
        <f>H9*'Output-Calculation-sheet'!H53/10^9</f>
        <v>1.3181339834930053</v>
      </c>
      <c r="I64" s="2">
        <f>I9*'Output-Calculation-sheet'!I53/10^9</f>
        <v>0.48973385564475036</v>
      </c>
      <c r="J64" s="2">
        <f>J9*'Output-Calculation-sheet'!J53/10^9</f>
        <v>0.50916548353505109</v>
      </c>
      <c r="K64" s="2">
        <f>K9*'Output-Calculation-sheet'!K53/10^9</f>
        <v>0.61332878101072075</v>
      </c>
      <c r="L64" s="2">
        <f>L9*'Output-Calculation-sheet'!L53/10^9</f>
        <v>0.63747847736370888</v>
      </c>
      <c r="M64" s="2">
        <f>M9*'Output-Calculation-sheet'!M53/10^9</f>
        <v>0.9812036442368739</v>
      </c>
      <c r="N64" s="2">
        <f>N9*'Output-Calculation-sheet'!N53/10^9</f>
        <v>0.85050709382214273</v>
      </c>
      <c r="O64" s="2">
        <f>O9*'Output-Calculation-sheet'!O53/10^9</f>
        <v>0.90455122658981335</v>
      </c>
      <c r="P64" s="2">
        <f>P9*'Output-Calculation-sheet'!P53/10^9</f>
        <v>0.55074912039456492</v>
      </c>
      <c r="Q64" s="2">
        <f>Q9*'Output-Calculation-sheet'!Q53/10^9</f>
        <v>0.60055720832797632</v>
      </c>
      <c r="R64" s="2">
        <f>R9*'Output-Calculation-sheet'!R53/10^9</f>
        <v>0.46103379688806728</v>
      </c>
      <c r="S64" s="2">
        <f>S9*'Output-Calculation-sheet'!S53/10^9</f>
        <v>0.43977314607515477</v>
      </c>
      <c r="T64" s="2">
        <f>T9*'Output-Calculation-sheet'!T53/10^9</f>
        <v>0.1428913391902345</v>
      </c>
      <c r="U64" s="2">
        <f>U9*'Output-Calculation-sheet'!U53/10^9</f>
        <v>0.1399031755936811</v>
      </c>
      <c r="V64" s="2">
        <f>V9*'Output-Calculation-sheet'!V53/10^9</f>
        <v>0.11865229593871594</v>
      </c>
      <c r="W64" s="2">
        <f>W9*'Output-Calculation-sheet'!W53/10^9</f>
        <v>6.1496836887623529E-2</v>
      </c>
      <c r="X64" s="2">
        <f>X9*'Output-Calculation-sheet'!X53/10^9</f>
        <v>0.11435256994272386</v>
      </c>
      <c r="Y64" s="2">
        <f>Y9*'Output-Calculation-sheet'!Y53/10^9</f>
        <v>5.6074211611280907E-2</v>
      </c>
      <c r="AA64" s="2">
        <f t="shared" si="4"/>
        <v>24.903453738264385</v>
      </c>
    </row>
    <row r="65" spans="1:27" x14ac:dyDescent="0.25">
      <c r="A65" s="2">
        <v>2033</v>
      </c>
      <c r="B65" s="2">
        <f>B10*'Output-Calculation-sheet'!B54/10^9</f>
        <v>6.7894627904644409</v>
      </c>
      <c r="C65" s="2">
        <f>C10*'Output-Calculation-sheet'!C54/10^9</f>
        <v>4.1723799164111597</v>
      </c>
      <c r="D65" s="2">
        <f>D10*'Output-Calculation-sheet'!D54/10^9</f>
        <v>1.4727304697240493</v>
      </c>
      <c r="E65" s="2">
        <f>E10*'Output-Calculation-sheet'!E54/10^9</f>
        <v>1.7632288540700147</v>
      </c>
      <c r="F65" s="2">
        <f>F10*'Output-Calculation-sheet'!F54/10^9</f>
        <v>0.68469511432360874</v>
      </c>
      <c r="G65" s="2">
        <f>G10*'Output-Calculation-sheet'!G54/10^9</f>
        <v>0.48311707993783193</v>
      </c>
      <c r="H65" s="2">
        <f>H10*'Output-Calculation-sheet'!H54/10^9</f>
        <v>1.2506957361070972</v>
      </c>
      <c r="I65" s="2">
        <f>I10*'Output-Calculation-sheet'!I54/10^9</f>
        <v>0.47369357074218388</v>
      </c>
      <c r="J65" s="2">
        <f>J10*'Output-Calculation-sheet'!J54/10^9</f>
        <v>0.49180108271750322</v>
      </c>
      <c r="K65" s="2">
        <f>K10*'Output-Calculation-sheet'!K54/10^9</f>
        <v>0.59152576532781298</v>
      </c>
      <c r="L65" s="2">
        <f>L10*'Output-Calculation-sheet'!L54/10^9</f>
        <v>0.61179758394679584</v>
      </c>
      <c r="M65" s="2">
        <f>M10*'Output-Calculation-sheet'!M54/10^9</f>
        <v>0.92599107774076339</v>
      </c>
      <c r="N65" s="2">
        <f>N10*'Output-Calculation-sheet'!N54/10^9</f>
        <v>0.80805320754936483</v>
      </c>
      <c r="O65" s="2">
        <f>O10*'Output-Calculation-sheet'!O54/10^9</f>
        <v>0.87325487168247651</v>
      </c>
      <c r="P65" s="2">
        <f>P10*'Output-Calculation-sheet'!P54/10^9</f>
        <v>0.53161189434268796</v>
      </c>
      <c r="Q65" s="2">
        <f>Q10*'Output-Calculation-sheet'!Q54/10^9</f>
        <v>0.58029651512257163</v>
      </c>
      <c r="R65" s="2">
        <f>R10*'Output-Calculation-sheet'!R54/10^9</f>
        <v>0.44370864246031849</v>
      </c>
      <c r="S65" s="2">
        <f>S10*'Output-Calculation-sheet'!S54/10^9</f>
        <v>0.42311568948609019</v>
      </c>
      <c r="T65" s="2">
        <f>T10*'Output-Calculation-sheet'!T54/10^9</f>
        <v>0.13750585921499572</v>
      </c>
      <c r="U65" s="2">
        <f>U10*'Output-Calculation-sheet'!U54/10^9</f>
        <v>0.13516963483556352</v>
      </c>
      <c r="V65" s="2">
        <f>V10*'Output-Calculation-sheet'!V54/10^9</f>
        <v>0.1140569529715519</v>
      </c>
      <c r="W65" s="2">
        <f>W10*'Output-Calculation-sheet'!W54/10^9</f>
        <v>5.9470929443929156E-2</v>
      </c>
      <c r="X65" s="2">
        <f>X10*'Output-Calculation-sheet'!X54/10^9</f>
        <v>0.10835569566815888</v>
      </c>
      <c r="Y65" s="2">
        <f>Y10*'Output-Calculation-sheet'!Y54/10^9</f>
        <v>5.4286452725508909E-2</v>
      </c>
      <c r="AA65" s="2">
        <f t="shared" si="4"/>
        <v>23.980005387016483</v>
      </c>
    </row>
    <row r="66" spans="1:27" x14ac:dyDescent="0.25">
      <c r="A66" s="2">
        <v>2034</v>
      </c>
      <c r="B66" s="2">
        <f>B11*'Output-Calculation-sheet'!B55/10^9</f>
        <v>6.1392682586143286</v>
      </c>
      <c r="C66" s="2">
        <f>C11*'Output-Calculation-sheet'!C55/10^9</f>
        <v>3.7793184318435542</v>
      </c>
      <c r="D66" s="2">
        <f>D11*'Output-Calculation-sheet'!D55/10^9</f>
        <v>1.3353449756297537</v>
      </c>
      <c r="E66" s="2">
        <f>E11*'Output-Calculation-sheet'!E55/10^9</f>
        <v>1.5998667302275238</v>
      </c>
      <c r="F66" s="2">
        <f>F11*'Output-Calculation-sheet'!F55/10^9</f>
        <v>0.62141691476266769</v>
      </c>
      <c r="G66" s="2">
        <f>G11*'Output-Calculation-sheet'!G55/10^9</f>
        <v>0.43827577591432026</v>
      </c>
      <c r="H66" s="2">
        <f>H11*'Output-Calculation-sheet'!H55/10^9</f>
        <v>1.1079297425182362</v>
      </c>
      <c r="I66" s="2">
        <f>I11*'Output-Calculation-sheet'!I55/10^9</f>
        <v>0.42991699592445065</v>
      </c>
      <c r="J66" s="2">
        <f>J11*'Output-Calculation-sheet'!J55/10^9</f>
        <v>0.44562499759776486</v>
      </c>
      <c r="K66" s="2">
        <f>K11*'Output-Calculation-sheet'!K55/10^9</f>
        <v>0.53529737629005902</v>
      </c>
      <c r="L66" s="2">
        <f>L11*'Output-Calculation-sheet'!L55/10^9</f>
        <v>0.55056919695116791</v>
      </c>
      <c r="M66" s="2">
        <f>M11*'Output-Calculation-sheet'!M55/10^9</f>
        <v>0.81924560271330127</v>
      </c>
      <c r="N66" s="2">
        <f>N11*'Output-Calculation-sheet'!N55/10^9</f>
        <v>0.71951422856890324</v>
      </c>
      <c r="O66" s="2">
        <f>O11*'Output-Calculation-sheet'!O55/10^9</f>
        <v>0.79101647794406627</v>
      </c>
      <c r="P66" s="2">
        <f>P11*'Output-Calculation-sheet'!P55/10^9</f>
        <v>0.48138433167161226</v>
      </c>
      <c r="Q66" s="2">
        <f>Q11*'Output-Calculation-sheet'!Q55/10^9</f>
        <v>0.52545402285766429</v>
      </c>
      <c r="R66" s="2">
        <f>R11*'Output-Calculation-sheet'!R55/10^9</f>
        <v>0.40078774369189807</v>
      </c>
      <c r="S66" s="2">
        <f>S11*'Output-Calculation-sheet'!S55/10^9</f>
        <v>0.38112447051501136</v>
      </c>
      <c r="T66" s="2">
        <f>T11*'Output-Calculation-sheet'!T55/10^9</f>
        <v>0.12415263294728902</v>
      </c>
      <c r="U66" s="2">
        <f>U11*'Output-Calculation-sheet'!U55/10^9</f>
        <v>0.12252923380035108</v>
      </c>
      <c r="V66" s="2">
        <f>V11*'Output-Calculation-sheet'!V55/10^9</f>
        <v>0.10289607445019608</v>
      </c>
      <c r="W66" s="2">
        <f>W11*'Output-Calculation-sheet'!W55/10^9</f>
        <v>5.3966780304474223E-2</v>
      </c>
      <c r="X66" s="2">
        <f>X11*'Output-Calculation-sheet'!X55/10^9</f>
        <v>9.627567024030162E-2</v>
      </c>
      <c r="Y66" s="2">
        <f>Y11*'Output-Calculation-sheet'!Y55/10^9</f>
        <v>4.9323537163238618E-2</v>
      </c>
      <c r="AA66" s="2">
        <f t="shared" si="4"/>
        <v>21.650500203142141</v>
      </c>
    </row>
    <row r="67" spans="1:27" x14ac:dyDescent="0.25">
      <c r="A67" s="2">
        <v>2035</v>
      </c>
      <c r="B67" s="2">
        <f>B12*'Output-Calculation-sheet'!B56/10^9</f>
        <v>5.1909380630981872</v>
      </c>
      <c r="C67" s="2">
        <f>C12*'Output-Calculation-sheet'!C56/10^9</f>
        <v>3.2064660964408485</v>
      </c>
      <c r="D67" s="2">
        <f>D12*'Output-Calculation-sheet'!D56/10^9</f>
        <v>1.1341995787823265</v>
      </c>
      <c r="E67" s="2">
        <f>E12*'Output-Calculation-sheet'!E56/10^9</f>
        <v>1.3600027741417444</v>
      </c>
      <c r="F67" s="2">
        <f>F12*'Output-Calculation-sheet'!F56/10^9</f>
        <v>0.52843256591730681</v>
      </c>
      <c r="G67" s="2">
        <f>G12*'Output-Calculation-sheet'!G56/10^9</f>
        <v>0.37248362953595299</v>
      </c>
      <c r="H67" s="2">
        <f>H12*'Output-Calculation-sheet'!H56/10^9</f>
        <v>0.91867693606580814</v>
      </c>
      <c r="I67" s="2">
        <f>I12*'Output-Calculation-sheet'!I56/10^9</f>
        <v>0.36557499777509528</v>
      </c>
      <c r="J67" s="2">
        <f>J12*'Output-Calculation-sheet'!J56/10^9</f>
        <v>0.37834404431230068</v>
      </c>
      <c r="K67" s="2">
        <f>K12*'Output-Calculation-sheet'!K56/10^9</f>
        <v>0.45376890315416679</v>
      </c>
      <c r="L67" s="2">
        <f>L12*'Output-Calculation-sheet'!L56/10^9</f>
        <v>0.46383358199351193</v>
      </c>
      <c r="M67" s="2">
        <f>M12*'Output-Calculation-sheet'!M56/10^9</f>
        <v>0.67840422891752383</v>
      </c>
      <c r="N67" s="2">
        <f>N12*'Output-Calculation-sheet'!N56/10^9</f>
        <v>0.59945507092733696</v>
      </c>
      <c r="O67" s="2">
        <f>O12*'Output-Calculation-sheet'!O56/10^9</f>
        <v>0.67079299992084251</v>
      </c>
      <c r="P67" s="2">
        <f>P12*'Output-Calculation-sheet'!P56/10^9</f>
        <v>0.40842446585705294</v>
      </c>
      <c r="Q67" s="2">
        <f>Q12*'Output-Calculation-sheet'!Q56/10^9</f>
        <v>0.44503635421878046</v>
      </c>
      <c r="R67" s="2">
        <f>R12*'Output-Calculation-sheet'!R56/10^9</f>
        <v>0.33923006165368386</v>
      </c>
      <c r="S67" s="2">
        <f>S12*'Output-Calculation-sheet'!S56/10^9</f>
        <v>0.32081097189263036</v>
      </c>
      <c r="T67" s="2">
        <f>T12*'Output-Calculation-sheet'!T56/10^9</f>
        <v>0.10501373320623125</v>
      </c>
      <c r="U67" s="2">
        <f>U12*'Output-Calculation-sheet'!U56/10^9</f>
        <v>0.10406174899387023</v>
      </c>
      <c r="V67" s="2">
        <f>V12*'Output-Calculation-sheet'!V56/10^9</f>
        <v>8.6966315049636603E-2</v>
      </c>
      <c r="W67" s="2">
        <f>W12*'Output-Calculation-sheet'!W56/10^9</f>
        <v>4.5882681212788601E-2</v>
      </c>
      <c r="X67" s="2">
        <f>X12*'Output-Calculation-sheet'!X56/10^9</f>
        <v>8.0066804162791896E-2</v>
      </c>
      <c r="Y67" s="2">
        <f>Y12*'Output-Calculation-sheet'!Y56/10^9</f>
        <v>4.1989227479362547E-2</v>
      </c>
      <c r="AA67" s="2">
        <f t="shared" si="4"/>
        <v>18.29885583470978</v>
      </c>
    </row>
    <row r="68" spans="1:27" x14ac:dyDescent="0.25">
      <c r="B68" s="2">
        <f>SUM(B60:B67)</f>
        <v>46.830625520644531</v>
      </c>
      <c r="C68" s="2">
        <f t="shared" ref="C68:Y68" si="5">SUM(C60:C67)</f>
        <v>28.776725429475913</v>
      </c>
      <c r="D68" s="2">
        <f t="shared" si="5"/>
        <v>10.16183362781759</v>
      </c>
      <c r="E68" s="2">
        <f t="shared" si="5"/>
        <v>12.159751287249158</v>
      </c>
      <c r="F68" s="2">
        <f t="shared" si="5"/>
        <v>4.7223837238427411</v>
      </c>
      <c r="G68" s="2">
        <f t="shared" si="5"/>
        <v>3.3310143454925853</v>
      </c>
      <c r="H68" s="2">
        <f t="shared" si="5"/>
        <v>8.7054113422374453</v>
      </c>
      <c r="I68" s="2">
        <f t="shared" si="5"/>
        <v>3.2647250780437487</v>
      </c>
      <c r="J68" s="2">
        <f t="shared" si="5"/>
        <v>3.3966313634761103</v>
      </c>
      <c r="K68" s="2">
        <f t="shared" si="5"/>
        <v>4.0967926498729055</v>
      </c>
      <c r="L68" s="2">
        <f t="shared" si="5"/>
        <v>4.2587981846774046</v>
      </c>
      <c r="M68" s="2">
        <f t="shared" si="5"/>
        <v>6.6232712035800025</v>
      </c>
      <c r="N68" s="2">
        <f t="shared" si="5"/>
        <v>5.6775831578119753</v>
      </c>
      <c r="O68" s="2">
        <f t="shared" si="5"/>
        <v>6.0227537927369488</v>
      </c>
      <c r="P68" s="2">
        <f t="shared" si="5"/>
        <v>3.6734481180116147</v>
      </c>
      <c r="Q68" s="2">
        <f t="shared" si="5"/>
        <v>3.9984689141823413</v>
      </c>
      <c r="R68" s="2">
        <f t="shared" si="5"/>
        <v>3.0875679840143153</v>
      </c>
      <c r="S68" s="2">
        <f t="shared" si="5"/>
        <v>2.9223059930920612</v>
      </c>
      <c r="T68" s="2">
        <f t="shared" si="5"/>
        <v>0.95646856671683778</v>
      </c>
      <c r="U68" s="2">
        <f t="shared" si="5"/>
        <v>0.93271740153239258</v>
      </c>
      <c r="V68" s="2">
        <f t="shared" si="5"/>
        <v>0.79590134793198275</v>
      </c>
      <c r="W68" s="2">
        <f t="shared" si="5"/>
        <v>0.41003561187387849</v>
      </c>
      <c r="X68" s="2">
        <f t="shared" si="5"/>
        <v>0.75868839057651638</v>
      </c>
      <c r="Y68" s="2">
        <f t="shared" si="5"/>
        <v>0.37371188063032185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404.17455279423342</v>
      </c>
      <c r="C74" s="2">
        <f>C8/'Output-Calculation-sheet'!C7*'Output-Calculation-sheet'!C61</f>
        <v>0</v>
      </c>
      <c r="D74" s="2">
        <f>D8/'Output-Calculation-sheet'!D7*'Output-Calculation-sheet'!D61</f>
        <v>661.39445403391665</v>
      </c>
      <c r="E74" s="2">
        <f>E8/'Output-Calculation-sheet'!E7*'Output-Calculation-sheet'!E61</f>
        <v>490.85627714484309</v>
      </c>
      <c r="F74" s="2">
        <f>F8/'Output-Calculation-sheet'!F7*'Output-Calculation-sheet'!F61</f>
        <v>0</v>
      </c>
      <c r="G74" s="2">
        <f>G8/'Output-Calculation-sheet'!G7*'Output-Calculation-sheet'!G61</f>
        <v>223.50079906775994</v>
      </c>
      <c r="H74" s="2">
        <f>H8/'Output-Calculation-sheet'!H7*'Output-Calculation-sheet'!H61</f>
        <v>1073.4016112494837</v>
      </c>
      <c r="I74" s="2">
        <f>I8/'Output-Calculation-sheet'!I7*'Output-Calculation-sheet'!I61</f>
        <v>78.798852058526364</v>
      </c>
      <c r="J74" s="2">
        <f>J8/'Output-Calculation-sheet'!J7*'Output-Calculation-sheet'!J61</f>
        <v>328.52937024004382</v>
      </c>
      <c r="K74" s="2">
        <f>K8/'Output-Calculation-sheet'!K7*'Output-Calculation-sheet'!K61</f>
        <v>551.73845025536048</v>
      </c>
      <c r="L74" s="2">
        <f>L8/'Output-Calculation-sheet'!L7*'Output-Calculation-sheet'!L61</f>
        <v>478.67899675763147</v>
      </c>
      <c r="M74" s="2">
        <f>M8/'Output-Calculation-sheet'!M7*'Output-Calculation-sheet'!M61</f>
        <v>2397.2784746329817</v>
      </c>
      <c r="N74" s="2">
        <f>N8/'Output-Calculation-sheet'!N7*'Output-Calculation-sheet'!N61</f>
        <v>1352.1850743145333</v>
      </c>
      <c r="O74" s="2">
        <f>O8/'Output-Calculation-sheet'!O7*'Output-Calculation-sheet'!O61</f>
        <v>0</v>
      </c>
      <c r="P74" s="2">
        <f>P8/'Output-Calculation-sheet'!P7*'Output-Calculation-sheet'!P61</f>
        <v>382.16152130205541</v>
      </c>
      <c r="Q74" s="2">
        <f>Q8/'Output-Calculation-sheet'!Q7*'Output-Calculation-sheet'!Q61</f>
        <v>100.75081753742431</v>
      </c>
      <c r="R74" s="2">
        <f>R8/'Output-Calculation-sheet'!R7*'Output-Calculation-sheet'!R61</f>
        <v>664.61473171812452</v>
      </c>
      <c r="S74" s="2">
        <f>S8/'Output-Calculation-sheet'!S7*'Output-Calculation-sheet'!S61</f>
        <v>117.60799015663541</v>
      </c>
      <c r="T74" s="2">
        <f>T8/'Output-Calculation-sheet'!T7*'Output-Calculation-sheet'!T61</f>
        <v>225.09199968418446</v>
      </c>
      <c r="U74" s="2">
        <f>U8/'Output-Calculation-sheet'!U7*'Output-Calculation-sheet'!U61</f>
        <v>89.184035906713603</v>
      </c>
      <c r="V74" s="2">
        <f>V8/'Output-Calculation-sheet'!V7*'Output-Calculation-sheet'!V61</f>
        <v>156.65024609486619</v>
      </c>
      <c r="W74" s="2">
        <f>W8/'Output-Calculation-sheet'!W7*'Output-Calculation-sheet'!W61</f>
        <v>3.7270968207821045</v>
      </c>
      <c r="X74" s="2">
        <f>X8/'Output-Calculation-sheet'!X7*'Output-Calculation-sheet'!X61</f>
        <v>133.86441459580135</v>
      </c>
      <c r="Y74" s="2">
        <f>Y8/'Output-Calculation-sheet'!Y7*'Output-Calculation-sheet'!Y61</f>
        <v>0</v>
      </c>
      <c r="AA74" s="2">
        <f t="shared" si="6"/>
        <v>9.9141897663658991</v>
      </c>
    </row>
    <row r="75" spans="1:27" x14ac:dyDescent="0.25">
      <c r="A75" s="2">
        <v>2032</v>
      </c>
      <c r="B75" s="2">
        <f>B9/'Output-Calculation-sheet'!B8*'Output-Calculation-sheet'!B62</f>
        <v>1030.0965226320523</v>
      </c>
      <c r="C75" s="2">
        <f>C9/'Output-Calculation-sheet'!C8*'Output-Calculation-sheet'!C62</f>
        <v>0</v>
      </c>
      <c r="D75" s="2">
        <f>D9/'Output-Calculation-sheet'!D8*'Output-Calculation-sheet'!D62</f>
        <v>842.62225083815906</v>
      </c>
      <c r="E75" s="2">
        <f>E9/'Output-Calculation-sheet'!E8*'Output-Calculation-sheet'!E62</f>
        <v>592.54138296086796</v>
      </c>
      <c r="F75" s="2">
        <f>F9/'Output-Calculation-sheet'!F8*'Output-Calculation-sheet'!F62</f>
        <v>0</v>
      </c>
      <c r="G75" s="2">
        <f>G9/'Output-Calculation-sheet'!G8*'Output-Calculation-sheet'!G62</f>
        <v>273.77328838537971</v>
      </c>
      <c r="H75" s="2">
        <f>H9/'Output-Calculation-sheet'!H8*'Output-Calculation-sheet'!H62</f>
        <v>1932.7624529274981</v>
      </c>
      <c r="I75" s="2">
        <f>I9/'Output-Calculation-sheet'!I8*'Output-Calculation-sheet'!I62</f>
        <v>117.06451374764488</v>
      </c>
      <c r="J75" s="2">
        <f>J9/'Output-Calculation-sheet'!J8*'Output-Calculation-sheet'!J62</f>
        <v>383.68608941525832</v>
      </c>
      <c r="K75" s="2">
        <f>K9/'Output-Calculation-sheet'!K8*'Output-Calculation-sheet'!K62</f>
        <v>601.74308326255743</v>
      </c>
      <c r="L75" s="2">
        <f>L9/'Output-Calculation-sheet'!L8*'Output-Calculation-sheet'!L62</f>
        <v>522.52806806593003</v>
      </c>
      <c r="M75" s="2">
        <f>M9/'Output-Calculation-sheet'!M8*'Output-Calculation-sheet'!M62</f>
        <v>2515.8530473748492</v>
      </c>
      <c r="N75" s="2">
        <f>N9/'Output-Calculation-sheet'!N8*'Output-Calculation-sheet'!N62</f>
        <v>1626.265347696781</v>
      </c>
      <c r="O75" s="2">
        <f>O9/'Output-Calculation-sheet'!O8*'Output-Calculation-sheet'!O62</f>
        <v>0</v>
      </c>
      <c r="P75" s="2">
        <f>P9/'Output-Calculation-sheet'!P8*'Output-Calculation-sheet'!P62</f>
        <v>448.77712282239122</v>
      </c>
      <c r="Q75" s="2">
        <f>Q9/'Output-Calculation-sheet'!Q8*'Output-Calculation-sheet'!Q62</f>
        <v>159.1667831277035</v>
      </c>
      <c r="R75" s="2">
        <f>R9/'Output-Calculation-sheet'!R8*'Output-Calculation-sheet'!R62</f>
        <v>714.45750174798218</v>
      </c>
      <c r="S75" s="2">
        <f>S9/'Output-Calculation-sheet'!S8*'Output-Calculation-sheet'!S62</f>
        <v>206.86594105588426</v>
      </c>
      <c r="T75" s="2">
        <f>T9/'Output-Calculation-sheet'!T8*'Output-Calculation-sheet'!T62</f>
        <v>239.19816244853294</v>
      </c>
      <c r="U75" s="2">
        <f>U9/'Output-Calculation-sheet'!U8*'Output-Calculation-sheet'!U62</f>
        <v>111.27569614339589</v>
      </c>
      <c r="V75" s="2">
        <f>V9/'Output-Calculation-sheet'!V8*'Output-Calculation-sheet'!V62</f>
        <v>165.96254487150415</v>
      </c>
      <c r="W75" s="2">
        <f>W9/'Output-Calculation-sheet'!W8*'Output-Calculation-sheet'!W62</f>
        <v>9.0423366175053257</v>
      </c>
      <c r="X75" s="2">
        <f>X9/'Output-Calculation-sheet'!X8*'Output-Calculation-sheet'!X62</f>
        <v>238.37652833935473</v>
      </c>
      <c r="Y75" s="2">
        <f>Y9/'Output-Calculation-sheet'!Y8*'Output-Calculation-sheet'!Y62</f>
        <v>0</v>
      </c>
      <c r="AA75" s="2">
        <f t="shared" si="6"/>
        <v>12.732058664481231</v>
      </c>
    </row>
    <row r="76" spans="1:27" x14ac:dyDescent="0.25">
      <c r="A76" s="2">
        <v>2033</v>
      </c>
      <c r="B76" s="2">
        <f>B10/'Output-Calculation-sheet'!B9*'Output-Calculation-sheet'!B63</f>
        <v>1808.1422795150288</v>
      </c>
      <c r="C76" s="2">
        <f>C10/'Output-Calculation-sheet'!C9*'Output-Calculation-sheet'!C63</f>
        <v>0</v>
      </c>
      <c r="D76" s="2">
        <f>D10/'Output-Calculation-sheet'!D9*'Output-Calculation-sheet'!D63</f>
        <v>966.80368158987505</v>
      </c>
      <c r="E76" s="2">
        <f>E10/'Output-Calculation-sheet'!E9*'Output-Calculation-sheet'!E63</f>
        <v>717.3100091515754</v>
      </c>
      <c r="F76" s="2">
        <f>F10/'Output-Calculation-sheet'!F9*'Output-Calculation-sheet'!F63</f>
        <v>0</v>
      </c>
      <c r="G76" s="2">
        <f>G10/'Output-Calculation-sheet'!G9*'Output-Calculation-sheet'!G63</f>
        <v>321.69812529460916</v>
      </c>
      <c r="H76" s="2">
        <f>H10/'Output-Calculation-sheet'!H9*'Output-Calculation-sheet'!H63</f>
        <v>3299.1277340805823</v>
      </c>
      <c r="I76" s="2">
        <f>I10/'Output-Calculation-sheet'!I9*'Output-Calculation-sheet'!I63</f>
        <v>149.26775920423333</v>
      </c>
      <c r="J76" s="2">
        <f>J10/'Output-Calculation-sheet'!J9*'Output-Calculation-sheet'!J63</f>
        <v>449.09825713609808</v>
      </c>
      <c r="K76" s="2">
        <f>K10/'Output-Calculation-sheet'!K9*'Output-Calculation-sheet'!K63</f>
        <v>619.81973112157095</v>
      </c>
      <c r="L76" s="2">
        <f>L10/'Output-Calculation-sheet'!L9*'Output-Calculation-sheet'!L63</f>
        <v>573.70406890663867</v>
      </c>
      <c r="M76" s="2">
        <f>M10/'Output-Calculation-sheet'!M9*'Output-Calculation-sheet'!M63</f>
        <v>2467.4832176076793</v>
      </c>
      <c r="N76" s="2">
        <f>N10/'Output-Calculation-sheet'!N9*'Output-Calculation-sheet'!N63</f>
        <v>1677.5939899082059</v>
      </c>
      <c r="O76" s="2">
        <f>O10/'Output-Calculation-sheet'!O9*'Output-Calculation-sheet'!O63</f>
        <v>0</v>
      </c>
      <c r="P76" s="2">
        <f>P10/'Output-Calculation-sheet'!P9*'Output-Calculation-sheet'!P63</f>
        <v>484.78741302068732</v>
      </c>
      <c r="Q76" s="2">
        <f>Q10/'Output-Calculation-sheet'!Q9*'Output-Calculation-sheet'!Q63</f>
        <v>213.08600536125849</v>
      </c>
      <c r="R76" s="2">
        <f>R10/'Output-Calculation-sheet'!R9*'Output-Calculation-sheet'!R63</f>
        <v>708.26859393909331</v>
      </c>
      <c r="S76" s="2">
        <f>S10/'Output-Calculation-sheet'!S9*'Output-Calculation-sheet'!S63</f>
        <v>300.21134663036344</v>
      </c>
      <c r="T76" s="2">
        <f>T10/'Output-Calculation-sheet'!T9*'Output-Calculation-sheet'!T63</f>
        <v>248.73775088888266</v>
      </c>
      <c r="U76" s="2">
        <f>U10/'Output-Calculation-sheet'!U9*'Output-Calculation-sheet'!U63</f>
        <v>121.97552873000949</v>
      </c>
      <c r="V76" s="2">
        <f>V10/'Output-Calculation-sheet'!V9*'Output-Calculation-sheet'!V63</f>
        <v>162.3062978675263</v>
      </c>
      <c r="W76" s="2">
        <f>W10/'Output-Calculation-sheet'!W9*'Output-Calculation-sheet'!W63</f>
        <v>11.313744265412835</v>
      </c>
      <c r="X76" s="2">
        <f>X10/'Output-Calculation-sheet'!X9*'Output-Calculation-sheet'!X63</f>
        <v>235.46595432333933</v>
      </c>
      <c r="Y76" s="2">
        <f>Y10/'Output-Calculation-sheet'!Y9*'Output-Calculation-sheet'!Y63</f>
        <v>3.6278066051731876</v>
      </c>
      <c r="AA76" s="2">
        <f t="shared" si="6"/>
        <v>15.539829295147841</v>
      </c>
    </row>
    <row r="77" spans="1:27" x14ac:dyDescent="0.25">
      <c r="A77" s="2">
        <v>2034</v>
      </c>
      <c r="B77" s="2">
        <f>B11/'Output-Calculation-sheet'!B10*'Output-Calculation-sheet'!B64</f>
        <v>2852.0882559933743</v>
      </c>
      <c r="C77" s="2">
        <f>C11/'Output-Calculation-sheet'!C10*'Output-Calculation-sheet'!C64</f>
        <v>0</v>
      </c>
      <c r="D77" s="2">
        <f>D11/'Output-Calculation-sheet'!D10*'Output-Calculation-sheet'!D64</f>
        <v>1013.0178600709265</v>
      </c>
      <c r="E77" s="2">
        <f>E11/'Output-Calculation-sheet'!E10*'Output-Calculation-sheet'!E64</f>
        <v>708.73068284423448</v>
      </c>
      <c r="F77" s="2">
        <f>F11/'Output-Calculation-sheet'!F10*'Output-Calculation-sheet'!F64</f>
        <v>0</v>
      </c>
      <c r="G77" s="2">
        <f>G11/'Output-Calculation-sheet'!G10*'Output-Calculation-sheet'!G64</f>
        <v>329.20481487077757</v>
      </c>
      <c r="H77" s="2">
        <f>H11/'Output-Calculation-sheet'!H10*'Output-Calculation-sheet'!H64</f>
        <v>3083.5066524066006</v>
      </c>
      <c r="I77" s="2">
        <f>I11/'Output-Calculation-sheet'!I10*'Output-Calculation-sheet'!I64</f>
        <v>174.69581785873763</v>
      </c>
      <c r="J77" s="2">
        <f>J11/'Output-Calculation-sheet'!J10*'Output-Calculation-sheet'!J64</f>
        <v>441.04556531552163</v>
      </c>
      <c r="K77" s="2">
        <f>K11/'Output-Calculation-sheet'!K10*'Output-Calculation-sheet'!K64</f>
        <v>620.82404429560131</v>
      </c>
      <c r="L77" s="2">
        <f>L11/'Output-Calculation-sheet'!L10*'Output-Calculation-sheet'!L64</f>
        <v>544.82667022882333</v>
      </c>
      <c r="M77" s="2">
        <f>M11/'Output-Calculation-sheet'!M10*'Output-Calculation-sheet'!M64</f>
        <v>2307.6636289222415</v>
      </c>
      <c r="N77" s="2">
        <f>N11/'Output-Calculation-sheet'!N10*'Output-Calculation-sheet'!N64</f>
        <v>1622.8968374784768</v>
      </c>
      <c r="O77" s="2">
        <f>O11/'Output-Calculation-sheet'!O10*'Output-Calculation-sheet'!O64</f>
        <v>0</v>
      </c>
      <c r="P77" s="2">
        <f>P11/'Output-Calculation-sheet'!P10*'Output-Calculation-sheet'!P64</f>
        <v>474.80372274091144</v>
      </c>
      <c r="Q77" s="2">
        <f>Q11/'Output-Calculation-sheet'!Q10*'Output-Calculation-sheet'!Q64</f>
        <v>290.05254596551663</v>
      </c>
      <c r="R77" s="2">
        <f>R11/'Output-Calculation-sheet'!R10*'Output-Calculation-sheet'!R64</f>
        <v>668.41053905733395</v>
      </c>
      <c r="S77" s="2">
        <f>S11/'Output-Calculation-sheet'!S10*'Output-Calculation-sheet'!S64</f>
        <v>393.7756441960463</v>
      </c>
      <c r="T77" s="2">
        <f>T11/'Output-Calculation-sheet'!T10*'Output-Calculation-sheet'!T64</f>
        <v>235.59321615664001</v>
      </c>
      <c r="U77" s="2">
        <f>U11/'Output-Calculation-sheet'!U10*'Output-Calculation-sheet'!U64</f>
        <v>122.62918638612121</v>
      </c>
      <c r="V77" s="2">
        <f>V11/'Output-Calculation-sheet'!V10*'Output-Calculation-sheet'!V64</f>
        <v>156.65367835676366</v>
      </c>
      <c r="W77" s="2">
        <f>W11/'Output-Calculation-sheet'!W10*'Output-Calculation-sheet'!W64</f>
        <v>16.070201980247138</v>
      </c>
      <c r="X77" s="2">
        <f>X11/'Output-Calculation-sheet'!X10*'Output-Calculation-sheet'!X64</f>
        <v>216.78585399144589</v>
      </c>
      <c r="Y77" s="2">
        <f>Y11/'Output-Calculation-sheet'!Y10*'Output-Calculation-sheet'!Y64</f>
        <v>5.0564036141099633</v>
      </c>
      <c r="AA77" s="2">
        <f t="shared" si="6"/>
        <v>16.278331822730447</v>
      </c>
    </row>
    <row r="78" spans="1:27" x14ac:dyDescent="0.25">
      <c r="A78" s="2">
        <v>2035</v>
      </c>
      <c r="B78" s="2">
        <f>B12/'Output-Calculation-sheet'!B11*'Output-Calculation-sheet'!B65</f>
        <v>3676.1821206106697</v>
      </c>
      <c r="C78" s="2">
        <f>C12/'Output-Calculation-sheet'!C11*'Output-Calculation-sheet'!C65</f>
        <v>303.40712512455519</v>
      </c>
      <c r="D78" s="2">
        <f>D12/'Output-Calculation-sheet'!D11*'Output-Calculation-sheet'!D65</f>
        <v>948.63463419644461</v>
      </c>
      <c r="E78" s="2">
        <f>E12/'Output-Calculation-sheet'!E11*'Output-Calculation-sheet'!E65</f>
        <v>742.73596470381256</v>
      </c>
      <c r="F78" s="2">
        <f>F12/'Output-Calculation-sheet'!F11*'Output-Calculation-sheet'!F65</f>
        <v>33.584708796704135</v>
      </c>
      <c r="G78" s="2">
        <f>G12/'Output-Calculation-sheet'!G11*'Output-Calculation-sheet'!G65</f>
        <v>311.98152023580741</v>
      </c>
      <c r="H78" s="2">
        <f>H12/'Output-Calculation-sheet'!H11*'Output-Calculation-sheet'!H65</f>
        <v>2690.0412971962314</v>
      </c>
      <c r="I78" s="2">
        <f>I12/'Output-Calculation-sheet'!I11*'Output-Calculation-sheet'!I65</f>
        <v>170.3378954820021</v>
      </c>
      <c r="J78" s="2">
        <f>J12/'Output-Calculation-sheet'!J11*'Output-Calculation-sheet'!J65</f>
        <v>407.61463993889953</v>
      </c>
      <c r="K78" s="2">
        <f>K12/'Output-Calculation-sheet'!K11*'Output-Calculation-sheet'!K65</f>
        <v>548.62210067475633</v>
      </c>
      <c r="L78" s="2">
        <f>L12/'Output-Calculation-sheet'!L11*'Output-Calculation-sheet'!L65</f>
        <v>495.86865902206989</v>
      </c>
      <c r="M78" s="2">
        <f>M12/'Output-Calculation-sheet'!M11*'Output-Calculation-sheet'!M65</f>
        <v>2015.8751167280805</v>
      </c>
      <c r="N78" s="2">
        <f>N12/'Output-Calculation-sheet'!N11*'Output-Calculation-sheet'!N65</f>
        <v>1462.7489046416422</v>
      </c>
      <c r="O78" s="2">
        <f>O12/'Output-Calculation-sheet'!O11*'Output-Calculation-sheet'!O65</f>
        <v>147.50709886258136</v>
      </c>
      <c r="P78" s="2">
        <f>P12/'Output-Calculation-sheet'!P11*'Output-Calculation-sheet'!P65</f>
        <v>418.23616308703856</v>
      </c>
      <c r="Q78" s="2">
        <f>Q12/'Output-Calculation-sheet'!Q11*'Output-Calculation-sheet'!Q65</f>
        <v>310.92378078751108</v>
      </c>
      <c r="R78" s="2">
        <f>R12/'Output-Calculation-sheet'!R11*'Output-Calculation-sheet'!R65</f>
        <v>582.48312611861877</v>
      </c>
      <c r="S78" s="2">
        <f>S12/'Output-Calculation-sheet'!S11*'Output-Calculation-sheet'!S65</f>
        <v>426.04308890016148</v>
      </c>
      <c r="T78" s="2">
        <f>T12/'Output-Calculation-sheet'!T11*'Output-Calculation-sheet'!T65</f>
        <v>210.23750363233731</v>
      </c>
      <c r="U78" s="2">
        <f>U12/'Output-Calculation-sheet'!U11*'Output-Calculation-sheet'!U65</f>
        <v>113.26604107010949</v>
      </c>
      <c r="V78" s="2">
        <f>V12/'Output-Calculation-sheet'!V11*'Output-Calculation-sheet'!V65</f>
        <v>137.86637003449198</v>
      </c>
      <c r="W78" s="2">
        <f>W12/'Output-Calculation-sheet'!W11*'Output-Calculation-sheet'!W65</f>
        <v>17.188656175307734</v>
      </c>
      <c r="X78" s="2">
        <f>X12/'Output-Calculation-sheet'!X11*'Output-Calculation-sheet'!X65</f>
        <v>190.58466601836554</v>
      </c>
      <c r="Y78" s="2">
        <f>Y12/'Output-Calculation-sheet'!Y11*'Output-Calculation-sheet'!Y65</f>
        <v>6.0824066247757429</v>
      </c>
      <c r="AA78" s="2">
        <f t="shared" si="6"/>
        <v>16.368053588662971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10587937157.978106</v>
      </c>
      <c r="C96" s="2">
        <f>C8/'Output-Calculation-sheet'!C7*'Output-Calculation-sheet'!C79</f>
        <v>1030619839.2744559</v>
      </c>
      <c r="D96" s="2">
        <f>D8/'Output-Calculation-sheet'!D7*'Output-Calculation-sheet'!D79</f>
        <v>2713594369.3524942</v>
      </c>
      <c r="E96" s="2">
        <f>E8/'Output-Calculation-sheet'!E7*'Output-Calculation-sheet'!E79</f>
        <v>9768144365.7608166</v>
      </c>
      <c r="F96" s="2">
        <f>F8/'Output-Calculation-sheet'!F7*'Output-Calculation-sheet'!F79</f>
        <v>2977615284.6958289</v>
      </c>
      <c r="G96" s="2">
        <f>G8/'Output-Calculation-sheet'!G7*'Output-Calculation-sheet'!G79</f>
        <v>1842118601.1442676</v>
      </c>
      <c r="H96" s="2">
        <f>H8/'Output-Calculation-sheet'!H7*'Output-Calculation-sheet'!H79</f>
        <v>1235887330.1479445</v>
      </c>
      <c r="I96" s="2">
        <f>I8/'Output-Calculation-sheet'!I7*'Output-Calculation-sheet'!I79</f>
        <v>1323964143.9594178</v>
      </c>
      <c r="J96" s="2">
        <f>J8/'Output-Calculation-sheet'!J7*'Output-Calculation-sheet'!J79</f>
        <v>1076220792.7792976</v>
      </c>
      <c r="K96" s="2">
        <f>K8/'Output-Calculation-sheet'!K7*'Output-Calculation-sheet'!K79</f>
        <v>1316287360.8007734</v>
      </c>
      <c r="L96" s="2">
        <f>L8/'Output-Calculation-sheet'!L7*'Output-Calculation-sheet'!L79</f>
        <v>1265884005.4596474</v>
      </c>
      <c r="M96" s="2">
        <f>M8/'Output-Calculation-sheet'!M7*'Output-Calculation-sheet'!M79</f>
        <v>1740438259.2150295</v>
      </c>
      <c r="N96" s="2">
        <f>N8/'Output-Calculation-sheet'!N7*'Output-Calculation-sheet'!N79</f>
        <v>1091141150.7380624</v>
      </c>
      <c r="O96" s="2">
        <f>O8/'Output-Calculation-sheet'!O7*'Output-Calculation-sheet'!O79</f>
        <v>136018382.41045192</v>
      </c>
      <c r="P96" s="2">
        <f>P8/'Output-Calculation-sheet'!P7*'Output-Calculation-sheet'!P79</f>
        <v>1964507947.1243699</v>
      </c>
      <c r="Q96" s="2">
        <f>Q8/'Output-Calculation-sheet'!Q7*'Output-Calculation-sheet'!Q79</f>
        <v>822102315.16434395</v>
      </c>
      <c r="R96" s="2">
        <f>R8/'Output-Calculation-sheet'!R7*'Output-Calculation-sheet'!R79</f>
        <v>1290744008.0950058</v>
      </c>
      <c r="S96" s="2">
        <f>S8/'Output-Calculation-sheet'!S7*'Output-Calculation-sheet'!S79</f>
        <v>500382316.3557241</v>
      </c>
      <c r="T96" s="2">
        <f>T8/'Output-Calculation-sheet'!T7*'Output-Calculation-sheet'!T79</f>
        <v>455424484.54108888</v>
      </c>
      <c r="U96" s="2">
        <f>U8/'Output-Calculation-sheet'!U7*'Output-Calculation-sheet'!U79</f>
        <v>294190194.28986496</v>
      </c>
      <c r="V96" s="2">
        <f>V8/'Output-Calculation-sheet'!V7*'Output-Calculation-sheet'!V79</f>
        <v>175085807.99596664</v>
      </c>
      <c r="W96" s="2">
        <f>W8/'Output-Calculation-sheet'!W7*'Output-Calculation-sheet'!W79</f>
        <v>482743143.84283435</v>
      </c>
      <c r="X96" s="2">
        <f>X8/'Output-Calculation-sheet'!X7*'Output-Calculation-sheet'!X79</f>
        <v>134142250.99138409</v>
      </c>
      <c r="Y96" s="2">
        <f>Y8/'Output-Calculation-sheet'!Y7*'Output-Calculation-sheet'!Y79</f>
        <v>257683598.85438055</v>
      </c>
      <c r="AA96" s="2">
        <f t="shared" si="8"/>
        <v>44.48287711097155</v>
      </c>
    </row>
    <row r="97" spans="1:27" x14ac:dyDescent="0.25">
      <c r="A97" s="2">
        <v>2032</v>
      </c>
      <c r="B97" s="2">
        <f>B9/'Output-Calculation-sheet'!B8*'Output-Calculation-sheet'!B80</f>
        <v>10265975981.525421</v>
      </c>
      <c r="C97" s="2">
        <f>C9/'Output-Calculation-sheet'!C8*'Output-Calculation-sheet'!C80</f>
        <v>977430575.19164872</v>
      </c>
      <c r="D97" s="2">
        <f>D9/'Output-Calculation-sheet'!D8*'Output-Calculation-sheet'!D80</f>
        <v>2390458466.4499273</v>
      </c>
      <c r="E97" s="2">
        <f>E9/'Output-Calculation-sheet'!E8*'Output-Calculation-sheet'!E80</f>
        <v>9661363608.8586769</v>
      </c>
      <c r="F97" s="2">
        <f>F9/'Output-Calculation-sheet'!F8*'Output-Calculation-sheet'!F80</f>
        <v>2764588212.4381256</v>
      </c>
      <c r="G97" s="2">
        <f>G9/'Output-Calculation-sheet'!G8*'Output-Calculation-sheet'!G80</f>
        <v>1636883656.2968102</v>
      </c>
      <c r="H97" s="2">
        <f>H9/'Output-Calculation-sheet'!H8*'Output-Calculation-sheet'!H80</f>
        <v>1467587506.8263431</v>
      </c>
      <c r="I97" s="2">
        <f>I9/'Output-Calculation-sheet'!I8*'Output-Calculation-sheet'!I80</f>
        <v>1232417225.4531033</v>
      </c>
      <c r="J97" s="2">
        <f>J9/'Output-Calculation-sheet'!J8*'Output-Calculation-sheet'!J80</f>
        <v>987635103.24830616</v>
      </c>
      <c r="K97" s="2">
        <f>K9/'Output-Calculation-sheet'!K8*'Output-Calculation-sheet'!K80</f>
        <v>1186624205.1104701</v>
      </c>
      <c r="L97" s="2">
        <f>L9/'Output-Calculation-sheet'!L8*'Output-Calculation-sheet'!L80</f>
        <v>1216032444.7351711</v>
      </c>
      <c r="M97" s="2">
        <f>M9/'Output-Calculation-sheet'!M8*'Output-Calculation-sheet'!M80</f>
        <v>1684881805.4721284</v>
      </c>
      <c r="N97" s="2">
        <f>N9/'Output-Calculation-sheet'!N8*'Output-Calculation-sheet'!N80</f>
        <v>1059130413.1222266</v>
      </c>
      <c r="O97" s="2">
        <f>O9/'Output-Calculation-sheet'!O8*'Output-Calculation-sheet'!O80</f>
        <v>127294540.86962087</v>
      </c>
      <c r="P97" s="2">
        <f>P9/'Output-Calculation-sheet'!P8*'Output-Calculation-sheet'!P80</f>
        <v>1824955983.8035197</v>
      </c>
      <c r="Q97" s="2">
        <f>Q9/'Output-Calculation-sheet'!Q8*'Output-Calculation-sheet'!Q80</f>
        <v>775753407.79271424</v>
      </c>
      <c r="R97" s="2">
        <f>R9/'Output-Calculation-sheet'!R8*'Output-Calculation-sheet'!R80</f>
        <v>1223123302.304878</v>
      </c>
      <c r="S97" s="2">
        <f>S9/'Output-Calculation-sheet'!S8*'Output-Calculation-sheet'!S80</f>
        <v>485487070.35075402</v>
      </c>
      <c r="T97" s="2">
        <f>T9/'Output-Calculation-sheet'!T8*'Output-Calculation-sheet'!T80</f>
        <v>410238271.00272304</v>
      </c>
      <c r="U97" s="2">
        <f>U9/'Output-Calculation-sheet'!U8*'Output-Calculation-sheet'!U80</f>
        <v>269821168.57057303</v>
      </c>
      <c r="V97" s="2">
        <f>V9/'Output-Calculation-sheet'!V8*'Output-Calculation-sheet'!V80</f>
        <v>159852231.60288656</v>
      </c>
      <c r="W97" s="2">
        <f>W9/'Output-Calculation-sheet'!W8*'Output-Calculation-sheet'!W80</f>
        <v>443988955.21131754</v>
      </c>
      <c r="X97" s="2">
        <f>X9/'Output-Calculation-sheet'!X8*'Output-Calculation-sheet'!X80</f>
        <v>176110195.22420812</v>
      </c>
      <c r="Y97" s="2">
        <f>Y9/'Output-Calculation-sheet'!Y8*'Output-Calculation-sheet'!Y80</f>
        <v>242462289.6333634</v>
      </c>
      <c r="AA97" s="2">
        <f t="shared" si="8"/>
        <v>42.67009662109492</v>
      </c>
    </row>
    <row r="98" spans="1:27" x14ac:dyDescent="0.25">
      <c r="A98" s="2">
        <v>2033</v>
      </c>
      <c r="B98" s="2">
        <f>B10/'Output-Calculation-sheet'!B9*'Output-Calculation-sheet'!B81</f>
        <v>9301187707.9483757</v>
      </c>
      <c r="C98" s="2">
        <f>C10/'Output-Calculation-sheet'!C9*'Output-Calculation-sheet'!C81</f>
        <v>867786304.32275379</v>
      </c>
      <c r="D98" s="2">
        <f>D10/'Output-Calculation-sheet'!D9*'Output-Calculation-sheet'!D81</f>
        <v>1967361398.3419166</v>
      </c>
      <c r="E98" s="2">
        <f>E10/'Output-Calculation-sheet'!E9*'Output-Calculation-sheet'!E81</f>
        <v>8926275880.9137802</v>
      </c>
      <c r="F98" s="2">
        <f>F10/'Output-Calculation-sheet'!F9*'Output-Calculation-sheet'!F81</f>
        <v>2391119352.6935182</v>
      </c>
      <c r="G98" s="2">
        <f>G10/'Output-Calculation-sheet'!G9*'Output-Calculation-sheet'!G81</f>
        <v>1353954842.0802915</v>
      </c>
      <c r="H98" s="2">
        <f>H10/'Output-Calculation-sheet'!H9*'Output-Calculation-sheet'!H81</f>
        <v>1757400832.5511124</v>
      </c>
      <c r="I98" s="2">
        <f>I10/'Output-Calculation-sheet'!I9*'Output-Calculation-sheet'!I81</f>
        <v>1071064067.1622475</v>
      </c>
      <c r="J98" s="2">
        <f>J10/'Output-Calculation-sheet'!J9*'Output-Calculation-sheet'!J81</f>
        <v>846904042.87954879</v>
      </c>
      <c r="K98" s="2">
        <f>K10/'Output-Calculation-sheet'!K9*'Output-Calculation-sheet'!K81</f>
        <v>1004635106.3879019</v>
      </c>
      <c r="L98" s="2">
        <f>L10/'Output-Calculation-sheet'!L9*'Output-Calculation-sheet'!L81</f>
        <v>1087665789.5684438</v>
      </c>
      <c r="M98" s="2">
        <f>M10/'Output-Calculation-sheet'!M9*'Output-Calculation-sheet'!M81</f>
        <v>1522611086.6225648</v>
      </c>
      <c r="N98" s="2">
        <f>N10/'Output-Calculation-sheet'!N9*'Output-Calculation-sheet'!N81</f>
        <v>936990780.65725374</v>
      </c>
      <c r="O98" s="2">
        <f>O10/'Output-Calculation-sheet'!O9*'Output-Calculation-sheet'!O81</f>
        <v>111595028.00981314</v>
      </c>
      <c r="P98" s="2">
        <f>P10/'Output-Calculation-sheet'!P9*'Output-Calculation-sheet'!P81</f>
        <v>1570173169.3766115</v>
      </c>
      <c r="Q98" s="2">
        <f>Q10/'Output-Calculation-sheet'!Q9*'Output-Calculation-sheet'!Q81</f>
        <v>686465046.86558127</v>
      </c>
      <c r="R98" s="2">
        <f>R10/'Output-Calculation-sheet'!R9*'Output-Calculation-sheet'!R81</f>
        <v>1074781138.5138559</v>
      </c>
      <c r="S98" s="2">
        <f>S10/'Output-Calculation-sheet'!S9*'Output-Calculation-sheet'!S81</f>
        <v>441855943.52931601</v>
      </c>
      <c r="T98" s="2">
        <f>T10/'Output-Calculation-sheet'!T9*'Output-Calculation-sheet'!T81</f>
        <v>345001742.54169166</v>
      </c>
      <c r="U98" s="2">
        <f>U10/'Output-Calculation-sheet'!U9*'Output-Calculation-sheet'!U81</f>
        <v>229355879.09538528</v>
      </c>
      <c r="V98" s="2">
        <f>V10/'Output-Calculation-sheet'!V9*'Output-Calculation-sheet'!V81</f>
        <v>135768938.78551823</v>
      </c>
      <c r="W98" s="2">
        <f>W10/'Output-Calculation-sheet'!W9*'Output-Calculation-sheet'!W81</f>
        <v>377369133.56401819</v>
      </c>
      <c r="X98" s="2">
        <f>X10/'Output-Calculation-sheet'!X9*'Output-Calculation-sheet'!X81</f>
        <v>164057704.56523541</v>
      </c>
      <c r="Y98" s="2">
        <f>Y10/'Output-Calculation-sheet'!Y9*'Output-Calculation-sheet'!Y81</f>
        <v>212368867.90604383</v>
      </c>
      <c r="AA98" s="2">
        <f t="shared" si="8"/>
        <v>38.383749784882774</v>
      </c>
    </row>
    <row r="99" spans="1:27" x14ac:dyDescent="0.25">
      <c r="A99" s="2">
        <v>2034</v>
      </c>
      <c r="B99" s="2">
        <f>B11/'Output-Calculation-sheet'!B10*'Output-Calculation-sheet'!B82</f>
        <v>8022909821.0052958</v>
      </c>
      <c r="C99" s="2">
        <f>C11/'Output-Calculation-sheet'!C10*'Output-Calculation-sheet'!C82</f>
        <v>721329695.3554641</v>
      </c>
      <c r="D99" s="2">
        <f>D11/'Output-Calculation-sheet'!D10*'Output-Calculation-sheet'!D82</f>
        <v>1514877481.0560784</v>
      </c>
      <c r="E99" s="2">
        <f>E11/'Output-Calculation-sheet'!E10*'Output-Calculation-sheet'!E82</f>
        <v>7688969953.6716099</v>
      </c>
      <c r="F99" s="2">
        <f>F11/'Output-Calculation-sheet'!F10*'Output-Calculation-sheet'!F82</f>
        <v>1932055765.4894617</v>
      </c>
      <c r="G99" s="2">
        <f>G11/'Output-Calculation-sheet'!G10*'Output-Calculation-sheet'!G82</f>
        <v>1044970554.5461981</v>
      </c>
      <c r="H99" s="2">
        <f>H11/'Output-Calculation-sheet'!H10*'Output-Calculation-sheet'!H82</f>
        <v>1457324438.4369805</v>
      </c>
      <c r="I99" s="2">
        <f>I11/'Output-Calculation-sheet'!I10*'Output-Calculation-sheet'!I82</f>
        <v>872056905.36943901</v>
      </c>
      <c r="J99" s="2">
        <f>J11/'Output-Calculation-sheet'!J10*'Output-Calculation-sheet'!J82</f>
        <v>680152530.7960608</v>
      </c>
      <c r="K99" s="2">
        <f>K11/'Output-Calculation-sheet'!K10*'Output-Calculation-sheet'!K82</f>
        <v>792103652.93438888</v>
      </c>
      <c r="L99" s="2">
        <f>L11/'Output-Calculation-sheet'!L10*'Output-Calculation-sheet'!L82</f>
        <v>910942266.56093276</v>
      </c>
      <c r="M99" s="2">
        <f>M11/'Output-Calculation-sheet'!M10*'Output-Calculation-sheet'!M82</f>
        <v>1292129689.6903875</v>
      </c>
      <c r="N99" s="2">
        <f>N11/'Output-Calculation-sheet'!N10*'Output-Calculation-sheet'!N82</f>
        <v>773407503.30759394</v>
      </c>
      <c r="O99" s="2">
        <f>O11/'Output-Calculation-sheet'!O10*'Output-Calculation-sheet'!O82</f>
        <v>91615218.558819667</v>
      </c>
      <c r="P99" s="2">
        <f>P11/'Output-Calculation-sheet'!P10*'Output-Calculation-sheet'!P82</f>
        <v>1250467230.768532</v>
      </c>
      <c r="Q99" s="2">
        <f>Q11/'Output-Calculation-sheet'!Q10*'Output-Calculation-sheet'!Q82</f>
        <v>570296438.02851748</v>
      </c>
      <c r="R99" s="2">
        <f>R11/'Output-Calculation-sheet'!R10*'Output-Calculation-sheet'!R82</f>
        <v>881658737.8178581</v>
      </c>
      <c r="S99" s="2">
        <f>S11/'Output-Calculation-sheet'!S10*'Output-Calculation-sheet'!S82</f>
        <v>379640527.76855683</v>
      </c>
      <c r="T99" s="2">
        <f>T11/'Output-Calculation-sheet'!T10*'Output-Calculation-sheet'!T82</f>
        <v>270335673.2970674</v>
      </c>
      <c r="U99" s="2">
        <f>U11/'Output-Calculation-sheet'!U10*'Output-Calculation-sheet'!U82</f>
        <v>182261946.19547075</v>
      </c>
      <c r="V99" s="2">
        <f>V11/'Output-Calculation-sheet'!V10*'Output-Calculation-sheet'!V82</f>
        <v>107940268.94357894</v>
      </c>
      <c r="W99" s="2">
        <f>W11/'Output-Calculation-sheet'!W10*'Output-Calculation-sheet'!W82</f>
        <v>298955553.14879531</v>
      </c>
      <c r="X99" s="2">
        <f>X11/'Output-Calculation-sheet'!X10*'Output-Calculation-sheet'!X82</f>
        <v>143344808.69693038</v>
      </c>
      <c r="Y99" s="2">
        <f>Y11/'Output-Calculation-sheet'!Y10*'Output-Calculation-sheet'!Y82</f>
        <v>172947883.73622715</v>
      </c>
      <c r="AA99" s="2">
        <f t="shared" si="8"/>
        <v>32.052694545180245</v>
      </c>
    </row>
    <row r="100" spans="1:27" x14ac:dyDescent="0.25">
      <c r="A100" s="2">
        <v>2035</v>
      </c>
      <c r="B100" s="2">
        <f>B12/'Output-Calculation-sheet'!B11*'Output-Calculation-sheet'!B83</f>
        <v>6437915392.9054003</v>
      </c>
      <c r="C100" s="2">
        <f>C12/'Output-Calculation-sheet'!C11*'Output-Calculation-sheet'!C83</f>
        <v>579018164.77478135</v>
      </c>
      <c r="D100" s="2">
        <f>D12/'Output-Calculation-sheet'!D11*'Output-Calculation-sheet'!D83</f>
        <v>1094115789.0312462</v>
      </c>
      <c r="E100" s="2">
        <f>E12/'Output-Calculation-sheet'!E11*'Output-Calculation-sheet'!E83</f>
        <v>6193701739.4202108</v>
      </c>
      <c r="F100" s="2">
        <f>F12/'Output-Calculation-sheet'!F11*'Output-Calculation-sheet'!F83</f>
        <v>1458613851.1888323</v>
      </c>
      <c r="G100" s="2">
        <f>G12/'Output-Calculation-sheet'!G11*'Output-Calculation-sheet'!G83</f>
        <v>752848802.24759746</v>
      </c>
      <c r="H100" s="2">
        <f>H12/'Output-Calculation-sheet'!H11*'Output-Calculation-sheet'!H83</f>
        <v>1123861618.5033975</v>
      </c>
      <c r="I100" s="2">
        <f>I12/'Output-Calculation-sheet'!I11*'Output-Calculation-sheet'!I83</f>
        <v>663114281.66720164</v>
      </c>
      <c r="J100" s="2">
        <f>J12/'Output-Calculation-sheet'!J11*'Output-Calculation-sheet'!J83</f>
        <v>510920616.10671794</v>
      </c>
      <c r="K100" s="2">
        <f>K12/'Output-Calculation-sheet'!K11*'Output-Calculation-sheet'!K83</f>
        <v>583007291.83317244</v>
      </c>
      <c r="L100" s="2">
        <f>L12/'Output-Calculation-sheet'!L11*'Output-Calculation-sheet'!L83</f>
        <v>713937095.92467093</v>
      </c>
      <c r="M100" s="2">
        <f>M12/'Output-Calculation-sheet'!M11*'Output-Calculation-sheet'!M83</f>
        <v>1023021315.7825288</v>
      </c>
      <c r="N100" s="2">
        <f>N12/'Output-Calculation-sheet'!N11*'Output-Calculation-sheet'!N83</f>
        <v>598111018.12076008</v>
      </c>
      <c r="O100" s="2">
        <f>O12/'Output-Calculation-sheet'!O11*'Output-Calculation-sheet'!O83</f>
        <v>76855558.863372564</v>
      </c>
      <c r="P100" s="2">
        <f>P12/'Output-Calculation-sheet'!P11*'Output-Calculation-sheet'!P83</f>
        <v>918506904.49881482</v>
      </c>
      <c r="Q100" s="2">
        <f>Q12/'Output-Calculation-sheet'!Q11*'Output-Calculation-sheet'!Q83</f>
        <v>444096547.67491376</v>
      </c>
      <c r="R100" s="2">
        <f>R12/'Output-Calculation-sheet'!R11*'Output-Calculation-sheet'!R83</f>
        <v>674830116.03933132</v>
      </c>
      <c r="S100" s="2">
        <f>S12/'Output-Calculation-sheet'!S11*'Output-Calculation-sheet'!S83</f>
        <v>302253216.13612539</v>
      </c>
      <c r="T100" s="2">
        <f>T12/'Output-Calculation-sheet'!T11*'Output-Calculation-sheet'!T83</f>
        <v>197950078.09379914</v>
      </c>
      <c r="U100" s="2">
        <f>U12/'Output-Calculation-sheet'!U11*'Output-Calculation-sheet'!U83</f>
        <v>134730154.67799658</v>
      </c>
      <c r="V100" s="2">
        <f>V12/'Output-Calculation-sheet'!V11*'Output-Calculation-sheet'!V83</f>
        <v>80089511.442846209</v>
      </c>
      <c r="W100" s="2">
        <f>W12/'Output-Calculation-sheet'!W11*'Output-Calculation-sheet'!W83</f>
        <v>219844092.54283768</v>
      </c>
      <c r="X100" s="2">
        <f>X12/'Output-Calculation-sheet'!X11*'Output-Calculation-sheet'!X83</f>
        <v>117276720.24813147</v>
      </c>
      <c r="Y100" s="2">
        <f>Y12/'Output-Calculation-sheet'!Y11*'Output-Calculation-sheet'!Y83</f>
        <v>131283840.83064432</v>
      </c>
      <c r="AA100" s="2">
        <f t="shared" si="8"/>
        <v>25.029903718555325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 t="shared" ref="AA16:AA23" si="0"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si="0"/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5234.8397929931962</v>
      </c>
      <c r="C19" s="2">
        <f>C8/'Output-Calculation-sheet'!C7*'Output-Calculation-sheet'!C25</f>
        <v>7906.4106978383252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4243.2823028238154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862.63753918784505</v>
      </c>
      <c r="M19" s="2">
        <f>M8/'Output-Calculation-sheet'!M7*'Output-Calculation-sheet'!M25</f>
        <v>5596.6556399389228</v>
      </c>
      <c r="N19" s="2">
        <f>N8/'Output-Calculation-sheet'!N7*'Output-Calculation-sheet'!N25</f>
        <v>2857.2927782214379</v>
      </c>
      <c r="O19" s="2">
        <f>O8/'Output-Calculation-sheet'!O7*'Output-Calculation-sheet'!O25</f>
        <v>1544.4063028794678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546.33750026568532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389.16800871586668</v>
      </c>
      <c r="Y19" s="2">
        <f>Y8/'Output-Calculation-sheet'!Y7*'Output-Calculation-sheet'!Y25</f>
        <v>0</v>
      </c>
      <c r="AA19" s="2">
        <f t="shared" si="0"/>
        <v>29.181030562864567</v>
      </c>
    </row>
    <row r="20" spans="1:27" x14ac:dyDescent="0.25">
      <c r="A20" s="2">
        <v>2032</v>
      </c>
      <c r="B20" s="2">
        <f>B9/'Output-Calculation-sheet'!B8*'Output-Calculation-sheet'!B26</f>
        <v>6948.1687547448364</v>
      </c>
      <c r="C20" s="2">
        <f>C9/'Output-Calculation-sheet'!C8*'Output-Calculation-sheet'!C26</f>
        <v>8606.9424572077896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5668.6740925770628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985.01702252377606</v>
      </c>
      <c r="M20" s="2">
        <f>M9/'Output-Calculation-sheet'!M8*'Output-Calculation-sheet'!M26</f>
        <v>5994.425675097722</v>
      </c>
      <c r="N20" s="2">
        <f>N9/'Output-Calculation-sheet'!N8*'Output-Calculation-sheet'!N26</f>
        <v>3376.1681680525885</v>
      </c>
      <c r="O20" s="2">
        <f>O9/'Output-Calculation-sheet'!O8*'Output-Calculation-sheet'!O26</f>
        <v>1679.7552291270647</v>
      </c>
      <c r="P20" s="2">
        <f>P9/'Output-Calculation-sheet'!P8*'Output-Calculation-sheet'!P26</f>
        <v>0</v>
      </c>
      <c r="Q20" s="2">
        <f>Q9/'Output-Calculation-sheet'!Q8*'Output-Calculation-sheet'!Q26</f>
        <v>101.52039339194607</v>
      </c>
      <c r="R20" s="2">
        <f>R9/'Output-Calculation-sheet'!R8*'Output-Calculation-sheet'!R26</f>
        <v>0</v>
      </c>
      <c r="S20" s="2">
        <f>S9/'Output-Calculation-sheet'!S8*'Output-Calculation-sheet'!S26</f>
        <v>716.81832460693056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554.21900308271336</v>
      </c>
      <c r="Y20" s="2">
        <f>Y9/'Output-Calculation-sheet'!Y8*'Output-Calculation-sheet'!Y26</f>
        <v>0</v>
      </c>
      <c r="AA20" s="2">
        <f t="shared" si="0"/>
        <v>34.631709120412424</v>
      </c>
    </row>
    <row r="21" spans="1:27" x14ac:dyDescent="0.25">
      <c r="A21" s="2">
        <v>2033</v>
      </c>
      <c r="B21" s="2">
        <f>B10/'Output-Calculation-sheet'!B9*'Output-Calculation-sheet'!B27</f>
        <v>8998.9241312350441</v>
      </c>
      <c r="C21" s="2">
        <f>C10/'Output-Calculation-sheet'!C9*'Output-Calculation-sheet'!C27</f>
        <v>9031.7298468874069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7918.0512160918588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1099.2418856037193</v>
      </c>
      <c r="M21" s="2">
        <f>M10/'Output-Calculation-sheet'!M9*'Output-Calculation-sheet'!M27</f>
        <v>6162.8996391169449</v>
      </c>
      <c r="N21" s="2">
        <f>N10/'Output-Calculation-sheet'!N9*'Output-Calculation-sheet'!N27</f>
        <v>3591.9393918287187</v>
      </c>
      <c r="O21" s="2">
        <f>O10/'Output-Calculation-sheet'!O9*'Output-Calculation-sheet'!O27</f>
        <v>1757.2731188638847</v>
      </c>
      <c r="P21" s="2">
        <f>P10/'Output-Calculation-sheet'!P9*'Output-Calculation-sheet'!P27</f>
        <v>0</v>
      </c>
      <c r="Q21" s="2">
        <f>Q10/'Output-Calculation-sheet'!Q9*'Output-Calculation-sheet'!Q27</f>
        <v>267.6579419516882</v>
      </c>
      <c r="R21" s="2">
        <f>R10/'Output-Calculation-sheet'!R9*'Output-Calculation-sheet'!R27</f>
        <v>0</v>
      </c>
      <c r="S21" s="2">
        <f>S10/'Output-Calculation-sheet'!S9*'Output-Calculation-sheet'!S27</f>
        <v>912.41880692330005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575.04063551098807</v>
      </c>
      <c r="Y21" s="2">
        <f>Y10/'Output-Calculation-sheet'!Y9*'Output-Calculation-sheet'!Y27</f>
        <v>0</v>
      </c>
      <c r="AA21" s="2">
        <f t="shared" si="0"/>
        <v>40.315176614013545</v>
      </c>
    </row>
    <row r="22" spans="1:27" x14ac:dyDescent="0.25">
      <c r="A22" s="2">
        <v>2034</v>
      </c>
      <c r="B22" s="2">
        <f>B11/'Output-Calculation-sheet'!B10*'Output-Calculation-sheet'!B28</f>
        <v>11236.674051186445</v>
      </c>
      <c r="C22" s="2">
        <f>C11/'Output-Calculation-sheet'!C10*'Output-Calculation-sheet'!C28</f>
        <v>9163.0142486893055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7962.4018272690491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1173.1236621365977</v>
      </c>
      <c r="M22" s="2">
        <f>M11/'Output-Calculation-sheet'!M10*'Output-Calculation-sheet'!M28</f>
        <v>6187.1914177501658</v>
      </c>
      <c r="N22" s="2">
        <f>N11/'Output-Calculation-sheet'!N10*'Output-Calculation-sheet'!N28</f>
        <v>3711.1461330898196</v>
      </c>
      <c r="O22" s="2">
        <f>O11/'Output-Calculation-sheet'!O10*'Output-Calculation-sheet'!O28</f>
        <v>1772.0855791933438</v>
      </c>
      <c r="P22" s="2">
        <f>P11/'Output-Calculation-sheet'!P10*'Output-Calculation-sheet'!P28</f>
        <v>0</v>
      </c>
      <c r="Q22" s="2">
        <f>Q11/'Output-Calculation-sheet'!Q10*'Output-Calculation-sheet'!Q28</f>
        <v>508.71561929405095</v>
      </c>
      <c r="R22" s="2">
        <f>R11/'Output-Calculation-sheet'!R10*'Output-Calculation-sheet'!R28</f>
        <v>0</v>
      </c>
      <c r="S22" s="2">
        <f>S11/'Output-Calculation-sheet'!S10*'Output-Calculation-sheet'!S28</f>
        <v>1087.2082502797498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578.60405240451018</v>
      </c>
      <c r="Y22" s="2">
        <f>Y11/'Output-Calculation-sheet'!Y10*'Output-Calculation-sheet'!Y28</f>
        <v>0</v>
      </c>
      <c r="AA22" s="2">
        <f t="shared" si="0"/>
        <v>43.380164841293031</v>
      </c>
    </row>
    <row r="23" spans="1:27" x14ac:dyDescent="0.25">
      <c r="A23" s="2">
        <v>2035</v>
      </c>
      <c r="B23" s="2">
        <f>B12/'Output-Calculation-sheet'!B11*'Output-Calculation-sheet'!B29</f>
        <v>13166.78631376763</v>
      </c>
      <c r="C23" s="2">
        <f>C12/'Output-Calculation-sheet'!C11*'Output-Calculation-sheet'!C29</f>
        <v>9230.2584908592416</v>
      </c>
      <c r="D23" s="2">
        <f>D12/'Output-Calculation-sheet'!D11*'Output-Calculation-sheet'!D29</f>
        <v>0</v>
      </c>
      <c r="E23" s="2">
        <f>E12/'Output-Calculation-sheet'!E11*'Output-Calculation-sheet'!E29</f>
        <v>120.66254003545951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7707.8371699825429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1215.0560910546144</v>
      </c>
      <c r="M23" s="2">
        <f>M12/'Output-Calculation-sheet'!M11*'Output-Calculation-sheet'!M29</f>
        <v>5994.5916519762641</v>
      </c>
      <c r="N23" s="2">
        <f>N12/'Output-Calculation-sheet'!N11*'Output-Calculation-sheet'!N29</f>
        <v>3679.6758828270272</v>
      </c>
      <c r="O23" s="2">
        <f>O12/'Output-Calculation-sheet'!O11*'Output-Calculation-sheet'!O29</f>
        <v>1871.9050881589812</v>
      </c>
      <c r="P23" s="2">
        <f>P12/'Output-Calculation-sheet'!P11*'Output-Calculation-sheet'!P29</f>
        <v>0</v>
      </c>
      <c r="Q23" s="2">
        <f>Q12/'Output-Calculation-sheet'!Q11*'Output-Calculation-sheet'!Q29</f>
        <v>723.57020750328536</v>
      </c>
      <c r="R23" s="2">
        <f>R12/'Output-Calculation-sheet'!R11*'Output-Calculation-sheet'!R29</f>
        <v>0</v>
      </c>
      <c r="S23" s="2">
        <f>S12/'Output-Calculation-sheet'!S11*'Output-Calculation-sheet'!S29</f>
        <v>1226.3162254363588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566.6554032411475</v>
      </c>
      <c r="Y23" s="2">
        <f>Y12/'Output-Calculation-sheet'!Y11*'Output-Calculation-sheet'!Y29</f>
        <v>0</v>
      </c>
      <c r="AA23" s="2">
        <f t="shared" si="0"/>
        <v>45.503315064842546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 t="shared" ref="AA27:AA34" si="1"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si="1"/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25050.299616281765</v>
      </c>
      <c r="C30" s="2">
        <f>C8/'Output-Calculation-sheet'!C7*'Output-Calculation-sheet'!C16</f>
        <v>0</v>
      </c>
      <c r="D30" s="2">
        <f>D8/'Output-Calculation-sheet'!D7*'Output-Calculation-sheet'!D16</f>
        <v>6846.8332044723638</v>
      </c>
      <c r="E30" s="2">
        <f>E8/'Output-Calculation-sheet'!E7*'Output-Calculation-sheet'!E16</f>
        <v>8360.4783751484174</v>
      </c>
      <c r="F30" s="2">
        <f>F8/'Output-Calculation-sheet'!F7*'Output-Calculation-sheet'!F16</f>
        <v>3760.3035750783806</v>
      </c>
      <c r="G30" s="2">
        <f>G8/'Output-Calculation-sheet'!G7*'Output-Calculation-sheet'!G16</f>
        <v>2165.3144698040642</v>
      </c>
      <c r="H30" s="2">
        <f>H8/'Output-Calculation-sheet'!H7*'Output-Calculation-sheet'!H16</f>
        <v>0</v>
      </c>
      <c r="I30" s="2">
        <f>I8/'Output-Calculation-sheet'!I7*'Output-Calculation-sheet'!I16</f>
        <v>2297.5888099766271</v>
      </c>
      <c r="J30" s="2">
        <f>J8/'Output-Calculation-sheet'!J7*'Output-Calculation-sheet'!J16</f>
        <v>2336.6449895538731</v>
      </c>
      <c r="K30" s="2">
        <f>K8/'Output-Calculation-sheet'!K7*'Output-Calculation-sheet'!K16</f>
        <v>3044.6296109557557</v>
      </c>
      <c r="L30" s="2">
        <f>L8/'Output-Calculation-sheet'!L7*'Output-Calculation-sheet'!L16</f>
        <v>2766.636188803242</v>
      </c>
      <c r="M30" s="2">
        <f>M8/'Output-Calculation-sheet'!M7*'Output-Calculation-sheet'!M16</f>
        <v>0</v>
      </c>
      <c r="N30" s="2">
        <f>N8/'Output-Calculation-sheet'!N7*'Output-Calculation-sheet'!N16</f>
        <v>1633.5303865640335</v>
      </c>
      <c r="O30" s="2">
        <f>O8/'Output-Calculation-sheet'!O7*'Output-Calculation-sheet'!O16</f>
        <v>0</v>
      </c>
      <c r="P30" s="2">
        <f>P8/'Output-Calculation-sheet'!P7*'Output-Calculation-sheet'!P16</f>
        <v>2458.5237285310814</v>
      </c>
      <c r="Q30" s="2">
        <f>Q8/'Output-Calculation-sheet'!Q7*'Output-Calculation-sheet'!Q16</f>
        <v>2741.9174466557643</v>
      </c>
      <c r="R30" s="2">
        <f>R8/'Output-Calculation-sheet'!R7*'Output-Calculation-sheet'!R16</f>
        <v>2236.8241756584803</v>
      </c>
      <c r="S30" s="2">
        <f>S8/'Output-Calculation-sheet'!S7*'Output-Calculation-sheet'!S16</f>
        <v>1204.044923984658</v>
      </c>
      <c r="T30" s="2">
        <f>T8/'Output-Calculation-sheet'!T7*'Output-Calculation-sheet'!T16</f>
        <v>709.3622781776694</v>
      </c>
      <c r="U30" s="2">
        <f>U8/'Output-Calculation-sheet'!U7*'Output-Calculation-sheet'!U16</f>
        <v>567.83167850076745</v>
      </c>
      <c r="V30" s="2">
        <f>V8/'Output-Calculation-sheet'!V7*'Output-Calculation-sheet'!V16</f>
        <v>668.59206029450399</v>
      </c>
      <c r="W30" s="2">
        <f>W8/'Output-Calculation-sheet'!W7*'Output-Calculation-sheet'!W16</f>
        <v>308.52927040625696</v>
      </c>
      <c r="X30" s="2">
        <f>X8/'Output-Calculation-sheet'!X7*'Output-Calculation-sheet'!X16</f>
        <v>0</v>
      </c>
      <c r="Y30" s="2">
        <f>Y8/'Output-Calculation-sheet'!Y7*'Output-Calculation-sheet'!Y16</f>
        <v>237.25339736708048</v>
      </c>
      <c r="AA30" s="2">
        <f t="shared" si="1"/>
        <v>69.39513818621478</v>
      </c>
    </row>
    <row r="31" spans="1:27" x14ac:dyDescent="0.25">
      <c r="A31" s="2">
        <v>2032</v>
      </c>
      <c r="B31" s="2">
        <f>B9/'Output-Calculation-sheet'!B8*'Output-Calculation-sheet'!B17</f>
        <v>26046.643749330196</v>
      </c>
      <c r="C31" s="2">
        <f>C9/'Output-Calculation-sheet'!C8*'Output-Calculation-sheet'!C17</f>
        <v>0</v>
      </c>
      <c r="D31" s="2">
        <f>D9/'Output-Calculation-sheet'!D8*'Output-Calculation-sheet'!D17</f>
        <v>7245.5462848821971</v>
      </c>
      <c r="E31" s="2">
        <f>E9/'Output-Calculation-sheet'!E8*'Output-Calculation-sheet'!E17</f>
        <v>8889.0935365748119</v>
      </c>
      <c r="F31" s="2">
        <f>F9/'Output-Calculation-sheet'!F8*'Output-Calculation-sheet'!F17</f>
        <v>4003.638349270429</v>
      </c>
      <c r="G31" s="2">
        <f>G9/'Output-Calculation-sheet'!G8*'Output-Calculation-sheet'!G17</f>
        <v>2304.3806018244759</v>
      </c>
      <c r="H31" s="2">
        <f>H9/'Output-Calculation-sheet'!H8*'Output-Calculation-sheet'!H17</f>
        <v>0</v>
      </c>
      <c r="I31" s="2">
        <f>I9/'Output-Calculation-sheet'!I8*'Output-Calculation-sheet'!I17</f>
        <v>2442.9246004532229</v>
      </c>
      <c r="J31" s="2">
        <f>J9/'Output-Calculation-sheet'!J8*'Output-Calculation-sheet'!J17</f>
        <v>2478.5580132413643</v>
      </c>
      <c r="K31" s="2">
        <f>K9/'Output-Calculation-sheet'!K8*'Output-Calculation-sheet'!K17</f>
        <v>3223.579670600222</v>
      </c>
      <c r="L31" s="2">
        <f>L9/'Output-Calculation-sheet'!L8*'Output-Calculation-sheet'!L17</f>
        <v>2916.1036681066998</v>
      </c>
      <c r="M31" s="2">
        <f>M9/'Output-Calculation-sheet'!M8*'Output-Calculation-sheet'!M17</f>
        <v>0</v>
      </c>
      <c r="N31" s="2">
        <f>N9/'Output-Calculation-sheet'!N8*'Output-Calculation-sheet'!N17</f>
        <v>1628.2756683826224</v>
      </c>
      <c r="O31" s="2">
        <f>O9/'Output-Calculation-sheet'!O8*'Output-Calculation-sheet'!O17</f>
        <v>0</v>
      </c>
      <c r="P31" s="2">
        <f>P9/'Output-Calculation-sheet'!P8*'Output-Calculation-sheet'!P17</f>
        <v>2645.6126631666593</v>
      </c>
      <c r="Q31" s="2">
        <f>Q9/'Output-Calculation-sheet'!Q8*'Output-Calculation-sheet'!Q17</f>
        <v>2875.2889687855254</v>
      </c>
      <c r="R31" s="2">
        <f>R9/'Output-Calculation-sheet'!R8*'Output-Calculation-sheet'!R17</f>
        <v>2386.9080901934212</v>
      </c>
      <c r="S31" s="2">
        <f>S9/'Output-Calculation-sheet'!S8*'Output-Calculation-sheet'!S17</f>
        <v>1240.0072656047996</v>
      </c>
      <c r="T31" s="2">
        <f>T9/'Output-Calculation-sheet'!T8*'Output-Calculation-sheet'!T17</f>
        <v>751.96686439380881</v>
      </c>
      <c r="U31" s="2">
        <f>U9/'Output-Calculation-sheet'!U8*'Output-Calculation-sheet'!U17</f>
        <v>604.13571141649857</v>
      </c>
      <c r="V31" s="2">
        <f>V9/'Output-Calculation-sheet'!V8*'Output-Calculation-sheet'!V17</f>
        <v>710.15671365746641</v>
      </c>
      <c r="W31" s="2">
        <f>W9/'Output-Calculation-sheet'!W8*'Output-Calculation-sheet'!W17</f>
        <v>328.4718742955954</v>
      </c>
      <c r="X31" s="2">
        <f>X9/'Output-Calculation-sheet'!X8*'Output-Calculation-sheet'!X17</f>
        <v>0</v>
      </c>
      <c r="Y31" s="2">
        <f>Y9/'Output-Calculation-sheet'!Y8*'Output-Calculation-sheet'!Y17</f>
        <v>252.78029530711109</v>
      </c>
      <c r="AA31" s="2">
        <f t="shared" si="1"/>
        <v>72.974072589487093</v>
      </c>
    </row>
    <row r="32" spans="1:27" x14ac:dyDescent="0.25">
      <c r="A32" s="2">
        <v>2033</v>
      </c>
      <c r="B32" s="2">
        <f>B10/'Output-Calculation-sheet'!B9*'Output-Calculation-sheet'!B18</f>
        <v>25707.35951223721</v>
      </c>
      <c r="C32" s="2">
        <f>C10/'Output-Calculation-sheet'!C9*'Output-Calculation-sheet'!C18</f>
        <v>0</v>
      </c>
      <c r="D32" s="2">
        <f>D10/'Output-Calculation-sheet'!D9*'Output-Calculation-sheet'!D18</f>
        <v>7349.2693160599656</v>
      </c>
      <c r="E32" s="2">
        <f>E10/'Output-Calculation-sheet'!E9*'Output-Calculation-sheet'!E18</f>
        <v>9082.6834919708908</v>
      </c>
      <c r="F32" s="2">
        <f>F10/'Output-Calculation-sheet'!F9*'Output-Calculation-sheet'!F18</f>
        <v>4085.6264158765225</v>
      </c>
      <c r="G32" s="2">
        <f>G10/'Output-Calculation-sheet'!G9*'Output-Calculation-sheet'!G18</f>
        <v>2350.8436287414743</v>
      </c>
      <c r="H32" s="2">
        <f>H10/'Output-Calculation-sheet'!H9*'Output-Calculation-sheet'!H18</f>
        <v>0</v>
      </c>
      <c r="I32" s="2">
        <f>I10/'Output-Calculation-sheet'!I9*'Output-Calculation-sheet'!I18</f>
        <v>2490.197515086415</v>
      </c>
      <c r="J32" s="2">
        <f>J10/'Output-Calculation-sheet'!J9*'Output-Calculation-sheet'!J18</f>
        <v>2506.7229649574451</v>
      </c>
      <c r="K32" s="2">
        <f>K10/'Output-Calculation-sheet'!K9*'Output-Calculation-sheet'!K18</f>
        <v>3309.3032116040877</v>
      </c>
      <c r="L32" s="2">
        <f>L10/'Output-Calculation-sheet'!L9*'Output-Calculation-sheet'!L18</f>
        <v>2887.5541856330997</v>
      </c>
      <c r="M32" s="2">
        <f>M10/'Output-Calculation-sheet'!M9*'Output-Calculation-sheet'!M18</f>
        <v>0</v>
      </c>
      <c r="N32" s="2">
        <f>N10/'Output-Calculation-sheet'!N9*'Output-Calculation-sheet'!N18</f>
        <v>1619.8208627522997</v>
      </c>
      <c r="O32" s="2">
        <f>O10/'Output-Calculation-sheet'!O9*'Output-Calculation-sheet'!O18</f>
        <v>0</v>
      </c>
      <c r="P32" s="2">
        <f>P10/'Output-Calculation-sheet'!P9*'Output-Calculation-sheet'!P18</f>
        <v>2722.8415631342286</v>
      </c>
      <c r="Q32" s="2">
        <f>Q10/'Output-Calculation-sheet'!Q9*'Output-Calculation-sheet'!Q18</f>
        <v>2869.9117737913552</v>
      </c>
      <c r="R32" s="2">
        <f>R10/'Output-Calculation-sheet'!R9*'Output-Calculation-sheet'!R18</f>
        <v>2431.9618906637902</v>
      </c>
      <c r="S32" s="2">
        <f>S10/'Output-Calculation-sheet'!S9*'Output-Calculation-sheet'!S18</f>
        <v>1213.758246480264</v>
      </c>
      <c r="T32" s="2">
        <f>T10/'Output-Calculation-sheet'!T9*'Output-Calculation-sheet'!T18</f>
        <v>766.02665315497256</v>
      </c>
      <c r="U32" s="2">
        <f>U10/'Output-Calculation-sheet'!U9*'Output-Calculation-sheet'!U18</f>
        <v>614.20305984737706</v>
      </c>
      <c r="V32" s="2">
        <f>V10/'Output-Calculation-sheet'!V9*'Output-Calculation-sheet'!V18</f>
        <v>714.65570794183895</v>
      </c>
      <c r="W32" s="2">
        <f>W10/'Output-Calculation-sheet'!W9*'Output-Calculation-sheet'!W18</f>
        <v>333.53247457335078</v>
      </c>
      <c r="X32" s="2">
        <f>X10/'Output-Calculation-sheet'!X9*'Output-Calculation-sheet'!X18</f>
        <v>0</v>
      </c>
      <c r="Y32" s="2">
        <f>Y10/'Output-Calculation-sheet'!Y9*'Output-Calculation-sheet'!Y18</f>
        <v>258.00349747263255</v>
      </c>
      <c r="AA32" s="2">
        <f t="shared" si="1"/>
        <v>73.314275971979228</v>
      </c>
    </row>
    <row r="33" spans="1:27" x14ac:dyDescent="0.25">
      <c r="A33" s="2">
        <v>2034</v>
      </c>
      <c r="B33" s="2">
        <f>B11/'Output-Calculation-sheet'!B10*'Output-Calculation-sheet'!B19</f>
        <v>24821.492486206818</v>
      </c>
      <c r="C33" s="2">
        <f>C11/'Output-Calculation-sheet'!C10*'Output-Calculation-sheet'!C19</f>
        <v>0</v>
      </c>
      <c r="D33" s="2">
        <f>D11/'Output-Calculation-sheet'!D10*'Output-Calculation-sheet'!D19</f>
        <v>7183.7055140421353</v>
      </c>
      <c r="E33" s="2">
        <f>E11/'Output-Calculation-sheet'!E10*'Output-Calculation-sheet'!E19</f>
        <v>8936.0997292540305</v>
      </c>
      <c r="F33" s="2">
        <f>F11/'Output-Calculation-sheet'!F10*'Output-Calculation-sheet'!F19</f>
        <v>4020.9610602794646</v>
      </c>
      <c r="G33" s="2">
        <f>G11/'Output-Calculation-sheet'!G10*'Output-Calculation-sheet'!G19</f>
        <v>2307.0268975800386</v>
      </c>
      <c r="H33" s="2">
        <f>H11/'Output-Calculation-sheet'!H10*'Output-Calculation-sheet'!H19</f>
        <v>0</v>
      </c>
      <c r="I33" s="2">
        <f>I11/'Output-Calculation-sheet'!I10*'Output-Calculation-sheet'!I19</f>
        <v>2453.4566558727915</v>
      </c>
      <c r="J33" s="2">
        <f>J11/'Output-Calculation-sheet'!J10*'Output-Calculation-sheet'!J19</f>
        <v>2455.5233104753374</v>
      </c>
      <c r="K33" s="2">
        <f>K11/'Output-Calculation-sheet'!K10*'Output-Calculation-sheet'!K19</f>
        <v>3224.4459103295744</v>
      </c>
      <c r="L33" s="2">
        <f>L11/'Output-Calculation-sheet'!L10*'Output-Calculation-sheet'!L19</f>
        <v>2770.5445519074692</v>
      </c>
      <c r="M33" s="2">
        <f>M11/'Output-Calculation-sheet'!M10*'Output-Calculation-sheet'!M19</f>
        <v>0</v>
      </c>
      <c r="N33" s="2">
        <f>N11/'Output-Calculation-sheet'!N10*'Output-Calculation-sheet'!N19</f>
        <v>1512.5099782616514</v>
      </c>
      <c r="O33" s="2">
        <f>O11/'Output-Calculation-sheet'!O10*'Output-Calculation-sheet'!O19</f>
        <v>0</v>
      </c>
      <c r="P33" s="2">
        <f>P11/'Output-Calculation-sheet'!P10*'Output-Calculation-sheet'!P19</f>
        <v>2706.3653127279695</v>
      </c>
      <c r="Q33" s="2">
        <f>Q11/'Output-Calculation-sheet'!Q10*'Output-Calculation-sheet'!Q19</f>
        <v>2700.0451852723945</v>
      </c>
      <c r="R33" s="2">
        <f>R11/'Output-Calculation-sheet'!R10*'Output-Calculation-sheet'!R19</f>
        <v>2385.6088100602892</v>
      </c>
      <c r="S33" s="2">
        <f>S11/'Output-Calculation-sheet'!S10*'Output-Calculation-sheet'!S19</f>
        <v>1162.7788061394938</v>
      </c>
      <c r="T33" s="2">
        <f>T11/'Output-Calculation-sheet'!T10*'Output-Calculation-sheet'!T19</f>
        <v>753.68225460156714</v>
      </c>
      <c r="U33" s="2">
        <f>U11/'Output-Calculation-sheet'!U10*'Output-Calculation-sheet'!U19</f>
        <v>608.05733755765277</v>
      </c>
      <c r="V33" s="2">
        <f>V11/'Output-Calculation-sheet'!V10*'Output-Calculation-sheet'!V19</f>
        <v>697.79261160399892</v>
      </c>
      <c r="W33" s="2">
        <f>W11/'Output-Calculation-sheet'!W10*'Output-Calculation-sheet'!W19</f>
        <v>328.45707681498953</v>
      </c>
      <c r="X33" s="2">
        <f>X11/'Output-Calculation-sheet'!X10*'Output-Calculation-sheet'!X19</f>
        <v>0</v>
      </c>
      <c r="Y33" s="2">
        <f>Y11/'Output-Calculation-sheet'!Y10*'Output-Calculation-sheet'!Y19</f>
        <v>253.97868917324914</v>
      </c>
      <c r="AA33" s="2">
        <f t="shared" si="1"/>
        <v>71.282532178160906</v>
      </c>
    </row>
    <row r="34" spans="1:27" x14ac:dyDescent="0.25">
      <c r="A34" s="2">
        <v>2035</v>
      </c>
      <c r="B34" s="2">
        <f>B12/'Output-Calculation-sheet'!B11*'Output-Calculation-sheet'!B20</f>
        <v>22738.407865226745</v>
      </c>
      <c r="C34" s="2">
        <f>C12/'Output-Calculation-sheet'!C11*'Output-Calculation-sheet'!C20</f>
        <v>0</v>
      </c>
      <c r="D34" s="2">
        <f>D12/'Output-Calculation-sheet'!D11*'Output-Calculation-sheet'!D20</f>
        <v>6854.1806546987245</v>
      </c>
      <c r="E34" s="2">
        <f>E12/'Output-Calculation-sheet'!E11*'Output-Calculation-sheet'!E20</f>
        <v>8438.001025838561</v>
      </c>
      <c r="F34" s="2">
        <f>F12/'Output-Calculation-sheet'!F11*'Output-Calculation-sheet'!F20</f>
        <v>3831.6894808760981</v>
      </c>
      <c r="G34" s="2">
        <f>G12/'Output-Calculation-sheet'!G11*'Output-Calculation-sheet'!G20</f>
        <v>2195.4303461560262</v>
      </c>
      <c r="H34" s="2">
        <f>H12/'Output-Calculation-sheet'!H11*'Output-Calculation-sheet'!H20</f>
        <v>0</v>
      </c>
      <c r="I34" s="2">
        <f>I12/'Output-Calculation-sheet'!I11*'Output-Calculation-sheet'!I20</f>
        <v>2342.2735348064607</v>
      </c>
      <c r="J34" s="2">
        <f>J12/'Output-Calculation-sheet'!J11*'Output-Calculation-sheet'!J20</f>
        <v>2331.4208832508493</v>
      </c>
      <c r="K34" s="2">
        <f>K12/'Output-Calculation-sheet'!K11*'Output-Calculation-sheet'!K20</f>
        <v>3061.321433993638</v>
      </c>
      <c r="L34" s="2">
        <f>L12/'Output-Calculation-sheet'!L11*'Output-Calculation-sheet'!L20</f>
        <v>2593.4094671410317</v>
      </c>
      <c r="M34" s="2">
        <f>M12/'Output-Calculation-sheet'!M11*'Output-Calculation-sheet'!M20</f>
        <v>0</v>
      </c>
      <c r="N34" s="2">
        <f>N12/'Output-Calculation-sheet'!N11*'Output-Calculation-sheet'!N20</f>
        <v>1411.2934553122263</v>
      </c>
      <c r="O34" s="2">
        <f>O12/'Output-Calculation-sheet'!O11*'Output-Calculation-sheet'!O20</f>
        <v>0</v>
      </c>
      <c r="P34" s="2">
        <f>P12/'Output-Calculation-sheet'!P11*'Output-Calculation-sheet'!P20</f>
        <v>2584.6774487541552</v>
      </c>
      <c r="Q34" s="2">
        <f>Q12/'Output-Calculation-sheet'!Q11*'Output-Calculation-sheet'!Q20</f>
        <v>2468.9094469161637</v>
      </c>
      <c r="R34" s="2">
        <f>R12/'Output-Calculation-sheet'!R11*'Output-Calculation-sheet'!R20</f>
        <v>2271.2782422125856</v>
      </c>
      <c r="S34" s="2">
        <f>S12/'Output-Calculation-sheet'!S11*'Output-Calculation-sheet'!S20</f>
        <v>1060.8263898169885</v>
      </c>
      <c r="T34" s="2">
        <f>T12/'Output-Calculation-sheet'!T11*'Output-Calculation-sheet'!T20</f>
        <v>716.86458916159256</v>
      </c>
      <c r="U34" s="2">
        <f>U12/'Output-Calculation-sheet'!U11*'Output-Calculation-sheet'!U20</f>
        <v>577.4199910219013</v>
      </c>
      <c r="V34" s="2">
        <f>V12/'Output-Calculation-sheet'!V11*'Output-Calculation-sheet'!V20</f>
        <v>662.8746134366022</v>
      </c>
      <c r="W34" s="2">
        <f>W12/'Output-Calculation-sheet'!W11*'Output-Calculation-sheet'!W20</f>
        <v>313.20348263921005</v>
      </c>
      <c r="X34" s="2">
        <f>X12/'Output-Calculation-sheet'!X11*'Output-Calculation-sheet'!X20</f>
        <v>0</v>
      </c>
      <c r="Y34" s="2">
        <f>Y12/'Output-Calculation-sheet'!Y11*'Output-Calculation-sheet'!Y20</f>
        <v>243.22849122674256</v>
      </c>
      <c r="AA34" s="2">
        <f t="shared" si="1"/>
        <v>66.696710842486326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si="3"/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1106.9264760514247</v>
      </c>
      <c r="C52" s="2">
        <f>C8/'Output-Calculation-sheet'!C7*'Output-Calculation-sheet'!C43</f>
        <v>0</v>
      </c>
      <c r="D52" s="2">
        <f>D8/'Output-Calculation-sheet'!D7*'Output-Calculation-sheet'!D43</f>
        <v>2404.5204519965932</v>
      </c>
      <c r="E52" s="2">
        <f>E8/'Output-Calculation-sheet'!E7*'Output-Calculation-sheet'!E43</f>
        <v>1726.0215187659867</v>
      </c>
      <c r="F52" s="2">
        <f>F8/'Output-Calculation-sheet'!F7*'Output-Calculation-sheet'!F43</f>
        <v>0</v>
      </c>
      <c r="G52" s="2">
        <f>G8/'Output-Calculation-sheet'!G7*'Output-Calculation-sheet'!G43</f>
        <v>612.13449243378284</v>
      </c>
      <c r="H52" s="2">
        <f>H8/'Output-Calculation-sheet'!H7*'Output-Calculation-sheet'!H43</f>
        <v>4690.0499964512865</v>
      </c>
      <c r="I52" s="2">
        <f>I8/'Output-Calculation-sheet'!I7*'Output-Calculation-sheet'!I43</f>
        <v>200.21033777177141</v>
      </c>
      <c r="J52" s="2">
        <f>J8/'Output-Calculation-sheet'!J7*'Output-Calculation-sheet'!J43</f>
        <v>1089.7837605771599</v>
      </c>
      <c r="K52" s="2">
        <f>K8/'Output-Calculation-sheet'!K7*'Output-Calculation-sheet'!K43</f>
        <v>2189.1246263567286</v>
      </c>
      <c r="L52" s="2">
        <f>L8/'Output-Calculation-sheet'!L7*'Output-Calculation-sheet'!L43</f>
        <v>2034.0612178736653</v>
      </c>
      <c r="M52" s="2">
        <f>M8/'Output-Calculation-sheet'!M7*'Output-Calculation-sheet'!M43</f>
        <v>13279.797443583699</v>
      </c>
      <c r="N52" s="2">
        <f>N8/'Output-Calculation-sheet'!N7*'Output-Calculation-sheet'!N43</f>
        <v>7601.4615363701523</v>
      </c>
      <c r="O52" s="2">
        <f>O8/'Output-Calculation-sheet'!O7*'Output-Calculation-sheet'!O43</f>
        <v>0</v>
      </c>
      <c r="P52" s="2">
        <f>P8/'Output-Calculation-sheet'!P7*'Output-Calculation-sheet'!P43</f>
        <v>1616.6632048481329</v>
      </c>
      <c r="Q52" s="2">
        <f>Q8/'Output-Calculation-sheet'!Q7*'Output-Calculation-sheet'!Q43</f>
        <v>367.33944520021544</v>
      </c>
      <c r="R52" s="2">
        <f>R8/'Output-Calculation-sheet'!R7*'Output-Calculation-sheet'!R43</f>
        <v>2945.9614427303372</v>
      </c>
      <c r="S52" s="2">
        <f>S8/'Output-Calculation-sheet'!S7*'Output-Calculation-sheet'!S43</f>
        <v>491.12276246054643</v>
      </c>
      <c r="T52" s="2">
        <f>T8/'Output-Calculation-sheet'!T7*'Output-Calculation-sheet'!T43</f>
        <v>873.0937191137532</v>
      </c>
      <c r="U52" s="2">
        <f>U8/'Output-Calculation-sheet'!U7*'Output-Calculation-sheet'!U43</f>
        <v>326.1321124646563</v>
      </c>
      <c r="V52" s="2">
        <f>V8/'Output-Calculation-sheet'!V7*'Output-Calculation-sheet'!V43</f>
        <v>852.66568569594244</v>
      </c>
      <c r="W52" s="2">
        <f>W8/'Output-Calculation-sheet'!W7*'Output-Calculation-sheet'!W43</f>
        <v>10.207525736612048</v>
      </c>
      <c r="X52" s="2">
        <f>X8/'Output-Calculation-sheet'!X7*'Output-Calculation-sheet'!X43</f>
        <v>691.78912815209378</v>
      </c>
      <c r="Y52" s="2">
        <f>Y8/'Output-Calculation-sheet'!Y7*'Output-Calculation-sheet'!Y43</f>
        <v>0</v>
      </c>
      <c r="AA52" s="2">
        <f t="shared" si="3"/>
        <v>45.109066884634544</v>
      </c>
    </row>
    <row r="53" spans="1:27" x14ac:dyDescent="0.25">
      <c r="A53" s="2">
        <v>2032</v>
      </c>
      <c r="B53" s="2">
        <f>B9/'Output-Calculation-sheet'!B8*'Output-Calculation-sheet'!B44</f>
        <v>3712.8812673009311</v>
      </c>
      <c r="C53" s="2">
        <f>C9/'Output-Calculation-sheet'!C8*'Output-Calculation-sheet'!C44</f>
        <v>0</v>
      </c>
      <c r="D53" s="2">
        <f>D9/'Output-Calculation-sheet'!D8*'Output-Calculation-sheet'!D44</f>
        <v>3286.3718989362383</v>
      </c>
      <c r="E53" s="2">
        <f>E9/'Output-Calculation-sheet'!E8*'Output-Calculation-sheet'!E44</f>
        <v>2154.7259891211033</v>
      </c>
      <c r="F53" s="2">
        <f>F9/'Output-Calculation-sheet'!F8*'Output-Calculation-sheet'!F44</f>
        <v>0</v>
      </c>
      <c r="G53" s="2">
        <f>G9/'Output-Calculation-sheet'!G8*'Output-Calculation-sheet'!G44</f>
        <v>795.75224138308749</v>
      </c>
      <c r="H53" s="2">
        <f>H9/'Output-Calculation-sheet'!H8*'Output-Calculation-sheet'!H44</f>
        <v>9992.7771882827346</v>
      </c>
      <c r="I53" s="2">
        <f>I9/'Output-Calculation-sheet'!I8*'Output-Calculation-sheet'!I44</f>
        <v>291.59436829924744</v>
      </c>
      <c r="J53" s="2">
        <f>J9/'Output-Calculation-sheet'!J8*'Output-Calculation-sheet'!J44</f>
        <v>1337.974286329963</v>
      </c>
      <c r="K53" s="2">
        <f>K9/'Output-Calculation-sheet'!K8*'Output-Calculation-sheet'!K44</f>
        <v>2422.9997200780799</v>
      </c>
      <c r="L53" s="2">
        <f>L9/'Output-Calculation-sheet'!L8*'Output-Calculation-sheet'!L44</f>
        <v>2361.704010089185</v>
      </c>
      <c r="M53" s="2">
        <f>M9/'Output-Calculation-sheet'!M8*'Output-Calculation-sheet'!M44</f>
        <v>14203.869100291859</v>
      </c>
      <c r="N53" s="2">
        <f>N9/'Output-Calculation-sheet'!N8*'Output-Calculation-sheet'!N44</f>
        <v>9461.2182939141348</v>
      </c>
      <c r="O53" s="2">
        <f>O9/'Output-Calculation-sheet'!O8*'Output-Calculation-sheet'!O44</f>
        <v>0</v>
      </c>
      <c r="P53" s="2">
        <f>P9/'Output-Calculation-sheet'!P8*'Output-Calculation-sheet'!P44</f>
        <v>1962.1442929173691</v>
      </c>
      <c r="Q53" s="2">
        <f>Q9/'Output-Calculation-sheet'!Q8*'Output-Calculation-sheet'!Q44</f>
        <v>592.10361085121019</v>
      </c>
      <c r="R53" s="2">
        <f>R9/'Output-Calculation-sheet'!R8*'Output-Calculation-sheet'!R44</f>
        <v>3321.767563456222</v>
      </c>
      <c r="S53" s="2">
        <f>S9/'Output-Calculation-sheet'!S8*'Output-Calculation-sheet'!S44</f>
        <v>962.94480244588658</v>
      </c>
      <c r="T53" s="2">
        <f>T9/'Output-Calculation-sheet'!T8*'Output-Calculation-sheet'!T44</f>
        <v>986.87388210457516</v>
      </c>
      <c r="U53" s="2">
        <f>U9/'Output-Calculation-sheet'!U8*'Output-Calculation-sheet'!U44</f>
        <v>426.41317658009211</v>
      </c>
      <c r="V53" s="2">
        <f>V9/'Output-Calculation-sheet'!V8*'Output-Calculation-sheet'!V44</f>
        <v>919.81663825149781</v>
      </c>
      <c r="W53" s="2">
        <f>W9/'Output-Calculation-sheet'!W8*'Output-Calculation-sheet'!W44</f>
        <v>25.228254554193196</v>
      </c>
      <c r="X53" s="2">
        <f>X9/'Output-Calculation-sheet'!X8*'Output-Calculation-sheet'!X44</f>
        <v>1366.3879044410407</v>
      </c>
      <c r="Y53" s="2">
        <f>Y9/'Output-Calculation-sheet'!Y8*'Output-Calculation-sheet'!Y44</f>
        <v>0</v>
      </c>
      <c r="AA53" s="2">
        <f t="shared" si="3"/>
        <v>60.585548489628657</v>
      </c>
    </row>
    <row r="54" spans="1:27" x14ac:dyDescent="0.25">
      <c r="A54" s="2">
        <v>2033</v>
      </c>
      <c r="B54" s="2">
        <f>B10/'Output-Calculation-sheet'!B9*'Output-Calculation-sheet'!B45</f>
        <v>7336.3488565758871</v>
      </c>
      <c r="C54" s="2">
        <f>C10/'Output-Calculation-sheet'!C9*'Output-Calculation-sheet'!C45</f>
        <v>0</v>
      </c>
      <c r="D54" s="2">
        <f>D10/'Output-Calculation-sheet'!D9*'Output-Calculation-sheet'!D45</f>
        <v>4168.1900407558869</v>
      </c>
      <c r="E54" s="2">
        <f>E10/'Output-Calculation-sheet'!E9*'Output-Calculation-sheet'!E45</f>
        <v>2782.5834044245689</v>
      </c>
      <c r="F54" s="2">
        <f>F10/'Output-Calculation-sheet'!F9*'Output-Calculation-sheet'!F45</f>
        <v>0</v>
      </c>
      <c r="G54" s="2">
        <f>G10/'Output-Calculation-sheet'!G9*'Output-Calculation-sheet'!G45</f>
        <v>986.84475332606553</v>
      </c>
      <c r="H54" s="2">
        <f>H10/'Output-Calculation-sheet'!H9*'Output-Calculation-sheet'!H45</f>
        <v>19583.289571309237</v>
      </c>
      <c r="I54" s="2">
        <f>I10/'Output-Calculation-sheet'!I9*'Output-Calculation-sheet'!I45</f>
        <v>403.45815305670897</v>
      </c>
      <c r="J54" s="2">
        <f>J10/'Output-Calculation-sheet'!J9*'Output-Calculation-sheet'!J45</f>
        <v>1650.4032518914039</v>
      </c>
      <c r="K54" s="2">
        <f>K10/'Output-Calculation-sheet'!K9*'Output-Calculation-sheet'!K45</f>
        <v>2802.1867220791423</v>
      </c>
      <c r="L54" s="2">
        <f>L10/'Output-Calculation-sheet'!L9*'Output-Calculation-sheet'!L45</f>
        <v>2669.5934423006911</v>
      </c>
      <c r="M54" s="2">
        <f>M10/'Output-Calculation-sheet'!M9*'Output-Calculation-sheet'!M45</f>
        <v>14571.576180647113</v>
      </c>
      <c r="N54" s="2">
        <f>N10/'Output-Calculation-sheet'!N9*'Output-Calculation-sheet'!N45</f>
        <v>10207.26749832422</v>
      </c>
      <c r="O54" s="2">
        <f>O10/'Output-Calculation-sheet'!O9*'Output-Calculation-sheet'!O45</f>
        <v>0</v>
      </c>
      <c r="P54" s="2">
        <f>P10/'Output-Calculation-sheet'!P9*'Output-Calculation-sheet'!P45</f>
        <v>2316.6958261179293</v>
      </c>
      <c r="Q54" s="2">
        <f>Q10/'Output-Calculation-sheet'!Q9*'Output-Calculation-sheet'!Q45</f>
        <v>892.59366263629738</v>
      </c>
      <c r="R54" s="2">
        <f>R10/'Output-Calculation-sheet'!R9*'Output-Calculation-sheet'!R45</f>
        <v>3438.5568529757447</v>
      </c>
      <c r="S54" s="2">
        <f>S10/'Output-Calculation-sheet'!S9*'Output-Calculation-sheet'!S45</f>
        <v>1527.3615004378023</v>
      </c>
      <c r="T54" s="2">
        <f>T10/'Output-Calculation-sheet'!T9*'Output-Calculation-sheet'!T45</f>
        <v>1108.4037567745727</v>
      </c>
      <c r="U54" s="2">
        <f>U10/'Output-Calculation-sheet'!U9*'Output-Calculation-sheet'!U45</f>
        <v>498.38585469171096</v>
      </c>
      <c r="V54" s="2">
        <f>V10/'Output-Calculation-sheet'!V9*'Output-Calculation-sheet'!V45</f>
        <v>967.0863644988425</v>
      </c>
      <c r="W54" s="2">
        <f>W10/'Output-Calculation-sheet'!W9*'Output-Calculation-sheet'!W45</f>
        <v>32.911862808338803</v>
      </c>
      <c r="X54" s="2">
        <f>X10/'Output-Calculation-sheet'!X9*'Output-Calculation-sheet'!X45</f>
        <v>1403.9142081291379</v>
      </c>
      <c r="Y54" s="2">
        <f>Y10/'Output-Calculation-sheet'!Y9*'Output-Calculation-sheet'!Y45</f>
        <v>10.551427182751208</v>
      </c>
      <c r="AA54" s="2">
        <f t="shared" si="3"/>
        <v>79.358203190944053</v>
      </c>
    </row>
    <row r="55" spans="1:27" x14ac:dyDescent="0.25">
      <c r="A55" s="2">
        <v>2034</v>
      </c>
      <c r="B55" s="2">
        <f>B11/'Output-Calculation-sheet'!B10*'Output-Calculation-sheet'!B46</f>
        <v>14567.857456162201</v>
      </c>
      <c r="C55" s="2">
        <f>C11/'Output-Calculation-sheet'!C10*'Output-Calculation-sheet'!C46</f>
        <v>0</v>
      </c>
      <c r="D55" s="2">
        <f>D11/'Output-Calculation-sheet'!D10*'Output-Calculation-sheet'!D46</f>
        <v>4654.8804572266754</v>
      </c>
      <c r="E55" s="2">
        <f>E11/'Output-Calculation-sheet'!E10*'Output-Calculation-sheet'!E46</f>
        <v>3050.3728549168723</v>
      </c>
      <c r="F55" s="2">
        <f>F11/'Output-Calculation-sheet'!F10*'Output-Calculation-sheet'!F46</f>
        <v>0</v>
      </c>
      <c r="G55" s="2">
        <f>G11/'Output-Calculation-sheet'!G10*'Output-Calculation-sheet'!G46</f>
        <v>1171.7934262393533</v>
      </c>
      <c r="H55" s="2">
        <f>H11/'Output-Calculation-sheet'!H10*'Output-Calculation-sheet'!H46</f>
        <v>19382.76912777247</v>
      </c>
      <c r="I55" s="2">
        <f>I11/'Output-Calculation-sheet'!I10*'Output-Calculation-sheet'!I46</f>
        <v>526.97911288802788</v>
      </c>
      <c r="J55" s="2">
        <f>J11/'Output-Calculation-sheet'!J10*'Output-Calculation-sheet'!J46</f>
        <v>1825.3770693280267</v>
      </c>
      <c r="K55" s="2">
        <f>K11/'Output-Calculation-sheet'!K10*'Output-Calculation-sheet'!K46</f>
        <v>3107.6251033205817</v>
      </c>
      <c r="L55" s="2">
        <f>L11/'Output-Calculation-sheet'!L10*'Output-Calculation-sheet'!L46</f>
        <v>2965.2414840735487</v>
      </c>
      <c r="M55" s="2">
        <f>M11/'Output-Calculation-sheet'!M10*'Output-Calculation-sheet'!M46</f>
        <v>14391.723660333008</v>
      </c>
      <c r="N55" s="2">
        <f>N11/'Output-Calculation-sheet'!N10*'Output-Calculation-sheet'!N46</f>
        <v>10594.172012999081</v>
      </c>
      <c r="O55" s="2">
        <f>O11/'Output-Calculation-sheet'!O10*'Output-Calculation-sheet'!O46</f>
        <v>0</v>
      </c>
      <c r="P55" s="2">
        <f>P11/'Output-Calculation-sheet'!P10*'Output-Calculation-sheet'!P46</f>
        <v>2464.5067738627745</v>
      </c>
      <c r="Q55" s="2">
        <f>Q11/'Output-Calculation-sheet'!Q10*'Output-Calculation-sheet'!Q46</f>
        <v>1378.8609652633515</v>
      </c>
      <c r="R55" s="2">
        <f>R11/'Output-Calculation-sheet'!R10*'Output-Calculation-sheet'!R46</f>
        <v>3451.8455451033124</v>
      </c>
      <c r="S55" s="2">
        <f>S11/'Output-Calculation-sheet'!S10*'Output-Calculation-sheet'!S46</f>
        <v>2222.339828747743</v>
      </c>
      <c r="T55" s="2">
        <f>T11/'Output-Calculation-sheet'!T10*'Output-Calculation-sheet'!T46</f>
        <v>1141.335219590635</v>
      </c>
      <c r="U55" s="2">
        <f>U11/'Output-Calculation-sheet'!U10*'Output-Calculation-sheet'!U46</f>
        <v>541.87842319956701</v>
      </c>
      <c r="V55" s="2">
        <f>V11/'Output-Calculation-sheet'!V10*'Output-Calculation-sheet'!V46</f>
        <v>997.01797817386364</v>
      </c>
      <c r="W55" s="2">
        <f>W11/'Output-Calculation-sheet'!W10*'Output-Calculation-sheet'!W46</f>
        <v>50.152681653104594</v>
      </c>
      <c r="X55" s="2">
        <f>X11/'Output-Calculation-sheet'!X10*'Output-Calculation-sheet'!X46</f>
        <v>1394.5776447547962</v>
      </c>
      <c r="Y55" s="2">
        <f>Y11/'Output-Calculation-sheet'!Y10*'Output-Calculation-sheet'!Y46</f>
        <v>16.538166432405099</v>
      </c>
      <c r="AA55" s="2">
        <f t="shared" si="3"/>
        <v>89.897844992041414</v>
      </c>
    </row>
    <row r="56" spans="1:27" x14ac:dyDescent="0.25">
      <c r="A56" s="2">
        <v>2035</v>
      </c>
      <c r="B56" s="2">
        <f>B12/'Output-Calculation-sheet'!B11*'Output-Calculation-sheet'!B47</f>
        <v>23595.400173075399</v>
      </c>
      <c r="C56" s="2">
        <f>C12/'Output-Calculation-sheet'!C11*'Output-Calculation-sheet'!C47</f>
        <v>1399.8628977881106</v>
      </c>
      <c r="D56" s="2">
        <f>D12/'Output-Calculation-sheet'!D11*'Output-Calculation-sheet'!D47</f>
        <v>5037.673201060823</v>
      </c>
      <c r="E56" s="2">
        <f>E12/'Output-Calculation-sheet'!E11*'Output-Calculation-sheet'!E47</f>
        <v>3634.0428086228235</v>
      </c>
      <c r="F56" s="2">
        <f>F12/'Output-Calculation-sheet'!F11*'Output-Calculation-sheet'!F47</f>
        <v>77.476736510759011</v>
      </c>
      <c r="G56" s="2">
        <f>G12/'Output-Calculation-sheet'!G11*'Output-Calculation-sheet'!G47</f>
        <v>1334.4898073307745</v>
      </c>
      <c r="H56" s="2">
        <f>H12/'Output-Calculation-sheet'!H11*'Output-Calculation-sheet'!H47</f>
        <v>18664.283024556771</v>
      </c>
      <c r="I56" s="2">
        <f>I12/'Output-Calculation-sheet'!I11*'Output-Calculation-sheet'!I47</f>
        <v>575.14083038549552</v>
      </c>
      <c r="J56" s="2">
        <f>J12/'Output-Calculation-sheet'!J11*'Output-Calculation-sheet'!J47</f>
        <v>1880.8367438413766</v>
      </c>
      <c r="K56" s="2">
        <f>K12/'Output-Calculation-sheet'!K11*'Output-Calculation-sheet'!K47</f>
        <v>3096.7124332305584</v>
      </c>
      <c r="L56" s="2">
        <f>L12/'Output-Calculation-sheet'!L11*'Output-Calculation-sheet'!L47</f>
        <v>3185.4305241962552</v>
      </c>
      <c r="M56" s="2">
        <f>M12/'Output-Calculation-sheet'!M11*'Output-Calculation-sheet'!M47</f>
        <v>13806.530416369831</v>
      </c>
      <c r="N56" s="2">
        <f>N12/'Output-Calculation-sheet'!N11*'Output-Calculation-sheet'!N47</f>
        <v>10582.469671236315</v>
      </c>
      <c r="O56" s="2">
        <f>O12/'Output-Calculation-sheet'!O11*'Output-Calculation-sheet'!O47</f>
        <v>662.89202250249957</v>
      </c>
      <c r="P56" s="2">
        <f>P12/'Output-Calculation-sheet'!P11*'Output-Calculation-sheet'!P47</f>
        <v>2439.8671280376579</v>
      </c>
      <c r="Q56" s="2">
        <f>Q12/'Output-Calculation-sheet'!Q11*'Output-Calculation-sheet'!Q47</f>
        <v>1883.0922230517119</v>
      </c>
      <c r="R56" s="2">
        <f>R12/'Output-Calculation-sheet'!R11*'Output-Calculation-sheet'!R47</f>
        <v>3355.05642044251</v>
      </c>
      <c r="S56" s="2">
        <f>S12/'Output-Calculation-sheet'!S11*'Output-Calculation-sheet'!S47</f>
        <v>2871.2747504938075</v>
      </c>
      <c r="T56" s="2">
        <f>T12/'Output-Calculation-sheet'!T11*'Output-Calculation-sheet'!T47</f>
        <v>1170.9933911507021</v>
      </c>
      <c r="U56" s="2">
        <f>U12/'Output-Calculation-sheet'!U11*'Output-Calculation-sheet'!U47</f>
        <v>585.5463561031238</v>
      </c>
      <c r="V56" s="2">
        <f>V12/'Output-Calculation-sheet'!V11*'Output-Calculation-sheet'!V47</f>
        <v>969.76355328480906</v>
      </c>
      <c r="W56" s="2">
        <f>W12/'Output-Calculation-sheet'!W11*'Output-Calculation-sheet'!W47</f>
        <v>61.195795793821233</v>
      </c>
      <c r="X56" s="2">
        <f>X12/'Output-Calculation-sheet'!X11*'Output-Calculation-sheet'!X47</f>
        <v>1339.7694878658322</v>
      </c>
      <c r="Y56" s="2">
        <f>Y12/'Output-Calculation-sheet'!Y11*'Output-Calculation-sheet'!Y47</f>
        <v>23.542987656551006</v>
      </c>
      <c r="AA56" s="2">
        <f t="shared" si="3"/>
        <v>102.23334338458832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 t="shared" ref="AA60:AA67" si="4"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si="4"/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6.8384233857400769</v>
      </c>
      <c r="C63" s="2">
        <f>C8*'Output-Calculation-sheet'!C52/10^9</f>
        <v>4.2013693844168225</v>
      </c>
      <c r="D63" s="2">
        <f>D8*'Output-Calculation-sheet'!D52/10^9</f>
        <v>1.4802228842725644</v>
      </c>
      <c r="E63" s="2">
        <f>E8*'Output-Calculation-sheet'!E52/10^9</f>
        <v>1.7701326694485826</v>
      </c>
      <c r="F63" s="2">
        <f>F8*'Output-Calculation-sheet'!F52/10^9</f>
        <v>0.68725380208097087</v>
      </c>
      <c r="G63" s="2">
        <f>G8*'Output-Calculation-sheet'!G52/10^9</f>
        <v>0.48506611471780298</v>
      </c>
      <c r="H63" s="2">
        <f>H8*'Output-Calculation-sheet'!H52/10^9</f>
        <v>1.2924023485797427</v>
      </c>
      <c r="I63" s="2">
        <f>I8*'Output-Calculation-sheet'!I52/10^9</f>
        <v>0.47523336934948385</v>
      </c>
      <c r="J63" s="2">
        <f>J8*'Output-Calculation-sheet'!J52/10^9</f>
        <v>0.49476583527397294</v>
      </c>
      <c r="K63" s="2">
        <f>K8*'Output-Calculation-sheet'!K52/10^9</f>
        <v>0.59683020739373072</v>
      </c>
      <c r="L63" s="2">
        <f>L8*'Output-Calculation-sheet'!L52/10^9</f>
        <v>0.62300351941699494</v>
      </c>
      <c r="M63" s="2">
        <f>M8*'Output-Calculation-sheet'!M52/10^9</f>
        <v>0.97523454182916736</v>
      </c>
      <c r="N63" s="2">
        <f>N8*'Output-Calculation-sheet'!N52/10^9</f>
        <v>0.83859432673580603</v>
      </c>
      <c r="O63" s="2">
        <f>O8*'Output-Calculation-sheet'!O52/10^9</f>
        <v>0.87935696824038567</v>
      </c>
      <c r="P63" s="2">
        <f>P8*'Output-Calculation-sheet'!P52/10^9</f>
        <v>0.53539495178048324</v>
      </c>
      <c r="Q63" s="2">
        <f>Q8*'Output-Calculation-sheet'!Q52/10^9</f>
        <v>0.58290613737792119</v>
      </c>
      <c r="R63" s="2">
        <f>R8*'Output-Calculation-sheet'!R52/10^9</f>
        <v>0.44964850759214176</v>
      </c>
      <c r="S63" s="2">
        <f>S8*'Output-Calculation-sheet'!S52/10^9</f>
        <v>0.42822502522466271</v>
      </c>
      <c r="T63" s="2">
        <f>T8*'Output-Calculation-sheet'!T52/10^9</f>
        <v>0.13934958592923397</v>
      </c>
      <c r="U63" s="2">
        <f>U8*'Output-Calculation-sheet'!U52/10^9</f>
        <v>0.13589346378749975</v>
      </c>
      <c r="V63" s="2">
        <f>V8*'Output-Calculation-sheet'!V52/10^9</f>
        <v>0.11586768281630301</v>
      </c>
      <c r="W63" s="2">
        <f>W8*'Output-Calculation-sheet'!W52/10^9</f>
        <v>5.968756903753869E-2</v>
      </c>
      <c r="X63" s="2">
        <f>X8*'Output-Calculation-sheet'!X52/10^9</f>
        <v>0.11284397060368577</v>
      </c>
      <c r="Y63" s="2">
        <f>Y8*'Output-Calculation-sheet'!Y52/10^9</f>
        <v>5.4363028403977873E-2</v>
      </c>
      <c r="AA63" s="2">
        <f t="shared" si="4"/>
        <v>24.25206928004955</v>
      </c>
    </row>
    <row r="64" spans="1:27" x14ac:dyDescent="0.25">
      <c r="A64" s="2">
        <v>2032</v>
      </c>
      <c r="B64" s="2">
        <f>B9*'Output-Calculation-sheet'!B53/10^9</f>
        <v>7.1909387614752882</v>
      </c>
      <c r="C64" s="2">
        <f>C9*'Output-Calculation-sheet'!C53/10^9</f>
        <v>4.4167231895355474</v>
      </c>
      <c r="D64" s="2">
        <f>D9*'Output-Calculation-sheet'!D53/10^9</f>
        <v>1.5576049695415404</v>
      </c>
      <c r="E64" s="2">
        <f>E9*'Output-Calculation-sheet'!E53/10^9</f>
        <v>1.8635831284136</v>
      </c>
      <c r="F64" s="2">
        <f>F9*'Output-Calculation-sheet'!F53/10^9</f>
        <v>0.72354833933790064</v>
      </c>
      <c r="G64" s="2">
        <f>G9*'Output-Calculation-sheet'!G53/10^9</f>
        <v>0.51066116622936153</v>
      </c>
      <c r="H64" s="2">
        <f>H9*'Output-Calculation-sheet'!H53/10^9</f>
        <v>1.3470573061863687</v>
      </c>
      <c r="I64" s="2">
        <f>I9*'Output-Calculation-sheet'!I53/10^9</f>
        <v>0.50047990310127832</v>
      </c>
      <c r="J64" s="2">
        <f>J9*'Output-Calculation-sheet'!J53/10^9</f>
        <v>0.52033791195964973</v>
      </c>
      <c r="K64" s="2">
        <f>K9*'Output-Calculation-sheet'!K53/10^9</f>
        <v>0.62678682584717293</v>
      </c>
      <c r="L64" s="2">
        <f>L9*'Output-Calculation-sheet'!L53/10^9</f>
        <v>0.65146642998594873</v>
      </c>
      <c r="M64" s="2">
        <f>M9*'Output-Calculation-sheet'!M53/10^9</f>
        <v>1.0027338300795621</v>
      </c>
      <c r="N64" s="2">
        <f>N9*'Output-Calculation-sheet'!N53/10^9</f>
        <v>0.86916945397344147</v>
      </c>
      <c r="O64" s="2">
        <f>O9*'Output-Calculation-sheet'!O53/10^9</f>
        <v>0.92439945700263138</v>
      </c>
      <c r="P64" s="2">
        <f>P9*'Output-Calculation-sheet'!P53/10^9</f>
        <v>0.56283400306335507</v>
      </c>
      <c r="Q64" s="2">
        <f>Q9*'Output-Calculation-sheet'!Q53/10^9</f>
        <v>0.61373501130538333</v>
      </c>
      <c r="R64" s="2">
        <f>R9*'Output-Calculation-sheet'!R53/10^9</f>
        <v>0.47115008965263427</v>
      </c>
      <c r="S64" s="2">
        <f>S9*'Output-Calculation-sheet'!S53/10^9</f>
        <v>0.44942292430338965</v>
      </c>
      <c r="T64" s="2">
        <f>T9*'Output-Calculation-sheet'!T53/10^9</f>
        <v>0.14602675058637654</v>
      </c>
      <c r="U64" s="2">
        <f>U9*'Output-Calculation-sheet'!U53/10^9</f>
        <v>0.14297301882979838</v>
      </c>
      <c r="V64" s="2">
        <f>V9*'Output-Calculation-sheet'!V53/10^9</f>
        <v>0.12125583904337801</v>
      </c>
      <c r="W64" s="2">
        <f>W9*'Output-Calculation-sheet'!W53/10^9</f>
        <v>6.2846239057809908E-2</v>
      </c>
      <c r="X64" s="2">
        <f>X9*'Output-Calculation-sheet'!X53/10^9</f>
        <v>0.11686176576248736</v>
      </c>
      <c r="Y64" s="2">
        <f>Y9*'Output-Calculation-sheet'!Y53/10^9</f>
        <v>5.7304627136196808E-2</v>
      </c>
      <c r="AA64" s="2">
        <f t="shared" si="4"/>
        <v>25.449900941410107</v>
      </c>
    </row>
    <row r="65" spans="1:27" x14ac:dyDescent="0.25">
      <c r="A65" s="2">
        <v>2033</v>
      </c>
      <c r="B65" s="2">
        <f>B10*'Output-Calculation-sheet'!B54/10^9</f>
        <v>7.235323545808539</v>
      </c>
      <c r="C65" s="2">
        <f>C10*'Output-Calculation-sheet'!C54/10^9</f>
        <v>4.4463780983772425</v>
      </c>
      <c r="D65" s="2">
        <f>D10*'Output-Calculation-sheet'!D54/10^9</f>
        <v>1.5694439712063242</v>
      </c>
      <c r="E65" s="2">
        <f>E10*'Output-Calculation-sheet'!E54/10^9</f>
        <v>1.8790192447065595</v>
      </c>
      <c r="F65" s="2">
        <f>F10*'Output-Calculation-sheet'!F54/10^9</f>
        <v>0.72965871310516317</v>
      </c>
      <c r="G65" s="2">
        <f>G10*'Output-Calculation-sheet'!G54/10^9</f>
        <v>0.51484314617141402</v>
      </c>
      <c r="H65" s="2">
        <f>H10*'Output-Calculation-sheet'!H54/10^9</f>
        <v>1.3328283234436875</v>
      </c>
      <c r="I65" s="2">
        <f>I10*'Output-Calculation-sheet'!I54/10^9</f>
        <v>0.50480079966011493</v>
      </c>
      <c r="J65" s="2">
        <f>J10*'Output-Calculation-sheet'!J54/10^9</f>
        <v>0.5240974232361425</v>
      </c>
      <c r="K65" s="2">
        <f>K10*'Output-Calculation-sheet'!K54/10^9</f>
        <v>0.63037097778040418</v>
      </c>
      <c r="L65" s="2">
        <f>L10*'Output-Calculation-sheet'!L54/10^9</f>
        <v>0.65197403697623391</v>
      </c>
      <c r="M65" s="2">
        <f>M10*'Output-Calculation-sheet'!M54/10^9</f>
        <v>0.98680046636326868</v>
      </c>
      <c r="N65" s="2">
        <f>N10*'Output-Calculation-sheet'!N54/10^9</f>
        <v>0.86111767297101482</v>
      </c>
      <c r="O65" s="2">
        <f>O10*'Output-Calculation-sheet'!O54/10^9</f>
        <v>0.93060109902215493</v>
      </c>
      <c r="P65" s="2">
        <f>P10*'Output-Calculation-sheet'!P54/10^9</f>
        <v>0.5665225917095591</v>
      </c>
      <c r="Q65" s="2">
        <f>Q10*'Output-Calculation-sheet'!Q54/10^9</f>
        <v>0.61840430811607261</v>
      </c>
      <c r="R65" s="2">
        <f>R10*'Output-Calculation-sheet'!R54/10^9</f>
        <v>0.47284677556238214</v>
      </c>
      <c r="S65" s="2">
        <f>S10*'Output-Calculation-sheet'!S54/10^9</f>
        <v>0.45090149327268131</v>
      </c>
      <c r="T65" s="2">
        <f>T10*'Output-Calculation-sheet'!T54/10^9</f>
        <v>0.14653580284174955</v>
      </c>
      <c r="U65" s="2">
        <f>U10*'Output-Calculation-sheet'!U54/10^9</f>
        <v>0.14404615973117271</v>
      </c>
      <c r="V65" s="2">
        <f>V10*'Output-Calculation-sheet'!V54/10^9</f>
        <v>0.12154701820551476</v>
      </c>
      <c r="W65" s="2">
        <f>W10*'Output-Calculation-sheet'!W54/10^9</f>
        <v>6.3376356771718073E-2</v>
      </c>
      <c r="X65" s="2">
        <f>X10*'Output-Calculation-sheet'!X54/10^9</f>
        <v>0.11547136207762683</v>
      </c>
      <c r="Y65" s="2">
        <f>Y10*'Output-Calculation-sheet'!Y54/10^9</f>
        <v>5.7851417961218135E-2</v>
      </c>
      <c r="AA65" s="2">
        <f t="shared" si="4"/>
        <v>25.554760805077969</v>
      </c>
    </row>
    <row r="66" spans="1:27" x14ac:dyDescent="0.25">
      <c r="A66" s="2">
        <v>2034</v>
      </c>
      <c r="B66" s="2">
        <f>B11*'Output-Calculation-sheet'!B55/10^9</f>
        <v>7.0179361993198217</v>
      </c>
      <c r="C66" s="2">
        <f>C11*'Output-Calculation-sheet'!C55/10^9</f>
        <v>4.3202242538230307</v>
      </c>
      <c r="D66" s="2">
        <f>D11*'Output-Calculation-sheet'!D55/10^9</f>
        <v>1.5264629998701293</v>
      </c>
      <c r="E66" s="2">
        <f>E11*'Output-Calculation-sheet'!E55/10^9</f>
        <v>1.8288437916679918</v>
      </c>
      <c r="F66" s="2">
        <f>F11*'Output-Calculation-sheet'!F55/10^9</f>
        <v>0.71035570971562101</v>
      </c>
      <c r="G66" s="2">
        <f>G11*'Output-Calculation-sheet'!G55/10^9</f>
        <v>0.50100293772931115</v>
      </c>
      <c r="H66" s="2">
        <f>H11*'Output-Calculation-sheet'!H55/10^9</f>
        <v>1.2664995108190256</v>
      </c>
      <c r="I66" s="2">
        <f>I11*'Output-Calculation-sheet'!I55/10^9</f>
        <v>0.49144782754321598</v>
      </c>
      <c r="J66" s="2">
        <f>J11*'Output-Calculation-sheet'!J55/10^9</f>
        <v>0.50940399901486455</v>
      </c>
      <c r="K66" s="2">
        <f>K11*'Output-Calculation-sheet'!K55/10^9</f>
        <v>0.61191052031253579</v>
      </c>
      <c r="L66" s="2">
        <f>L11*'Output-Calculation-sheet'!L55/10^9</f>
        <v>0.62936808341816008</v>
      </c>
      <c r="M66" s="2">
        <f>M11*'Output-Calculation-sheet'!M55/10^9</f>
        <v>0.93649815079312726</v>
      </c>
      <c r="N66" s="2">
        <f>N11*'Output-Calculation-sheet'!N55/10^9</f>
        <v>0.82249296461580046</v>
      </c>
      <c r="O66" s="2">
        <f>O11*'Output-Calculation-sheet'!O55/10^9</f>
        <v>0.90422880072601619</v>
      </c>
      <c r="P66" s="2">
        <f>P11*'Output-Calculation-sheet'!P55/10^9</f>
        <v>0.55028130140481868</v>
      </c>
      <c r="Q66" s="2">
        <f>Q11*'Output-Calculation-sheet'!Q55/10^9</f>
        <v>0.60065836069579781</v>
      </c>
      <c r="R66" s="2">
        <f>R11*'Output-Calculation-sheet'!R55/10^9</f>
        <v>0.45814952144377075</v>
      </c>
      <c r="S66" s="2">
        <f>S11*'Output-Calculation-sheet'!S55/10^9</f>
        <v>0.43567198978817667</v>
      </c>
      <c r="T66" s="2">
        <f>T11*'Output-Calculation-sheet'!T55/10^9</f>
        <v>0.14192167865919306</v>
      </c>
      <c r="U66" s="2">
        <f>U11*'Output-Calculation-sheet'!U55/10^9</f>
        <v>0.14006593443051324</v>
      </c>
      <c r="V66" s="2">
        <f>V11*'Output-Calculation-sheet'!V55/10^9</f>
        <v>0.11762282657036477</v>
      </c>
      <c r="W66" s="2">
        <f>W11*'Output-Calculation-sheet'!W55/10^9</f>
        <v>6.169064538401399E-2</v>
      </c>
      <c r="X66" s="2">
        <f>X11*'Output-Calculation-sheet'!X55/10^9</f>
        <v>0.11005489299887521</v>
      </c>
      <c r="Y66" s="2">
        <f>Y11*'Output-Calculation-sheet'!Y55/10^9</f>
        <v>5.6382849283493748E-2</v>
      </c>
      <c r="AA66" s="2">
        <f t="shared" si="4"/>
        <v>24.749175750027671</v>
      </c>
    </row>
    <row r="67" spans="1:27" x14ac:dyDescent="0.25">
      <c r="A67" s="2">
        <v>2035</v>
      </c>
      <c r="B67" s="2">
        <f>B12*'Output-Calculation-sheet'!B56/10^9</f>
        <v>6.5802633625481644</v>
      </c>
      <c r="C67" s="2">
        <f>C12*'Output-Calculation-sheet'!C56/10^9</f>
        <v>4.0646586650023444</v>
      </c>
      <c r="D67" s="2">
        <f>D12*'Output-Calculation-sheet'!D56/10^9</f>
        <v>1.437761699977681</v>
      </c>
      <c r="E67" s="2">
        <f>E12*'Output-Calculation-sheet'!E56/10^9</f>
        <v>1.7239998472082538</v>
      </c>
      <c r="F67" s="2">
        <f>F12*'Output-Calculation-sheet'!F56/10^9</f>
        <v>0.66986456220739521</v>
      </c>
      <c r="G67" s="2">
        <f>G12*'Output-Calculation-sheet'!G56/10^9</f>
        <v>0.47217677244284101</v>
      </c>
      <c r="H67" s="2">
        <f>H12*'Output-Calculation-sheet'!H56/10^9</f>
        <v>1.164555637329995</v>
      </c>
      <c r="I67" s="2">
        <f>I12*'Output-Calculation-sheet'!I56/10^9</f>
        <v>0.46341908435087875</v>
      </c>
      <c r="J67" s="2">
        <f>J12*'Output-Calculation-sheet'!J56/10^9</f>
        <v>0.47960569418557514</v>
      </c>
      <c r="K67" s="2">
        <f>K12*'Output-Calculation-sheet'!K56/10^9</f>
        <v>0.57521759115478588</v>
      </c>
      <c r="L67" s="2">
        <f>L12*'Output-Calculation-sheet'!L56/10^9</f>
        <v>0.5879760245279686</v>
      </c>
      <c r="M67" s="2">
        <f>M12*'Output-Calculation-sheet'!M56/10^9</f>
        <v>0.85997529507785242</v>
      </c>
      <c r="N67" s="2">
        <f>N12*'Output-Calculation-sheet'!N56/10^9</f>
        <v>0.75989584016777234</v>
      </c>
      <c r="O67" s="2">
        <f>O12*'Output-Calculation-sheet'!O56/10^9</f>
        <v>0.85032696356203874</v>
      </c>
      <c r="P67" s="2">
        <f>P12*'Output-Calculation-sheet'!P56/10^9</f>
        <v>0.5177369709249473</v>
      </c>
      <c r="Q67" s="2">
        <f>Q12*'Output-Calculation-sheet'!Q56/10^9</f>
        <v>0.56414782474210701</v>
      </c>
      <c r="R67" s="2">
        <f>R12*'Output-Calculation-sheet'!R56/10^9</f>
        <v>0.43002307464296702</v>
      </c>
      <c r="S67" s="2">
        <f>S12*'Output-Calculation-sheet'!S56/10^9</f>
        <v>0.40667421937771897</v>
      </c>
      <c r="T67" s="2">
        <f>T12*'Output-Calculation-sheet'!T56/10^9</f>
        <v>0.13312006669733603</v>
      </c>
      <c r="U67" s="2">
        <f>U12*'Output-Calculation-sheet'!U56/10^9</f>
        <v>0.13191328927903936</v>
      </c>
      <c r="V67" s="2">
        <f>V12*'Output-Calculation-sheet'!V56/10^9</f>
        <v>0.1102423588455211</v>
      </c>
      <c r="W67" s="2">
        <f>W12*'Output-Calculation-sheet'!W56/10^9</f>
        <v>5.8162922094237075E-2</v>
      </c>
      <c r="X67" s="2">
        <f>X12*'Output-Calculation-sheet'!X56/10^9</f>
        <v>0.1014962327780663</v>
      </c>
      <c r="Y67" s="2">
        <f>Y12*'Output-Calculation-sheet'!Y56/10^9</f>
        <v>5.3227407425324107E-2</v>
      </c>
      <c r="AA67" s="2">
        <f t="shared" si="4"/>
        <v>23.196441406550818</v>
      </c>
    </row>
    <row r="68" spans="1:27" x14ac:dyDescent="0.25">
      <c r="B68" s="2">
        <f>SUM(B60:B67)</f>
        <v>49.721300575649295</v>
      </c>
      <c r="C68" s="2">
        <f t="shared" ref="C68:Y68" si="5">SUM(C60:C67)</f>
        <v>30.558430506631293</v>
      </c>
      <c r="D68" s="2">
        <f t="shared" si="5"/>
        <v>10.791524527141412</v>
      </c>
      <c r="E68" s="2">
        <f t="shared" si="5"/>
        <v>12.914333388431249</v>
      </c>
      <c r="F68" s="2">
        <f t="shared" si="5"/>
        <v>5.0155070488178257</v>
      </c>
      <c r="G68" s="2">
        <f t="shared" si="5"/>
        <v>3.5377157411812084</v>
      </c>
      <c r="H68" s="2">
        <f t="shared" si="5"/>
        <v>9.2251530791902763</v>
      </c>
      <c r="I68" s="2">
        <f t="shared" si="5"/>
        <v>3.4675114047351148</v>
      </c>
      <c r="J68" s="2">
        <f t="shared" si="5"/>
        <v>3.606762956289987</v>
      </c>
      <c r="K68" s="2">
        <f t="shared" si="5"/>
        <v>4.3491145468877672</v>
      </c>
      <c r="L68" s="2">
        <f t="shared" si="5"/>
        <v>4.5179465406163084</v>
      </c>
      <c r="M68" s="2">
        <f t="shared" si="5"/>
        <v>7.0076318619170328</v>
      </c>
      <c r="N68" s="2">
        <f t="shared" si="5"/>
        <v>6.015478960494705</v>
      </c>
      <c r="O68" s="2">
        <f t="shared" si="5"/>
        <v>6.3955776558760382</v>
      </c>
      <c r="P68" s="2">
        <f t="shared" si="5"/>
        <v>3.9004085547855909</v>
      </c>
      <c r="Q68" s="2">
        <f t="shared" si="5"/>
        <v>4.2459814738239663</v>
      </c>
      <c r="R68" s="2">
        <f t="shared" si="5"/>
        <v>3.2764514484940652</v>
      </c>
      <c r="S68" s="2">
        <f t="shared" si="5"/>
        <v>3.1015563492653651</v>
      </c>
      <c r="T68" s="2">
        <f t="shared" si="5"/>
        <v>1.0149661818776206</v>
      </c>
      <c r="U68" s="2">
        <f t="shared" si="5"/>
        <v>0.99049756003957268</v>
      </c>
      <c r="V68" s="2">
        <f t="shared" si="5"/>
        <v>0.84437764377294899</v>
      </c>
      <c r="W68" s="2">
        <f t="shared" si="5"/>
        <v>0.43549024301547079</v>
      </c>
      <c r="X68" s="2">
        <f t="shared" si="5"/>
        <v>0.80389188201943629</v>
      </c>
      <c r="Y68" s="2">
        <f t="shared" si="5"/>
        <v>0.39698299174236829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si="6"/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405.50406572683858</v>
      </c>
      <c r="C74" s="2">
        <f>C8/'Output-Calculation-sheet'!C7*'Output-Calculation-sheet'!C61</f>
        <v>0</v>
      </c>
      <c r="D74" s="2">
        <f>D8/'Output-Calculation-sheet'!D7*'Output-Calculation-sheet'!D61</f>
        <v>663.57007957518886</v>
      </c>
      <c r="E74" s="2">
        <f>E8/'Output-Calculation-sheet'!E7*'Output-Calculation-sheet'!E61</f>
        <v>492.47092547933812</v>
      </c>
      <c r="F74" s="2">
        <f>F8/'Output-Calculation-sheet'!F7*'Output-Calculation-sheet'!F61</f>
        <v>0</v>
      </c>
      <c r="G74" s="2">
        <f>G8/'Output-Calculation-sheet'!G7*'Output-Calculation-sheet'!G61</f>
        <v>224.23599429653888</v>
      </c>
      <c r="H74" s="2">
        <f>H8/'Output-Calculation-sheet'!H7*'Output-Calculation-sheet'!H61</f>
        <v>1076.9325147023835</v>
      </c>
      <c r="I74" s="2">
        <f>I8/'Output-Calculation-sheet'!I7*'Output-Calculation-sheet'!I61</f>
        <v>79.058057127628231</v>
      </c>
      <c r="J74" s="2">
        <f>J8/'Output-Calculation-sheet'!J7*'Output-Calculation-sheet'!J61</f>
        <v>329.61005194911013</v>
      </c>
      <c r="K74" s="2">
        <f>K8/'Output-Calculation-sheet'!K7*'Output-Calculation-sheet'!K61</f>
        <v>553.55336759728289</v>
      </c>
      <c r="L74" s="2">
        <f>L8/'Output-Calculation-sheet'!L7*'Output-Calculation-sheet'!L61</f>
        <v>480.25358850853701</v>
      </c>
      <c r="M74" s="2">
        <f>M8/'Output-Calculation-sheet'!M7*'Output-Calculation-sheet'!M61</f>
        <v>2405.1642079455964</v>
      </c>
      <c r="N74" s="2">
        <f>N8/'Output-Calculation-sheet'!N7*'Output-Calculation-sheet'!N61</f>
        <v>1356.6330226852265</v>
      </c>
      <c r="O74" s="2">
        <f>O8/'Output-Calculation-sheet'!O7*'Output-Calculation-sheet'!O61</f>
        <v>0</v>
      </c>
      <c r="P74" s="2">
        <f>P8/'Output-Calculation-sheet'!P7*'Output-Calculation-sheet'!P61</f>
        <v>383.41862341648221</v>
      </c>
      <c r="Q74" s="2">
        <f>Q8/'Output-Calculation-sheet'!Q7*'Output-Calculation-sheet'!Q61</f>
        <v>101.08223255096362</v>
      </c>
      <c r="R74" s="2">
        <f>R8/'Output-Calculation-sheet'!R7*'Output-Calculation-sheet'!R61</f>
        <v>666.80095020939348</v>
      </c>
      <c r="S74" s="2">
        <f>S8/'Output-Calculation-sheet'!S7*'Output-Calculation-sheet'!S61</f>
        <v>117.99485603626576</v>
      </c>
      <c r="T74" s="2">
        <f>T8/'Output-Calculation-sheet'!T7*'Output-Calculation-sheet'!T61</f>
        <v>225.83242909157079</v>
      </c>
      <c r="U74" s="2">
        <f>U8/'Output-Calculation-sheet'!U7*'Output-Calculation-sheet'!U61</f>
        <v>89.477402543232813</v>
      </c>
      <c r="V74" s="2">
        <f>V8/'Output-Calculation-sheet'!V7*'Output-Calculation-sheet'!V61</f>
        <v>157.16553961505207</v>
      </c>
      <c r="W74" s="2">
        <f>W8/'Output-Calculation-sheet'!W7*'Output-Calculation-sheet'!W61</f>
        <v>3.7393569281788808</v>
      </c>
      <c r="X74" s="2">
        <f>X8/'Output-Calculation-sheet'!X7*'Output-Calculation-sheet'!X61</f>
        <v>134.30475520901001</v>
      </c>
      <c r="Y74" s="2">
        <f>Y8/'Output-Calculation-sheet'!Y7*'Output-Calculation-sheet'!Y61</f>
        <v>0</v>
      </c>
      <c r="AA74" s="2">
        <f t="shared" si="6"/>
        <v>9.94680202119382</v>
      </c>
    </row>
    <row r="75" spans="1:27" x14ac:dyDescent="0.25">
      <c r="A75" s="2">
        <v>2032</v>
      </c>
      <c r="B75" s="2">
        <f>B9/'Output-Calculation-sheet'!B8*'Output-Calculation-sheet'!B62</f>
        <v>1052.6995466815849</v>
      </c>
      <c r="C75" s="2">
        <f>C9/'Output-Calculation-sheet'!C8*'Output-Calculation-sheet'!C62</f>
        <v>0</v>
      </c>
      <c r="D75" s="2">
        <f>D9/'Output-Calculation-sheet'!D8*'Output-Calculation-sheet'!D62</f>
        <v>861.11159681876779</v>
      </c>
      <c r="E75" s="2">
        <f>E9/'Output-Calculation-sheet'!E8*'Output-Calculation-sheet'!E62</f>
        <v>605.54329766997307</v>
      </c>
      <c r="F75" s="2">
        <f>F9/'Output-Calculation-sheet'!F8*'Output-Calculation-sheet'!F62</f>
        <v>0</v>
      </c>
      <c r="G75" s="2">
        <f>G9/'Output-Calculation-sheet'!G8*'Output-Calculation-sheet'!G62</f>
        <v>279.7805936092463</v>
      </c>
      <c r="H75" s="2">
        <f>H9/'Output-Calculation-sheet'!H8*'Output-Calculation-sheet'!H62</f>
        <v>1975.1723390359653</v>
      </c>
      <c r="I75" s="2">
        <f>I9/'Output-Calculation-sheet'!I8*'Output-Calculation-sheet'!I62</f>
        <v>119.63321673950034</v>
      </c>
      <c r="J75" s="2">
        <f>J9/'Output-Calculation-sheet'!J8*'Output-Calculation-sheet'!J62</f>
        <v>392.10517026446331</v>
      </c>
      <c r="K75" s="2">
        <f>K9/'Output-Calculation-sheet'!K8*'Output-Calculation-sheet'!K62</f>
        <v>614.94690745164428</v>
      </c>
      <c r="L75" s="2">
        <f>L9/'Output-Calculation-sheet'!L8*'Output-Calculation-sheet'!L62</f>
        <v>533.9937067022704</v>
      </c>
      <c r="M75" s="2">
        <f>M9/'Output-Calculation-sheet'!M8*'Output-Calculation-sheet'!M62</f>
        <v>2571.0574730626499</v>
      </c>
      <c r="N75" s="2">
        <f>N9/'Output-Calculation-sheet'!N8*'Output-Calculation-sheet'!N62</f>
        <v>1661.9498820654514</v>
      </c>
      <c r="O75" s="2">
        <f>O9/'Output-Calculation-sheet'!O8*'Output-Calculation-sheet'!O62</f>
        <v>0</v>
      </c>
      <c r="P75" s="2">
        <f>P9/'Output-Calculation-sheet'!P8*'Output-Calculation-sheet'!P62</f>
        <v>458.62447195634979</v>
      </c>
      <c r="Q75" s="2">
        <f>Q9/'Output-Calculation-sheet'!Q8*'Output-Calculation-sheet'!Q62</f>
        <v>162.65932052383963</v>
      </c>
      <c r="R75" s="2">
        <f>R9/'Output-Calculation-sheet'!R8*'Output-Calculation-sheet'!R62</f>
        <v>730.13457640999104</v>
      </c>
      <c r="S75" s="2">
        <f>S9/'Output-Calculation-sheet'!S8*'Output-Calculation-sheet'!S62</f>
        <v>211.40512329559121</v>
      </c>
      <c r="T75" s="2">
        <f>T9/'Output-Calculation-sheet'!T8*'Output-Calculation-sheet'!T62</f>
        <v>244.44679857111061</v>
      </c>
      <c r="U75" s="2">
        <f>U9/'Output-Calculation-sheet'!U8*'Output-Calculation-sheet'!U62</f>
        <v>113.71737726822001</v>
      </c>
      <c r="V75" s="2">
        <f>V9/'Output-Calculation-sheet'!V8*'Output-Calculation-sheet'!V62</f>
        <v>169.60419913460876</v>
      </c>
      <c r="W75" s="2">
        <f>W9/'Output-Calculation-sheet'!W8*'Output-Calculation-sheet'!W62</f>
        <v>9.2407492395644795</v>
      </c>
      <c r="X75" s="2">
        <f>X9/'Output-Calculation-sheet'!X8*'Output-Calculation-sheet'!X62</f>
        <v>243.60713565092138</v>
      </c>
      <c r="Y75" s="2">
        <f>Y9/'Output-Calculation-sheet'!Y8*'Output-Calculation-sheet'!Y62</f>
        <v>0</v>
      </c>
      <c r="AA75" s="2">
        <f t="shared" si="6"/>
        <v>13.011433482151716</v>
      </c>
    </row>
    <row r="76" spans="1:27" x14ac:dyDescent="0.25">
      <c r="A76" s="2">
        <v>2033</v>
      </c>
      <c r="B76" s="2">
        <f>B10/'Output-Calculation-sheet'!B9*'Output-Calculation-sheet'!B63</f>
        <v>1926.8821131947154</v>
      </c>
      <c r="C76" s="2">
        <f>C10/'Output-Calculation-sheet'!C9*'Output-Calculation-sheet'!C63</f>
        <v>0</v>
      </c>
      <c r="D76" s="2">
        <f>D10/'Output-Calculation-sheet'!D9*'Output-Calculation-sheet'!D63</f>
        <v>1030.2932142740401</v>
      </c>
      <c r="E76" s="2">
        <f>E10/'Output-Calculation-sheet'!E9*'Output-Calculation-sheet'!E63</f>
        <v>764.41541238692093</v>
      </c>
      <c r="F76" s="2">
        <f>F10/'Output-Calculation-sheet'!F9*'Output-Calculation-sheet'!F63</f>
        <v>0</v>
      </c>
      <c r="G76" s="2">
        <f>G10/'Output-Calculation-sheet'!G9*'Output-Calculation-sheet'!G63</f>
        <v>342.82388642818228</v>
      </c>
      <c r="H76" s="2">
        <f>H10/'Output-Calculation-sheet'!H9*'Output-Calculation-sheet'!H63</f>
        <v>3515.7798653154309</v>
      </c>
      <c r="I76" s="2">
        <f>I10/'Output-Calculation-sheet'!I9*'Output-Calculation-sheet'!I63</f>
        <v>159.07010114515845</v>
      </c>
      <c r="J76" s="2">
        <f>J10/'Output-Calculation-sheet'!J9*'Output-Calculation-sheet'!J63</f>
        <v>478.5903236412185</v>
      </c>
      <c r="K76" s="2">
        <f>K10/'Output-Calculation-sheet'!K9*'Output-Calculation-sheet'!K63</f>
        <v>660.52299469688171</v>
      </c>
      <c r="L76" s="2">
        <f>L10/'Output-Calculation-sheet'!L9*'Output-Calculation-sheet'!L63</f>
        <v>611.37893912846937</v>
      </c>
      <c r="M76" s="2">
        <f>M10/'Output-Calculation-sheet'!M9*'Output-Calculation-sheet'!M63</f>
        <v>2629.5216535125892</v>
      </c>
      <c r="N76" s="2">
        <f>N10/'Output-Calculation-sheet'!N9*'Output-Calculation-sheet'!N63</f>
        <v>1787.7607802103328</v>
      </c>
      <c r="O76" s="2">
        <f>O10/'Output-Calculation-sheet'!O9*'Output-Calculation-sheet'!O63</f>
        <v>0</v>
      </c>
      <c r="P76" s="2">
        <f>P10/'Output-Calculation-sheet'!P9*'Output-Calculation-sheet'!P63</f>
        <v>516.62316922429829</v>
      </c>
      <c r="Q76" s="2">
        <f>Q10/'Output-Calculation-sheet'!Q9*'Output-Calculation-sheet'!Q63</f>
        <v>227.07926082722264</v>
      </c>
      <c r="R76" s="2">
        <f>R10/'Output-Calculation-sheet'!R9*'Output-Calculation-sheet'!R63</f>
        <v>754.78025178685402</v>
      </c>
      <c r="S76" s="2">
        <f>S10/'Output-Calculation-sheet'!S9*'Output-Calculation-sheet'!S63</f>
        <v>319.92608134537994</v>
      </c>
      <c r="T76" s="2">
        <f>T10/'Output-Calculation-sheet'!T9*'Output-Calculation-sheet'!T63</f>
        <v>265.07223933319187</v>
      </c>
      <c r="U76" s="2">
        <f>U10/'Output-Calculation-sheet'!U9*'Output-Calculation-sheet'!U63</f>
        <v>129.985603024759</v>
      </c>
      <c r="V76" s="2">
        <f>V10/'Output-Calculation-sheet'!V9*'Output-Calculation-sheet'!V63</f>
        <v>172.96487437021437</v>
      </c>
      <c r="W76" s="2">
        <f>W10/'Output-Calculation-sheet'!W9*'Output-Calculation-sheet'!W63</f>
        <v>12.056712408788117</v>
      </c>
      <c r="X76" s="2">
        <f>X10/'Output-Calculation-sheet'!X9*'Output-Calculation-sheet'!X63</f>
        <v>250.92889027165472</v>
      </c>
      <c r="Y76" s="2">
        <f>Y10/'Output-Calculation-sheet'!Y9*'Output-Calculation-sheet'!Y63</f>
        <v>3.8660429197600426</v>
      </c>
      <c r="AA76" s="2">
        <f t="shared" si="6"/>
        <v>16.560322409446062</v>
      </c>
    </row>
    <row r="77" spans="1:27" x14ac:dyDescent="0.25">
      <c r="A77" s="2">
        <v>2034</v>
      </c>
      <c r="B77" s="2">
        <f>B11/'Output-Calculation-sheet'!B10*'Output-Calculation-sheet'!B64</f>
        <v>3260.2864986891004</v>
      </c>
      <c r="C77" s="2">
        <f>C11/'Output-Calculation-sheet'!C10*'Output-Calculation-sheet'!C64</f>
        <v>0</v>
      </c>
      <c r="D77" s="2">
        <f>D11/'Output-Calculation-sheet'!D10*'Output-Calculation-sheet'!D64</f>
        <v>1158.0035944469168</v>
      </c>
      <c r="E77" s="2">
        <f>E11/'Output-Calculation-sheet'!E10*'Output-Calculation-sheet'!E64</f>
        <v>810.16604995590035</v>
      </c>
      <c r="F77" s="2">
        <f>F11/'Output-Calculation-sheet'!F10*'Output-Calculation-sheet'!F64</f>
        <v>0</v>
      </c>
      <c r="G77" s="2">
        <f>G11/'Output-Calculation-sheet'!G10*'Output-Calculation-sheet'!G64</f>
        <v>376.32145883676833</v>
      </c>
      <c r="H77" s="2">
        <f>H11/'Output-Calculation-sheet'!H10*'Output-Calculation-sheet'!H64</f>
        <v>3524.8260941202161</v>
      </c>
      <c r="I77" s="2">
        <f>I11/'Output-Calculation-sheet'!I10*'Output-Calculation-sheet'!I64</f>
        <v>199.69873482891816</v>
      </c>
      <c r="J77" s="2">
        <f>J11/'Output-Calculation-sheet'!J10*'Output-Calculation-sheet'!J64</f>
        <v>504.16914654840093</v>
      </c>
      <c r="K77" s="2">
        <f>K11/'Output-Calculation-sheet'!K10*'Output-Calculation-sheet'!K64</f>
        <v>709.67798609497686</v>
      </c>
      <c r="L77" s="2">
        <f>L11/'Output-Calculation-sheet'!L10*'Output-Calculation-sheet'!L64</f>
        <v>622.80367142919783</v>
      </c>
      <c r="M77" s="2">
        <f>M11/'Output-Calculation-sheet'!M10*'Output-Calculation-sheet'!M64</f>
        <v>2637.9424118734405</v>
      </c>
      <c r="N77" s="2">
        <f>N11/'Output-Calculation-sheet'!N10*'Output-Calculation-sheet'!N64</f>
        <v>1855.1700273922413</v>
      </c>
      <c r="O77" s="2">
        <f>O11/'Output-Calculation-sheet'!O10*'Output-Calculation-sheet'!O64</f>
        <v>0</v>
      </c>
      <c r="P77" s="2">
        <f>P11/'Output-Calculation-sheet'!P10*'Output-Calculation-sheet'!P64</f>
        <v>542.75885871573564</v>
      </c>
      <c r="Q77" s="2">
        <f>Q11/'Output-Calculation-sheet'!Q10*'Output-Calculation-sheet'!Q64</f>
        <v>331.56561601296056</v>
      </c>
      <c r="R77" s="2">
        <f>R11/'Output-Calculation-sheet'!R10*'Output-Calculation-sheet'!R64</f>
        <v>764.07518297890715</v>
      </c>
      <c r="S77" s="2">
        <f>S11/'Output-Calculation-sheet'!S10*'Output-Calculation-sheet'!S64</f>
        <v>450.13383214462328</v>
      </c>
      <c r="T77" s="2">
        <f>T11/'Output-Calculation-sheet'!T10*'Output-Calculation-sheet'!T64</f>
        <v>269.31192616643239</v>
      </c>
      <c r="U77" s="2">
        <f>U11/'Output-Calculation-sheet'!U10*'Output-Calculation-sheet'!U64</f>
        <v>140.18019248869592</v>
      </c>
      <c r="V77" s="2">
        <f>V11/'Output-Calculation-sheet'!V10*'Output-Calculation-sheet'!V64</f>
        <v>179.07435768976706</v>
      </c>
      <c r="W77" s="2">
        <f>W11/'Output-Calculation-sheet'!W10*'Output-Calculation-sheet'!W64</f>
        <v>18.370210822651455</v>
      </c>
      <c r="X77" s="2">
        <f>X11/'Output-Calculation-sheet'!X10*'Output-Calculation-sheet'!X64</f>
        <v>247.81280571870903</v>
      </c>
      <c r="Y77" s="2">
        <f>Y11/'Output-Calculation-sheet'!Y10*'Output-Calculation-sheet'!Y64</f>
        <v>5.7800891681255813</v>
      </c>
      <c r="AA77" s="2">
        <f t="shared" si="6"/>
        <v>18.608128746122684</v>
      </c>
    </row>
    <row r="78" spans="1:27" x14ac:dyDescent="0.25">
      <c r="A78" s="2">
        <v>2035</v>
      </c>
      <c r="B78" s="2">
        <f>B12/'Output-Calculation-sheet'!B11*'Output-Calculation-sheet'!B65</f>
        <v>4660.0915341823911</v>
      </c>
      <c r="C78" s="2">
        <f>C12/'Output-Calculation-sheet'!C11*'Output-Calculation-sheet'!C65</f>
        <v>384.61233116728334</v>
      </c>
      <c r="D78" s="2">
        <f>D12/'Output-Calculation-sheet'!D11*'Output-Calculation-sheet'!D65</f>
        <v>1202.5313444255344</v>
      </c>
      <c r="E78" s="2">
        <f>E12/'Output-Calculation-sheet'!E11*'Output-Calculation-sheet'!E65</f>
        <v>941.52505716285555</v>
      </c>
      <c r="F78" s="2">
        <f>F12/'Output-Calculation-sheet'!F11*'Output-Calculation-sheet'!F65</f>
        <v>42.573466712662075</v>
      </c>
      <c r="G78" s="2">
        <f>G12/'Output-Calculation-sheet'!G11*'Output-Calculation-sheet'!G65</f>
        <v>395.48161477667219</v>
      </c>
      <c r="H78" s="2">
        <f>H12/'Output-Calculation-sheet'!H11*'Output-Calculation-sheet'!H65</f>
        <v>3410.0156805024621</v>
      </c>
      <c r="I78" s="2">
        <f>I12/'Output-Calculation-sheet'!I11*'Output-Calculation-sheet'!I65</f>
        <v>215.92787262516319</v>
      </c>
      <c r="J78" s="2">
        <f>J12/'Output-Calculation-sheet'!J11*'Output-Calculation-sheet'!J65</f>
        <v>516.71039966663295</v>
      </c>
      <c r="K78" s="2">
        <f>K12/'Output-Calculation-sheet'!K11*'Output-Calculation-sheet'!K65</f>
        <v>695.45771208829456</v>
      </c>
      <c r="L78" s="2">
        <f>L12/'Output-Calculation-sheet'!L11*'Output-Calculation-sheet'!L65</f>
        <v>628.58510926854319</v>
      </c>
      <c r="M78" s="2">
        <f>M12/'Output-Calculation-sheet'!M11*'Output-Calculation-sheet'!M65</f>
        <v>2555.4127236419272</v>
      </c>
      <c r="N78" s="2">
        <f>N12/'Output-Calculation-sheet'!N11*'Output-Calculation-sheet'!N65</f>
        <v>1854.2454001225462</v>
      </c>
      <c r="O78" s="2">
        <f>O12/'Output-Calculation-sheet'!O11*'Output-Calculation-sheet'!O65</f>
        <v>186.98654203974351</v>
      </c>
      <c r="P78" s="2">
        <f>P12/'Output-Calculation-sheet'!P11*'Output-Calculation-sheet'!P65</f>
        <v>530.17471358765886</v>
      </c>
      <c r="Q78" s="2">
        <f>Q12/'Output-Calculation-sheet'!Q11*'Output-Calculation-sheet'!Q65</f>
        <v>394.14077732992524</v>
      </c>
      <c r="R78" s="2">
        <f>R12/'Output-Calculation-sheet'!R11*'Output-Calculation-sheet'!R65</f>
        <v>738.38145004050079</v>
      </c>
      <c r="S78" s="2">
        <f>S12/'Output-Calculation-sheet'!S11*'Output-Calculation-sheet'!S65</f>
        <v>540.07111906924604</v>
      </c>
      <c r="T78" s="2">
        <f>T12/'Output-Calculation-sheet'!T11*'Output-Calculation-sheet'!T65</f>
        <v>266.50638589198826</v>
      </c>
      <c r="U78" s="2">
        <f>U12/'Output-Calculation-sheet'!U11*'Output-Calculation-sheet'!U65</f>
        <v>143.58105822393034</v>
      </c>
      <c r="V78" s="2">
        <f>V12/'Output-Calculation-sheet'!V11*'Output-Calculation-sheet'!V65</f>
        <v>174.7655265075575</v>
      </c>
      <c r="W78" s="2">
        <f>W12/'Output-Calculation-sheet'!W11*'Output-Calculation-sheet'!W65</f>
        <v>21.789103069033349</v>
      </c>
      <c r="X78" s="2">
        <f>X12/'Output-Calculation-sheet'!X11*'Output-Calculation-sheet'!X65</f>
        <v>241.59357711843444</v>
      </c>
      <c r="Y78" s="2">
        <f>Y12/'Output-Calculation-sheet'!Y11*'Output-Calculation-sheet'!Y65</f>
        <v>7.710328457520454</v>
      </c>
      <c r="AA78" s="2">
        <f t="shared" si="6"/>
        <v>20.748870827678513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 t="shared" ref="AA93:AA100" si="8"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si="8"/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10622765672.746843</v>
      </c>
      <c r="C96" s="2">
        <f>C8/'Output-Calculation-sheet'!C7*'Output-Calculation-sheet'!C79</f>
        <v>1034010014.126984</v>
      </c>
      <c r="D96" s="2">
        <f>D8/'Output-Calculation-sheet'!D7*'Output-Calculation-sheet'!D79</f>
        <v>2722520608.7284188</v>
      </c>
      <c r="E96" s="2">
        <f>E8/'Output-Calculation-sheet'!E7*'Output-Calculation-sheet'!E79</f>
        <v>9800276211.202467</v>
      </c>
      <c r="F96" s="2">
        <f>F8/'Output-Calculation-sheet'!F7*'Output-Calculation-sheet'!F79</f>
        <v>2987410008.2922478</v>
      </c>
      <c r="G96" s="2">
        <f>G8/'Output-Calculation-sheet'!G7*'Output-Calculation-sheet'!G79</f>
        <v>1848178162.5062633</v>
      </c>
      <c r="H96" s="2">
        <f>H8/'Output-Calculation-sheet'!H7*'Output-Calculation-sheet'!H79</f>
        <v>1239952722.6307588</v>
      </c>
      <c r="I96" s="2">
        <f>I8/'Output-Calculation-sheet'!I7*'Output-Calculation-sheet'!I79</f>
        <v>1328319260.9244277</v>
      </c>
      <c r="J96" s="2">
        <f>J8/'Output-Calculation-sheet'!J7*'Output-Calculation-sheet'!J79</f>
        <v>1079760969.7955062</v>
      </c>
      <c r="K96" s="2">
        <f>K8/'Output-Calculation-sheet'!K7*'Output-Calculation-sheet'!K79</f>
        <v>1320617225.3533795</v>
      </c>
      <c r="L96" s="2">
        <f>L8/'Output-Calculation-sheet'!L7*'Output-Calculation-sheet'!L79</f>
        <v>1270048070.576566</v>
      </c>
      <c r="M96" s="2">
        <f>M8/'Output-Calculation-sheet'!M7*'Output-Calculation-sheet'!M79</f>
        <v>1746163347.9372907</v>
      </c>
      <c r="N96" s="2">
        <f>N8/'Output-Calculation-sheet'!N7*'Output-Calculation-sheet'!N79</f>
        <v>1094730407.5608253</v>
      </c>
      <c r="O96" s="2">
        <f>O8/'Output-Calculation-sheet'!O7*'Output-Calculation-sheet'!O79</f>
        <v>136465808.39815083</v>
      </c>
      <c r="P96" s="2">
        <f>P8/'Output-Calculation-sheet'!P7*'Output-Calculation-sheet'!P79</f>
        <v>1970970102.4081469</v>
      </c>
      <c r="Q96" s="2">
        <f>Q8/'Output-Calculation-sheet'!Q7*'Output-Calculation-sheet'!Q79</f>
        <v>824806581.55711722</v>
      </c>
      <c r="R96" s="2">
        <f>R8/'Output-Calculation-sheet'!R7*'Output-Calculation-sheet'!R79</f>
        <v>1294989849.0060205</v>
      </c>
      <c r="S96" s="2">
        <f>S8/'Output-Calculation-sheet'!S7*'Output-Calculation-sheet'!S79</f>
        <v>502028300.14229006</v>
      </c>
      <c r="T96" s="2">
        <f>T8/'Output-Calculation-sheet'!T7*'Output-Calculation-sheet'!T79</f>
        <v>456922581.6821295</v>
      </c>
      <c r="U96" s="2">
        <f>U8/'Output-Calculation-sheet'!U7*'Output-Calculation-sheet'!U79</f>
        <v>295157918.91589588</v>
      </c>
      <c r="V96" s="2">
        <f>V8/'Output-Calculation-sheet'!V7*'Output-Calculation-sheet'!V79</f>
        <v>175661744.41857651</v>
      </c>
      <c r="W96" s="2">
        <f>W8/'Output-Calculation-sheet'!W7*'Output-Calculation-sheet'!W79</f>
        <v>484331104.41192102</v>
      </c>
      <c r="X96" s="2">
        <f>X8/'Output-Calculation-sheet'!X7*'Output-Calculation-sheet'!X79</f>
        <v>134583505.53417718</v>
      </c>
      <c r="Y96" s="2">
        <f>Y8/'Output-Calculation-sheet'!Y7*'Output-Calculation-sheet'!Y79</f>
        <v>258531236.77425608</v>
      </c>
      <c r="AA96" s="2">
        <f t="shared" si="8"/>
        <v>44.629201415630646</v>
      </c>
    </row>
    <row r="97" spans="1:27" x14ac:dyDescent="0.25">
      <c r="A97" s="2">
        <v>2032</v>
      </c>
      <c r="B97" s="2">
        <f>B9/'Output-Calculation-sheet'!B8*'Output-Calculation-sheet'!B80</f>
        <v>10491238466.063707</v>
      </c>
      <c r="C97" s="2">
        <f>C9/'Output-Calculation-sheet'!C8*'Output-Calculation-sheet'!C80</f>
        <v>998877969.98660874</v>
      </c>
      <c r="D97" s="2">
        <f>D9/'Output-Calculation-sheet'!D8*'Output-Calculation-sheet'!D80</f>
        <v>2442911405.586657</v>
      </c>
      <c r="E97" s="2">
        <f>E9/'Output-Calculation-sheet'!E8*'Output-Calculation-sheet'!E80</f>
        <v>9873359309.4599419</v>
      </c>
      <c r="F97" s="2">
        <f>F9/'Output-Calculation-sheet'!F8*'Output-Calculation-sheet'!F80</f>
        <v>2825250541.1421642</v>
      </c>
      <c r="G97" s="2">
        <f>G9/'Output-Calculation-sheet'!G8*'Output-Calculation-sheet'!G80</f>
        <v>1672801184.2533424</v>
      </c>
      <c r="H97" s="2">
        <f>H9/'Output-Calculation-sheet'!H8*'Output-Calculation-sheet'!H80</f>
        <v>1499790232.4765856</v>
      </c>
      <c r="I97" s="2">
        <f>I9/'Output-Calculation-sheet'!I8*'Output-Calculation-sheet'!I80</f>
        <v>1259459697.2738969</v>
      </c>
      <c r="J97" s="2">
        <f>J9/'Output-Calculation-sheet'!J8*'Output-Calculation-sheet'!J80</f>
        <v>1009306412.1988925</v>
      </c>
      <c r="K97" s="2">
        <f>K9/'Output-Calculation-sheet'!K8*'Output-Calculation-sheet'!K80</f>
        <v>1212661857.7542601</v>
      </c>
      <c r="L97" s="2">
        <f>L9/'Output-Calculation-sheet'!L8*'Output-Calculation-sheet'!L80</f>
        <v>1242715391.4197497</v>
      </c>
      <c r="M97" s="2">
        <f>M9/'Output-Calculation-sheet'!M8*'Output-Calculation-sheet'!M80</f>
        <v>1721852538.9257247</v>
      </c>
      <c r="N97" s="2">
        <f>N9/'Output-Calculation-sheet'!N8*'Output-Calculation-sheet'!N80</f>
        <v>1082370517.0090194</v>
      </c>
      <c r="O97" s="2">
        <f>O9/'Output-Calculation-sheet'!O8*'Output-Calculation-sheet'!O80</f>
        <v>130087717.53358866</v>
      </c>
      <c r="P97" s="2">
        <f>P9/'Output-Calculation-sheet'!P8*'Output-Calculation-sheet'!P80</f>
        <v>1865000312.7425692</v>
      </c>
      <c r="Q97" s="2">
        <f>Q9/'Output-Calculation-sheet'!Q8*'Output-Calculation-sheet'!Q80</f>
        <v>792775475.67431676</v>
      </c>
      <c r="R97" s="2">
        <f>R9/'Output-Calculation-sheet'!R8*'Output-Calculation-sheet'!R80</f>
        <v>1249961841.034142</v>
      </c>
      <c r="S97" s="2">
        <f>S9/'Output-Calculation-sheet'!S8*'Output-Calculation-sheet'!S80</f>
        <v>496139932.18047482</v>
      </c>
      <c r="T97" s="2">
        <f>T9/'Output-Calculation-sheet'!T8*'Output-Calculation-sheet'!T80</f>
        <v>419239976.47574055</v>
      </c>
      <c r="U97" s="2">
        <f>U9/'Output-Calculation-sheet'!U8*'Output-Calculation-sheet'!U80</f>
        <v>275741753.902412</v>
      </c>
      <c r="V97" s="2">
        <f>V9/'Output-Calculation-sheet'!V8*'Output-Calculation-sheet'!V80</f>
        <v>163359809.53942728</v>
      </c>
      <c r="W97" s="2">
        <f>W9/'Output-Calculation-sheet'!W8*'Output-Calculation-sheet'!W80</f>
        <v>453731239.36807406</v>
      </c>
      <c r="X97" s="2">
        <f>X9/'Output-Calculation-sheet'!X8*'Output-Calculation-sheet'!X80</f>
        <v>179974515.59668118</v>
      </c>
      <c r="Y97" s="2">
        <f>Y9/'Output-Calculation-sheet'!Y8*'Output-Calculation-sheet'!Y80</f>
        <v>247782549.28212374</v>
      </c>
      <c r="AA97" s="2">
        <f t="shared" si="8"/>
        <v>43.606390646880101</v>
      </c>
    </row>
    <row r="98" spans="1:27" x14ac:dyDescent="0.25">
      <c r="A98" s="2">
        <v>2033</v>
      </c>
      <c r="B98" s="2">
        <f>B10/'Output-Calculation-sheet'!B9*'Output-Calculation-sheet'!B81</f>
        <v>9911992230.345562</v>
      </c>
      <c r="C98" s="2">
        <f>C10/'Output-Calculation-sheet'!C9*'Output-Calculation-sheet'!C81</f>
        <v>924773413.47460139</v>
      </c>
      <c r="D98" s="2">
        <f>D10/'Output-Calculation-sheet'!D9*'Output-Calculation-sheet'!D81</f>
        <v>2096557074.9617956</v>
      </c>
      <c r="E98" s="2">
        <f>E10/'Output-Calculation-sheet'!E9*'Output-Calculation-sheet'!E81</f>
        <v>9512460123.9828472</v>
      </c>
      <c r="F98" s="2">
        <f>F10/'Output-Calculation-sheet'!F9*'Output-Calculation-sheet'!F81</f>
        <v>2548143010.3247414</v>
      </c>
      <c r="G98" s="2">
        <f>G10/'Output-Calculation-sheet'!G9*'Output-Calculation-sheet'!G81</f>
        <v>1442868405.2328222</v>
      </c>
      <c r="H98" s="2">
        <f>H10/'Output-Calculation-sheet'!H9*'Output-Calculation-sheet'!H81</f>
        <v>1872808499.81811</v>
      </c>
      <c r="I98" s="2">
        <f>I10/'Output-Calculation-sheet'!I9*'Output-Calculation-sheet'!I81</f>
        <v>1141400329.2119601</v>
      </c>
      <c r="J98" s="2">
        <f>J10/'Output-Calculation-sheet'!J9*'Output-Calculation-sheet'!J81</f>
        <v>902519823.9679395</v>
      </c>
      <c r="K98" s="2">
        <f>K10/'Output-Calculation-sheet'!K9*'Output-Calculation-sheet'!K81</f>
        <v>1070609010.5395538</v>
      </c>
      <c r="L98" s="2">
        <f>L10/'Output-Calculation-sheet'!L9*'Output-Calculation-sheet'!L81</f>
        <v>1159092278.7422283</v>
      </c>
      <c r="M98" s="2">
        <f>M10/'Output-Calculation-sheet'!M9*'Output-Calculation-sheet'!M81</f>
        <v>1622600224.2212398</v>
      </c>
      <c r="N98" s="2">
        <f>N10/'Output-Calculation-sheet'!N9*'Output-Calculation-sheet'!N81</f>
        <v>998522514.47882164</v>
      </c>
      <c r="O98" s="2">
        <f>O10/'Output-Calculation-sheet'!O9*'Output-Calculation-sheet'!O81</f>
        <v>118923419.8158602</v>
      </c>
      <c r="P98" s="2">
        <f>P10/'Output-Calculation-sheet'!P9*'Output-Calculation-sheet'!P81</f>
        <v>1673285686.069762</v>
      </c>
      <c r="Q98" s="2">
        <f>Q10/'Output-Calculation-sheet'!Q9*'Output-Calculation-sheet'!Q81</f>
        <v>731544876.26573205</v>
      </c>
      <c r="R98" s="2">
        <f>R10/'Output-Calculation-sheet'!R9*'Output-Calculation-sheet'!R81</f>
        <v>1145361498.8511126</v>
      </c>
      <c r="S98" s="2">
        <f>S10/'Output-Calculation-sheet'!S9*'Output-Calculation-sheet'!S81</f>
        <v>470872410.783831</v>
      </c>
      <c r="T98" s="2">
        <f>T10/'Output-Calculation-sheet'!T9*'Output-Calculation-sheet'!T81</f>
        <v>367657841.00955671</v>
      </c>
      <c r="U98" s="2">
        <f>U10/'Output-Calculation-sheet'!U9*'Output-Calculation-sheet'!U81</f>
        <v>244417569.34276378</v>
      </c>
      <c r="V98" s="2">
        <f>V10/'Output-Calculation-sheet'!V9*'Output-Calculation-sheet'!V81</f>
        <v>144684819.68322277</v>
      </c>
      <c r="W98" s="2">
        <f>W10/'Output-Calculation-sheet'!W9*'Output-Calculation-sheet'!W81</f>
        <v>402150783.02982092</v>
      </c>
      <c r="X98" s="2">
        <f>X10/'Output-Calculation-sheet'!X9*'Output-Calculation-sheet'!X81</f>
        <v>174831295.10323885</v>
      </c>
      <c r="Y98" s="2">
        <f>Y10/'Output-Calculation-sheet'!Y9*'Output-Calculation-sheet'!Y81</f>
        <v>226315029.3003068</v>
      </c>
      <c r="AA98" s="2">
        <f t="shared" si="8"/>
        <v>40.904392168557443</v>
      </c>
    </row>
    <row r="99" spans="1:27" x14ac:dyDescent="0.25">
      <c r="A99" s="2">
        <v>2034</v>
      </c>
      <c r="B99" s="2">
        <f>B11/'Output-Calculation-sheet'!B10*'Output-Calculation-sheet'!B82</f>
        <v>9171169410.5739899</v>
      </c>
      <c r="C99" s="2">
        <f>C11/'Output-Calculation-sheet'!C10*'Output-Calculation-sheet'!C82</f>
        <v>824568265.70110333</v>
      </c>
      <c r="D99" s="2">
        <f>D11/'Output-Calculation-sheet'!D10*'Output-Calculation-sheet'!D82</f>
        <v>1731690661.4921944</v>
      </c>
      <c r="E99" s="2">
        <f>E11/'Output-Calculation-sheet'!E10*'Output-Calculation-sheet'!E82</f>
        <v>8789435206.3276215</v>
      </c>
      <c r="F99" s="2">
        <f>F11/'Output-Calculation-sheet'!F10*'Output-Calculation-sheet'!F82</f>
        <v>2208576580.2313094</v>
      </c>
      <c r="G99" s="2">
        <f>G11/'Output-Calculation-sheet'!G10*'Output-Calculation-sheet'!G82</f>
        <v>1194529441.1403189</v>
      </c>
      <c r="H99" s="2">
        <f>H11/'Output-Calculation-sheet'!H10*'Output-Calculation-sheet'!H82</f>
        <v>1665900478.662046</v>
      </c>
      <c r="I99" s="2">
        <f>I11/'Output-Calculation-sheet'!I10*'Output-Calculation-sheet'!I82</f>
        <v>996867943.58133137</v>
      </c>
      <c r="J99" s="2">
        <f>J11/'Output-Calculation-sheet'!J10*'Output-Calculation-sheet'!J82</f>
        <v>777497718.92359376</v>
      </c>
      <c r="K99" s="2">
        <f>K11/'Output-Calculation-sheet'!K10*'Output-Calculation-sheet'!K82</f>
        <v>905471575.01086259</v>
      </c>
      <c r="L99" s="2">
        <f>L11/'Output-Calculation-sheet'!L10*'Output-Calculation-sheet'!L82</f>
        <v>1041318678.1695285</v>
      </c>
      <c r="M99" s="2">
        <f>M11/'Output-Calculation-sheet'!M10*'Output-Calculation-sheet'!M82</f>
        <v>1477062630.5130346</v>
      </c>
      <c r="N99" s="2">
        <f>N11/'Output-Calculation-sheet'!N10*'Output-Calculation-sheet'!N82</f>
        <v>884099584.12747395</v>
      </c>
      <c r="O99" s="2">
        <f>O11/'Output-Calculation-sheet'!O10*'Output-Calculation-sheet'!O82</f>
        <v>104727425.4273514</v>
      </c>
      <c r="P99" s="2">
        <f>P11/'Output-Calculation-sheet'!P10*'Output-Calculation-sheet'!P82</f>
        <v>1429437332.7896287</v>
      </c>
      <c r="Q99" s="2">
        <f>Q11/'Output-Calculation-sheet'!Q10*'Output-Calculation-sheet'!Q82</f>
        <v>651918738.22546256</v>
      </c>
      <c r="R99" s="2">
        <f>R11/'Output-Calculation-sheet'!R10*'Output-Calculation-sheet'!R82</f>
        <v>1007844015.1066327</v>
      </c>
      <c r="S99" s="2">
        <f>S11/'Output-Calculation-sheet'!S10*'Output-Calculation-sheet'!S82</f>
        <v>433975661.32045591</v>
      </c>
      <c r="T99" s="2">
        <f>T11/'Output-Calculation-sheet'!T10*'Output-Calculation-sheet'!T82</f>
        <v>309026813.56803858</v>
      </c>
      <c r="U99" s="2">
        <f>U11/'Output-Calculation-sheet'!U10*'Output-Calculation-sheet'!U82</f>
        <v>208347747.00859505</v>
      </c>
      <c r="V99" s="2">
        <f>V11/'Output-Calculation-sheet'!V10*'Output-Calculation-sheet'!V82</f>
        <v>123388959.21684913</v>
      </c>
      <c r="W99" s="2">
        <f>W11/'Output-Calculation-sheet'!W10*'Output-Calculation-sheet'!W82</f>
        <v>341742844.59499329</v>
      </c>
      <c r="X99" s="2">
        <f>X11/'Output-Calculation-sheet'!X10*'Output-Calculation-sheet'!X82</f>
        <v>163860688.20615759</v>
      </c>
      <c r="Y99" s="2">
        <f>Y11/'Output-Calculation-sheet'!Y10*'Output-Calculation-sheet'!Y82</f>
        <v>197700631.85708919</v>
      </c>
      <c r="AA99" s="2">
        <f t="shared" si="8"/>
        <v>36.640159031775674</v>
      </c>
    </row>
    <row r="100" spans="1:27" x14ac:dyDescent="0.25">
      <c r="A100" s="2">
        <v>2035</v>
      </c>
      <c r="B100" s="2">
        <f>B12/'Output-Calculation-sheet'!B11*'Output-Calculation-sheet'!B83</f>
        <v>8160987142.6275511</v>
      </c>
      <c r="C100" s="2">
        <f>C12/'Output-Calculation-sheet'!C11*'Output-Calculation-sheet'!C83</f>
        <v>733989111.33286238</v>
      </c>
      <c r="D100" s="2">
        <f>D12/'Output-Calculation-sheet'!D11*'Output-Calculation-sheet'!D83</f>
        <v>1386949709.9433227</v>
      </c>
      <c r="E100" s="2">
        <f>E12/'Output-Calculation-sheet'!E11*'Output-Calculation-sheet'!E83</f>
        <v>7851411081.9755192</v>
      </c>
      <c r="F100" s="2">
        <f>F12/'Output-Calculation-sheet'!F11*'Output-Calculation-sheet'!F83</f>
        <v>1849003622.9318042</v>
      </c>
      <c r="G100" s="2">
        <f>G12/'Output-Calculation-sheet'!G11*'Output-Calculation-sheet'!G83</f>
        <v>954344538.64614129</v>
      </c>
      <c r="H100" s="2">
        <f>H12/'Output-Calculation-sheet'!H11*'Output-Calculation-sheet'!H83</f>
        <v>1424656842.92872</v>
      </c>
      <c r="I100" s="2">
        <f>I12/'Output-Calculation-sheet'!I11*'Output-Calculation-sheet'!I83</f>
        <v>840593079.67023134</v>
      </c>
      <c r="J100" s="2">
        <f>J12/'Output-Calculation-sheet'!J11*'Output-Calculation-sheet'!J83</f>
        <v>647665637.78474021</v>
      </c>
      <c r="K100" s="2">
        <f>K12/'Output-Calculation-sheet'!K11*'Output-Calculation-sheet'!K83</f>
        <v>739045905.75263894</v>
      </c>
      <c r="L100" s="2">
        <f>L12/'Output-Calculation-sheet'!L11*'Output-Calculation-sheet'!L83</f>
        <v>905018333.55977845</v>
      </c>
      <c r="M100" s="2">
        <f>M12/'Output-Calculation-sheet'!M11*'Output-Calculation-sheet'!M83</f>
        <v>1296827201.8510225</v>
      </c>
      <c r="N100" s="2">
        <f>N12/'Output-Calculation-sheet'!N11*'Output-Calculation-sheet'!N83</f>
        <v>758192059.20700133</v>
      </c>
      <c r="O100" s="2">
        <f>O12/'Output-Calculation-sheet'!O11*'Output-Calculation-sheet'!O83</f>
        <v>97425515.783359542</v>
      </c>
      <c r="P100" s="2">
        <f>P12/'Output-Calculation-sheet'!P11*'Output-Calculation-sheet'!P83</f>
        <v>1164340097.7729509</v>
      </c>
      <c r="Q100" s="2">
        <f>Q12/'Output-Calculation-sheet'!Q11*'Output-Calculation-sheet'!Q83</f>
        <v>562956484.27660382</v>
      </c>
      <c r="R100" s="2">
        <f>R12/'Output-Calculation-sheet'!R11*'Output-Calculation-sheet'!R83</f>
        <v>855444591.04322469</v>
      </c>
      <c r="S100" s="2">
        <f>S12/'Output-Calculation-sheet'!S11*'Output-Calculation-sheet'!S83</f>
        <v>383149584.94531298</v>
      </c>
      <c r="T100" s="2">
        <f>T12/'Output-Calculation-sheet'!T11*'Output-Calculation-sheet'!T83</f>
        <v>250930300.20025811</v>
      </c>
      <c r="U100" s="2">
        <f>U12/'Output-Calculation-sheet'!U11*'Output-Calculation-sheet'!U83</f>
        <v>170789920.79688364</v>
      </c>
      <c r="V100" s="2">
        <f>V12/'Output-Calculation-sheet'!V11*'Output-Calculation-sheet'!V83</f>
        <v>101525017.53357449</v>
      </c>
      <c r="W100" s="2">
        <f>W12/'Output-Calculation-sheet'!W11*'Output-Calculation-sheet'!W83</f>
        <v>278684124.15016705</v>
      </c>
      <c r="X100" s="2">
        <f>X12/'Output-Calculation-sheet'!X11*'Output-Calculation-sheet'!X83</f>
        <v>148665173.06661859</v>
      </c>
      <c r="Y100" s="2">
        <f>Y12/'Output-Calculation-sheet'!Y11*'Output-Calculation-sheet'!Y83</f>
        <v>166421220.48300639</v>
      </c>
      <c r="AA100" s="2">
        <f t="shared" si="8"/>
        <v>31.729016298263286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6340.6421767775391</v>
      </c>
      <c r="C19" s="2">
        <f>C8/'Output-Calculation-sheet'!C7*'Output-Calculation-sheet'!C25</f>
        <v>9576.5530789958193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5139.6290624348776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1044.8602403395741</v>
      </c>
      <c r="M19" s="2">
        <f>M8/'Output-Calculation-sheet'!M7*'Output-Calculation-sheet'!M25</f>
        <v>6778.8876456152411</v>
      </c>
      <c r="N19" s="2">
        <f>N8/'Output-Calculation-sheet'!N7*'Output-Calculation-sheet'!N25</f>
        <v>3460.8644805600961</v>
      </c>
      <c r="O19" s="2">
        <f>O8/'Output-Calculation-sheet'!O7*'Output-Calculation-sheet'!O25</f>
        <v>1870.6451638168307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661.74529382475737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471.37547422543639</v>
      </c>
      <c r="Y19" s="2">
        <f>Y8/'Output-Calculation-sheet'!Y7*'Output-Calculation-sheet'!Y25</f>
        <v>0</v>
      </c>
      <c r="AA19" s="2">
        <f t="shared" si="0"/>
        <v>35.345202616590178</v>
      </c>
    </row>
    <row r="20" spans="1:27" x14ac:dyDescent="0.25">
      <c r="A20" s="2">
        <v>2032</v>
      </c>
      <c r="B20" s="2">
        <f>B9/'Output-Calculation-sheet'!B8*'Output-Calculation-sheet'!B26</f>
        <v>8772.6018574676182</v>
      </c>
      <c r="C20" s="2">
        <f>C9/'Output-Calculation-sheet'!C8*'Output-Calculation-sheet'!C26</f>
        <v>10866.93228854814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7157.1406264363768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1243.6603753367876</v>
      </c>
      <c r="M20" s="2">
        <f>M9/'Output-Calculation-sheet'!M8*'Output-Calculation-sheet'!M26</f>
        <v>7568.4272601903822</v>
      </c>
      <c r="N20" s="2">
        <f>N9/'Output-Calculation-sheet'!N8*'Output-Calculation-sheet'!N26</f>
        <v>4262.6741214302692</v>
      </c>
      <c r="O20" s="2">
        <f>O9/'Output-Calculation-sheet'!O8*'Output-Calculation-sheet'!O26</f>
        <v>2120.821235533188</v>
      </c>
      <c r="P20" s="2">
        <f>P9/'Output-Calculation-sheet'!P8*'Output-Calculation-sheet'!P26</f>
        <v>0</v>
      </c>
      <c r="Q20" s="2">
        <f>Q9/'Output-Calculation-sheet'!Q8*'Output-Calculation-sheet'!Q26</f>
        <v>128.177369185636</v>
      </c>
      <c r="R20" s="2">
        <f>R9/'Output-Calculation-sheet'!R8*'Output-Calculation-sheet'!R26</f>
        <v>0</v>
      </c>
      <c r="S20" s="2">
        <f>S9/'Output-Calculation-sheet'!S8*'Output-Calculation-sheet'!S26</f>
        <v>905.03872140689248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699.74446901093052</v>
      </c>
      <c r="Y20" s="2">
        <f>Y9/'Output-Calculation-sheet'!Y8*'Output-Calculation-sheet'!Y26</f>
        <v>0</v>
      </c>
      <c r="AA20" s="2">
        <f t="shared" si="0"/>
        <v>43.725218324546212</v>
      </c>
    </row>
    <row r="21" spans="1:27" x14ac:dyDescent="0.25">
      <c r="A21" s="2">
        <v>2033</v>
      </c>
      <c r="B21" s="2">
        <f>B10/'Output-Calculation-sheet'!B9*'Output-Calculation-sheet'!B27</f>
        <v>11666.38827329517</v>
      </c>
      <c r="C21" s="2">
        <f>C10/'Output-Calculation-sheet'!C9*'Output-Calculation-sheet'!C27</f>
        <v>11708.918270303962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10265.122642175977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1425.0795380316274</v>
      </c>
      <c r="M21" s="2">
        <f>M10/'Output-Calculation-sheet'!M9*'Output-Calculation-sheet'!M27</f>
        <v>7989.7084396711462</v>
      </c>
      <c r="N21" s="2">
        <f>N10/'Output-Calculation-sheet'!N9*'Output-Calculation-sheet'!N27</f>
        <v>4656.663284199326</v>
      </c>
      <c r="O21" s="2">
        <f>O10/'Output-Calculation-sheet'!O9*'Output-Calculation-sheet'!O27</f>
        <v>2278.1646125598377</v>
      </c>
      <c r="P21" s="2">
        <f>P10/'Output-Calculation-sheet'!P9*'Output-Calculation-sheet'!P27</f>
        <v>0</v>
      </c>
      <c r="Q21" s="2">
        <f>Q10/'Output-Calculation-sheet'!Q9*'Output-Calculation-sheet'!Q27</f>
        <v>346.9971998542606</v>
      </c>
      <c r="R21" s="2">
        <f>R10/'Output-Calculation-sheet'!R9*'Output-Calculation-sheet'!R27</f>
        <v>0</v>
      </c>
      <c r="S21" s="2">
        <f>S10/'Output-Calculation-sheet'!S9*'Output-Calculation-sheet'!S27</f>
        <v>1182.878299026514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745.49437565631274</v>
      </c>
      <c r="Y21" s="2">
        <f>Y10/'Output-Calculation-sheet'!Y9*'Output-Calculation-sheet'!Y27</f>
        <v>0</v>
      </c>
      <c r="AA21" s="2">
        <f t="shared" si="0"/>
        <v>52.265414934774135</v>
      </c>
    </row>
    <row r="22" spans="1:27" x14ac:dyDescent="0.25">
      <c r="A22" s="2">
        <v>2034</v>
      </c>
      <c r="B22" s="2">
        <f>B11/'Output-Calculation-sheet'!B10*'Output-Calculation-sheet'!B28</f>
        <v>14689.164317189896</v>
      </c>
      <c r="C22" s="2">
        <f>C11/'Output-Calculation-sheet'!C10*'Output-Calculation-sheet'!C28</f>
        <v>11978.368450185477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10408.865494136016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1533.5682212556972</v>
      </c>
      <c r="M22" s="2">
        <f>M11/'Output-Calculation-sheet'!M10*'Output-Calculation-sheet'!M28</f>
        <v>8088.2181847788925</v>
      </c>
      <c r="N22" s="2">
        <f>N11/'Output-Calculation-sheet'!N10*'Output-Calculation-sheet'!N28</f>
        <v>4851.4031025314216</v>
      </c>
      <c r="O22" s="2">
        <f>O11/'Output-Calculation-sheet'!O10*'Output-Calculation-sheet'!O28</f>
        <v>2316.5623687504922</v>
      </c>
      <c r="P22" s="2">
        <f>P11/'Output-Calculation-sheet'!P10*'Output-Calculation-sheet'!P28</f>
        <v>0</v>
      </c>
      <c r="Q22" s="2">
        <f>Q11/'Output-Calculation-sheet'!Q10*'Output-Calculation-sheet'!Q28</f>
        <v>665.01949673821184</v>
      </c>
      <c r="R22" s="2">
        <f>R11/'Output-Calculation-sheet'!R10*'Output-Calculation-sheet'!R28</f>
        <v>0</v>
      </c>
      <c r="S22" s="2">
        <f>S11/'Output-Calculation-sheet'!S10*'Output-Calculation-sheet'!S28</f>
        <v>1421.2551296419888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756.38128877329143</v>
      </c>
      <c r="Y22" s="2">
        <f>Y11/'Output-Calculation-sheet'!Y10*'Output-Calculation-sheet'!Y28</f>
        <v>0</v>
      </c>
      <c r="AA22" s="2">
        <f t="shared" si="0"/>
        <v>56.708806053981391</v>
      </c>
    </row>
    <row r="23" spans="1:27" x14ac:dyDescent="0.25">
      <c r="A23" s="2">
        <v>2035</v>
      </c>
      <c r="B23" s="2">
        <f>B12/'Output-Calculation-sheet'!B11*'Output-Calculation-sheet'!B29</f>
        <v>16983.832045492887</v>
      </c>
      <c r="C23" s="2">
        <f>C12/'Output-Calculation-sheet'!C11*'Output-Calculation-sheet'!C29</f>
        <v>11906.106487147828</v>
      </c>
      <c r="D23" s="2">
        <f>D12/'Output-Calculation-sheet'!D11*'Output-Calculation-sheet'!D29</f>
        <v>0</v>
      </c>
      <c r="E23" s="2">
        <f>E12/'Output-Calculation-sheet'!E11*'Output-Calculation-sheet'!E29</f>
        <v>155.64255888333028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9942.3358752399818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1567.300333168366</v>
      </c>
      <c r="M23" s="2">
        <f>M12/'Output-Calculation-sheet'!M11*'Output-Calculation-sheet'!M29</f>
        <v>7732.4212129137022</v>
      </c>
      <c r="N23" s="2">
        <f>N12/'Output-Calculation-sheet'!N11*'Output-Calculation-sheet'!N29</f>
        <v>4746.412350479035</v>
      </c>
      <c r="O23" s="2">
        <f>O12/'Output-Calculation-sheet'!O11*'Output-Calculation-sheet'!O29</f>
        <v>2414.5695741376767</v>
      </c>
      <c r="P23" s="2">
        <f>P12/'Output-Calculation-sheet'!P11*'Output-Calculation-sheet'!P29</f>
        <v>0</v>
      </c>
      <c r="Q23" s="2">
        <f>Q12/'Output-Calculation-sheet'!Q11*'Output-Calculation-sheet'!Q29</f>
        <v>933.33290178093455</v>
      </c>
      <c r="R23" s="2">
        <f>R12/'Output-Calculation-sheet'!R11*'Output-Calculation-sheet'!R29</f>
        <v>0</v>
      </c>
      <c r="S23" s="2">
        <f>S12/'Output-Calculation-sheet'!S11*'Output-Calculation-sheet'!S29</f>
        <v>1581.8247757006529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730.92856274697351</v>
      </c>
      <c r="Y23" s="2">
        <f>Y12/'Output-Calculation-sheet'!Y11*'Output-Calculation-sheet'!Y29</f>
        <v>0</v>
      </c>
      <c r="AA23" s="2">
        <f t="shared" si="0"/>
        <v>58.694706677691364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30341.900147643508</v>
      </c>
      <c r="C30" s="2">
        <f>C8/'Output-Calculation-sheet'!C7*'Output-Calculation-sheet'!C16</f>
        <v>0</v>
      </c>
      <c r="D30" s="2">
        <f>D8/'Output-Calculation-sheet'!D7*'Output-Calculation-sheet'!D16</f>
        <v>8293.1514832119374</v>
      </c>
      <c r="E30" s="2">
        <f>E8/'Output-Calculation-sheet'!E7*'Output-Calculation-sheet'!E16</f>
        <v>10126.537563662843</v>
      </c>
      <c r="F30" s="2">
        <f>F8/'Output-Calculation-sheet'!F7*'Output-Calculation-sheet'!F16</f>
        <v>4554.6263856140777</v>
      </c>
      <c r="G30" s="2">
        <f>G8/'Output-Calculation-sheet'!G7*'Output-Calculation-sheet'!G16</f>
        <v>2622.7133582202805</v>
      </c>
      <c r="H30" s="2">
        <f>H8/'Output-Calculation-sheet'!H7*'Output-Calculation-sheet'!H16</f>
        <v>0</v>
      </c>
      <c r="I30" s="2">
        <f>I8/'Output-Calculation-sheet'!I7*'Output-Calculation-sheet'!I16</f>
        <v>2782.9291992716489</v>
      </c>
      <c r="J30" s="2">
        <f>J8/'Output-Calculation-sheet'!J7*'Output-Calculation-sheet'!J16</f>
        <v>2830.235567619874</v>
      </c>
      <c r="K30" s="2">
        <f>K8/'Output-Calculation-sheet'!K7*'Output-Calculation-sheet'!K16</f>
        <v>3687.7741606784925</v>
      </c>
      <c r="L30" s="2">
        <f>L8/'Output-Calculation-sheet'!L7*'Output-Calculation-sheet'!L16</f>
        <v>3351.057682797687</v>
      </c>
      <c r="M30" s="2">
        <f>M8/'Output-Calculation-sheet'!M7*'Output-Calculation-sheet'!M16</f>
        <v>0</v>
      </c>
      <c r="N30" s="2">
        <f>N8/'Output-Calculation-sheet'!N7*'Output-Calculation-sheet'!N16</f>
        <v>1978.5957308491581</v>
      </c>
      <c r="O30" s="2">
        <f>O8/'Output-Calculation-sheet'!O7*'Output-Calculation-sheet'!O16</f>
        <v>0</v>
      </c>
      <c r="P30" s="2">
        <f>P8/'Output-Calculation-sheet'!P7*'Output-Calculation-sheet'!P16</f>
        <v>2977.8598509543358</v>
      </c>
      <c r="Q30" s="2">
        <f>Q8/'Output-Calculation-sheet'!Q7*'Output-Calculation-sheet'!Q16</f>
        <v>3321.1173779908486</v>
      </c>
      <c r="R30" s="2">
        <f>R8/'Output-Calculation-sheet'!R7*'Output-Calculation-sheet'!R16</f>
        <v>2709.3287036595752</v>
      </c>
      <c r="S30" s="2">
        <f>S8/'Output-Calculation-sheet'!S7*'Output-Calculation-sheet'!S16</f>
        <v>1458.3861836556403</v>
      </c>
      <c r="T30" s="2">
        <f>T8/'Output-Calculation-sheet'!T7*'Output-Calculation-sheet'!T16</f>
        <v>859.20726469005399</v>
      </c>
      <c r="U30" s="2">
        <f>U8/'Output-Calculation-sheet'!U7*'Output-Calculation-sheet'!U16</f>
        <v>687.77988102548784</v>
      </c>
      <c r="V30" s="2">
        <f>V8/'Output-Calculation-sheet'!V7*'Output-Calculation-sheet'!V16</f>
        <v>809.82478627831324</v>
      </c>
      <c r="W30" s="2">
        <f>W8/'Output-Calculation-sheet'!W7*'Output-Calculation-sheet'!W16</f>
        <v>373.70268853820068</v>
      </c>
      <c r="X30" s="2">
        <f>X8/'Output-Calculation-sheet'!X7*'Output-Calculation-sheet'!X16</f>
        <v>0</v>
      </c>
      <c r="Y30" s="2">
        <f>Y8/'Output-Calculation-sheet'!Y7*'Output-Calculation-sheet'!Y16</f>
        <v>287.3705705269187</v>
      </c>
      <c r="AA30" s="2">
        <f t="shared" si="1"/>
        <v>84.054098586888898</v>
      </c>
    </row>
    <row r="31" spans="1:27" x14ac:dyDescent="0.25">
      <c r="A31" s="2">
        <v>2032</v>
      </c>
      <c r="B31" s="2">
        <f>B9/'Output-Calculation-sheet'!B8*'Output-Calculation-sheet'!B17</f>
        <v>32885.90755371812</v>
      </c>
      <c r="C31" s="2">
        <f>C9/'Output-Calculation-sheet'!C8*'Output-Calculation-sheet'!C17</f>
        <v>0</v>
      </c>
      <c r="D31" s="2">
        <f>D9/'Output-Calculation-sheet'!D8*'Output-Calculation-sheet'!D17</f>
        <v>9148.0640497856512</v>
      </c>
      <c r="E31" s="2">
        <f>E9/'Output-Calculation-sheet'!E8*'Output-Calculation-sheet'!E17</f>
        <v>11223.169906014087</v>
      </c>
      <c r="F31" s="2">
        <f>F9/'Output-Calculation-sheet'!F8*'Output-Calculation-sheet'!F17</f>
        <v>5054.9038831927728</v>
      </c>
      <c r="G31" s="2">
        <f>G9/'Output-Calculation-sheet'!G8*'Output-Calculation-sheet'!G17</f>
        <v>2909.4592059343463</v>
      </c>
      <c r="H31" s="2">
        <f>H9/'Output-Calculation-sheet'!H8*'Output-Calculation-sheet'!H17</f>
        <v>0</v>
      </c>
      <c r="I31" s="2">
        <f>I9/'Output-Calculation-sheet'!I8*'Output-Calculation-sheet'!I17</f>
        <v>3084.3817477741022</v>
      </c>
      <c r="J31" s="2">
        <f>J9/'Output-Calculation-sheet'!J8*'Output-Calculation-sheet'!J17</f>
        <v>3129.3716946575441</v>
      </c>
      <c r="K31" s="2">
        <f>K9/'Output-Calculation-sheet'!K8*'Output-Calculation-sheet'!K17</f>
        <v>4070.0193107271307</v>
      </c>
      <c r="L31" s="2">
        <f>L9/'Output-Calculation-sheet'!L8*'Output-Calculation-sheet'!L17</f>
        <v>3681.8070139605352</v>
      </c>
      <c r="M31" s="2">
        <f>M9/'Output-Calculation-sheet'!M8*'Output-Calculation-sheet'!M17</f>
        <v>0</v>
      </c>
      <c r="N31" s="2">
        <f>N9/'Output-Calculation-sheet'!N8*'Output-Calculation-sheet'!N17</f>
        <v>2055.824298045176</v>
      </c>
      <c r="O31" s="2">
        <f>O9/'Output-Calculation-sheet'!O8*'Output-Calculation-sheet'!O17</f>
        <v>0</v>
      </c>
      <c r="P31" s="2">
        <f>P9/'Output-Calculation-sheet'!P8*'Output-Calculation-sheet'!P17</f>
        <v>3340.291144653987</v>
      </c>
      <c r="Q31" s="2">
        <f>Q9/'Output-Calculation-sheet'!Q8*'Output-Calculation-sheet'!Q17</f>
        <v>3630.2752910396707</v>
      </c>
      <c r="R31" s="2">
        <f>R9/'Output-Calculation-sheet'!R8*'Output-Calculation-sheet'!R17</f>
        <v>3013.6565596994164</v>
      </c>
      <c r="S31" s="2">
        <f>S9/'Output-Calculation-sheet'!S8*'Output-Calculation-sheet'!S17</f>
        <v>1565.6053307699917</v>
      </c>
      <c r="T31" s="2">
        <f>T9/'Output-Calculation-sheet'!T8*'Output-Calculation-sheet'!T17</f>
        <v>949.41647852614437</v>
      </c>
      <c r="U31" s="2">
        <f>U9/'Output-Calculation-sheet'!U8*'Output-Calculation-sheet'!U17</f>
        <v>762.76818413710635</v>
      </c>
      <c r="V31" s="2">
        <f>V9/'Output-Calculation-sheet'!V8*'Output-Calculation-sheet'!V17</f>
        <v>896.62792100008198</v>
      </c>
      <c r="W31" s="2">
        <f>W9/'Output-Calculation-sheet'!W8*'Output-Calculation-sheet'!W17</f>
        <v>414.72121306835373</v>
      </c>
      <c r="X31" s="2">
        <f>X9/'Output-Calculation-sheet'!X8*'Output-Calculation-sheet'!X17</f>
        <v>0</v>
      </c>
      <c r="Y31" s="2">
        <f>Y9/'Output-Calculation-sheet'!Y8*'Output-Calculation-sheet'!Y17</f>
        <v>319.15472499542267</v>
      </c>
      <c r="AA31" s="2">
        <f t="shared" si="1"/>
        <v>92.135425511699623</v>
      </c>
    </row>
    <row r="32" spans="1:27" x14ac:dyDescent="0.25">
      <c r="A32" s="2">
        <v>2033</v>
      </c>
      <c r="B32" s="2">
        <f>B10/'Output-Calculation-sheet'!B9*'Output-Calculation-sheet'!B18</f>
        <v>33327.543734918261</v>
      </c>
      <c r="C32" s="2">
        <f>C10/'Output-Calculation-sheet'!C9*'Output-Calculation-sheet'!C18</f>
        <v>0</v>
      </c>
      <c r="D32" s="2">
        <f>D10/'Output-Calculation-sheet'!D9*'Output-Calculation-sheet'!D18</f>
        <v>9527.7422184914903</v>
      </c>
      <c r="E32" s="2">
        <f>E10/'Output-Calculation-sheet'!E9*'Output-Calculation-sheet'!E18</f>
        <v>11774.975612138895</v>
      </c>
      <c r="F32" s="2">
        <f>F10/'Output-Calculation-sheet'!F9*'Output-Calculation-sheet'!F18</f>
        <v>5296.689183299648</v>
      </c>
      <c r="G32" s="2">
        <f>G10/'Output-Calculation-sheet'!G9*'Output-Calculation-sheet'!G18</f>
        <v>3047.6814942250403</v>
      </c>
      <c r="H32" s="2">
        <f>H10/'Output-Calculation-sheet'!H9*'Output-Calculation-sheet'!H18</f>
        <v>0</v>
      </c>
      <c r="I32" s="2">
        <f>I10/'Output-Calculation-sheet'!I9*'Output-Calculation-sheet'!I18</f>
        <v>3228.3427068081951</v>
      </c>
      <c r="J32" s="2">
        <f>J10/'Output-Calculation-sheet'!J9*'Output-Calculation-sheet'!J18</f>
        <v>3249.7666361329398</v>
      </c>
      <c r="K32" s="2">
        <f>K10/'Output-Calculation-sheet'!K9*'Output-Calculation-sheet'!K18</f>
        <v>4290.2479916048951</v>
      </c>
      <c r="L32" s="2">
        <f>L10/'Output-Calculation-sheet'!L9*'Output-Calculation-sheet'!L18</f>
        <v>3743.4839763618511</v>
      </c>
      <c r="M32" s="2">
        <f>M10/'Output-Calculation-sheet'!M9*'Output-Calculation-sheet'!M18</f>
        <v>0</v>
      </c>
      <c r="N32" s="2">
        <f>N10/'Output-Calculation-sheet'!N9*'Output-Calculation-sheet'!N18</f>
        <v>2099.9687120885569</v>
      </c>
      <c r="O32" s="2">
        <f>O10/'Output-Calculation-sheet'!O9*'Output-Calculation-sheet'!O18</f>
        <v>0</v>
      </c>
      <c r="P32" s="2">
        <f>P10/'Output-Calculation-sheet'!P9*'Output-Calculation-sheet'!P18</f>
        <v>3529.947182456157</v>
      </c>
      <c r="Q32" s="2">
        <f>Q10/'Output-Calculation-sheet'!Q9*'Output-Calculation-sheet'!Q18</f>
        <v>3720.6119948203291</v>
      </c>
      <c r="R32" s="2">
        <f>R10/'Output-Calculation-sheet'!R9*'Output-Calculation-sheet'!R18</f>
        <v>3152.8448588494648</v>
      </c>
      <c r="S32" s="2">
        <f>S10/'Output-Calculation-sheet'!S9*'Output-Calculation-sheet'!S18</f>
        <v>1573.5408774258963</v>
      </c>
      <c r="T32" s="2">
        <f>T10/'Output-Calculation-sheet'!T9*'Output-Calculation-sheet'!T18</f>
        <v>993.09253340401301</v>
      </c>
      <c r="U32" s="2">
        <f>U10/'Output-Calculation-sheet'!U9*'Output-Calculation-sheet'!U18</f>
        <v>796.26533909248872</v>
      </c>
      <c r="V32" s="2">
        <f>V10/'Output-Calculation-sheet'!V9*'Output-Calculation-sheet'!V18</f>
        <v>926.49419519351659</v>
      </c>
      <c r="W32" s="2">
        <f>W10/'Output-Calculation-sheet'!W9*'Output-Calculation-sheet'!W18</f>
        <v>432.39828377035423</v>
      </c>
      <c r="X32" s="2">
        <f>X10/'Output-Calculation-sheet'!X9*'Output-Calculation-sheet'!X18</f>
        <v>0</v>
      </c>
      <c r="Y32" s="2">
        <f>Y10/'Output-Calculation-sheet'!Y9*'Output-Calculation-sheet'!Y18</f>
        <v>334.48098166938991</v>
      </c>
      <c r="AA32" s="2">
        <f t="shared" si="1"/>
        <v>95.046118512751377</v>
      </c>
    </row>
    <row r="33" spans="1:27" x14ac:dyDescent="0.25">
      <c r="A33" s="2">
        <v>2034</v>
      </c>
      <c r="B33" s="2">
        <f>B11/'Output-Calculation-sheet'!B10*'Output-Calculation-sheet'!B19</f>
        <v>32447.945011743814</v>
      </c>
      <c r="C33" s="2">
        <f>C11/'Output-Calculation-sheet'!C10*'Output-Calculation-sheet'!C19</f>
        <v>0</v>
      </c>
      <c r="D33" s="2">
        <f>D11/'Output-Calculation-sheet'!D10*'Output-Calculation-sheet'!D19</f>
        <v>9390.9132027306823</v>
      </c>
      <c r="E33" s="2">
        <f>E11/'Output-Calculation-sheet'!E10*'Output-Calculation-sheet'!E19</f>
        <v>11681.733997076197</v>
      </c>
      <c r="F33" s="2">
        <f>F11/'Output-Calculation-sheet'!F10*'Output-Calculation-sheet'!F19</f>
        <v>5256.4092771945025</v>
      </c>
      <c r="G33" s="2">
        <f>G11/'Output-Calculation-sheet'!G10*'Output-Calculation-sheet'!G19</f>
        <v>3015.8654623564389</v>
      </c>
      <c r="H33" s="2">
        <f>H11/'Output-Calculation-sheet'!H10*'Output-Calculation-sheet'!H19</f>
        <v>0</v>
      </c>
      <c r="I33" s="2">
        <f>I11/'Output-Calculation-sheet'!I10*'Output-Calculation-sheet'!I19</f>
        <v>3207.2860527100006</v>
      </c>
      <c r="J33" s="2">
        <f>J11/'Output-Calculation-sheet'!J10*'Output-Calculation-sheet'!J19</f>
        <v>3209.9876910155513</v>
      </c>
      <c r="K33" s="2">
        <f>K11/'Output-Calculation-sheet'!K10*'Output-Calculation-sheet'!K19</f>
        <v>4215.163276336295</v>
      </c>
      <c r="L33" s="2">
        <f>L11/'Output-Calculation-sheet'!L10*'Output-Calculation-sheet'!L19</f>
        <v>3621.7998302413162</v>
      </c>
      <c r="M33" s="2">
        <f>M11/'Output-Calculation-sheet'!M10*'Output-Calculation-sheet'!M19</f>
        <v>0</v>
      </c>
      <c r="N33" s="2">
        <f>N11/'Output-Calculation-sheet'!N10*'Output-Calculation-sheet'!N19</f>
        <v>1977.2316524326732</v>
      </c>
      <c r="O33" s="2">
        <f>O11/'Output-Calculation-sheet'!O10*'Output-Calculation-sheet'!O19</f>
        <v>0</v>
      </c>
      <c r="P33" s="2">
        <f>P11/'Output-Calculation-sheet'!P10*'Output-Calculation-sheet'!P19</f>
        <v>3537.9013932335815</v>
      </c>
      <c r="Q33" s="2">
        <f>Q11/'Output-Calculation-sheet'!Q10*'Output-Calculation-sheet'!Q19</f>
        <v>3529.6393941511478</v>
      </c>
      <c r="R33" s="2">
        <f>R11/'Output-Calculation-sheet'!R10*'Output-Calculation-sheet'!R19</f>
        <v>3118.5918224451311</v>
      </c>
      <c r="S33" s="2">
        <f>S11/'Output-Calculation-sheet'!S10*'Output-Calculation-sheet'!S19</f>
        <v>1520.0448878487728</v>
      </c>
      <c r="T33" s="2">
        <f>T11/'Output-Calculation-sheet'!T10*'Output-Calculation-sheet'!T19</f>
        <v>985.25261392837342</v>
      </c>
      <c r="U33" s="2">
        <f>U11/'Output-Calculation-sheet'!U10*'Output-Calculation-sheet'!U19</f>
        <v>794.88415388486578</v>
      </c>
      <c r="V33" s="2">
        <f>V11/'Output-Calculation-sheet'!V10*'Output-Calculation-sheet'!V19</f>
        <v>912.19076788028258</v>
      </c>
      <c r="W33" s="2">
        <f>W11/'Output-Calculation-sheet'!W10*'Output-Calculation-sheet'!W19</f>
        <v>429.37616153151771</v>
      </c>
      <c r="X33" s="2">
        <f>X11/'Output-Calculation-sheet'!X10*'Output-Calculation-sheet'!X19</f>
        <v>0</v>
      </c>
      <c r="Y33" s="2">
        <f>Y11/'Output-Calculation-sheet'!Y10*'Output-Calculation-sheet'!Y19</f>
        <v>332.01414238196571</v>
      </c>
      <c r="AA33" s="2">
        <f t="shared" si="1"/>
        <v>93.184230791123085</v>
      </c>
    </row>
    <row r="34" spans="1:27" x14ac:dyDescent="0.25">
      <c r="A34" s="2">
        <v>2035</v>
      </c>
      <c r="B34" s="2">
        <f>B12/'Output-Calculation-sheet'!B11*'Output-Calculation-sheet'!B20</f>
        <v>29330.262598787478</v>
      </c>
      <c r="C34" s="2">
        <f>C12/'Output-Calculation-sheet'!C11*'Output-Calculation-sheet'!C20</f>
        <v>0</v>
      </c>
      <c r="D34" s="2">
        <f>D12/'Output-Calculation-sheet'!D11*'Output-Calculation-sheet'!D20</f>
        <v>8841.2047005841669</v>
      </c>
      <c r="E34" s="2">
        <f>E12/'Output-Calculation-sheet'!E11*'Output-Calculation-sheet'!E20</f>
        <v>10884.17392121641</v>
      </c>
      <c r="F34" s="2">
        <f>F12/'Output-Calculation-sheet'!F11*'Output-Calculation-sheet'!F20</f>
        <v>4942.4946257109868</v>
      </c>
      <c r="G34" s="2">
        <f>G12/'Output-Calculation-sheet'!G11*'Output-Calculation-sheet'!G20</f>
        <v>2831.8846663216468</v>
      </c>
      <c r="H34" s="2">
        <f>H12/'Output-Calculation-sheet'!H11*'Output-Calculation-sheet'!H20</f>
        <v>0</v>
      </c>
      <c r="I34" s="2">
        <f>I12/'Output-Calculation-sheet'!I11*'Output-Calculation-sheet'!I20</f>
        <v>3021.2976326774406</v>
      </c>
      <c r="J34" s="2">
        <f>J12/'Output-Calculation-sheet'!J11*'Output-Calculation-sheet'!J20</f>
        <v>3007.2988020686366</v>
      </c>
      <c r="K34" s="2">
        <f>K12/'Output-Calculation-sheet'!K11*'Output-Calculation-sheet'!K20</f>
        <v>3948.7972108919103</v>
      </c>
      <c r="L34" s="2">
        <f>L12/'Output-Calculation-sheet'!L11*'Output-Calculation-sheet'!L20</f>
        <v>3345.2377645909314</v>
      </c>
      <c r="M34" s="2">
        <f>M12/'Output-Calculation-sheet'!M11*'Output-Calculation-sheet'!M20</f>
        <v>0</v>
      </c>
      <c r="N34" s="2">
        <f>N12/'Output-Calculation-sheet'!N11*'Output-Calculation-sheet'!N20</f>
        <v>1820.4268255544796</v>
      </c>
      <c r="O34" s="2">
        <f>O12/'Output-Calculation-sheet'!O11*'Output-Calculation-sheet'!O20</f>
        <v>0</v>
      </c>
      <c r="P34" s="2">
        <f>P12/'Output-Calculation-sheet'!P11*'Output-Calculation-sheet'!P20</f>
        <v>3333.9743378012226</v>
      </c>
      <c r="Q34" s="2">
        <f>Q12/'Output-Calculation-sheet'!Q11*'Output-Calculation-sheet'!Q20</f>
        <v>3184.6452416494253</v>
      </c>
      <c r="R34" s="2">
        <f>R12/'Output-Calculation-sheet'!R11*'Output-Calculation-sheet'!R20</f>
        <v>2929.7208350670626</v>
      </c>
      <c r="S34" s="2">
        <f>S12/'Output-Calculation-sheet'!S11*'Output-Calculation-sheet'!S20</f>
        <v>1368.3595073795061</v>
      </c>
      <c r="T34" s="2">
        <f>T12/'Output-Calculation-sheet'!T11*'Output-Calculation-sheet'!T20</f>
        <v>924.68332754447829</v>
      </c>
      <c r="U34" s="2">
        <f>U12/'Output-Calculation-sheet'!U11*'Output-Calculation-sheet'!U20</f>
        <v>744.81379993018209</v>
      </c>
      <c r="V34" s="2">
        <f>V12/'Output-Calculation-sheet'!V11*'Output-Calculation-sheet'!V20</f>
        <v>855.04168090404687</v>
      </c>
      <c r="W34" s="2">
        <f>W12/'Output-Calculation-sheet'!W11*'Output-Calculation-sheet'!W20</f>
        <v>404.0010385560563</v>
      </c>
      <c r="X34" s="2">
        <f>X12/'Output-Calculation-sheet'!X11*'Output-Calculation-sheet'!X20</f>
        <v>0</v>
      </c>
      <c r="Y34" s="2">
        <f>Y12/'Output-Calculation-sheet'!Y11*'Output-Calculation-sheet'!Y20</f>
        <v>313.74032700402944</v>
      </c>
      <c r="AA34" s="2">
        <f t="shared" si="1"/>
        <v>86.032058844240083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1340.7525307723431</v>
      </c>
      <c r="C52" s="2">
        <f>C8/'Output-Calculation-sheet'!C7*'Output-Calculation-sheet'!C43</f>
        <v>0</v>
      </c>
      <c r="D52" s="2">
        <f>D8/'Output-Calculation-sheet'!D7*'Output-Calculation-sheet'!D43</f>
        <v>2912.448975661252</v>
      </c>
      <c r="E52" s="2">
        <f>E8/'Output-Calculation-sheet'!E7*'Output-Calculation-sheet'!E43</f>
        <v>2090.6245983997137</v>
      </c>
      <c r="F52" s="2">
        <f>F8/'Output-Calculation-sheet'!F7*'Output-Calculation-sheet'!F43</f>
        <v>0</v>
      </c>
      <c r="G52" s="2">
        <f>G8/'Output-Calculation-sheet'!G7*'Output-Calculation-sheet'!G43</f>
        <v>741.4411775850499</v>
      </c>
      <c r="H52" s="2">
        <f>H8/'Output-Calculation-sheet'!H7*'Output-Calculation-sheet'!H43</f>
        <v>5680.7715220814271</v>
      </c>
      <c r="I52" s="2">
        <f>I8/'Output-Calculation-sheet'!I7*'Output-Calculation-sheet'!I43</f>
        <v>242.50257163585775</v>
      </c>
      <c r="J52" s="2">
        <f>J8/'Output-Calculation-sheet'!J7*'Output-Calculation-sheet'!J43</f>
        <v>1319.9886050250625</v>
      </c>
      <c r="K52" s="2">
        <f>K8/'Output-Calculation-sheet'!K7*'Output-Calculation-sheet'!K43</f>
        <v>2651.5531487092994</v>
      </c>
      <c r="L52" s="2">
        <f>L8/'Output-Calculation-sheet'!L7*'Output-Calculation-sheet'!L43</f>
        <v>2463.7342990821139</v>
      </c>
      <c r="M52" s="2">
        <f>M8/'Output-Calculation-sheet'!M7*'Output-Calculation-sheet'!M43</f>
        <v>16085.008729885842</v>
      </c>
      <c r="N52" s="2">
        <f>N8/'Output-Calculation-sheet'!N7*'Output-Calculation-sheet'!N43</f>
        <v>9207.1867580692215</v>
      </c>
      <c r="O52" s="2">
        <f>O8/'Output-Calculation-sheet'!O7*'Output-Calculation-sheet'!O43</f>
        <v>0</v>
      </c>
      <c r="P52" s="2">
        <f>P8/'Output-Calculation-sheet'!P7*'Output-Calculation-sheet'!P43</f>
        <v>1958.1655423390225</v>
      </c>
      <c r="Q52" s="2">
        <f>Q8/'Output-Calculation-sheet'!Q7*'Output-Calculation-sheet'!Q43</f>
        <v>444.93586652797399</v>
      </c>
      <c r="R52" s="2">
        <f>R8/'Output-Calculation-sheet'!R7*'Output-Calculation-sheet'!R43</f>
        <v>3568.2634261202247</v>
      </c>
      <c r="S52" s="2">
        <f>S8/'Output-Calculation-sheet'!S7*'Output-Calculation-sheet'!S43</f>
        <v>594.86704937961133</v>
      </c>
      <c r="T52" s="2">
        <f>T8/'Output-Calculation-sheet'!T7*'Output-Calculation-sheet'!T43</f>
        <v>1057.5251733781993</v>
      </c>
      <c r="U52" s="2">
        <f>U8/'Output-Calculation-sheet'!U7*'Output-Calculation-sheet'!U43</f>
        <v>395.02393755446172</v>
      </c>
      <c r="V52" s="2">
        <f>V8/'Output-Calculation-sheet'!V7*'Output-Calculation-sheet'!V43</f>
        <v>1032.7819423721687</v>
      </c>
      <c r="W52" s="2">
        <f>W8/'Output-Calculation-sheet'!W7*'Output-Calculation-sheet'!W43</f>
        <v>12.363753384150357</v>
      </c>
      <c r="X52" s="2">
        <f>X8/'Output-Calculation-sheet'!X7*'Output-Calculation-sheet'!X43</f>
        <v>837.92197982228265</v>
      </c>
      <c r="Y52" s="2">
        <f>Y8/'Output-Calculation-sheet'!Y7*'Output-Calculation-sheet'!Y43</f>
        <v>0</v>
      </c>
      <c r="AA52" s="2">
        <f t="shared" si="3"/>
        <v>54.637861587785281</v>
      </c>
    </row>
    <row r="53" spans="1:27" x14ac:dyDescent="0.25">
      <c r="A53" s="2">
        <v>2032</v>
      </c>
      <c r="B53" s="2">
        <f>B9/'Output-Calculation-sheet'!B8*'Output-Calculation-sheet'!B44</f>
        <v>4687.8005200777579</v>
      </c>
      <c r="C53" s="2">
        <f>C9/'Output-Calculation-sheet'!C8*'Output-Calculation-sheet'!C44</f>
        <v>0</v>
      </c>
      <c r="D53" s="2">
        <f>D9/'Output-Calculation-sheet'!D8*'Output-Calculation-sheet'!D44</f>
        <v>4149.2993683047334</v>
      </c>
      <c r="E53" s="2">
        <f>E9/'Output-Calculation-sheet'!E8*'Output-Calculation-sheet'!E44</f>
        <v>2720.5086522386464</v>
      </c>
      <c r="F53" s="2">
        <f>F9/'Output-Calculation-sheet'!F8*'Output-Calculation-sheet'!F44</f>
        <v>0</v>
      </c>
      <c r="G53" s="2">
        <f>G9/'Output-Calculation-sheet'!G8*'Output-Calculation-sheet'!G44</f>
        <v>1004.6989123679765</v>
      </c>
      <c r="H53" s="2">
        <f>H9/'Output-Calculation-sheet'!H8*'Output-Calculation-sheet'!H44</f>
        <v>12616.656102850871</v>
      </c>
      <c r="I53" s="2">
        <f>I9/'Output-Calculation-sheet'!I8*'Output-Calculation-sheet'!I44</f>
        <v>368.16050203475766</v>
      </c>
      <c r="J53" s="2">
        <f>J9/'Output-Calculation-sheet'!J8*'Output-Calculation-sheet'!J44</f>
        <v>1689.2962914130019</v>
      </c>
      <c r="K53" s="2">
        <f>K9/'Output-Calculation-sheet'!K8*'Output-Calculation-sheet'!K44</f>
        <v>3059.225041200239</v>
      </c>
      <c r="L53" s="2">
        <f>L9/'Output-Calculation-sheet'!L8*'Output-Calculation-sheet'!L44</f>
        <v>2981.8344540853009</v>
      </c>
      <c r="M53" s="2">
        <f>M9/'Output-Calculation-sheet'!M8*'Output-Calculation-sheet'!M44</f>
        <v>17933.486196252194</v>
      </c>
      <c r="N53" s="2">
        <f>N9/'Output-Calculation-sheet'!N8*'Output-Calculation-sheet'!N44</f>
        <v>11945.521778298526</v>
      </c>
      <c r="O53" s="2">
        <f>O9/'Output-Calculation-sheet'!O8*'Output-Calculation-sheet'!O44</f>
        <v>0</v>
      </c>
      <c r="P53" s="2">
        <f>P9/'Output-Calculation-sheet'!P8*'Output-Calculation-sheet'!P44</f>
        <v>2477.3593267883343</v>
      </c>
      <c r="Q53" s="2">
        <f>Q9/'Output-Calculation-sheet'!Q8*'Output-Calculation-sheet'!Q44</f>
        <v>747.57672412885518</v>
      </c>
      <c r="R53" s="2">
        <f>R9/'Output-Calculation-sheet'!R8*'Output-Calculation-sheet'!R44</f>
        <v>4193.9891395631339</v>
      </c>
      <c r="S53" s="2">
        <f>S9/'Output-Calculation-sheet'!S8*'Output-Calculation-sheet'!S44</f>
        <v>1215.7924858700128</v>
      </c>
      <c r="T53" s="2">
        <f>T9/'Output-Calculation-sheet'!T8*'Output-Calculation-sheet'!T44</f>
        <v>1246.0048045500891</v>
      </c>
      <c r="U53" s="2">
        <f>U9/'Output-Calculation-sheet'!U8*'Output-Calculation-sheet'!U44</f>
        <v>538.37970218565306</v>
      </c>
      <c r="V53" s="2">
        <f>V9/'Output-Calculation-sheet'!V8*'Output-Calculation-sheet'!V44</f>
        <v>1161.3398341461332</v>
      </c>
      <c r="W53" s="2">
        <f>W9/'Output-Calculation-sheet'!W8*'Output-Calculation-sheet'!W44</f>
        <v>31.852627731824402</v>
      </c>
      <c r="X53" s="2">
        <f>X9/'Output-Calculation-sheet'!X8*'Output-Calculation-sheet'!X44</f>
        <v>1725.1706876484698</v>
      </c>
      <c r="Y53" s="2">
        <f>Y9/'Output-Calculation-sheet'!Y8*'Output-Calculation-sheet'!Y44</f>
        <v>0</v>
      </c>
      <c r="AA53" s="2">
        <f t="shared" si="3"/>
        <v>76.493953151736505</v>
      </c>
    </row>
    <row r="54" spans="1:27" x14ac:dyDescent="0.25">
      <c r="A54" s="2">
        <v>2033</v>
      </c>
      <c r="B54" s="2">
        <f>B10/'Output-Calculation-sheet'!B9*'Output-Calculation-sheet'!B45</f>
        <v>9510.9918720264686</v>
      </c>
      <c r="C54" s="2">
        <f>C10/'Output-Calculation-sheet'!C9*'Output-Calculation-sheet'!C45</f>
        <v>0</v>
      </c>
      <c r="D54" s="2">
        <f>D10/'Output-Calculation-sheet'!D9*'Output-Calculation-sheet'!D45</f>
        <v>5403.7263458588968</v>
      </c>
      <c r="E54" s="2">
        <f>E10/'Output-Calculation-sheet'!E9*'Output-Calculation-sheet'!E45</f>
        <v>3607.3977205972124</v>
      </c>
      <c r="F54" s="2">
        <f>F10/'Output-Calculation-sheet'!F9*'Output-Calculation-sheet'!F45</f>
        <v>0</v>
      </c>
      <c r="G54" s="2">
        <f>G10/'Output-Calculation-sheet'!G9*'Output-Calculation-sheet'!G45</f>
        <v>1279.3656096960558</v>
      </c>
      <c r="H54" s="2">
        <f>H10/'Output-Calculation-sheet'!H9*'Output-Calculation-sheet'!H45</f>
        <v>25388.174905738444</v>
      </c>
      <c r="I54" s="2">
        <f>I10/'Output-Calculation-sheet'!I9*'Output-Calculation-sheet'!I45</f>
        <v>523.05135557800577</v>
      </c>
      <c r="J54" s="2">
        <f>J10/'Output-Calculation-sheet'!J9*'Output-Calculation-sheet'!J45</f>
        <v>2139.6163433852143</v>
      </c>
      <c r="K54" s="2">
        <f>K10/'Output-Calculation-sheet'!K9*'Output-Calculation-sheet'!K45</f>
        <v>3632.8118603174462</v>
      </c>
      <c r="L54" s="2">
        <f>L10/'Output-Calculation-sheet'!L9*'Output-Calculation-sheet'!L45</f>
        <v>3460.9152355914002</v>
      </c>
      <c r="M54" s="2">
        <f>M10/'Output-Calculation-sheet'!M9*'Output-Calculation-sheet'!M45</f>
        <v>18890.887732598054</v>
      </c>
      <c r="N54" s="2">
        <f>N10/'Output-Calculation-sheet'!N9*'Output-Calculation-sheet'!N45</f>
        <v>13232.909190944958</v>
      </c>
      <c r="O54" s="2">
        <f>O10/'Output-Calculation-sheet'!O9*'Output-Calculation-sheet'!O45</f>
        <v>0</v>
      </c>
      <c r="P54" s="2">
        <f>P10/'Output-Calculation-sheet'!P9*'Output-Calculation-sheet'!P45</f>
        <v>3003.4115883700351</v>
      </c>
      <c r="Q54" s="2">
        <f>Q10/'Output-Calculation-sheet'!Q9*'Output-Calculation-sheet'!Q45</f>
        <v>1157.1765787482557</v>
      </c>
      <c r="R54" s="2">
        <f>R10/'Output-Calculation-sheet'!R9*'Output-Calculation-sheet'!R45</f>
        <v>4457.8150411753022</v>
      </c>
      <c r="S54" s="2">
        <f>S10/'Output-Calculation-sheet'!S9*'Output-Calculation-sheet'!S45</f>
        <v>1980.1025142485096</v>
      </c>
      <c r="T54" s="2">
        <f>T10/'Output-Calculation-sheet'!T9*'Output-Calculation-sheet'!T45</f>
        <v>1436.9571741612717</v>
      </c>
      <c r="U54" s="2">
        <f>U10/'Output-Calculation-sheet'!U9*'Output-Calculation-sheet'!U45</f>
        <v>646.11755871683124</v>
      </c>
      <c r="V54" s="2">
        <f>V10/'Output-Calculation-sheet'!V9*'Output-Calculation-sheet'!V45</f>
        <v>1253.7504325535988</v>
      </c>
      <c r="W54" s="2">
        <f>W10/'Output-Calculation-sheet'!W9*'Output-Calculation-sheet'!W45</f>
        <v>42.667608340732492</v>
      </c>
      <c r="X54" s="2">
        <f>X10/'Output-Calculation-sheet'!X9*'Output-Calculation-sheet'!X45</f>
        <v>1820.0629336989862</v>
      </c>
      <c r="Y54" s="2">
        <f>Y10/'Output-Calculation-sheet'!Y9*'Output-Calculation-sheet'!Y45</f>
        <v>13.67908480571691</v>
      </c>
      <c r="AA54" s="2">
        <f t="shared" si="3"/>
        <v>102.88158868715139</v>
      </c>
    </row>
    <row r="55" spans="1:27" x14ac:dyDescent="0.25">
      <c r="A55" s="2">
        <v>2034</v>
      </c>
      <c r="B55" s="2">
        <f>B11/'Output-Calculation-sheet'!B10*'Output-Calculation-sheet'!B46</f>
        <v>19043.860393936771</v>
      </c>
      <c r="C55" s="2">
        <f>C11/'Output-Calculation-sheet'!C10*'Output-Calculation-sheet'!C46</f>
        <v>0</v>
      </c>
      <c r="D55" s="2">
        <f>D11/'Output-Calculation-sheet'!D10*'Output-Calculation-sheet'!D46</f>
        <v>6085.1016592279848</v>
      </c>
      <c r="E55" s="2">
        <f>E11/'Output-Calculation-sheet'!E10*'Output-Calculation-sheet'!E46</f>
        <v>3987.6059312976618</v>
      </c>
      <c r="F55" s="2">
        <f>F11/'Output-Calculation-sheet'!F10*'Output-Calculation-sheet'!F46</f>
        <v>0</v>
      </c>
      <c r="G55" s="2">
        <f>G11/'Output-Calculation-sheet'!G10*'Output-Calculation-sheet'!G46</f>
        <v>1531.8292677552006</v>
      </c>
      <c r="H55" s="2">
        <f>H11/'Output-Calculation-sheet'!H10*'Output-Calculation-sheet'!H46</f>
        <v>25338.163173821256</v>
      </c>
      <c r="I55" s="2">
        <f>I11/'Output-Calculation-sheet'!I10*'Output-Calculation-sheet'!I46</f>
        <v>688.89448476276402</v>
      </c>
      <c r="J55" s="2">
        <f>J11/'Output-Calculation-sheet'!J10*'Output-Calculation-sheet'!J46</f>
        <v>2386.2277743438494</v>
      </c>
      <c r="K55" s="2">
        <f>K11/'Output-Calculation-sheet'!K10*'Output-Calculation-sheet'!K46</f>
        <v>4062.4490459506019</v>
      </c>
      <c r="L55" s="2">
        <f>L11/'Output-Calculation-sheet'!L10*'Output-Calculation-sheet'!L46</f>
        <v>3876.3177788453645</v>
      </c>
      <c r="M55" s="2">
        <f>M11/'Output-Calculation-sheet'!M10*'Output-Calculation-sheet'!M46</f>
        <v>18813.609141923975</v>
      </c>
      <c r="N55" s="2">
        <f>N11/'Output-Calculation-sheet'!N10*'Output-Calculation-sheet'!N46</f>
        <v>13849.252260466394</v>
      </c>
      <c r="O55" s="2">
        <f>O11/'Output-Calculation-sheet'!O10*'Output-Calculation-sheet'!O46</f>
        <v>0</v>
      </c>
      <c r="P55" s="2">
        <f>P11/'Output-Calculation-sheet'!P10*'Output-Calculation-sheet'!P46</f>
        <v>3221.731341248209</v>
      </c>
      <c r="Q55" s="2">
        <f>Q11/'Output-Calculation-sheet'!Q10*'Output-Calculation-sheet'!Q46</f>
        <v>1802.5187165746661</v>
      </c>
      <c r="R55" s="2">
        <f>R11/'Output-Calculation-sheet'!R10*'Output-Calculation-sheet'!R46</f>
        <v>4512.4318974286462</v>
      </c>
      <c r="S55" s="2">
        <f>S11/'Output-Calculation-sheet'!S10*'Output-Calculation-sheet'!S46</f>
        <v>2905.1581245844213</v>
      </c>
      <c r="T55" s="2">
        <f>T11/'Output-Calculation-sheet'!T10*'Output-Calculation-sheet'!T46</f>
        <v>1492.0127170363776</v>
      </c>
      <c r="U55" s="2">
        <f>U11/'Output-Calculation-sheet'!U10*'Output-Calculation-sheet'!U46</f>
        <v>708.37163755566633</v>
      </c>
      <c r="V55" s="2">
        <f>V11/'Output-Calculation-sheet'!V10*'Output-Calculation-sheet'!V46</f>
        <v>1303.3537185357775</v>
      </c>
      <c r="W55" s="2">
        <f>W11/'Output-Calculation-sheet'!W10*'Output-Calculation-sheet'!W46</f>
        <v>65.562192014672021</v>
      </c>
      <c r="X55" s="2">
        <f>X11/'Output-Calculation-sheet'!X10*'Output-Calculation-sheet'!X46</f>
        <v>1823.0643768402194</v>
      </c>
      <c r="Y55" s="2">
        <f>Y11/'Output-Calculation-sheet'!Y10*'Output-Calculation-sheet'!Y46</f>
        <v>21.61955068946601</v>
      </c>
      <c r="AA55" s="2">
        <f t="shared" si="3"/>
        <v>117.51913518483995</v>
      </c>
    </row>
    <row r="56" spans="1:27" x14ac:dyDescent="0.25">
      <c r="A56" s="2">
        <v>2035</v>
      </c>
      <c r="B56" s="2">
        <f>B12/'Output-Calculation-sheet'!B11*'Output-Calculation-sheet'!B47</f>
        <v>30435.696610848692</v>
      </c>
      <c r="C56" s="2">
        <f>C12/'Output-Calculation-sheet'!C11*'Output-Calculation-sheet'!C47</f>
        <v>1805.6825542835975</v>
      </c>
      <c r="D56" s="2">
        <f>D12/'Output-Calculation-sheet'!D11*'Output-Calculation-sheet'!D47</f>
        <v>6498.0925115670962</v>
      </c>
      <c r="E56" s="2">
        <f>E12/'Output-Calculation-sheet'!E11*'Output-Calculation-sheet'!E47</f>
        <v>4687.5502675428725</v>
      </c>
      <c r="F56" s="2">
        <f>F12/'Output-Calculation-sheet'!F11*'Output-Calculation-sheet'!F47</f>
        <v>99.937209351969159</v>
      </c>
      <c r="G56" s="2">
        <f>G12/'Output-Calculation-sheet'!G11*'Output-Calculation-sheet'!G47</f>
        <v>1721.357832809136</v>
      </c>
      <c r="H56" s="2">
        <f>H12/'Output-Calculation-sheet'!H11*'Output-Calculation-sheet'!H47</f>
        <v>24075.050705969137</v>
      </c>
      <c r="I56" s="2">
        <f>I12/'Output-Calculation-sheet'!I11*'Output-Calculation-sheet'!I47</f>
        <v>741.87391159820993</v>
      </c>
      <c r="J56" s="2">
        <f>J12/'Output-Calculation-sheet'!J11*'Output-Calculation-sheet'!J47</f>
        <v>2426.0905129896546</v>
      </c>
      <c r="K56" s="2">
        <f>K12/'Output-Calculation-sheet'!K11*'Output-Calculation-sheet'!K47</f>
        <v>3994.448045699909</v>
      </c>
      <c r="L56" s="2">
        <f>L12/'Output-Calculation-sheet'!L11*'Output-Calculation-sheet'!L47</f>
        <v>4108.8854733645949</v>
      </c>
      <c r="M56" s="2">
        <f>M12/'Output-Calculation-sheet'!M11*'Output-Calculation-sheet'!M47</f>
        <v>17809.037690345591</v>
      </c>
      <c r="N56" s="2">
        <f>N12/'Output-Calculation-sheet'!N11*'Output-Calculation-sheet'!N47</f>
        <v>13650.323111484488</v>
      </c>
      <c r="O56" s="2">
        <f>O12/'Output-Calculation-sheet'!O11*'Output-Calculation-sheet'!O47</f>
        <v>855.06413685071641</v>
      </c>
      <c r="P56" s="2">
        <f>P12/'Output-Calculation-sheet'!P11*'Output-Calculation-sheet'!P47</f>
        <v>3147.1835669256234</v>
      </c>
      <c r="Q56" s="2">
        <f>Q12/'Output-Calculation-sheet'!Q11*'Output-Calculation-sheet'!Q47</f>
        <v>2428.9998546602474</v>
      </c>
      <c r="R56" s="2">
        <f>R12/'Output-Calculation-sheet'!R11*'Output-Calculation-sheet'!R47</f>
        <v>4327.6858445227581</v>
      </c>
      <c r="S56" s="2">
        <f>S12/'Output-Calculation-sheet'!S11*'Output-Calculation-sheet'!S47</f>
        <v>3703.6560749725809</v>
      </c>
      <c r="T56" s="2">
        <f>T12/'Output-Calculation-sheet'!T11*'Output-Calculation-sheet'!T47</f>
        <v>1510.4638753717884</v>
      </c>
      <c r="U56" s="2">
        <f>U12/'Output-Calculation-sheet'!U11*'Output-Calculation-sheet'!U47</f>
        <v>755.29599477946942</v>
      </c>
      <c r="V56" s="2">
        <f>V12/'Output-Calculation-sheet'!V11*'Output-Calculation-sheet'!V47</f>
        <v>1250.8975934095395</v>
      </c>
      <c r="W56" s="2">
        <f>W12/'Output-Calculation-sheet'!W11*'Output-Calculation-sheet'!W47</f>
        <v>78.93643087119689</v>
      </c>
      <c r="X56" s="2">
        <f>X12/'Output-Calculation-sheet'!X11*'Output-Calculation-sheet'!X47</f>
        <v>1728.1680904775174</v>
      </c>
      <c r="Y56" s="2">
        <f>Y12/'Output-Calculation-sheet'!Y11*'Output-Calculation-sheet'!Y47</f>
        <v>30.36808972815772</v>
      </c>
      <c r="AA56" s="2">
        <f t="shared" si="3"/>
        <v>131.87074599042452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8.2829651826828599</v>
      </c>
      <c r="C63" s="2">
        <f>C8*'Output-Calculation-sheet'!C52/10^9</f>
        <v>5.0888625005700954</v>
      </c>
      <c r="D63" s="2">
        <f>D8*'Output-Calculation-sheet'!D52/10^9</f>
        <v>1.7929037033019515</v>
      </c>
      <c r="E63" s="2">
        <f>E8*'Output-Calculation-sheet'!E52/10^9</f>
        <v>2.1440537449532773</v>
      </c>
      <c r="F63" s="2">
        <f>F8*'Output-Calculation-sheet'!F52/10^9</f>
        <v>0.83242861595458795</v>
      </c>
      <c r="G63" s="2">
        <f>G8*'Output-Calculation-sheet'!G52/10^9</f>
        <v>0.58753100135404868</v>
      </c>
      <c r="H63" s="2">
        <f>H8*'Output-Calculation-sheet'!H52/10^9</f>
        <v>1.5654081432901867</v>
      </c>
      <c r="I63" s="2">
        <f>I8*'Output-Calculation-sheet'!I52/10^9</f>
        <v>0.57562119657275868</v>
      </c>
      <c r="J63" s="2">
        <f>J8*'Output-Calculation-sheet'!J52/10^9</f>
        <v>0.59927968129335241</v>
      </c>
      <c r="K63" s="2">
        <f>K8*'Output-Calculation-sheet'!K52/10^9</f>
        <v>0.72290403049981056</v>
      </c>
      <c r="L63" s="2">
        <f>L8*'Output-Calculation-sheet'!L52/10^9</f>
        <v>0.75460616708530792</v>
      </c>
      <c r="M63" s="2">
        <f>M8*'Output-Calculation-sheet'!M52/10^9</f>
        <v>1.1812421225285767</v>
      </c>
      <c r="N63" s="2">
        <f>N8*'Output-Calculation-sheet'!N52/10^9</f>
        <v>1.0157381634533484</v>
      </c>
      <c r="O63" s="2">
        <f>O8*'Output-Calculation-sheet'!O52/10^9</f>
        <v>1.0651114650597797</v>
      </c>
      <c r="P63" s="2">
        <f>P8*'Output-Calculation-sheet'!P52/10^9</f>
        <v>0.64849125221309734</v>
      </c>
      <c r="Q63" s="2">
        <f>Q8*'Output-Calculation-sheet'!Q52/10^9</f>
        <v>0.70603865369633745</v>
      </c>
      <c r="R63" s="2">
        <f>R8*'Output-Calculation-sheet'!R52/10^9</f>
        <v>0.54463181390573556</v>
      </c>
      <c r="S63" s="2">
        <f>S8*'Output-Calculation-sheet'!S52/10^9</f>
        <v>0.51868285629780508</v>
      </c>
      <c r="T63" s="2">
        <f>T8*'Output-Calculation-sheet'!T52/10^9</f>
        <v>0.16878565472854296</v>
      </c>
      <c r="U63" s="2">
        <f>U8*'Output-Calculation-sheet'!U52/10^9</f>
        <v>0.16459946476160139</v>
      </c>
      <c r="V63" s="2">
        <f>V8*'Output-Calculation-sheet'!V52/10^9</f>
        <v>0.14034345761142342</v>
      </c>
      <c r="W63" s="2">
        <f>W8*'Output-Calculation-sheet'!W52/10^9</f>
        <v>7.2295912126155659E-2</v>
      </c>
      <c r="X63" s="2">
        <f>X8*'Output-Calculation-sheet'!X52/10^9</f>
        <v>0.13668101941963381</v>
      </c>
      <c r="Y63" s="2">
        <f>Y8*'Output-Calculation-sheet'!Y52/10^9</f>
        <v>6.5846620791908825E-2</v>
      </c>
      <c r="AA63" s="2">
        <f t="shared" si="4"/>
        <v>29.37505242415218</v>
      </c>
    </row>
    <row r="64" spans="1:27" x14ac:dyDescent="0.25">
      <c r="A64" s="2">
        <v>2032</v>
      </c>
      <c r="B64" s="2">
        <f>B9*'Output-Calculation-sheet'!B53/10^9</f>
        <v>9.0791178168744242</v>
      </c>
      <c r="C64" s="2">
        <f>C9*'Output-Calculation-sheet'!C53/10^9</f>
        <v>5.5764555272179432</v>
      </c>
      <c r="D64" s="2">
        <f>D9*'Output-Calculation-sheet'!D53/10^9</f>
        <v>1.9665970605088905</v>
      </c>
      <c r="E64" s="2">
        <f>E9*'Output-Calculation-sheet'!E53/10^9</f>
        <v>2.3529182135511975</v>
      </c>
      <c r="F64" s="2">
        <f>F9*'Output-Calculation-sheet'!F53/10^9</f>
        <v>0.91353588689231269</v>
      </c>
      <c r="G64" s="2">
        <f>G9*'Output-Calculation-sheet'!G53/10^9</f>
        <v>0.64474932223559589</v>
      </c>
      <c r="H64" s="2">
        <f>H9*'Output-Calculation-sheet'!H53/10^9</f>
        <v>1.7007643083360657</v>
      </c>
      <c r="I64" s="2">
        <f>I9*'Output-Calculation-sheet'!I53/10^9</f>
        <v>0.63189468801736459</v>
      </c>
      <c r="J64" s="2">
        <f>J9*'Output-Calculation-sheet'!J53/10^9</f>
        <v>0.65696696411566646</v>
      </c>
      <c r="K64" s="2">
        <f>K9*'Output-Calculation-sheet'!K53/10^9</f>
        <v>0.79136697261537237</v>
      </c>
      <c r="L64" s="2">
        <f>L9*'Output-Calculation-sheet'!L53/10^9</f>
        <v>0.82252688665193663</v>
      </c>
      <c r="M64" s="2">
        <f>M9*'Output-Calculation-sheet'!M53/10^9</f>
        <v>1.2660292187483915</v>
      </c>
      <c r="N64" s="2">
        <f>N9*'Output-Calculation-sheet'!N53/10^9</f>
        <v>1.097393836494627</v>
      </c>
      <c r="O64" s="2">
        <f>O9*'Output-Calculation-sheet'!O53/10^9</f>
        <v>1.1671259981999604</v>
      </c>
      <c r="P64" s="2">
        <f>P9*'Output-Calculation-sheet'!P53/10^9</f>
        <v>0.71062157454764496</v>
      </c>
      <c r="Q64" s="2">
        <f>Q9*'Output-Calculation-sheet'!Q53/10^9</f>
        <v>0.77488804463676841</v>
      </c>
      <c r="R64" s="2">
        <f>R9*'Output-Calculation-sheet'!R53/10^9</f>
        <v>0.59486352412068366</v>
      </c>
      <c r="S64" s="2">
        <f>S9*'Output-Calculation-sheet'!S53/10^9</f>
        <v>0.56743129300653183</v>
      </c>
      <c r="T64" s="2">
        <f>T9*'Output-Calculation-sheet'!T53/10^9</f>
        <v>0.18437009644580116</v>
      </c>
      <c r="U64" s="2">
        <f>U9*'Output-Calculation-sheet'!U53/10^9</f>
        <v>0.18051452329759987</v>
      </c>
      <c r="V64" s="2">
        <f>V9*'Output-Calculation-sheet'!V53/10^9</f>
        <v>0.1530948997308568</v>
      </c>
      <c r="W64" s="2">
        <f>W9*'Output-Calculation-sheet'!W53/10^9</f>
        <v>7.9348250302196943E-2</v>
      </c>
      <c r="X64" s="2">
        <f>X9*'Output-Calculation-sheet'!X53/10^9</f>
        <v>0.14754704146971906</v>
      </c>
      <c r="Y64" s="2">
        <f>Y9*'Output-Calculation-sheet'!Y53/10^9</f>
        <v>7.2351535519800572E-2</v>
      </c>
      <c r="AA64" s="2">
        <f t="shared" si="4"/>
        <v>32.132473483537353</v>
      </c>
    </row>
    <row r="65" spans="1:27" x14ac:dyDescent="0.25">
      <c r="A65" s="2">
        <v>2033</v>
      </c>
      <c r="B65" s="2">
        <f>B10*'Output-Calculation-sheet'!B54/10^9</f>
        <v>9.3800206043888963</v>
      </c>
      <c r="C65" s="2">
        <f>C10*'Output-Calculation-sheet'!C54/10^9</f>
        <v>5.7643750018398556</v>
      </c>
      <c r="D65" s="2">
        <f>D10*'Output-Calculation-sheet'!D54/10^9</f>
        <v>2.0346590852702704</v>
      </c>
      <c r="E65" s="2">
        <f>E10*'Output-Calculation-sheet'!E54/10^9</f>
        <v>2.4359987663027436</v>
      </c>
      <c r="F65" s="2">
        <f>F10*'Output-Calculation-sheet'!F54/10^9</f>
        <v>0.94594439623411264</v>
      </c>
      <c r="G65" s="2">
        <f>G10*'Output-Calculation-sheet'!G54/10^9</f>
        <v>0.66745312611678187</v>
      </c>
      <c r="H65" s="2">
        <f>H10*'Output-Calculation-sheet'!H54/10^9</f>
        <v>1.7279057469734505</v>
      </c>
      <c r="I65" s="2">
        <f>I10*'Output-Calculation-sheet'!I54/10^9</f>
        <v>0.6544340238477524</v>
      </c>
      <c r="J65" s="2">
        <f>J10*'Output-Calculation-sheet'!J54/10^9</f>
        <v>0.67945055912669394</v>
      </c>
      <c r="K65" s="2">
        <f>K10*'Output-Calculation-sheet'!K54/10^9</f>
        <v>0.81722575674094577</v>
      </c>
      <c r="L65" s="2">
        <f>L10*'Output-Calculation-sheet'!L54/10^9</f>
        <v>0.84523240206810679</v>
      </c>
      <c r="M65" s="2">
        <f>M10*'Output-Calculation-sheet'!M54/10^9</f>
        <v>1.2793081951767318</v>
      </c>
      <c r="N65" s="2">
        <f>N10*'Output-Calculation-sheet'!N54/10^9</f>
        <v>1.1163704655544757</v>
      </c>
      <c r="O65" s="2">
        <f>O10*'Output-Calculation-sheet'!O54/10^9</f>
        <v>1.2064501923140059</v>
      </c>
      <c r="P65" s="2">
        <f>P10*'Output-Calculation-sheet'!P54/10^9</f>
        <v>0.7344514104232267</v>
      </c>
      <c r="Q65" s="2">
        <f>Q10*'Output-Calculation-sheet'!Q54/10^9</f>
        <v>0.80171192279742154</v>
      </c>
      <c r="R65" s="2">
        <f>R10*'Output-Calculation-sheet'!R54/10^9</f>
        <v>0.61300817709297839</v>
      </c>
      <c r="S65" s="2">
        <f>S10*'Output-Calculation-sheet'!S54/10^9</f>
        <v>0.58455786678643062</v>
      </c>
      <c r="T65" s="2">
        <f>T10*'Output-Calculation-sheet'!T54/10^9</f>
        <v>0.18997199520297059</v>
      </c>
      <c r="U65" s="2">
        <f>U10*'Output-Calculation-sheet'!U54/10^9</f>
        <v>0.18674437123744472</v>
      </c>
      <c r="V65" s="2">
        <f>V10*'Output-Calculation-sheet'!V54/10^9</f>
        <v>0.15757602655243172</v>
      </c>
      <c r="W65" s="2">
        <f>W10*'Output-Calculation-sheet'!W54/10^9</f>
        <v>8.216239793370371E-2</v>
      </c>
      <c r="X65" s="2">
        <f>X10*'Output-Calculation-sheet'!X54/10^9</f>
        <v>0.14969942237516798</v>
      </c>
      <c r="Y65" s="2">
        <f>Y10*'Output-Calculation-sheet'!Y54/10^9</f>
        <v>7.4999754887768416E-2</v>
      </c>
      <c r="AA65" s="2">
        <f t="shared" si="4"/>
        <v>33.129711667244365</v>
      </c>
    </row>
    <row r="66" spans="1:27" x14ac:dyDescent="0.25">
      <c r="A66" s="2">
        <v>2034</v>
      </c>
      <c r="B66" s="2">
        <f>B11*'Output-Calculation-sheet'!B55/10^9</f>
        <v>9.1742109390882725</v>
      </c>
      <c r="C66" s="2">
        <f>C11*'Output-Calculation-sheet'!C55/10^9</f>
        <v>5.6476216772359793</v>
      </c>
      <c r="D66" s="2">
        <f>D11*'Output-Calculation-sheet'!D55/10^9</f>
        <v>1.995471767451992</v>
      </c>
      <c r="E66" s="2">
        <f>E11*'Output-Calculation-sheet'!E55/10^9</f>
        <v>2.3907596539607052</v>
      </c>
      <c r="F66" s="2">
        <f>F11*'Output-Calculation-sheet'!F55/10^9</f>
        <v>0.9286139026667819</v>
      </c>
      <c r="G66" s="2">
        <f>G11*'Output-Calculation-sheet'!G55/10^9</f>
        <v>0.65493707854982786</v>
      </c>
      <c r="H66" s="2">
        <f>H11*'Output-Calculation-sheet'!H55/10^9</f>
        <v>1.6556339836249832</v>
      </c>
      <c r="I66" s="2">
        <f>I11*'Output-Calculation-sheet'!I55/10^9</f>
        <v>0.64244614191207894</v>
      </c>
      <c r="J66" s="2">
        <f>J11*'Output-Calculation-sheet'!J55/10^9</f>
        <v>0.66591938248603988</v>
      </c>
      <c r="K66" s="2">
        <f>K11*'Output-Calculation-sheet'!K55/10^9</f>
        <v>0.79992123464139653</v>
      </c>
      <c r="L66" s="2">
        <f>L11*'Output-Calculation-sheet'!L55/10^9</f>
        <v>0.82274266844539223</v>
      </c>
      <c r="M66" s="2">
        <f>M11*'Output-Calculation-sheet'!M55/10^9</f>
        <v>1.2242390548199837</v>
      </c>
      <c r="N66" s="2">
        <f>N11*'Output-Calculation-sheet'!N55/10^9</f>
        <v>1.0752055503201567</v>
      </c>
      <c r="O66" s="2">
        <f>O11*'Output-Calculation-sheet'!O55/10^9</f>
        <v>1.1820548832950768</v>
      </c>
      <c r="P66" s="2">
        <f>P11*'Output-Calculation-sheet'!P55/10^9</f>
        <v>0.71935631666373756</v>
      </c>
      <c r="Q66" s="2">
        <f>Q11*'Output-Calculation-sheet'!Q55/10^9</f>
        <v>0.78521182678809498</v>
      </c>
      <c r="R66" s="2">
        <f>R11*'Output-Calculation-sheet'!R55/10^9</f>
        <v>0.5989168655843391</v>
      </c>
      <c r="S66" s="2">
        <f>S11*'Output-Calculation-sheet'!S55/10^9</f>
        <v>0.56953306799175907</v>
      </c>
      <c r="T66" s="2">
        <f>T11*'Output-Calculation-sheet'!T55/10^9</f>
        <v>0.18552739436062857</v>
      </c>
      <c r="U66" s="2">
        <f>U11*'Output-Calculation-sheet'!U55/10^9</f>
        <v>0.18310146905732438</v>
      </c>
      <c r="V66" s="2">
        <f>V11*'Output-Calculation-sheet'!V55/10^9</f>
        <v>0.15376267203923982</v>
      </c>
      <c r="W66" s="2">
        <f>W11*'Output-Calculation-sheet'!W55/10^9</f>
        <v>8.064521785995854E-2</v>
      </c>
      <c r="X66" s="2">
        <f>X11*'Output-Calculation-sheet'!X55/10^9</f>
        <v>0.14386947595054042</v>
      </c>
      <c r="Y66" s="2">
        <f>Y11*'Output-Calculation-sheet'!Y55/10^9</f>
        <v>7.3706590938191666E-2</v>
      </c>
      <c r="AA66" s="2">
        <f t="shared" si="4"/>
        <v>32.353408815732479</v>
      </c>
    </row>
    <row r="67" spans="1:27" x14ac:dyDescent="0.25">
      <c r="A67" s="2">
        <v>2035</v>
      </c>
      <c r="B67" s="2">
        <f>B12*'Output-Calculation-sheet'!B56/10^9</f>
        <v>8.4878789023689354</v>
      </c>
      <c r="C67" s="2">
        <f>C12*'Output-Calculation-sheet'!C56/10^9</f>
        <v>5.2430014768655786</v>
      </c>
      <c r="D67" s="2">
        <f>D12*'Output-Calculation-sheet'!D56/10^9</f>
        <v>1.8545682030496888</v>
      </c>
      <c r="E67" s="2">
        <f>E12*'Output-Calculation-sheet'!E56/10^9</f>
        <v>2.2237866669731026</v>
      </c>
      <c r="F67" s="2">
        <f>F12*'Output-Calculation-sheet'!F56/10^9</f>
        <v>0.86405801283962469</v>
      </c>
      <c r="G67" s="2">
        <f>G12*'Output-Calculation-sheet'!G56/10^9</f>
        <v>0.60906061721126326</v>
      </c>
      <c r="H67" s="2">
        <f>H12*'Output-Calculation-sheet'!H56/10^9</f>
        <v>1.5021598194666059</v>
      </c>
      <c r="I67" s="2">
        <f>I12*'Output-Calculation-sheet'!I56/10^9</f>
        <v>0.5977640790799218</v>
      </c>
      <c r="J67" s="2">
        <f>J12*'Output-Calculation-sheet'!J56/10^9</f>
        <v>0.61864318019595887</v>
      </c>
      <c r="K67" s="2">
        <f>K12*'Output-Calculation-sheet'!K56/10^9</f>
        <v>0.74197292528175007</v>
      </c>
      <c r="L67" s="2">
        <f>L12*'Output-Calculation-sheet'!L56/10^9</f>
        <v>0.75843002304350027</v>
      </c>
      <c r="M67" s="2">
        <f>M12*'Output-Calculation-sheet'!M56/10^9</f>
        <v>1.1092817660147831</v>
      </c>
      <c r="N67" s="2">
        <f>N12*'Output-Calculation-sheet'!N56/10^9</f>
        <v>0.98018931984817503</v>
      </c>
      <c r="O67" s="2">
        <f>O12*'Output-Calculation-sheet'!O56/10^9</f>
        <v>1.0968363873112137</v>
      </c>
      <c r="P67" s="2">
        <f>P12*'Output-Calculation-sheet'!P56/10^9</f>
        <v>0.66782869778460086</v>
      </c>
      <c r="Q67" s="2">
        <f>Q12*'Output-Calculation-sheet'!Q56/10^9</f>
        <v>0.72769403831149593</v>
      </c>
      <c r="R67" s="2">
        <f>R12*'Output-Calculation-sheet'!R56/10^9</f>
        <v>0.55468658041377072</v>
      </c>
      <c r="S67" s="2">
        <f>S12*'Output-Calculation-sheet'!S56/10^9</f>
        <v>0.5245689019742833</v>
      </c>
      <c r="T67" s="2">
        <f>T12*'Output-Calculation-sheet'!T56/10^9</f>
        <v>0.17171151720661751</v>
      </c>
      <c r="U67" s="2">
        <f>U12*'Output-Calculation-sheet'!U56/10^9</f>
        <v>0.17015489552990562</v>
      </c>
      <c r="V67" s="2">
        <f>V12*'Output-Calculation-sheet'!V56/10^9</f>
        <v>0.14220157161459429</v>
      </c>
      <c r="W67" s="2">
        <f>W12*'Output-Calculation-sheet'!W56/10^9</f>
        <v>7.5024328380776009E-2</v>
      </c>
      <c r="X67" s="2">
        <f>X12*'Output-Calculation-sheet'!X56/10^9</f>
        <v>0.13091994733372947</v>
      </c>
      <c r="Y67" s="2">
        <f>Y12*'Output-Calculation-sheet'!Y56/10^9</f>
        <v>6.8658010116217E-2</v>
      </c>
      <c r="AA67" s="2">
        <f t="shared" si="4"/>
        <v>29.921079868216101</v>
      </c>
    </row>
    <row r="68" spans="1:27" x14ac:dyDescent="0.25">
      <c r="B68" s="2">
        <f>SUM(B60:B67)</f>
        <v>61.158060737273971</v>
      </c>
      <c r="C68" s="2">
        <f t="shared" ref="C68:Y68" si="5">SUM(C60:C67)</f>
        <v>37.592324874428286</v>
      </c>
      <c r="D68" s="2">
        <f t="shared" si="5"/>
        <v>13.274865505253031</v>
      </c>
      <c r="E68" s="2">
        <f t="shared" si="5"/>
        <v>15.887094965014988</v>
      </c>
      <c r="F68" s="2">
        <f t="shared" si="5"/>
        <v>6.1700115515170273</v>
      </c>
      <c r="G68" s="2">
        <f t="shared" si="5"/>
        <v>4.3521293760319635</v>
      </c>
      <c r="H68" s="2">
        <f t="shared" si="5"/>
        <v>11.33373071472116</v>
      </c>
      <c r="I68" s="2">
        <f t="shared" si="5"/>
        <v>4.2659384257792787</v>
      </c>
      <c r="J68" s="2">
        <f t="shared" si="5"/>
        <v>4.4362985377136512</v>
      </c>
      <c r="K68" s="2">
        <f t="shared" si="5"/>
        <v>5.3479493985605355</v>
      </c>
      <c r="L68" s="2">
        <f t="shared" si="5"/>
        <v>5.5525601792369166</v>
      </c>
      <c r="M68" s="2">
        <f t="shared" si="5"/>
        <v>8.5902511233966656</v>
      </c>
      <c r="N68" s="2">
        <f t="shared" si="5"/>
        <v>7.3863183953309361</v>
      </c>
      <c r="O68" s="2">
        <f t="shared" si="5"/>
        <v>7.8676619871326121</v>
      </c>
      <c r="P68" s="2">
        <f t="shared" si="5"/>
        <v>4.7972371337722484</v>
      </c>
      <c r="Q68" s="2">
        <f t="shared" si="5"/>
        <v>5.2231692951803659</v>
      </c>
      <c r="R68" s="2">
        <f t="shared" si="5"/>
        <v>4.027138797481463</v>
      </c>
      <c r="S68" s="2">
        <f t="shared" si="5"/>
        <v>3.8141793190627573</v>
      </c>
      <c r="T68" s="2">
        <f t="shared" si="5"/>
        <v>1.247530922264076</v>
      </c>
      <c r="U68" s="2">
        <f t="shared" si="5"/>
        <v>1.2184192226011412</v>
      </c>
      <c r="V68" s="2">
        <f t="shared" si="5"/>
        <v>1.037546400383075</v>
      </c>
      <c r="W68" s="2">
        <f t="shared" si="5"/>
        <v>0.53574651953807118</v>
      </c>
      <c r="X68" s="2">
        <f t="shared" si="5"/>
        <v>0.98741224672088612</v>
      </c>
      <c r="Y68" s="2">
        <f t="shared" si="5"/>
        <v>0.48845236325219099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491.162343772935</v>
      </c>
      <c r="C74" s="2">
        <f>C8/'Output-Calculation-sheet'!C7*'Output-Calculation-sheet'!C61</f>
        <v>0</v>
      </c>
      <c r="D74" s="2">
        <f>D8/'Output-Calculation-sheet'!D7*'Output-Calculation-sheet'!D61</f>
        <v>803.74196731554866</v>
      </c>
      <c r="E74" s="2">
        <f>E8/'Output-Calculation-sheet'!E7*'Output-Calculation-sheet'!E61</f>
        <v>596.49999702197545</v>
      </c>
      <c r="F74" s="2">
        <f>F8/'Output-Calculation-sheet'!F7*'Output-Calculation-sheet'!F61</f>
        <v>0</v>
      </c>
      <c r="G74" s="2">
        <f>G8/'Output-Calculation-sheet'!G7*'Output-Calculation-sheet'!G61</f>
        <v>271.60338409808713</v>
      </c>
      <c r="H74" s="2">
        <f>H8/'Output-Calculation-sheet'!H7*'Output-Calculation-sheet'!H61</f>
        <v>1304.4226746738007</v>
      </c>
      <c r="I74" s="2">
        <f>I8/'Output-Calculation-sheet'!I7*'Output-Calculation-sheet'!I61</f>
        <v>95.75820297470932</v>
      </c>
      <c r="J74" s="2">
        <f>J8/'Output-Calculation-sheet'!J7*'Output-Calculation-sheet'!J61</f>
        <v>399.23655353803485</v>
      </c>
      <c r="K74" s="2">
        <f>K8/'Output-Calculation-sheet'!K7*'Output-Calculation-sheet'!K61</f>
        <v>670.48543383935714</v>
      </c>
      <c r="L74" s="2">
        <f>L8/'Output-Calculation-sheet'!L7*'Output-Calculation-sheet'!L61</f>
        <v>581.70188186501252</v>
      </c>
      <c r="M74" s="2">
        <f>M8/'Output-Calculation-sheet'!M7*'Output-Calculation-sheet'!M61</f>
        <v>2913.2287179806367</v>
      </c>
      <c r="N74" s="2">
        <f>N8/'Output-Calculation-sheet'!N7*'Output-Calculation-sheet'!N61</f>
        <v>1643.2068415084593</v>
      </c>
      <c r="O74" s="2">
        <f>O8/'Output-Calculation-sheet'!O7*'Output-Calculation-sheet'!O61</f>
        <v>0</v>
      </c>
      <c r="P74" s="2">
        <f>P8/'Output-Calculation-sheet'!P7*'Output-Calculation-sheet'!P61</f>
        <v>464.41159445807148</v>
      </c>
      <c r="Q74" s="2">
        <f>Q8/'Output-Calculation-sheet'!Q7*'Output-Calculation-sheet'!Q61</f>
        <v>122.43474344589336</v>
      </c>
      <c r="R74" s="2">
        <f>R8/'Output-Calculation-sheet'!R7*'Output-Calculation-sheet'!R61</f>
        <v>807.65532386914765</v>
      </c>
      <c r="S74" s="2">
        <f>S8/'Output-Calculation-sheet'!S7*'Output-Calculation-sheet'!S61</f>
        <v>142.91997279988448</v>
      </c>
      <c r="T74" s="2">
        <f>T8/'Output-Calculation-sheet'!T7*'Output-Calculation-sheet'!T61</f>
        <v>273.53704820131406</v>
      </c>
      <c r="U74" s="2">
        <f>U8/'Output-Calculation-sheet'!U7*'Output-Calculation-sheet'!U61</f>
        <v>108.37852061748116</v>
      </c>
      <c r="V74" s="2">
        <f>V8/'Output-Calculation-sheet'!V7*'Output-Calculation-sheet'!V61</f>
        <v>190.36503286176037</v>
      </c>
      <c r="W74" s="2">
        <f>W8/'Output-Calculation-sheet'!W7*'Output-Calculation-sheet'!W61</f>
        <v>4.5292549897270806</v>
      </c>
      <c r="X74" s="2">
        <f>X8/'Output-Calculation-sheet'!X7*'Output-Calculation-sheet'!X61</f>
        <v>162.67515895326244</v>
      </c>
      <c r="Y74" s="2">
        <f>Y8/'Output-Calculation-sheet'!Y7*'Output-Calculation-sheet'!Y61</f>
        <v>0</v>
      </c>
      <c r="AA74" s="2">
        <f t="shared" si="6"/>
        <v>12.047954648785103</v>
      </c>
    </row>
    <row r="75" spans="1:27" x14ac:dyDescent="0.25">
      <c r="A75" s="2">
        <v>2032</v>
      </c>
      <c r="B75" s="2">
        <f>B9/'Output-Calculation-sheet'!B8*'Output-Calculation-sheet'!B62</f>
        <v>1329.1148106136254</v>
      </c>
      <c r="C75" s="2">
        <f>C9/'Output-Calculation-sheet'!C8*'Output-Calculation-sheet'!C62</f>
        <v>0</v>
      </c>
      <c r="D75" s="2">
        <f>D9/'Output-Calculation-sheet'!D8*'Output-Calculation-sheet'!D62</f>
        <v>1087.2201669800477</v>
      </c>
      <c r="E75" s="2">
        <f>E9/'Output-Calculation-sheet'!E8*'Output-Calculation-sheet'!E62</f>
        <v>764.54537093518798</v>
      </c>
      <c r="F75" s="2">
        <f>F9/'Output-Calculation-sheet'!F8*'Output-Calculation-sheet'!F62</f>
        <v>0</v>
      </c>
      <c r="G75" s="2">
        <f>G9/'Output-Calculation-sheet'!G8*'Output-Calculation-sheet'!G62</f>
        <v>353.24469537441485</v>
      </c>
      <c r="H75" s="2">
        <f>H9/'Output-Calculation-sheet'!H8*'Output-Calculation-sheet'!H62</f>
        <v>2493.8082452895032</v>
      </c>
      <c r="I75" s="2">
        <f>I9/'Output-Calculation-sheet'!I8*'Output-Calculation-sheet'!I62</f>
        <v>151.04621324389646</v>
      </c>
      <c r="J75" s="2">
        <f>J9/'Output-Calculation-sheet'!J8*'Output-Calculation-sheet'!J62</f>
        <v>495.06318375409268</v>
      </c>
      <c r="K75" s="2">
        <f>K9/'Output-Calculation-sheet'!K8*'Output-Calculation-sheet'!K62</f>
        <v>776.41815749945431</v>
      </c>
      <c r="L75" s="2">
        <f>L9/'Output-Calculation-sheet'!L8*'Output-Calculation-sheet'!L62</f>
        <v>674.20846393423437</v>
      </c>
      <c r="M75" s="2">
        <f>M9/'Output-Calculation-sheet'!M8*'Output-Calculation-sheet'!M62</f>
        <v>3246.15943567043</v>
      </c>
      <c r="N75" s="2">
        <f>N9/'Output-Calculation-sheet'!N8*'Output-Calculation-sheet'!N62</f>
        <v>2098.3406041295693</v>
      </c>
      <c r="O75" s="2">
        <f>O9/'Output-Calculation-sheet'!O8*'Output-Calculation-sheet'!O62</f>
        <v>0</v>
      </c>
      <c r="P75" s="2">
        <f>P9/'Output-Calculation-sheet'!P8*'Output-Calculation-sheet'!P62</f>
        <v>579.04896046413501</v>
      </c>
      <c r="Q75" s="2">
        <f>Q9/'Output-Calculation-sheet'!Q8*'Output-Calculation-sheet'!Q62</f>
        <v>205.37000578568407</v>
      </c>
      <c r="R75" s="2">
        <f>R9/'Output-Calculation-sheet'!R8*'Output-Calculation-sheet'!R62</f>
        <v>921.8515219339755</v>
      </c>
      <c r="S75" s="2">
        <f>S9/'Output-Calculation-sheet'!S8*'Output-Calculation-sheet'!S62</f>
        <v>266.91536184042815</v>
      </c>
      <c r="T75" s="2">
        <f>T9/'Output-Calculation-sheet'!T8*'Output-Calculation-sheet'!T62</f>
        <v>308.63303913459566</v>
      </c>
      <c r="U75" s="2">
        <f>U9/'Output-Calculation-sheet'!U8*'Output-Calculation-sheet'!U62</f>
        <v>143.5770071600929</v>
      </c>
      <c r="V75" s="2">
        <f>V9/'Output-Calculation-sheet'!V8*'Output-Calculation-sheet'!V62</f>
        <v>214.13845358124402</v>
      </c>
      <c r="W75" s="2">
        <f>W9/'Output-Calculation-sheet'!W8*'Output-Calculation-sheet'!W62</f>
        <v>11.667162500628253</v>
      </c>
      <c r="X75" s="2">
        <f>X9/'Output-Calculation-sheet'!X8*'Output-Calculation-sheet'!X62</f>
        <v>307.57289958512536</v>
      </c>
      <c r="Y75" s="2">
        <f>Y9/'Output-Calculation-sheet'!Y8*'Output-Calculation-sheet'!Y62</f>
        <v>0</v>
      </c>
      <c r="AA75" s="2">
        <f t="shared" si="6"/>
        <v>16.427943759410365</v>
      </c>
    </row>
    <row r="76" spans="1:27" x14ac:dyDescent="0.25">
      <c r="A76" s="2">
        <v>2033</v>
      </c>
      <c r="B76" s="2">
        <f>B10/'Output-Calculation-sheet'!B9*'Output-Calculation-sheet'!B63</f>
        <v>2498.0491624960332</v>
      </c>
      <c r="C76" s="2">
        <f>C10/'Output-Calculation-sheet'!C9*'Output-Calculation-sheet'!C63</f>
        <v>0</v>
      </c>
      <c r="D76" s="2">
        <f>D10/'Output-Calculation-sheet'!D9*'Output-Calculation-sheet'!D63</f>
        <v>1335.693078169402</v>
      </c>
      <c r="E76" s="2">
        <f>E10/'Output-Calculation-sheet'!E9*'Output-Calculation-sheet'!E63</f>
        <v>991.00368810120563</v>
      </c>
      <c r="F76" s="2">
        <f>F10/'Output-Calculation-sheet'!F9*'Output-Calculation-sheet'!F63</f>
        <v>0</v>
      </c>
      <c r="G76" s="2">
        <f>G10/'Output-Calculation-sheet'!G9*'Output-Calculation-sheet'!G63</f>
        <v>444.44385907744197</v>
      </c>
      <c r="H76" s="2">
        <f>H10/'Output-Calculation-sheet'!H9*'Output-Calculation-sheet'!H63</f>
        <v>4557.9285250151315</v>
      </c>
      <c r="I76" s="2">
        <f>I10/'Output-Calculation-sheet'!I9*'Output-Calculation-sheet'!I63</f>
        <v>206.22171445922172</v>
      </c>
      <c r="J76" s="2">
        <f>J10/'Output-Calculation-sheet'!J9*'Output-Calculation-sheet'!J63</f>
        <v>620.45422964068985</v>
      </c>
      <c r="K76" s="2">
        <f>K10/'Output-Calculation-sheet'!K9*'Output-Calculation-sheet'!K63</f>
        <v>856.31544473482745</v>
      </c>
      <c r="L76" s="2">
        <f>L10/'Output-Calculation-sheet'!L9*'Output-Calculation-sheet'!L63</f>
        <v>792.60409155256605</v>
      </c>
      <c r="M76" s="2">
        <f>M10/'Output-Calculation-sheet'!M9*'Output-Calculation-sheet'!M63</f>
        <v>3408.965353584415</v>
      </c>
      <c r="N76" s="2">
        <f>N10/'Output-Calculation-sheet'!N9*'Output-Calculation-sheet'!N63</f>
        <v>2317.6894368194212</v>
      </c>
      <c r="O76" s="2">
        <f>O10/'Output-Calculation-sheet'!O9*'Output-Calculation-sheet'!O63</f>
        <v>0</v>
      </c>
      <c r="P76" s="2">
        <f>P10/'Output-Calculation-sheet'!P9*'Output-Calculation-sheet'!P63</f>
        <v>669.76078420651788</v>
      </c>
      <c r="Q76" s="2">
        <f>Q10/'Output-Calculation-sheet'!Q9*'Output-Calculation-sheet'!Q63</f>
        <v>294.39017231270526</v>
      </c>
      <c r="R76" s="2">
        <f>R10/'Output-Calculation-sheet'!R9*'Output-Calculation-sheet'!R63</f>
        <v>978.5124699292719</v>
      </c>
      <c r="S76" s="2">
        <f>S10/'Output-Calculation-sheet'!S9*'Output-Calculation-sheet'!S63</f>
        <v>414.75867884850948</v>
      </c>
      <c r="T76" s="2">
        <f>T10/'Output-Calculation-sheet'!T9*'Output-Calculation-sheet'!T63</f>
        <v>343.64504238890868</v>
      </c>
      <c r="U76" s="2">
        <f>U10/'Output-Calculation-sheet'!U9*'Output-Calculation-sheet'!U63</f>
        <v>168.5159795448931</v>
      </c>
      <c r="V76" s="2">
        <f>V10/'Output-Calculation-sheet'!V9*'Output-Calculation-sheet'!V63</f>
        <v>224.23518107466265</v>
      </c>
      <c r="W76" s="2">
        <f>W10/'Output-Calculation-sheet'!W9*'Output-Calculation-sheet'!W63</f>
        <v>15.63056718882167</v>
      </c>
      <c r="X76" s="2">
        <f>X10/'Output-Calculation-sheet'!X9*'Output-Calculation-sheet'!X63</f>
        <v>325.30931700325743</v>
      </c>
      <c r="Y76" s="2">
        <f>Y10/'Output-Calculation-sheet'!Y9*'Output-Calculation-sheet'!Y63</f>
        <v>5.012016672814676</v>
      </c>
      <c r="AA76" s="2">
        <f t="shared" si="6"/>
        <v>21.469138792820722</v>
      </c>
    </row>
    <row r="77" spans="1:27" x14ac:dyDescent="0.25">
      <c r="A77" s="2">
        <v>2034</v>
      </c>
      <c r="B77" s="2">
        <f>B11/'Output-Calculation-sheet'!B10*'Output-Calculation-sheet'!B64</f>
        <v>4262.0159561630489</v>
      </c>
      <c r="C77" s="2">
        <f>C11/'Output-Calculation-sheet'!C10*'Output-Calculation-sheet'!C64</f>
        <v>0</v>
      </c>
      <c r="D77" s="2">
        <f>D11/'Output-Calculation-sheet'!D10*'Output-Calculation-sheet'!D64</f>
        <v>1513.8024829447863</v>
      </c>
      <c r="E77" s="2">
        <f>E11/'Output-Calculation-sheet'!E10*'Output-Calculation-sheet'!E64</f>
        <v>1059.0911668167812</v>
      </c>
      <c r="F77" s="2">
        <f>F11/'Output-Calculation-sheet'!F10*'Output-Calculation-sheet'!F64</f>
        <v>0</v>
      </c>
      <c r="G77" s="2">
        <f>G11/'Output-Calculation-sheet'!G10*'Output-Calculation-sheet'!G64</f>
        <v>491.94696933958267</v>
      </c>
      <c r="H77" s="2">
        <f>H11/'Output-Calculation-sheet'!H10*'Output-Calculation-sheet'!H64</f>
        <v>4607.8358640814686</v>
      </c>
      <c r="I77" s="2">
        <f>I11/'Output-Calculation-sheet'!I10*'Output-Calculation-sheet'!I64</f>
        <v>261.05656500084939</v>
      </c>
      <c r="J77" s="2">
        <f>J11/'Output-Calculation-sheet'!J10*'Output-Calculation-sheet'!J64</f>
        <v>659.07611127377118</v>
      </c>
      <c r="K77" s="2">
        <f>K11/'Output-Calculation-sheet'!K10*'Output-Calculation-sheet'!K64</f>
        <v>927.72794712691905</v>
      </c>
      <c r="L77" s="2">
        <f>L11/'Output-Calculation-sheet'!L10*'Output-Calculation-sheet'!L64</f>
        <v>814.16132792484757</v>
      </c>
      <c r="M77" s="2">
        <f>M11/'Output-Calculation-sheet'!M10*'Output-Calculation-sheet'!M64</f>
        <v>3448.4554211307568</v>
      </c>
      <c r="N77" s="2">
        <f>N11/'Output-Calculation-sheet'!N10*'Output-Calculation-sheet'!N64</f>
        <v>2425.1746775384104</v>
      </c>
      <c r="O77" s="2">
        <f>O11/'Output-Calculation-sheet'!O10*'Output-Calculation-sheet'!O64</f>
        <v>0</v>
      </c>
      <c r="P77" s="2">
        <f>P11/'Output-Calculation-sheet'!P10*'Output-Calculation-sheet'!P64</f>
        <v>709.52258862079259</v>
      </c>
      <c r="Q77" s="2">
        <f>Q11/'Output-Calculation-sheet'!Q10*'Output-Calculation-sheet'!Q64</f>
        <v>433.43980552950325</v>
      </c>
      <c r="R77" s="2">
        <f>R11/'Output-Calculation-sheet'!R10*'Output-Calculation-sheet'!R64</f>
        <v>998.83879004918151</v>
      </c>
      <c r="S77" s="2">
        <f>S11/'Output-Calculation-sheet'!S10*'Output-Calculation-sheet'!S64</f>
        <v>588.43833993748319</v>
      </c>
      <c r="T77" s="2">
        <f>T11/'Output-Calculation-sheet'!T10*'Output-Calculation-sheet'!T64</f>
        <v>352.0585466853459</v>
      </c>
      <c r="U77" s="2">
        <f>U11/'Output-Calculation-sheet'!U10*'Output-Calculation-sheet'!U64</f>
        <v>183.25083312925199</v>
      </c>
      <c r="V77" s="2">
        <f>V11/'Output-Calculation-sheet'!V10*'Output-Calculation-sheet'!V64</f>
        <v>234.09530730514385</v>
      </c>
      <c r="W77" s="2">
        <f>W11/'Output-Calculation-sheet'!W10*'Output-Calculation-sheet'!W64</f>
        <v>24.014494332231294</v>
      </c>
      <c r="X77" s="2">
        <f>X11/'Output-Calculation-sheet'!X10*'Output-Calculation-sheet'!X64</f>
        <v>323.953779074122</v>
      </c>
      <c r="Y77" s="2">
        <f>Y11/'Output-Calculation-sheet'!Y10*'Output-Calculation-sheet'!Y64</f>
        <v>7.5560329659683703</v>
      </c>
      <c r="AA77" s="2">
        <f t="shared" si="6"/>
        <v>24.32551300697024</v>
      </c>
    </row>
    <row r="78" spans="1:27" x14ac:dyDescent="0.25">
      <c r="A78" s="2">
        <v>2035</v>
      </c>
      <c r="B78" s="2">
        <f>B12/'Output-Calculation-sheet'!B11*'Output-Calculation-sheet'!B65</f>
        <v>6011.0500806426171</v>
      </c>
      <c r="C78" s="2">
        <f>C12/'Output-Calculation-sheet'!C11*'Output-Calculation-sheet'!C65</f>
        <v>496.1112817894184</v>
      </c>
      <c r="D78" s="2">
        <f>D12/'Output-Calculation-sheet'!D11*'Output-Calculation-sheet'!D65</f>
        <v>1551.1446678380778</v>
      </c>
      <c r="E78" s="2">
        <f>E12/'Output-Calculation-sheet'!E11*'Output-Calculation-sheet'!E65</f>
        <v>1214.472769316277</v>
      </c>
      <c r="F78" s="2">
        <f>F12/'Output-Calculation-sheet'!F11*'Output-Calculation-sheet'!F65</f>
        <v>54.91549653890705</v>
      </c>
      <c r="G78" s="2">
        <f>G12/'Output-Calculation-sheet'!G11*'Output-Calculation-sheet'!G65</f>
        <v>510.13156607729081</v>
      </c>
      <c r="H78" s="2">
        <f>H12/'Output-Calculation-sheet'!H11*'Output-Calculation-sheet'!H65</f>
        <v>4398.5777706130884</v>
      </c>
      <c r="I78" s="2">
        <f>I12/'Output-Calculation-sheet'!I11*'Output-Calculation-sheet'!I65</f>
        <v>278.52527072393667</v>
      </c>
      <c r="J78" s="2">
        <f>J12/'Output-Calculation-sheet'!J11*'Output-Calculation-sheet'!J65</f>
        <v>666.50452395672369</v>
      </c>
      <c r="K78" s="2">
        <f>K12/'Output-Calculation-sheet'!K11*'Output-Calculation-sheet'!K65</f>
        <v>897.07060594579627</v>
      </c>
      <c r="L78" s="2">
        <f>L12/'Output-Calculation-sheet'!L11*'Output-Calculation-sheet'!L65</f>
        <v>810.81166411516676</v>
      </c>
      <c r="M78" s="2">
        <f>M12/'Output-Calculation-sheet'!M11*'Output-Calculation-sheet'!M65</f>
        <v>3296.2257813714814</v>
      </c>
      <c r="N78" s="2">
        <f>N12/'Output-Calculation-sheet'!N11*'Output-Calculation-sheet'!N65</f>
        <v>2391.7903500780449</v>
      </c>
      <c r="O78" s="2">
        <f>O12/'Output-Calculation-sheet'!O11*'Output-Calculation-sheet'!O65</f>
        <v>241.19386075627517</v>
      </c>
      <c r="P78" s="2">
        <f>P12/'Output-Calculation-sheet'!P11*'Output-Calculation-sheet'!P65</f>
        <v>683.87213673581061</v>
      </c>
      <c r="Q78" s="2">
        <f>Q12/'Output-Calculation-sheet'!Q11*'Output-Calculation-sheet'!Q65</f>
        <v>508.40202042710837</v>
      </c>
      <c r="R78" s="2">
        <f>R12/'Output-Calculation-sheet'!R11*'Output-Calculation-sheet'!R65</f>
        <v>952.43791720706758</v>
      </c>
      <c r="S78" s="2">
        <f>S12/'Output-Calculation-sheet'!S11*'Output-Calculation-sheet'!S65</f>
        <v>696.63750594193357</v>
      </c>
      <c r="T78" s="2">
        <f>T12/'Output-Calculation-sheet'!T11*'Output-Calculation-sheet'!T65</f>
        <v>343.76647339586532</v>
      </c>
      <c r="U78" s="2">
        <f>U12/'Output-Calculation-sheet'!U11*'Output-Calculation-sheet'!U65</f>
        <v>185.20514571118485</v>
      </c>
      <c r="V78" s="2">
        <f>V12/'Output-Calculation-sheet'!V11*'Output-Calculation-sheet'!V65</f>
        <v>225.42997803821387</v>
      </c>
      <c r="W78" s="2">
        <f>W12/'Output-Calculation-sheet'!W11*'Output-Calculation-sheet'!W65</f>
        <v>28.105754747416711</v>
      </c>
      <c r="X78" s="2">
        <f>X12/'Output-Calculation-sheet'!X11*'Output-Calculation-sheet'!X65</f>
        <v>311.63145199363476</v>
      </c>
      <c r="Y78" s="2">
        <f>Y12/'Output-Calculation-sheet'!Y11*'Output-Calculation-sheet'!Y65</f>
        <v>9.9455493859716544</v>
      </c>
      <c r="AA78" s="2">
        <f t="shared" si="6"/>
        <v>26.763959623347308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12866708193.973343</v>
      </c>
      <c r="C96" s="2">
        <f>C8/'Output-Calculation-sheet'!C7*'Output-Calculation-sheet'!C79</f>
        <v>1252433267.5012231</v>
      </c>
      <c r="D96" s="2">
        <f>D8/'Output-Calculation-sheet'!D7*'Output-Calculation-sheet'!D79</f>
        <v>3297623171.1914611</v>
      </c>
      <c r="E96" s="2">
        <f>E8/'Output-Calculation-sheet'!E7*'Output-Calculation-sheet'!E79</f>
        <v>11870476871.5165</v>
      </c>
      <c r="F96" s="2">
        <f>F8/'Output-Calculation-sheet'!F7*'Output-Calculation-sheet'!F79</f>
        <v>3618467545.7038932</v>
      </c>
      <c r="G96" s="2">
        <f>G8/'Output-Calculation-sheet'!G7*'Output-Calculation-sheet'!G79</f>
        <v>2238585490.8247151</v>
      </c>
      <c r="H96" s="2">
        <f>H8/'Output-Calculation-sheet'!H7*'Output-Calculation-sheet'!H79</f>
        <v>1501879110.1966679</v>
      </c>
      <c r="I96" s="2">
        <f>I8/'Output-Calculation-sheet'!I7*'Output-Calculation-sheet'!I79</f>
        <v>1608912108.6984799</v>
      </c>
      <c r="J96" s="2">
        <f>J8/'Output-Calculation-sheet'!J7*'Output-Calculation-sheet'!J79</f>
        <v>1307848609.825165</v>
      </c>
      <c r="K96" s="2">
        <f>K8/'Output-Calculation-sheet'!K7*'Output-Calculation-sheet'!K79</f>
        <v>1599583102.7460539</v>
      </c>
      <c r="L96" s="2">
        <f>L8/'Output-Calculation-sheet'!L7*'Output-Calculation-sheet'!L79</f>
        <v>1538331769.6964672</v>
      </c>
      <c r="M96" s="2">
        <f>M8/'Output-Calculation-sheet'!M7*'Output-Calculation-sheet'!M79</f>
        <v>2115021167.657088</v>
      </c>
      <c r="N96" s="2">
        <f>N8/'Output-Calculation-sheet'!N7*'Output-Calculation-sheet'!N79</f>
        <v>1325980176.8283181</v>
      </c>
      <c r="O96" s="2">
        <f>O8/'Output-Calculation-sheet'!O7*'Output-Calculation-sheet'!O79</f>
        <v>165292710.88210404</v>
      </c>
      <c r="P96" s="2">
        <f>P8/'Output-Calculation-sheet'!P7*'Output-Calculation-sheet'!P79</f>
        <v>2387315878.7445784</v>
      </c>
      <c r="Q96" s="2">
        <f>Q8/'Output-Calculation-sheet'!Q7*'Output-Calculation-sheet'!Q79</f>
        <v>999037908.610847</v>
      </c>
      <c r="R96" s="2">
        <f>R8/'Output-Calculation-sheet'!R7*'Output-Calculation-sheet'!R79</f>
        <v>1568542224.7490401</v>
      </c>
      <c r="S96" s="2">
        <f>S8/'Output-Calculation-sheet'!S7*'Output-Calculation-sheet'!S79</f>
        <v>608076262.0622716</v>
      </c>
      <c r="T96" s="2">
        <f>T8/'Output-Calculation-sheet'!T7*'Output-Calculation-sheet'!T79</f>
        <v>553442456.21683657</v>
      </c>
      <c r="U96" s="2">
        <f>U8/'Output-Calculation-sheet'!U7*'Output-Calculation-sheet'!U79</f>
        <v>357506785.97518772</v>
      </c>
      <c r="V96" s="2">
        <f>V8/'Output-Calculation-sheet'!V7*'Output-Calculation-sheet'!V79</f>
        <v>212768357.68643177</v>
      </c>
      <c r="W96" s="2">
        <f>W8/'Output-Calculation-sheet'!W7*'Output-Calculation-sheet'!W79</f>
        <v>586640728.19763255</v>
      </c>
      <c r="X96" s="2">
        <f>X8/'Output-Calculation-sheet'!X7*'Output-Calculation-sheet'!X79</f>
        <v>163012792.22160262</v>
      </c>
      <c r="Y96" s="2">
        <f>Y8/'Output-Calculation-sheet'!Y7*'Output-Calculation-sheet'!Y79</f>
        <v>313143119.69956386</v>
      </c>
      <c r="AA96" s="2">
        <f t="shared" si="8"/>
        <v>54.056629811405465</v>
      </c>
    </row>
    <row r="97" spans="1:27" x14ac:dyDescent="0.25">
      <c r="A97" s="2">
        <v>2032</v>
      </c>
      <c r="B97" s="2">
        <f>B9/'Output-Calculation-sheet'!B8*'Output-Calculation-sheet'!B80</f>
        <v>13246002119.864473</v>
      </c>
      <c r="C97" s="2">
        <f>C9/'Output-Calculation-sheet'!C8*'Output-Calculation-sheet'!C80</f>
        <v>1261160896.3734522</v>
      </c>
      <c r="D97" s="2">
        <f>D9/'Output-Calculation-sheet'!D8*'Output-Calculation-sheet'!D80</f>
        <v>3084365088.2318501</v>
      </c>
      <c r="E97" s="2">
        <f>E9/'Output-Calculation-sheet'!E8*'Output-Calculation-sheet'!E80</f>
        <v>12465881770.425474</v>
      </c>
      <c r="F97" s="2">
        <f>F9/'Output-Calculation-sheet'!F8*'Output-Calculation-sheet'!F80</f>
        <v>3567097895.8462772</v>
      </c>
      <c r="G97" s="2">
        <f>G9/'Output-Calculation-sheet'!G8*'Output-Calculation-sheet'!G80</f>
        <v>2112041214.6198401</v>
      </c>
      <c r="H97" s="2">
        <f>H9/'Output-Calculation-sheet'!H8*'Output-Calculation-sheet'!H80</f>
        <v>1893601471.6469085</v>
      </c>
      <c r="I97" s="2">
        <f>I9/'Output-Calculation-sheet'!I8*'Output-Calculation-sheet'!I80</f>
        <v>1590165534.2158349</v>
      </c>
      <c r="J97" s="2">
        <f>J9/'Output-Calculation-sheet'!J8*'Output-Calculation-sheet'!J80</f>
        <v>1274327613.3533037</v>
      </c>
      <c r="K97" s="2">
        <f>K9/'Output-Calculation-sheet'!K8*'Output-Calculation-sheet'!K80</f>
        <v>1531079632.8241789</v>
      </c>
      <c r="L97" s="2">
        <f>L9/'Output-Calculation-sheet'!L8*'Output-Calculation-sheet'!L80</f>
        <v>1569024549.6164343</v>
      </c>
      <c r="M97" s="2">
        <f>M9/'Output-Calculation-sheet'!M8*'Output-Calculation-sheet'!M80</f>
        <v>2173972353.6435423</v>
      </c>
      <c r="N97" s="2">
        <f>N9/'Output-Calculation-sheet'!N8*'Output-Calculation-sheet'!N80</f>
        <v>1366576711.5252247</v>
      </c>
      <c r="O97" s="2">
        <f>O9/'Output-Calculation-sheet'!O8*'Output-Calculation-sheet'!O80</f>
        <v>164245831.20402241</v>
      </c>
      <c r="P97" s="2">
        <f>P9/'Output-Calculation-sheet'!P8*'Output-Calculation-sheet'!P80</f>
        <v>2354707518.6638861</v>
      </c>
      <c r="Q97" s="2">
        <f>Q9/'Output-Calculation-sheet'!Q8*'Output-Calculation-sheet'!Q80</f>
        <v>1000940514.8235625</v>
      </c>
      <c r="R97" s="2">
        <f>R9/'Output-Calculation-sheet'!R8*'Output-Calculation-sheet'!R80</f>
        <v>1578173754.1897764</v>
      </c>
      <c r="S97" s="2">
        <f>S9/'Output-Calculation-sheet'!S8*'Output-Calculation-sheet'!S80</f>
        <v>626415138.18127334</v>
      </c>
      <c r="T97" s="2">
        <f>T9/'Output-Calculation-sheet'!T8*'Output-Calculation-sheet'!T80</f>
        <v>529322980.79896402</v>
      </c>
      <c r="U97" s="2">
        <f>U9/'Output-Calculation-sheet'!U8*'Output-Calculation-sheet'!U80</f>
        <v>348145347.04756361</v>
      </c>
      <c r="V97" s="2">
        <f>V9/'Output-Calculation-sheet'!V8*'Output-Calculation-sheet'!V80</f>
        <v>206254427.48817712</v>
      </c>
      <c r="W97" s="2">
        <f>W9/'Output-Calculation-sheet'!W8*'Output-Calculation-sheet'!W80</f>
        <v>572870874.86947894</v>
      </c>
      <c r="X97" s="2">
        <f>X9/'Output-Calculation-sheet'!X8*'Output-Calculation-sheet'!X80</f>
        <v>227231782.29401851</v>
      </c>
      <c r="Y97" s="2">
        <f>Y9/'Output-Calculation-sheet'!Y8*'Output-Calculation-sheet'!Y80</f>
        <v>312844683.08229047</v>
      </c>
      <c r="AA97" s="2">
        <f t="shared" si="8"/>
        <v>55.056449704829802</v>
      </c>
    </row>
    <row r="98" spans="1:27" x14ac:dyDescent="0.25">
      <c r="A98" s="2">
        <v>2033</v>
      </c>
      <c r="B98" s="2">
        <f>B10/'Output-Calculation-sheet'!B9*'Output-Calculation-sheet'!B81</f>
        <v>12850108327.919178</v>
      </c>
      <c r="C98" s="2">
        <f>C10/'Output-Calculation-sheet'!C9*'Output-Calculation-sheet'!C81</f>
        <v>1198895062.2405732</v>
      </c>
      <c r="D98" s="2">
        <f>D10/'Output-Calculation-sheet'!D9*'Output-Calculation-sheet'!D81</f>
        <v>2718019233.9582973</v>
      </c>
      <c r="E98" s="2">
        <f>E10/'Output-Calculation-sheet'!E9*'Output-Calculation-sheet'!E81</f>
        <v>12332146779.127327</v>
      </c>
      <c r="F98" s="2">
        <f>F10/'Output-Calculation-sheet'!F9*'Output-Calculation-sheet'!F81</f>
        <v>3303464425.391449</v>
      </c>
      <c r="G98" s="2">
        <f>G10/'Output-Calculation-sheet'!G9*'Output-Calculation-sheet'!G81</f>
        <v>1870563947.1155388</v>
      </c>
      <c r="H98" s="2">
        <f>H10/'Output-Calculation-sheet'!H9*'Output-Calculation-sheet'!H81</f>
        <v>2427947030.3087106</v>
      </c>
      <c r="I98" s="2">
        <f>I10/'Output-Calculation-sheet'!I9*'Output-Calculation-sheet'!I81</f>
        <v>1479734601.7880163</v>
      </c>
      <c r="J98" s="2">
        <f>J10/'Output-Calculation-sheet'!J9*'Output-Calculation-sheet'!J81</f>
        <v>1170045056.1872818</v>
      </c>
      <c r="K98" s="2">
        <f>K10/'Output-Calculation-sheet'!K9*'Output-Calculation-sheet'!K81</f>
        <v>1387959296.4329841</v>
      </c>
      <c r="L98" s="2">
        <f>L10/'Output-Calculation-sheet'!L9*'Output-Calculation-sheet'!L81</f>
        <v>1502670804.9964905</v>
      </c>
      <c r="M98" s="2">
        <f>M10/'Output-Calculation-sheet'!M9*'Output-Calculation-sheet'!M81</f>
        <v>2103571932.8264613</v>
      </c>
      <c r="N98" s="2">
        <f>N10/'Output-Calculation-sheet'!N9*'Output-Calculation-sheet'!N81</f>
        <v>1294504896.7690496</v>
      </c>
      <c r="O98" s="2">
        <f>O10/'Output-Calculation-sheet'!O9*'Output-Calculation-sheet'!O81</f>
        <v>154174740.23858643</v>
      </c>
      <c r="P98" s="2">
        <f>P10/'Output-Calculation-sheet'!P9*'Output-Calculation-sheet'!P81</f>
        <v>2169281596.4609962</v>
      </c>
      <c r="Q98" s="2">
        <f>Q10/'Output-Calculation-sheet'!Q9*'Output-Calculation-sheet'!Q81</f>
        <v>948389656.51823986</v>
      </c>
      <c r="R98" s="2">
        <f>R10/'Output-Calculation-sheet'!R9*'Output-Calculation-sheet'!R81</f>
        <v>1484869942.6746383</v>
      </c>
      <c r="S98" s="2">
        <f>S10/'Output-Calculation-sheet'!S9*'Output-Calculation-sheet'!S81</f>
        <v>610448570.43736207</v>
      </c>
      <c r="T98" s="2">
        <f>T10/'Output-Calculation-sheet'!T9*'Output-Calculation-sheet'!T81</f>
        <v>476639102.89576375</v>
      </c>
      <c r="U98" s="2">
        <f>U10/'Output-Calculation-sheet'!U9*'Output-Calculation-sheet'!U81</f>
        <v>316867908.11696541</v>
      </c>
      <c r="V98" s="2">
        <f>V10/'Output-Calculation-sheet'!V9*'Output-Calculation-sheet'!V81</f>
        <v>187572342.98901865</v>
      </c>
      <c r="W98" s="2">
        <f>W10/'Output-Calculation-sheet'!W9*'Output-Calculation-sheet'!W81</f>
        <v>521356454.48448455</v>
      </c>
      <c r="X98" s="2">
        <f>X10/'Output-Calculation-sheet'!X9*'Output-Calculation-sheet'!X81</f>
        <v>226654846.87417904</v>
      </c>
      <c r="Y98" s="2">
        <f>Y10/'Output-Calculation-sheet'!Y9*'Output-Calculation-sheet'!Y81</f>
        <v>293399407.01746863</v>
      </c>
      <c r="AA98" s="2">
        <f t="shared" si="8"/>
        <v>53.029285963769063</v>
      </c>
    </row>
    <row r="99" spans="1:27" x14ac:dyDescent="0.25">
      <c r="A99" s="2">
        <v>2034</v>
      </c>
      <c r="B99" s="2">
        <f>B11/'Output-Calculation-sheet'!B10*'Output-Calculation-sheet'!B82</f>
        <v>11989029301.644878</v>
      </c>
      <c r="C99" s="2">
        <f>C11/'Output-Calculation-sheet'!C10*'Output-Calculation-sheet'!C82</f>
        <v>1077918491.7573464</v>
      </c>
      <c r="D99" s="2">
        <f>D11/'Output-Calculation-sheet'!D10*'Output-Calculation-sheet'!D82</f>
        <v>2263756032.9087138</v>
      </c>
      <c r="E99" s="2">
        <f>E11/'Output-Calculation-sheet'!E10*'Output-Calculation-sheet'!E82</f>
        <v>11490006510.192228</v>
      </c>
      <c r="F99" s="2">
        <f>F11/'Output-Calculation-sheet'!F10*'Output-Calculation-sheet'!F82</f>
        <v>2887166090.8139963</v>
      </c>
      <c r="G99" s="2">
        <f>G11/'Output-Calculation-sheet'!G10*'Output-Calculation-sheet'!G82</f>
        <v>1561550968.0801377</v>
      </c>
      <c r="H99" s="2">
        <f>H11/'Output-Calculation-sheet'!H10*'Output-Calculation-sheet'!H82</f>
        <v>2177751686.6361637</v>
      </c>
      <c r="I99" s="2">
        <f>I11/'Output-Calculation-sheet'!I10*'Output-Calculation-sheet'!I82</f>
        <v>1303157585.518754</v>
      </c>
      <c r="J99" s="2">
        <f>J11/'Output-Calculation-sheet'!J10*'Output-Calculation-sheet'!J82</f>
        <v>1016385426.6381526</v>
      </c>
      <c r="K99" s="2">
        <f>K11/'Output-Calculation-sheet'!K10*'Output-Calculation-sheet'!K82</f>
        <v>1183679502.4302523</v>
      </c>
      <c r="L99" s="2">
        <f>L11/'Output-Calculation-sheet'!L10*'Output-Calculation-sheet'!L82</f>
        <v>1361265895.9860208</v>
      </c>
      <c r="M99" s="2">
        <f>M11/'Output-Calculation-sheet'!M10*'Output-Calculation-sheet'!M82</f>
        <v>1930893037.170177</v>
      </c>
      <c r="N99" s="2">
        <f>N11/'Output-Calculation-sheet'!N10*'Output-Calculation-sheet'!N82</f>
        <v>1155740925.1927614</v>
      </c>
      <c r="O99" s="2">
        <f>O11/'Output-Calculation-sheet'!O10*'Output-Calculation-sheet'!O82</f>
        <v>136905133.45950317</v>
      </c>
      <c r="P99" s="2">
        <f>P11/'Output-Calculation-sheet'!P10*'Output-Calculation-sheet'!P82</f>
        <v>1868634772.7827415</v>
      </c>
      <c r="Q99" s="2">
        <f>Q11/'Output-Calculation-sheet'!Q10*'Output-Calculation-sheet'!Q82</f>
        <v>852222056.42227495</v>
      </c>
      <c r="R99" s="2">
        <f>R11/'Output-Calculation-sheet'!R10*'Output-Calculation-sheet'!R82</f>
        <v>1317506076.6699553</v>
      </c>
      <c r="S99" s="2">
        <f>S11/'Output-Calculation-sheet'!S10*'Output-Calculation-sheet'!S82</f>
        <v>567315539.25640821</v>
      </c>
      <c r="T99" s="2">
        <f>T11/'Output-Calculation-sheet'!T10*'Output-Calculation-sheet'!T82</f>
        <v>403975911.5767206</v>
      </c>
      <c r="U99" s="2">
        <f>U11/'Output-Calculation-sheet'!U10*'Output-Calculation-sheet'!U82</f>
        <v>272363003.23247504</v>
      </c>
      <c r="V99" s="2">
        <f>V11/'Output-Calculation-sheet'!V10*'Output-Calculation-sheet'!V82</f>
        <v>161300460.31476417</v>
      </c>
      <c r="W99" s="2">
        <f>W11/'Output-Calculation-sheet'!W10*'Output-Calculation-sheet'!W82</f>
        <v>446744007.66743875</v>
      </c>
      <c r="X99" s="2">
        <f>X11/'Output-Calculation-sheet'!X10*'Output-Calculation-sheet'!X82</f>
        <v>214207207.8644948</v>
      </c>
      <c r="Y99" s="2">
        <f>Y11/'Output-Calculation-sheet'!Y10*'Output-Calculation-sheet'!Y82</f>
        <v>258444540.94976804</v>
      </c>
      <c r="AA99" s="2">
        <f t="shared" si="8"/>
        <v>47.89792016516612</v>
      </c>
    </row>
    <row r="100" spans="1:27" x14ac:dyDescent="0.25">
      <c r="A100" s="2">
        <v>2035</v>
      </c>
      <c r="B100" s="2">
        <f>B12/'Output-Calculation-sheet'!B11*'Output-Calculation-sheet'!B83</f>
        <v>10526853831.514181</v>
      </c>
      <c r="C100" s="2">
        <f>C12/'Output-Calculation-sheet'!C11*'Output-Calculation-sheet'!C83</f>
        <v>946772241.38308561</v>
      </c>
      <c r="D100" s="2">
        <f>D12/'Output-Calculation-sheet'!D11*'Output-Calculation-sheet'!D83</f>
        <v>1789025838.7949858</v>
      </c>
      <c r="E100" s="2">
        <f>E12/'Output-Calculation-sheet'!E11*'Output-Calculation-sheet'!E83</f>
        <v>10127531803.03091</v>
      </c>
      <c r="F100" s="2">
        <f>F12/'Output-Calculation-sheet'!F11*'Output-Calculation-sheet'!F83</f>
        <v>2385028983.917316</v>
      </c>
      <c r="G100" s="2">
        <f>G12/'Output-Calculation-sheet'!G11*'Output-Calculation-sheet'!G83</f>
        <v>1231008613.0091889</v>
      </c>
      <c r="H100" s="2">
        <f>H12/'Output-Calculation-sheet'!H11*'Output-Calculation-sheet'!H83</f>
        <v>1837664253.5364332</v>
      </c>
      <c r="I100" s="2">
        <f>I12/'Output-Calculation-sheet'!I11*'Output-Calculation-sheet'!I83</f>
        <v>1084280654.6343701</v>
      </c>
      <c r="J100" s="2">
        <f>J12/'Output-Calculation-sheet'!J11*'Output-Calculation-sheet'!J83</f>
        <v>835423629.7031157</v>
      </c>
      <c r="K100" s="2">
        <f>K12/'Output-Calculation-sheet'!K11*'Output-Calculation-sheet'!K83</f>
        <v>953294998.34651172</v>
      </c>
      <c r="L100" s="2">
        <f>L12/'Output-Calculation-sheet'!L11*'Output-Calculation-sheet'!L83</f>
        <v>1167382762.1246533</v>
      </c>
      <c r="M100" s="2">
        <f>M12/'Output-Calculation-sheet'!M11*'Output-Calculation-sheet'!M83</f>
        <v>1672776854.0782118</v>
      </c>
      <c r="N100" s="2">
        <f>N12/'Output-Calculation-sheet'!N11*'Output-Calculation-sheet'!N83</f>
        <v>977991613.5141865</v>
      </c>
      <c r="O100" s="2">
        <f>O12/'Output-Calculation-sheet'!O11*'Output-Calculation-sheet'!O83</f>
        <v>125669131.21996436</v>
      </c>
      <c r="P100" s="2">
        <f>P12/'Output-Calculation-sheet'!P11*'Output-Calculation-sheet'!P83</f>
        <v>1501881795.0839849</v>
      </c>
      <c r="Q100" s="2">
        <f>Q12/'Output-Calculation-sheet'!Q11*'Output-Calculation-sheet'!Q83</f>
        <v>726157328.75360274</v>
      </c>
      <c r="R100" s="2">
        <f>R12/'Output-Calculation-sheet'!R11*'Output-Calculation-sheet'!R83</f>
        <v>1103437612.8145831</v>
      </c>
      <c r="S100" s="2">
        <f>S12/'Output-Calculation-sheet'!S11*'Output-Calculation-sheet'!S83</f>
        <v>494224486.06211567</v>
      </c>
      <c r="T100" s="2">
        <f>T12/'Output-Calculation-sheet'!T11*'Output-Calculation-sheet'!T83</f>
        <v>323674887.11121994</v>
      </c>
      <c r="U100" s="2">
        <f>U12/'Output-Calculation-sheet'!U11*'Output-Calculation-sheet'!U83</f>
        <v>220301845.9291217</v>
      </c>
      <c r="V100" s="2">
        <f>V12/'Output-Calculation-sheet'!V11*'Output-Calculation-sheet'!V83</f>
        <v>130957076.77757184</v>
      </c>
      <c r="W100" s="2">
        <f>W12/'Output-Calculation-sheet'!W11*'Output-Calculation-sheet'!W83</f>
        <v>359474532.77665883</v>
      </c>
      <c r="X100" s="2">
        <f>X12/'Output-Calculation-sheet'!X11*'Output-Calculation-sheet'!X83</f>
        <v>191763143.27646214</v>
      </c>
      <c r="Y100" s="2">
        <f>Y12/'Output-Calculation-sheet'!Y11*'Output-Calculation-sheet'!Y83</f>
        <v>214666661.25916162</v>
      </c>
      <c r="AA100" s="2">
        <f t="shared" si="8"/>
        <v>40.927244578651596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6442.9720634693304</v>
      </c>
      <c r="C19" s="2">
        <f>C8/'Output-Calculation-sheet'!C7*'Output-Calculation-sheet'!C25</f>
        <v>9731.1064450666363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5222.5761275638679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1061.7229534562834</v>
      </c>
      <c r="M19" s="2">
        <f>M8/'Output-Calculation-sheet'!M7*'Output-Calculation-sheet'!M25</f>
        <v>6888.2902558449723</v>
      </c>
      <c r="N19" s="2">
        <f>N8/'Output-Calculation-sheet'!N7*'Output-Calculation-sheet'!N25</f>
        <v>3516.7184241004561</v>
      </c>
      <c r="O19" s="2">
        <f>O8/'Output-Calculation-sheet'!O7*'Output-Calculation-sheet'!O25</f>
        <v>1900.8349935402307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672.42501979698181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478.9828738423775</v>
      </c>
      <c r="Y19" s="2">
        <f>Y8/'Output-Calculation-sheet'!Y7*'Output-Calculation-sheet'!Y25</f>
        <v>0</v>
      </c>
      <c r="AA19" s="2">
        <f t="shared" si="0"/>
        <v>35.915629156681135</v>
      </c>
    </row>
    <row r="20" spans="1:27" x14ac:dyDescent="0.25">
      <c r="A20" s="2">
        <v>2032</v>
      </c>
      <c r="B20" s="2">
        <f>B9/'Output-Calculation-sheet'!B8*'Output-Calculation-sheet'!B26</f>
        <v>9259.2739474087721</v>
      </c>
      <c r="C20" s="2">
        <f>C9/'Output-Calculation-sheet'!C8*'Output-Calculation-sheet'!C26</f>
        <v>11469.790224431186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7554.1927944548625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1312.6541361247496</v>
      </c>
      <c r="M20" s="2">
        <f>M9/'Output-Calculation-sheet'!M8*'Output-Calculation-sheet'!M26</f>
        <v>7988.2961169023738</v>
      </c>
      <c r="N20" s="2">
        <f>N9/'Output-Calculation-sheet'!N8*'Output-Calculation-sheet'!N26</f>
        <v>4499.1518001304148</v>
      </c>
      <c r="O20" s="2">
        <f>O9/'Output-Calculation-sheet'!O8*'Output-Calculation-sheet'!O26</f>
        <v>2238.4766950944704</v>
      </c>
      <c r="P20" s="2">
        <f>P9/'Output-Calculation-sheet'!P8*'Output-Calculation-sheet'!P26</f>
        <v>0</v>
      </c>
      <c r="Q20" s="2">
        <f>Q9/'Output-Calculation-sheet'!Q8*'Output-Calculation-sheet'!Q26</f>
        <v>135.28818410215146</v>
      </c>
      <c r="R20" s="2">
        <f>R9/'Output-Calculation-sheet'!R8*'Output-Calculation-sheet'!R26</f>
        <v>0</v>
      </c>
      <c r="S20" s="2">
        <f>S9/'Output-Calculation-sheet'!S8*'Output-Calculation-sheet'!S26</f>
        <v>955.24698267088957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738.56375075781875</v>
      </c>
      <c r="Y20" s="2">
        <f>Y9/'Output-Calculation-sheet'!Y8*'Output-Calculation-sheet'!Y26</f>
        <v>0</v>
      </c>
      <c r="AA20" s="2">
        <f t="shared" si="0"/>
        <v>46.150934632077693</v>
      </c>
    </row>
    <row r="21" spans="1:27" x14ac:dyDescent="0.25">
      <c r="A21" s="2">
        <v>2033</v>
      </c>
      <c r="B21" s="2">
        <f>B10/'Output-Calculation-sheet'!B9*'Output-Calculation-sheet'!B27</f>
        <v>13091.068261984479</v>
      </c>
      <c r="C21" s="2">
        <f>C10/'Output-Calculation-sheet'!C9*'Output-Calculation-sheet'!C27</f>
        <v>13138.791951697309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11518.682395816762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1599.1078878999119</v>
      </c>
      <c r="M21" s="2">
        <f>M10/'Output-Calculation-sheet'!M9*'Output-Calculation-sheet'!M27</f>
        <v>8965.398384391845</v>
      </c>
      <c r="N21" s="2">
        <f>N10/'Output-Calculation-sheet'!N9*'Output-Calculation-sheet'!N27</f>
        <v>5225.3272819722361</v>
      </c>
      <c r="O21" s="2">
        <f>O10/'Output-Calculation-sheet'!O9*'Output-Calculation-sheet'!O27</f>
        <v>2556.3702969946316</v>
      </c>
      <c r="P21" s="2">
        <f>P10/'Output-Calculation-sheet'!P9*'Output-Calculation-sheet'!P27</f>
        <v>0</v>
      </c>
      <c r="Q21" s="2">
        <f>Q10/'Output-Calculation-sheet'!Q9*'Output-Calculation-sheet'!Q27</f>
        <v>389.37192244901598</v>
      </c>
      <c r="R21" s="2">
        <f>R10/'Output-Calculation-sheet'!R9*'Output-Calculation-sheet'!R27</f>
        <v>0</v>
      </c>
      <c r="S21" s="2">
        <f>S10/'Output-Calculation-sheet'!S9*'Output-Calculation-sheet'!S27</f>
        <v>1327.32943524795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836.53291250230029</v>
      </c>
      <c r="Y21" s="2">
        <f>Y10/'Output-Calculation-sheet'!Y9*'Output-Calculation-sheet'!Y27</f>
        <v>0</v>
      </c>
      <c r="AA21" s="2">
        <f t="shared" si="0"/>
        <v>58.647980730956426</v>
      </c>
    </row>
    <row r="22" spans="1:27" x14ac:dyDescent="0.25">
      <c r="A22" s="2">
        <v>2034</v>
      </c>
      <c r="B22" s="2">
        <f>B11/'Output-Calculation-sheet'!B10*'Output-Calculation-sheet'!B28</f>
        <v>18079.913251891732</v>
      </c>
      <c r="C22" s="2">
        <f>C11/'Output-Calculation-sheet'!C10*'Output-Calculation-sheet'!C28</f>
        <v>14743.37530727416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12811.578733880633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1887.5669035653605</v>
      </c>
      <c r="M22" s="2">
        <f>M11/'Output-Calculation-sheet'!M10*'Output-Calculation-sheet'!M28</f>
        <v>9955.2486435219398</v>
      </c>
      <c r="N22" s="2">
        <f>N11/'Output-Calculation-sheet'!N10*'Output-Calculation-sheet'!N28</f>
        <v>5971.2687086685401</v>
      </c>
      <c r="O22" s="2">
        <f>O11/'Output-Calculation-sheet'!O10*'Output-Calculation-sheet'!O28</f>
        <v>2851.3022092476785</v>
      </c>
      <c r="P22" s="2">
        <f>P11/'Output-Calculation-sheet'!P10*'Output-Calculation-sheet'!P28</f>
        <v>0</v>
      </c>
      <c r="Q22" s="2">
        <f>Q11/'Output-Calculation-sheet'!Q10*'Output-Calculation-sheet'!Q28</f>
        <v>818.52817166550119</v>
      </c>
      <c r="R22" s="2">
        <f>R11/'Output-Calculation-sheet'!R10*'Output-Calculation-sheet'!R28</f>
        <v>0</v>
      </c>
      <c r="S22" s="2">
        <f>S11/'Output-Calculation-sheet'!S10*'Output-Calculation-sheet'!S28</f>
        <v>1749.3282053263251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930.97931176191821</v>
      </c>
      <c r="Y22" s="2">
        <f>Y11/'Output-Calculation-sheet'!Y10*'Output-Calculation-sheet'!Y28</f>
        <v>0</v>
      </c>
      <c r="AA22" s="2">
        <f t="shared" si="0"/>
        <v>69.799089446803791</v>
      </c>
    </row>
    <row r="23" spans="1:27" x14ac:dyDescent="0.25">
      <c r="A23" s="2">
        <v>2035</v>
      </c>
      <c r="B23" s="2">
        <f>B12/'Output-Calculation-sheet'!B11*'Output-Calculation-sheet'!B29</f>
        <v>23821.509518836472</v>
      </c>
      <c r="C23" s="2">
        <f>C12/'Output-Calculation-sheet'!C11*'Output-Calculation-sheet'!C29</f>
        <v>16699.495629500128</v>
      </c>
      <c r="D23" s="2">
        <f>D12/'Output-Calculation-sheet'!D11*'Output-Calculation-sheet'!D29</f>
        <v>0</v>
      </c>
      <c r="E23" s="2">
        <f>E12/'Output-Calculation-sheet'!E11*'Output-Calculation-sheet'!E29</f>
        <v>218.30413113153929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13945.112508007331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2198.2942191985326</v>
      </c>
      <c r="M23" s="2">
        <f>M12/'Output-Calculation-sheet'!M11*'Output-Calculation-sheet'!M29</f>
        <v>10845.487934270912</v>
      </c>
      <c r="N23" s="2">
        <f>N12/'Output-Calculation-sheet'!N11*'Output-Calculation-sheet'!N29</f>
        <v>6657.3142435934878</v>
      </c>
      <c r="O23" s="2">
        <f>O12/'Output-Calculation-sheet'!O11*'Output-Calculation-sheet'!O29</f>
        <v>3386.673392679817</v>
      </c>
      <c r="P23" s="2">
        <f>P12/'Output-Calculation-sheet'!P11*'Output-Calculation-sheet'!P29</f>
        <v>0</v>
      </c>
      <c r="Q23" s="2">
        <f>Q12/'Output-Calculation-sheet'!Q11*'Output-Calculation-sheet'!Q29</f>
        <v>1309.091996698002</v>
      </c>
      <c r="R23" s="2">
        <f>R12/'Output-Calculation-sheet'!R11*'Output-Calculation-sheet'!R29</f>
        <v>0</v>
      </c>
      <c r="S23" s="2">
        <f>S12/'Output-Calculation-sheet'!S11*'Output-Calculation-sheet'!S29</f>
        <v>2218.6661909132727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1025.1998293687307</v>
      </c>
      <c r="Y23" s="2">
        <f>Y12/'Output-Calculation-sheet'!Y11*'Output-Calculation-sheet'!Y29</f>
        <v>0</v>
      </c>
      <c r="AA23" s="2">
        <f t="shared" si="0"/>
        <v>82.325149594198223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30831.57976014294</v>
      </c>
      <c r="C30" s="2">
        <f>C8/'Output-Calculation-sheet'!C7*'Output-Calculation-sheet'!C16</f>
        <v>0</v>
      </c>
      <c r="D30" s="2">
        <f>D8/'Output-Calculation-sheet'!D7*'Output-Calculation-sheet'!D16</f>
        <v>8426.9923825932401</v>
      </c>
      <c r="E30" s="2">
        <f>E8/'Output-Calculation-sheet'!E7*'Output-Calculation-sheet'!E16</f>
        <v>10289.966978630464</v>
      </c>
      <c r="F30" s="2">
        <f>F8/'Output-Calculation-sheet'!F7*'Output-Calculation-sheet'!F16</f>
        <v>4628.1322528384289</v>
      </c>
      <c r="G30" s="2">
        <f>G8/'Output-Calculation-sheet'!G7*'Output-Calculation-sheet'!G16</f>
        <v>2665.0406104589683</v>
      </c>
      <c r="H30" s="2">
        <f>H8/'Output-Calculation-sheet'!H7*'Output-Calculation-sheet'!H16</f>
        <v>0</v>
      </c>
      <c r="I30" s="2">
        <f>I8/'Output-Calculation-sheet'!I7*'Output-Calculation-sheet'!I16</f>
        <v>2827.8421310683261</v>
      </c>
      <c r="J30" s="2">
        <f>J8/'Output-Calculation-sheet'!J7*'Output-Calculation-sheet'!J16</f>
        <v>2875.911963932906</v>
      </c>
      <c r="K30" s="2">
        <f>K8/'Output-Calculation-sheet'!K7*'Output-Calculation-sheet'!K16</f>
        <v>3747.2901373707668</v>
      </c>
      <c r="L30" s="2">
        <f>L8/'Output-Calculation-sheet'!L7*'Output-Calculation-sheet'!L16</f>
        <v>3405.139484517118</v>
      </c>
      <c r="M30" s="2">
        <f>M8/'Output-Calculation-sheet'!M7*'Output-Calculation-sheet'!M16</f>
        <v>0</v>
      </c>
      <c r="N30" s="2">
        <f>N8/'Output-Calculation-sheet'!N7*'Output-Calculation-sheet'!N16</f>
        <v>2010.5277451943605</v>
      </c>
      <c r="O30" s="2">
        <f>O8/'Output-Calculation-sheet'!O7*'Output-Calculation-sheet'!O16</f>
        <v>0</v>
      </c>
      <c r="P30" s="2">
        <f>P8/'Output-Calculation-sheet'!P7*'Output-Calculation-sheet'!P16</f>
        <v>3025.9187151255765</v>
      </c>
      <c r="Q30" s="2">
        <f>Q8/'Output-Calculation-sheet'!Q7*'Output-Calculation-sheet'!Q16</f>
        <v>3374.7159813349444</v>
      </c>
      <c r="R30" s="2">
        <f>R8/'Output-Calculation-sheet'!R7*'Output-Calculation-sheet'!R16</f>
        <v>2753.0538172248389</v>
      </c>
      <c r="S30" s="2">
        <f>S8/'Output-Calculation-sheet'!S7*'Output-Calculation-sheet'!S16</f>
        <v>1481.9226786612928</v>
      </c>
      <c r="T30" s="2">
        <f>T8/'Output-Calculation-sheet'!T7*'Output-Calculation-sheet'!T16</f>
        <v>873.07377530352323</v>
      </c>
      <c r="U30" s="2">
        <f>U8/'Output-Calculation-sheet'!U7*'Output-Calculation-sheet'!U16</f>
        <v>698.8797720668083</v>
      </c>
      <c r="V30" s="2">
        <f>V8/'Output-Calculation-sheet'!V7*'Output-Calculation-sheet'!V16</f>
        <v>822.894326603987</v>
      </c>
      <c r="W30" s="2">
        <f>W8/'Output-Calculation-sheet'!W7*'Output-Calculation-sheet'!W16</f>
        <v>379.73377383025331</v>
      </c>
      <c r="X30" s="2">
        <f>X8/'Output-Calculation-sheet'!X7*'Output-Calculation-sheet'!X16</f>
        <v>0</v>
      </c>
      <c r="Y30" s="2">
        <f>Y8/'Output-Calculation-sheet'!Y7*'Output-Calculation-sheet'!Y16</f>
        <v>292.00836542224903</v>
      </c>
      <c r="AA30" s="2">
        <f t="shared" si="1"/>
        <v>85.410624652321005</v>
      </c>
    </row>
    <row r="31" spans="1:27" x14ac:dyDescent="0.25">
      <c r="A31" s="2">
        <v>2032</v>
      </c>
      <c r="B31" s="2">
        <f>B9/'Output-Calculation-sheet'!B8*'Output-Calculation-sheet'!B17</f>
        <v>34710.29826685138</v>
      </c>
      <c r="C31" s="2">
        <f>C9/'Output-Calculation-sheet'!C8*'Output-Calculation-sheet'!C17</f>
        <v>0</v>
      </c>
      <c r="D31" s="2">
        <f>D9/'Output-Calculation-sheet'!D8*'Output-Calculation-sheet'!D17</f>
        <v>9655.5654185198164</v>
      </c>
      <c r="E31" s="2">
        <f>E9/'Output-Calculation-sheet'!E8*'Output-Calculation-sheet'!E17</f>
        <v>11845.790611098864</v>
      </c>
      <c r="F31" s="2">
        <f>F9/'Output-Calculation-sheet'!F8*'Output-Calculation-sheet'!F17</f>
        <v>5335.3315917853997</v>
      </c>
      <c r="G31" s="2">
        <f>G9/'Output-Calculation-sheet'!G8*'Output-Calculation-sheet'!G17</f>
        <v>3070.8654358483677</v>
      </c>
      <c r="H31" s="2">
        <f>H9/'Output-Calculation-sheet'!H8*'Output-Calculation-sheet'!H17</f>
        <v>0</v>
      </c>
      <c r="I31" s="2">
        <f>I9/'Output-Calculation-sheet'!I8*'Output-Calculation-sheet'!I17</f>
        <v>3255.4920450102377</v>
      </c>
      <c r="J31" s="2">
        <f>J9/'Output-Calculation-sheet'!J8*'Output-Calculation-sheet'!J17</f>
        <v>3302.977870748306</v>
      </c>
      <c r="K31" s="2">
        <f>K9/'Output-Calculation-sheet'!K8*'Output-Calculation-sheet'!K17</f>
        <v>4295.8092002302437</v>
      </c>
      <c r="L31" s="2">
        <f>L9/'Output-Calculation-sheet'!L8*'Output-Calculation-sheet'!L17</f>
        <v>3886.060295182785</v>
      </c>
      <c r="M31" s="2">
        <f>M9/'Output-Calculation-sheet'!M8*'Output-Calculation-sheet'!M17</f>
        <v>0</v>
      </c>
      <c r="N31" s="2">
        <f>N9/'Output-Calculation-sheet'!N8*'Output-Calculation-sheet'!N17</f>
        <v>2169.8739635762481</v>
      </c>
      <c r="O31" s="2">
        <f>O9/'Output-Calculation-sheet'!O8*'Output-Calculation-sheet'!O17</f>
        <v>0</v>
      </c>
      <c r="P31" s="2">
        <f>P9/'Output-Calculation-sheet'!P8*'Output-Calculation-sheet'!P17</f>
        <v>3525.5983657946417</v>
      </c>
      <c r="Q31" s="2">
        <f>Q9/'Output-Calculation-sheet'!Q8*'Output-Calculation-sheet'!Q17</f>
        <v>3831.6697794317388</v>
      </c>
      <c r="R31" s="2">
        <f>R9/'Output-Calculation-sheet'!R8*'Output-Calculation-sheet'!R17</f>
        <v>3180.8432803671599</v>
      </c>
      <c r="S31" s="2">
        <f>S9/'Output-Calculation-sheet'!S8*'Output-Calculation-sheet'!S17</f>
        <v>1652.4594284172304</v>
      </c>
      <c r="T31" s="2">
        <f>T9/'Output-Calculation-sheet'!T8*'Output-Calculation-sheet'!T17</f>
        <v>1002.086656580055</v>
      </c>
      <c r="U31" s="2">
        <f>U9/'Output-Calculation-sheet'!U8*'Output-Calculation-sheet'!U17</f>
        <v>805.08379270409307</v>
      </c>
      <c r="V31" s="2">
        <f>V9/'Output-Calculation-sheet'!V8*'Output-Calculation-sheet'!V17</f>
        <v>946.36958160459756</v>
      </c>
      <c r="W31" s="2">
        <f>W9/'Output-Calculation-sheet'!W8*'Output-Calculation-sheet'!W17</f>
        <v>437.72843974821217</v>
      </c>
      <c r="X31" s="2">
        <f>X9/'Output-Calculation-sheet'!X8*'Output-Calculation-sheet'!X17</f>
        <v>0</v>
      </c>
      <c r="Y31" s="2">
        <f>Y9/'Output-Calculation-sheet'!Y8*'Output-Calculation-sheet'!Y17</f>
        <v>336.86027000381682</v>
      </c>
      <c r="AA31" s="2">
        <f t="shared" si="1"/>
        <v>97.246764293503219</v>
      </c>
    </row>
    <row r="32" spans="1:27" x14ac:dyDescent="0.25">
      <c r="A32" s="2">
        <v>2033</v>
      </c>
      <c r="B32" s="2">
        <f>B10/'Output-Calculation-sheet'!B9*'Output-Calculation-sheet'!B18</f>
        <v>37397.448106264441</v>
      </c>
      <c r="C32" s="2">
        <f>C10/'Output-Calculation-sheet'!C9*'Output-Calculation-sheet'!C18</f>
        <v>0</v>
      </c>
      <c r="D32" s="2">
        <f>D10/'Output-Calculation-sheet'!D9*'Output-Calculation-sheet'!D18</f>
        <v>10691.254297645117</v>
      </c>
      <c r="E32" s="2">
        <f>E10/'Output-Calculation-sheet'!E9*'Output-Calculation-sheet'!E18</f>
        <v>13212.916106569284</v>
      </c>
      <c r="F32" s="2">
        <f>F10/'Output-Calculation-sheet'!F9*'Output-Calculation-sheet'!F18</f>
        <v>5943.5120824678033</v>
      </c>
      <c r="G32" s="2">
        <f>G10/'Output-Calculation-sheet'!G9*'Output-Calculation-sheet'!G18</f>
        <v>3419.8593041013073</v>
      </c>
      <c r="H32" s="2">
        <f>H10/'Output-Calculation-sheet'!H9*'Output-Calculation-sheet'!H18</f>
        <v>0</v>
      </c>
      <c r="I32" s="2">
        <f>I10/'Output-Calculation-sheet'!I9*'Output-Calculation-sheet'!I18</f>
        <v>3622.5825643610965</v>
      </c>
      <c r="J32" s="2">
        <f>J10/'Output-Calculation-sheet'!J9*'Output-Calculation-sheet'!J18</f>
        <v>3646.6227484060705</v>
      </c>
      <c r="K32" s="2">
        <f>K10/'Output-Calculation-sheet'!K9*'Output-Calculation-sheet'!K18</f>
        <v>4814.1659615000981</v>
      </c>
      <c r="L32" s="2">
        <f>L10/'Output-Calculation-sheet'!L9*'Output-Calculation-sheet'!L18</f>
        <v>4200.6320314552913</v>
      </c>
      <c r="M32" s="2">
        <f>M10/'Output-Calculation-sheet'!M9*'Output-Calculation-sheet'!M18</f>
        <v>0</v>
      </c>
      <c r="N32" s="2">
        <f>N10/'Output-Calculation-sheet'!N9*'Output-Calculation-sheet'!N18</f>
        <v>2356.4134086734075</v>
      </c>
      <c r="O32" s="2">
        <f>O10/'Output-Calculation-sheet'!O9*'Output-Calculation-sheet'!O18</f>
        <v>0</v>
      </c>
      <c r="P32" s="2">
        <f>P10/'Output-Calculation-sheet'!P9*'Output-Calculation-sheet'!P18</f>
        <v>3961.0184784018938</v>
      </c>
      <c r="Q32" s="2">
        <f>Q10/'Output-Calculation-sheet'!Q9*'Output-Calculation-sheet'!Q18</f>
        <v>4174.9669614582399</v>
      </c>
      <c r="R32" s="2">
        <f>R10/'Output-Calculation-sheet'!R9*'Output-Calculation-sheet'!R18</f>
        <v>3537.8650444133814</v>
      </c>
      <c r="S32" s="2">
        <f>S10/'Output-Calculation-sheet'!S9*'Output-Calculation-sheet'!S18</f>
        <v>1765.6990798564502</v>
      </c>
      <c r="T32" s="2">
        <f>T10/'Output-Calculation-sheet'!T9*'Output-Calculation-sheet'!T18</f>
        <v>1114.3673466635796</v>
      </c>
      <c r="U32" s="2">
        <f>U10/'Output-Calculation-sheet'!U9*'Output-Calculation-sheet'!U18</f>
        <v>893.50394179601074</v>
      </c>
      <c r="V32" s="2">
        <f>V10/'Output-Calculation-sheet'!V9*'Output-Calculation-sheet'!V18</f>
        <v>1039.6361298358299</v>
      </c>
      <c r="W32" s="2">
        <f>W10/'Output-Calculation-sheet'!W9*'Output-Calculation-sheet'!W18</f>
        <v>485.20204510592896</v>
      </c>
      <c r="X32" s="2">
        <f>X10/'Output-Calculation-sheet'!X9*'Output-Calculation-sheet'!X18</f>
        <v>0</v>
      </c>
      <c r="Y32" s="2">
        <f>Y10/'Output-Calculation-sheet'!Y9*'Output-Calculation-sheet'!Y18</f>
        <v>375.32724445599104</v>
      </c>
      <c r="AA32" s="2">
        <f t="shared" si="1"/>
        <v>106.65299288343121</v>
      </c>
    </row>
    <row r="33" spans="1:27" x14ac:dyDescent="0.25">
      <c r="A33" s="2">
        <v>2034</v>
      </c>
      <c r="B33" s="2">
        <f>B11/'Output-Calculation-sheet'!B10*'Output-Calculation-sheet'!B19</f>
        <v>39938.012697424238</v>
      </c>
      <c r="C33" s="2">
        <f>C11/'Output-Calculation-sheet'!C10*'Output-Calculation-sheet'!C19</f>
        <v>0</v>
      </c>
      <c r="D33" s="2">
        <f>D11/'Output-Calculation-sheet'!D10*'Output-Calculation-sheet'!D19</f>
        <v>11558.649109992153</v>
      </c>
      <c r="E33" s="2">
        <f>E11/'Output-Calculation-sheet'!E10*'Output-Calculation-sheet'!E19</f>
        <v>14378.267731109188</v>
      </c>
      <c r="F33" s="2">
        <f>F11/'Output-Calculation-sheet'!F10*'Output-Calculation-sheet'!F19</f>
        <v>6469.7638133777946</v>
      </c>
      <c r="G33" s="2">
        <f>G11/'Output-Calculation-sheet'!G10*'Output-Calculation-sheet'!G19</f>
        <v>3712.0277751247831</v>
      </c>
      <c r="H33" s="2">
        <f>H11/'Output-Calculation-sheet'!H10*'Output-Calculation-sheet'!H19</f>
        <v>0</v>
      </c>
      <c r="I33" s="2">
        <f>I11/'Output-Calculation-sheet'!I10*'Output-Calculation-sheet'!I19</f>
        <v>3947.6346206529679</v>
      </c>
      <c r="J33" s="2">
        <f>J11/'Output-Calculation-sheet'!J10*'Output-Calculation-sheet'!J19</f>
        <v>3950.9598871655899</v>
      </c>
      <c r="K33" s="2">
        <f>K11/'Output-Calculation-sheet'!K10*'Output-Calculation-sheet'!K19</f>
        <v>5188.1635151657974</v>
      </c>
      <c r="L33" s="2">
        <f>L11/'Output-Calculation-sheet'!L10*'Output-Calculation-sheet'!L19</f>
        <v>4457.8320000035355</v>
      </c>
      <c r="M33" s="2">
        <f>M11/'Output-Calculation-sheet'!M10*'Output-Calculation-sheet'!M19</f>
        <v>0</v>
      </c>
      <c r="N33" s="2">
        <f>N11/'Output-Calculation-sheet'!N10*'Output-Calculation-sheet'!N19</f>
        <v>2433.6426486184246</v>
      </c>
      <c r="O33" s="2">
        <f>O11/'Output-Calculation-sheet'!O10*'Output-Calculation-sheet'!O19</f>
        <v>0</v>
      </c>
      <c r="P33" s="2">
        <f>P11/'Output-Calculation-sheet'!P10*'Output-Calculation-sheet'!P19</f>
        <v>4354.5670061404035</v>
      </c>
      <c r="Q33" s="2">
        <f>Q11/'Output-Calculation-sheet'!Q10*'Output-Calculation-sheet'!Q19</f>
        <v>4344.3978621733222</v>
      </c>
      <c r="R33" s="2">
        <f>R11/'Output-Calculation-sheet'!R10*'Output-Calculation-sheet'!R19</f>
        <v>3838.4668045331937</v>
      </c>
      <c r="S33" s="2">
        <f>S11/'Output-Calculation-sheet'!S10*'Output-Calculation-sheet'!S19</f>
        <v>1870.921933872464</v>
      </c>
      <c r="T33" s="2">
        <f>T11/'Output-Calculation-sheet'!T10*'Output-Calculation-sheet'!T19</f>
        <v>1212.6817704788484</v>
      </c>
      <c r="U33" s="2">
        <f>U11/'Output-Calculation-sheet'!U10*'Output-Calculation-sheet'!U19</f>
        <v>978.36992201957003</v>
      </c>
      <c r="V33" s="2">
        <f>V11/'Output-Calculation-sheet'!V10*'Output-Calculation-sheet'!V19</f>
        <v>1122.7548141150533</v>
      </c>
      <c r="W33" s="2">
        <f>W11/'Output-Calculation-sheet'!W10*'Output-Calculation-sheet'!W19</f>
        <v>528.49049716432103</v>
      </c>
      <c r="X33" s="2">
        <f>X11/'Output-Calculation-sheet'!X10*'Output-Calculation-sheet'!X19</f>
        <v>0</v>
      </c>
      <c r="Y33" s="2">
        <f>Y11/'Output-Calculation-sheet'!Y10*'Output-Calculation-sheet'!Y19</f>
        <v>408.65407745779305</v>
      </c>
      <c r="AA33" s="2">
        <f t="shared" si="1"/>
        <v>114.69425848658945</v>
      </c>
    </row>
    <row r="34" spans="1:27" x14ac:dyDescent="0.25">
      <c r="A34" s="2">
        <v>2035</v>
      </c>
      <c r="B34" s="2">
        <f>B12/'Output-Calculation-sheet'!B11*'Output-Calculation-sheet'!B20</f>
        <v>41138.603338485409</v>
      </c>
      <c r="C34" s="2">
        <f>C12/'Output-Calculation-sheet'!C11*'Output-Calculation-sheet'!C20</f>
        <v>0</v>
      </c>
      <c r="D34" s="2">
        <f>D12/'Output-Calculation-sheet'!D11*'Output-Calculation-sheet'!D20</f>
        <v>12400.6667852582</v>
      </c>
      <c r="E34" s="2">
        <f>E12/'Output-Calculation-sheet'!E11*'Output-Calculation-sheet'!E20</f>
        <v>15266.133813289482</v>
      </c>
      <c r="F34" s="2">
        <f>F12/'Output-Calculation-sheet'!F11*'Output-Calculation-sheet'!F20</f>
        <v>6932.3390891878971</v>
      </c>
      <c r="G34" s="2">
        <f>G12/'Output-Calculation-sheet'!G11*'Output-Calculation-sheet'!G20</f>
        <v>3971.9992139777651</v>
      </c>
      <c r="H34" s="2">
        <f>H12/'Output-Calculation-sheet'!H11*'Output-Calculation-sheet'!H20</f>
        <v>0</v>
      </c>
      <c r="I34" s="2">
        <f>I12/'Output-Calculation-sheet'!I11*'Output-Calculation-sheet'!I20</f>
        <v>4237.6696921684061</v>
      </c>
      <c r="J34" s="2">
        <f>J12/'Output-Calculation-sheet'!J11*'Output-Calculation-sheet'!J20</f>
        <v>4218.0349433256852</v>
      </c>
      <c r="K34" s="2">
        <f>K12/'Output-Calculation-sheet'!K11*'Output-Calculation-sheet'!K20</f>
        <v>5538.5798738029516</v>
      </c>
      <c r="L34" s="2">
        <f>L12/'Output-Calculation-sheet'!L11*'Output-Calculation-sheet'!L20</f>
        <v>4692.0278673576267</v>
      </c>
      <c r="M34" s="2">
        <f>M12/'Output-Calculation-sheet'!M11*'Output-Calculation-sheet'!M20</f>
        <v>0</v>
      </c>
      <c r="N34" s="2">
        <f>N12/'Output-Calculation-sheet'!N11*'Output-Calculation-sheet'!N20</f>
        <v>2553.329239074726</v>
      </c>
      <c r="O34" s="2">
        <f>O12/'Output-Calculation-sheet'!O11*'Output-Calculation-sheet'!O20</f>
        <v>0</v>
      </c>
      <c r="P34" s="2">
        <f>P12/'Output-Calculation-sheet'!P11*'Output-Calculation-sheet'!P20</f>
        <v>4676.2297937681642</v>
      </c>
      <c r="Q34" s="2">
        <f>Q12/'Output-Calculation-sheet'!Q11*'Output-Calculation-sheet'!Q20</f>
        <v>4466.7809205167769</v>
      </c>
      <c r="R34" s="2">
        <f>R12/'Output-Calculation-sheet'!R11*'Output-Calculation-sheet'!R20</f>
        <v>4109.2241475977326</v>
      </c>
      <c r="S34" s="2">
        <f>S12/'Output-Calculation-sheet'!S11*'Output-Calculation-sheet'!S20</f>
        <v>1919.2599728329046</v>
      </c>
      <c r="T34" s="2">
        <f>T12/'Output-Calculation-sheet'!T11*'Output-Calculation-sheet'!T20</f>
        <v>1296.960110651572</v>
      </c>
      <c r="U34" s="2">
        <f>U12/'Output-Calculation-sheet'!U11*'Output-Calculation-sheet'!U20</f>
        <v>1044.6752521617207</v>
      </c>
      <c r="V34" s="2">
        <f>V12/'Output-Calculation-sheet'!V11*'Output-Calculation-sheet'!V20</f>
        <v>1199.2807916434256</v>
      </c>
      <c r="W34" s="2">
        <f>W12/'Output-Calculation-sheet'!W11*'Output-Calculation-sheet'!W20</f>
        <v>566.65154011204902</v>
      </c>
      <c r="X34" s="2">
        <f>X12/'Output-Calculation-sheet'!X11*'Output-Calculation-sheet'!X20</f>
        <v>0</v>
      </c>
      <c r="Y34" s="2">
        <f>Y12/'Output-Calculation-sheet'!Y11*'Output-Calculation-sheet'!Y20</f>
        <v>440.0519368155621</v>
      </c>
      <c r="AA34" s="2">
        <f t="shared" si="1"/>
        <v>120.66849832202806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1362.3905684869069</v>
      </c>
      <c r="C52" s="2">
        <f>C8/'Output-Calculation-sheet'!C7*'Output-Calculation-sheet'!C43</f>
        <v>0</v>
      </c>
      <c r="D52" s="2">
        <f>D8/'Output-Calculation-sheet'!D7*'Output-Calculation-sheet'!D43</f>
        <v>2959.4521916393696</v>
      </c>
      <c r="E52" s="2">
        <f>E8/'Output-Calculation-sheet'!E7*'Output-Calculation-sheet'!E43</f>
        <v>2124.364615941287</v>
      </c>
      <c r="F52" s="2">
        <f>F8/'Output-Calculation-sheet'!F7*'Output-Calculation-sheet'!F43</f>
        <v>0</v>
      </c>
      <c r="G52" s="2">
        <f>G8/'Output-Calculation-sheet'!G7*'Output-Calculation-sheet'!G43</f>
        <v>753.40709358781442</v>
      </c>
      <c r="H52" s="2">
        <f>H8/'Output-Calculation-sheet'!H7*'Output-Calculation-sheet'!H43</f>
        <v>5772.4519370882199</v>
      </c>
      <c r="I52" s="2">
        <f>I8/'Output-Calculation-sheet'!I7*'Output-Calculation-sheet'!I43</f>
        <v>246.41625419136457</v>
      </c>
      <c r="J52" s="2">
        <f>J8/'Output-Calculation-sheet'!J7*'Output-Calculation-sheet'!J43</f>
        <v>1341.2915394315137</v>
      </c>
      <c r="K52" s="2">
        <f>K8/'Output-Calculation-sheet'!K7*'Output-Calculation-sheet'!K43</f>
        <v>2694.3458384242995</v>
      </c>
      <c r="L52" s="2">
        <f>L8/'Output-Calculation-sheet'!L7*'Output-Calculation-sheet'!L43</f>
        <v>2503.4958318472195</v>
      </c>
      <c r="M52" s="2">
        <f>M8/'Output-Calculation-sheet'!M7*'Output-Calculation-sheet'!M43</f>
        <v>16344.600278324584</v>
      </c>
      <c r="N52" s="2">
        <f>N8/'Output-Calculation-sheet'!N7*'Output-Calculation-sheet'!N43</f>
        <v>9355.7790222966614</v>
      </c>
      <c r="O52" s="2">
        <f>O8/'Output-Calculation-sheet'!O7*'Output-Calculation-sheet'!O43</f>
        <v>0</v>
      </c>
      <c r="P52" s="2">
        <f>P8/'Output-Calculation-sheet'!P7*'Output-Calculation-sheet'!P43</f>
        <v>1989.7678394699353</v>
      </c>
      <c r="Q52" s="2">
        <f>Q8/'Output-Calculation-sheet'!Q7*'Output-Calculation-sheet'!Q43</f>
        <v>452.11656456100212</v>
      </c>
      <c r="R52" s="2">
        <f>R8/'Output-Calculation-sheet'!R7*'Output-Calculation-sheet'!R43</f>
        <v>3625.8506518145964</v>
      </c>
      <c r="S52" s="2">
        <f>S8/'Output-Calculation-sheet'!S7*'Output-Calculation-sheet'!S43</f>
        <v>604.46744569004181</v>
      </c>
      <c r="T52" s="2">
        <f>T8/'Output-Calculation-sheet'!T7*'Output-Calculation-sheet'!T43</f>
        <v>1074.5922823789006</v>
      </c>
      <c r="U52" s="2">
        <f>U8/'Output-Calculation-sheet'!U7*'Output-Calculation-sheet'!U43</f>
        <v>401.39912064215281</v>
      </c>
      <c r="V52" s="2">
        <f>V8/'Output-Calculation-sheet'!V7*'Output-Calculation-sheet'!V43</f>
        <v>1049.4497271475557</v>
      </c>
      <c r="W52" s="2">
        <f>W8/'Output-Calculation-sheet'!W7*'Output-Calculation-sheet'!W43</f>
        <v>12.563288612225371</v>
      </c>
      <c r="X52" s="2">
        <f>X8/'Output-Calculation-sheet'!X7*'Output-Calculation-sheet'!X43</f>
        <v>851.44497305565153</v>
      </c>
      <c r="Y52" s="2">
        <f>Y8/'Output-Calculation-sheet'!Y7*'Output-Calculation-sheet'!Y43</f>
        <v>0</v>
      </c>
      <c r="AA52" s="2">
        <f t="shared" si="3"/>
        <v>55.5196470646313</v>
      </c>
    </row>
    <row r="53" spans="1:27" x14ac:dyDescent="0.25">
      <c r="A53" s="2">
        <v>2032</v>
      </c>
      <c r="B53" s="2">
        <f>B9/'Output-Calculation-sheet'!B8*'Output-Calculation-sheet'!B44</f>
        <v>4947.8626673632207</v>
      </c>
      <c r="C53" s="2">
        <f>C9/'Output-Calculation-sheet'!C8*'Output-Calculation-sheet'!C44</f>
        <v>0</v>
      </c>
      <c r="D53" s="2">
        <f>D9/'Output-Calculation-sheet'!D8*'Output-Calculation-sheet'!D44</f>
        <v>4379.4874274659278</v>
      </c>
      <c r="E53" s="2">
        <f>E9/'Output-Calculation-sheet'!E8*'Output-Calculation-sheet'!E44</f>
        <v>2871.4325916809598</v>
      </c>
      <c r="F53" s="2">
        <f>F9/'Output-Calculation-sheet'!F8*'Output-Calculation-sheet'!F44</f>
        <v>0</v>
      </c>
      <c r="G53" s="2">
        <f>G9/'Output-Calculation-sheet'!G8*'Output-Calculation-sheet'!G44</f>
        <v>1060.4359590718004</v>
      </c>
      <c r="H53" s="2">
        <f>H9/'Output-Calculation-sheet'!H8*'Output-Calculation-sheet'!H44</f>
        <v>13316.582361149762</v>
      </c>
      <c r="I53" s="2">
        <f>I9/'Output-Calculation-sheet'!I8*'Output-Calculation-sheet'!I44</f>
        <v>388.58470956977965</v>
      </c>
      <c r="J53" s="2">
        <f>J9/'Output-Calculation-sheet'!J8*'Output-Calculation-sheet'!J44</f>
        <v>1783.0123143249461</v>
      </c>
      <c r="K53" s="2">
        <f>K9/'Output-Calculation-sheet'!K8*'Output-Calculation-sheet'!K44</f>
        <v>3228.9397357220087</v>
      </c>
      <c r="L53" s="2">
        <f>L9/'Output-Calculation-sheet'!L8*'Output-Calculation-sheet'!L44</f>
        <v>3147.2557999079113</v>
      </c>
      <c r="M53" s="2">
        <f>M9/'Output-Calculation-sheet'!M8*'Output-Calculation-sheet'!M44</f>
        <v>18928.370877999307</v>
      </c>
      <c r="N53" s="2">
        <f>N9/'Output-Calculation-sheet'!N8*'Output-Calculation-sheet'!N44</f>
        <v>12608.215941756236</v>
      </c>
      <c r="O53" s="2">
        <f>O9/'Output-Calculation-sheet'!O8*'Output-Calculation-sheet'!O44</f>
        <v>0</v>
      </c>
      <c r="P53" s="2">
        <f>P9/'Output-Calculation-sheet'!P8*'Output-Calculation-sheet'!P44</f>
        <v>2614.7942247458845</v>
      </c>
      <c r="Q53" s="2">
        <f>Q9/'Output-Calculation-sheet'!Q8*'Output-Calculation-sheet'!Q44</f>
        <v>789.04956566827207</v>
      </c>
      <c r="R53" s="2">
        <f>R9/'Output-Calculation-sheet'!R8*'Output-Calculation-sheet'!R44</f>
        <v>4426.6564249254807</v>
      </c>
      <c r="S53" s="2">
        <f>S9/'Output-Calculation-sheet'!S8*'Output-Calculation-sheet'!S44</f>
        <v>1283.2402373634234</v>
      </c>
      <c r="T53" s="2">
        <f>T9/'Output-Calculation-sheet'!T8*'Output-Calculation-sheet'!T44</f>
        <v>1315.1286257560996</v>
      </c>
      <c r="U53" s="2">
        <f>U9/'Output-Calculation-sheet'!U8*'Output-Calculation-sheet'!U44</f>
        <v>568.24705272790379</v>
      </c>
      <c r="V53" s="2">
        <f>V9/'Output-Calculation-sheet'!V8*'Output-Calculation-sheet'!V44</f>
        <v>1225.766750287858</v>
      </c>
      <c r="W53" s="2">
        <f>W9/'Output-Calculation-sheet'!W8*'Output-Calculation-sheet'!W44</f>
        <v>33.619695833196019</v>
      </c>
      <c r="X53" s="2">
        <f>X9/'Output-Calculation-sheet'!X8*'Output-Calculation-sheet'!X44</f>
        <v>1820.8768917717537</v>
      </c>
      <c r="Y53" s="2">
        <f>Y9/'Output-Calculation-sheet'!Y8*'Output-Calculation-sheet'!Y44</f>
        <v>0</v>
      </c>
      <c r="AA53" s="2">
        <f t="shared" si="3"/>
        <v>80.737559855091732</v>
      </c>
    </row>
    <row r="54" spans="1:27" x14ac:dyDescent="0.25">
      <c r="A54" s="2">
        <v>2033</v>
      </c>
      <c r="B54" s="2">
        <f>B10/'Output-Calculation-sheet'!B9*'Output-Calculation-sheet'!B45</f>
        <v>10672.458426648138</v>
      </c>
      <c r="C54" s="2">
        <f>C10/'Output-Calculation-sheet'!C9*'Output-Calculation-sheet'!C45</f>
        <v>0</v>
      </c>
      <c r="D54" s="2">
        <f>D10/'Output-Calculation-sheet'!D9*'Output-Calculation-sheet'!D45</f>
        <v>6063.6204458110433</v>
      </c>
      <c r="E54" s="2">
        <f>E10/'Output-Calculation-sheet'!E9*'Output-Calculation-sheet'!E45</f>
        <v>4047.9271478187065</v>
      </c>
      <c r="F54" s="2">
        <f>F10/'Output-Calculation-sheet'!F9*'Output-Calculation-sheet'!F45</f>
        <v>0</v>
      </c>
      <c r="G54" s="2">
        <f>G10/'Output-Calculation-sheet'!G9*'Output-Calculation-sheet'!G45</f>
        <v>1435.5996162843223</v>
      </c>
      <c r="H54" s="2">
        <f>H10/'Output-Calculation-sheet'!H9*'Output-Calculation-sheet'!H45</f>
        <v>28488.536722115183</v>
      </c>
      <c r="I54" s="2">
        <f>I10/'Output-Calculation-sheet'!I9*'Output-Calculation-sheet'!I45</f>
        <v>586.92551970595207</v>
      </c>
      <c r="J54" s="2">
        <f>J10/'Output-Calculation-sheet'!J9*'Output-Calculation-sheet'!J45</f>
        <v>2400.9027429533753</v>
      </c>
      <c r="K54" s="2">
        <f>K10/'Output-Calculation-sheet'!K9*'Output-Calculation-sheet'!K45</f>
        <v>4076.4448201354044</v>
      </c>
      <c r="L54" s="2">
        <f>L10/'Output-Calculation-sheet'!L9*'Output-Calculation-sheet'!L45</f>
        <v>3883.5564646668613</v>
      </c>
      <c r="M54" s="2">
        <f>M10/'Output-Calculation-sheet'!M9*'Output-Calculation-sheet'!M45</f>
        <v>21197.811614328861</v>
      </c>
      <c r="N54" s="2">
        <f>N10/'Output-Calculation-sheet'!N9*'Output-Calculation-sheet'!N45</f>
        <v>14848.89011621869</v>
      </c>
      <c r="O54" s="2">
        <f>O10/'Output-Calculation-sheet'!O9*'Output-Calculation-sheet'!O45</f>
        <v>0</v>
      </c>
      <c r="P54" s="2">
        <f>P10/'Output-Calculation-sheet'!P9*'Output-Calculation-sheet'!P45</f>
        <v>3370.1832307593886</v>
      </c>
      <c r="Q54" s="2">
        <f>Q10/'Output-Calculation-sheet'!Q9*'Output-Calculation-sheet'!Q45</f>
        <v>1298.4890635123986</v>
      </c>
      <c r="R54" s="2">
        <f>R10/'Output-Calculation-sheet'!R9*'Output-Calculation-sheet'!R45</f>
        <v>5002.1960212750537</v>
      </c>
      <c r="S54" s="2">
        <f>S10/'Output-Calculation-sheet'!S9*'Output-Calculation-sheet'!S45</f>
        <v>2221.9093495362267</v>
      </c>
      <c r="T54" s="2">
        <f>T10/'Output-Calculation-sheet'!T9*'Output-Calculation-sheet'!T45</f>
        <v>1612.4360012561353</v>
      </c>
      <c r="U54" s="2">
        <f>U10/'Output-Calculation-sheet'!U9*'Output-Calculation-sheet'!U45</f>
        <v>725.02036348218837</v>
      </c>
      <c r="V54" s="2">
        <f>V10/'Output-Calculation-sheet'!V9*'Output-Calculation-sheet'!V45</f>
        <v>1406.8563561887952</v>
      </c>
      <c r="W54" s="2">
        <f>W10/'Output-Calculation-sheet'!W9*'Output-Calculation-sheet'!W45</f>
        <v>47.878105912411996</v>
      </c>
      <c r="X54" s="2">
        <f>X10/'Output-Calculation-sheet'!X9*'Output-Calculation-sheet'!X45</f>
        <v>2042.326000815619</v>
      </c>
      <c r="Y54" s="2">
        <f>Y10/'Output-Calculation-sheet'!Y9*'Output-Calculation-sheet'!Y45</f>
        <v>15.349551957140154</v>
      </c>
      <c r="AA54" s="2">
        <f t="shared" si="3"/>
        <v>115.44531768138194</v>
      </c>
    </row>
    <row r="55" spans="1:27" x14ac:dyDescent="0.25">
      <c r="A55" s="2">
        <v>2034</v>
      </c>
      <c r="B55" s="2">
        <f>B11/'Output-Calculation-sheet'!B10*'Output-Calculation-sheet'!B46</f>
        <v>23439.818390525146</v>
      </c>
      <c r="C55" s="2">
        <f>C11/'Output-Calculation-sheet'!C10*'Output-Calculation-sheet'!C46</f>
        <v>0</v>
      </c>
      <c r="D55" s="2">
        <f>D11/'Output-Calculation-sheet'!D10*'Output-Calculation-sheet'!D46</f>
        <v>7489.7460299383029</v>
      </c>
      <c r="E55" s="2">
        <f>E11/'Output-Calculation-sheet'!E10*'Output-Calculation-sheet'!E46</f>
        <v>4908.0783469908692</v>
      </c>
      <c r="F55" s="2">
        <f>F11/'Output-Calculation-sheet'!F10*'Output-Calculation-sheet'!F46</f>
        <v>0</v>
      </c>
      <c r="G55" s="2">
        <f>G11/'Output-Calculation-sheet'!G10*'Output-Calculation-sheet'!G46</f>
        <v>1885.4265416115318</v>
      </c>
      <c r="H55" s="2">
        <f>H11/'Output-Calculation-sheet'!H10*'Output-Calculation-sheet'!H46</f>
        <v>31187.056135580406</v>
      </c>
      <c r="I55" s="2">
        <f>I11/'Output-Calculation-sheet'!I10*'Output-Calculation-sheet'!I46</f>
        <v>847.91430303777474</v>
      </c>
      <c r="J55" s="2">
        <f>J11/'Output-Calculation-sheet'!J10*'Output-Calculation-sheet'!J46</f>
        <v>2937.0487134454552</v>
      </c>
      <c r="K55" s="2">
        <f>K11/'Output-Calculation-sheet'!K10*'Output-Calculation-sheet'!K46</f>
        <v>5000.1977481499289</v>
      </c>
      <c r="L55" s="2">
        <f>L11/'Output-Calculation-sheet'!L10*'Output-Calculation-sheet'!L46</f>
        <v>4771.1011780483041</v>
      </c>
      <c r="M55" s="2">
        <f>M11/'Output-Calculation-sheet'!M10*'Output-Calculation-sheet'!M46</f>
        <v>23156.417471818073</v>
      </c>
      <c r="N55" s="2">
        <f>N11/'Output-Calculation-sheet'!N10*'Output-Calculation-sheet'!N46</f>
        <v>17046.121485602609</v>
      </c>
      <c r="O55" s="2">
        <f>O11/'Output-Calculation-sheet'!O10*'Output-Calculation-sheet'!O46</f>
        <v>0</v>
      </c>
      <c r="P55" s="2">
        <f>P11/'Output-Calculation-sheet'!P10*'Output-Calculation-sheet'!P46</f>
        <v>3965.4143634640509</v>
      </c>
      <c r="Q55" s="2">
        <f>Q11/'Output-Calculation-sheet'!Q10*'Output-Calculation-sheet'!Q46</f>
        <v>2218.6001413602316</v>
      </c>
      <c r="R55" s="2">
        <f>R11/'Output-Calculation-sheet'!R10*'Output-Calculation-sheet'!R46</f>
        <v>5554.0516464306656</v>
      </c>
      <c r="S55" s="2">
        <f>S11/'Output-Calculation-sheet'!S10*'Output-Calculation-sheet'!S46</f>
        <v>3575.7654922579759</v>
      </c>
      <c r="T55" s="2">
        <f>T11/'Output-Calculation-sheet'!T10*'Output-Calculation-sheet'!T46</f>
        <v>1836.4190033036216</v>
      </c>
      <c r="U55" s="2">
        <f>U11/'Output-Calculation-sheet'!U10*'Output-Calculation-sheet'!U46</f>
        <v>871.88743216108514</v>
      </c>
      <c r="V55" s="2">
        <f>V11/'Output-Calculation-sheet'!V10*'Output-Calculation-sheet'!V46</f>
        <v>1604.2112171133617</v>
      </c>
      <c r="W55" s="2">
        <f>W11/'Output-Calculation-sheet'!W10*'Output-Calculation-sheet'!W46</f>
        <v>80.696132103443134</v>
      </c>
      <c r="X55" s="2">
        <f>X11/'Output-Calculation-sheet'!X10*'Output-Calculation-sheet'!X46</f>
        <v>2243.8884251102709</v>
      </c>
      <c r="Y55" s="2">
        <f>Y11/'Output-Calculation-sheet'!Y10*'Output-Calculation-sheet'!Y46</f>
        <v>26.610063892674773</v>
      </c>
      <c r="AA55" s="2">
        <f t="shared" si="3"/>
        <v>144.64647026194581</v>
      </c>
    </row>
    <row r="56" spans="1:27" x14ac:dyDescent="0.25">
      <c r="A56" s="2">
        <v>2035</v>
      </c>
      <c r="B56" s="2">
        <f>B12/'Output-Calculation-sheet'!B11*'Output-Calculation-sheet'!B47</f>
        <v>42689.084217607742</v>
      </c>
      <c r="C56" s="2">
        <f>C12/'Output-Calculation-sheet'!C11*'Output-Calculation-sheet'!C47</f>
        <v>2532.6489357434862</v>
      </c>
      <c r="D56" s="2">
        <f>D12/'Output-Calculation-sheet'!D11*'Output-Calculation-sheet'!D47</f>
        <v>9114.2194649560479</v>
      </c>
      <c r="E56" s="2">
        <f>E12/'Output-Calculation-sheet'!E11*'Output-Calculation-sheet'!E47</f>
        <v>6574.7543321903104</v>
      </c>
      <c r="F56" s="2">
        <f>F12/'Output-Calculation-sheet'!F11*'Output-Calculation-sheet'!F47</f>
        <v>140.17185152838678</v>
      </c>
      <c r="G56" s="2">
        <f>G12/'Output-Calculation-sheet'!G11*'Output-Calculation-sheet'!G47</f>
        <v>2414.3751474784749</v>
      </c>
      <c r="H56" s="2">
        <f>H12/'Output-Calculation-sheet'!H11*'Output-Calculation-sheet'!H47</f>
        <v>33767.647255491385</v>
      </c>
      <c r="I56" s="2">
        <f>I12/'Output-Calculation-sheet'!I11*'Output-Calculation-sheet'!I47</f>
        <v>1040.551767090931</v>
      </c>
      <c r="J56" s="2">
        <f>J12/'Output-Calculation-sheet'!J11*'Output-Calculation-sheet'!J47</f>
        <v>3402.8326524860367</v>
      </c>
      <c r="K56" s="2">
        <f>K12/'Output-Calculation-sheet'!K11*'Output-Calculation-sheet'!K47</f>
        <v>5602.609698933622</v>
      </c>
      <c r="L56" s="2">
        <f>L12/'Output-Calculation-sheet'!L11*'Output-Calculation-sheet'!L47</f>
        <v>5763.1195453053615</v>
      </c>
      <c r="M56" s="2">
        <f>M12/'Output-Calculation-sheet'!M11*'Output-Calculation-sheet'!M47</f>
        <v>24978.942309693168</v>
      </c>
      <c r="N56" s="2">
        <f>N12/'Output-Calculation-sheet'!N11*'Output-Calculation-sheet'!N47</f>
        <v>19145.932500063442</v>
      </c>
      <c r="O56" s="2">
        <f>O12/'Output-Calculation-sheet'!O11*'Output-Calculation-sheet'!O47</f>
        <v>1199.3122883366282</v>
      </c>
      <c r="P56" s="2">
        <f>P12/'Output-Calculation-sheet'!P11*'Output-Calculation-sheet'!P47</f>
        <v>4414.2372049033493</v>
      </c>
      <c r="Q56" s="2">
        <f>Q12/'Output-Calculation-sheet'!Q11*'Output-Calculation-sheet'!Q47</f>
        <v>3406.9132928335112</v>
      </c>
      <c r="R56" s="2">
        <f>R12/'Output-Calculation-sheet'!R11*'Output-Calculation-sheet'!R47</f>
        <v>6070.0087744444545</v>
      </c>
      <c r="S56" s="2">
        <f>S12/'Output-Calculation-sheet'!S11*'Output-Calculation-sheet'!S47</f>
        <v>5194.7451086499159</v>
      </c>
      <c r="T56" s="2">
        <f>T12/'Output-Calculation-sheet'!T11*'Output-Calculation-sheet'!T47</f>
        <v>2118.5754480288997</v>
      </c>
      <c r="U56" s="2">
        <f>U12/'Output-Calculation-sheet'!U11*'Output-Calculation-sheet'!U47</f>
        <v>1059.3775704437046</v>
      </c>
      <c r="V56" s="2">
        <f>V12/'Output-Calculation-sheet'!V11*'Output-Calculation-sheet'!V47</f>
        <v>1754.5079843393025</v>
      </c>
      <c r="W56" s="2">
        <f>W12/'Output-Calculation-sheet'!W11*'Output-Calculation-sheet'!W47</f>
        <v>110.71617608702178</v>
      </c>
      <c r="X56" s="2">
        <f>X12/'Output-Calculation-sheet'!X11*'Output-Calculation-sheet'!X47</f>
        <v>2423.9272095477731</v>
      </c>
      <c r="Y56" s="2">
        <f>Y12/'Output-Calculation-sheet'!Y11*'Output-Calculation-sheet'!Y47</f>
        <v>42.594258856920717</v>
      </c>
      <c r="AA56" s="2">
        <f t="shared" si="3"/>
        <v>184.96180499503987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8.4166416881510742</v>
      </c>
      <c r="C63" s="2">
        <f>C8*'Output-Calculation-sheet'!C52/10^9</f>
        <v>5.1709902580676959</v>
      </c>
      <c r="D63" s="2">
        <f>D8*'Output-Calculation-sheet'!D52/10^9</f>
        <v>1.8218388848960376</v>
      </c>
      <c r="E63" s="2">
        <f>E8*'Output-Calculation-sheet'!E52/10^9</f>
        <v>2.1786560408509588</v>
      </c>
      <c r="F63" s="2">
        <f>F8*'Output-Calculation-sheet'!F52/10^9</f>
        <v>0.84586295329373251</v>
      </c>
      <c r="G63" s="2">
        <f>G8*'Output-Calculation-sheet'!G52/10^9</f>
        <v>0.59701300319554518</v>
      </c>
      <c r="H63" s="2">
        <f>H8*'Output-Calculation-sheet'!H52/10^9</f>
        <v>1.5906718363772965</v>
      </c>
      <c r="I63" s="2">
        <f>I8*'Output-Calculation-sheet'!I52/10^9</f>
        <v>0.58491098933829511</v>
      </c>
      <c r="J63" s="2">
        <f>J8*'Output-Calculation-sheet'!J52/10^9</f>
        <v>0.60895129186113361</v>
      </c>
      <c r="K63" s="2">
        <f>K8*'Output-Calculation-sheet'!K52/10^9</f>
        <v>0.73457078056512959</v>
      </c>
      <c r="L63" s="2">
        <f>L8*'Output-Calculation-sheet'!L52/10^9</f>
        <v>0.76678454924627881</v>
      </c>
      <c r="M63" s="2">
        <f>M8*'Output-Calculation-sheet'!M52/10^9</f>
        <v>1.2003058654719376</v>
      </c>
      <c r="N63" s="2">
        <f>N8*'Output-Calculation-sheet'!N52/10^9</f>
        <v>1.0321308833509304</v>
      </c>
      <c r="O63" s="2">
        <f>O8*'Output-Calculation-sheet'!O52/10^9</f>
        <v>1.0823010071432106</v>
      </c>
      <c r="P63" s="2">
        <f>P8*'Output-Calculation-sheet'!P52/10^9</f>
        <v>0.65895707483949084</v>
      </c>
      <c r="Q63" s="2">
        <f>Q8*'Output-Calculation-sheet'!Q52/10^9</f>
        <v>0.7174332180667069</v>
      </c>
      <c r="R63" s="2">
        <f>R8*'Output-Calculation-sheet'!R52/10^9</f>
        <v>0.55342147751580906</v>
      </c>
      <c r="S63" s="2">
        <f>S8*'Output-Calculation-sheet'!S52/10^9</f>
        <v>0.52705373679131751</v>
      </c>
      <c r="T63" s="2">
        <f>T8*'Output-Calculation-sheet'!T52/10^9</f>
        <v>0.17150964016125339</v>
      </c>
      <c r="U63" s="2">
        <f>U8*'Output-Calculation-sheet'!U52/10^9</f>
        <v>0.16725589042149316</v>
      </c>
      <c r="V63" s="2">
        <f>V8*'Output-Calculation-sheet'!V52/10^9</f>
        <v>0.14260842221830644</v>
      </c>
      <c r="W63" s="2">
        <f>W8*'Output-Calculation-sheet'!W52/10^9</f>
        <v>7.346267604215842E-2</v>
      </c>
      <c r="X63" s="2">
        <f>X8*'Output-Calculation-sheet'!X52/10^9</f>
        <v>0.1388868769400842</v>
      </c>
      <c r="Y63" s="2">
        <f>Y8*'Output-Calculation-sheet'!Y52/10^9</f>
        <v>6.6909301362238341E-2</v>
      </c>
      <c r="AA63" s="2">
        <f t="shared" si="4"/>
        <v>29.849128346168108</v>
      </c>
    </row>
    <row r="64" spans="1:27" x14ac:dyDescent="0.25">
      <c r="A64" s="2">
        <v>2032</v>
      </c>
      <c r="B64" s="2">
        <f>B9*'Output-Calculation-sheet'!B53/10^9</f>
        <v>9.5827942990117005</v>
      </c>
      <c r="C64" s="2">
        <f>C9*'Output-Calculation-sheet'!C53/10^9</f>
        <v>5.8858170268037071</v>
      </c>
      <c r="D64" s="2">
        <f>D9*'Output-Calculation-sheet'!D53/10^9</f>
        <v>2.0756967229648207</v>
      </c>
      <c r="E64" s="2">
        <f>E9*'Output-Calculation-sheet'!E53/10^9</f>
        <v>2.4834495705025907</v>
      </c>
      <c r="F64" s="2">
        <f>F9*'Output-Calculation-sheet'!F53/10^9</f>
        <v>0.96421554003668375</v>
      </c>
      <c r="G64" s="2">
        <f>G9*'Output-Calculation-sheet'!G53/10^9</f>
        <v>0.6805176729756256</v>
      </c>
      <c r="H64" s="2">
        <f>H9*'Output-Calculation-sheet'!H53/10^9</f>
        <v>1.7951165351763441</v>
      </c>
      <c r="I64" s="2">
        <f>I9*'Output-Calculation-sheet'!I53/10^9</f>
        <v>0.66694991033756412</v>
      </c>
      <c r="J64" s="2">
        <f>J9*'Output-Calculation-sheet'!J53/10^9</f>
        <v>0.69341310525409039</v>
      </c>
      <c r="K64" s="2">
        <f>K9*'Output-Calculation-sheet'!K53/10^9</f>
        <v>0.83526913809952485</v>
      </c>
      <c r="L64" s="2">
        <f>L9*'Output-Calculation-sheet'!L53/10^9</f>
        <v>0.86815769099750639</v>
      </c>
      <c r="M64" s="2">
        <f>M9*'Output-Calculation-sheet'!M53/10^9</f>
        <v>1.3362639217276853</v>
      </c>
      <c r="N64" s="2">
        <f>N9*'Output-Calculation-sheet'!N53/10^9</f>
        <v>1.1582732609313753</v>
      </c>
      <c r="O64" s="2">
        <f>O9*'Output-Calculation-sheet'!O53/10^9</f>
        <v>1.2318739097086897</v>
      </c>
      <c r="P64" s="2">
        <f>P9*'Output-Calculation-sheet'!P53/10^9</f>
        <v>0.75004427860527645</v>
      </c>
      <c r="Q64" s="2">
        <f>Q9*'Output-Calculation-sheet'!Q53/10^9</f>
        <v>0.81787601904629559</v>
      </c>
      <c r="R64" s="2">
        <f>R9*'Output-Calculation-sheet'!R53/10^9</f>
        <v>0.62786439196095079</v>
      </c>
      <c r="S64" s="2">
        <f>S9*'Output-Calculation-sheet'!S53/10^9</f>
        <v>0.5989103202953886</v>
      </c>
      <c r="T64" s="2">
        <f>T9*'Output-Calculation-sheet'!T53/10^9</f>
        <v>0.1945982797849948</v>
      </c>
      <c r="U64" s="2">
        <f>U9*'Output-Calculation-sheet'!U53/10^9</f>
        <v>0.19052881344154279</v>
      </c>
      <c r="V64" s="2">
        <f>V9*'Output-Calculation-sheet'!V53/10^9</f>
        <v>0.16158804874433028</v>
      </c>
      <c r="W64" s="2">
        <f>W9*'Output-Calculation-sheet'!W53/10^9</f>
        <v>8.3750203044970911E-2</v>
      </c>
      <c r="X64" s="2">
        <f>X9*'Output-Calculation-sheet'!X53/10^9</f>
        <v>0.15573241545606684</v>
      </c>
      <c r="Y64" s="2">
        <f>Y9*'Output-Calculation-sheet'!Y53/10^9</f>
        <v>7.6365335937734632E-2</v>
      </c>
      <c r="AA64" s="2">
        <f t="shared" si="4"/>
        <v>33.915066410845455</v>
      </c>
    </row>
    <row r="65" spans="1:27" x14ac:dyDescent="0.25">
      <c r="A65" s="2">
        <v>2033</v>
      </c>
      <c r="B65" s="2">
        <f>B10*'Output-Calculation-sheet'!B54/10^9</f>
        <v>10.525493165006131</v>
      </c>
      <c r="C65" s="2">
        <f>C10*'Output-Calculation-sheet'!C54/10^9</f>
        <v>6.4683109175697178</v>
      </c>
      <c r="D65" s="2">
        <f>D10*'Output-Calculation-sheet'!D54/10^9</f>
        <v>2.2831282785359175</v>
      </c>
      <c r="E65" s="2">
        <f>E10*'Output-Calculation-sheet'!E54/10^9</f>
        <v>2.7334788958444221</v>
      </c>
      <c r="F65" s="2">
        <f>F10*'Output-Calculation-sheet'!F54/10^9</f>
        <v>1.0614615571717783</v>
      </c>
      <c r="G65" s="2">
        <f>G10*'Output-Calculation-sheet'!G54/10^9</f>
        <v>0.74896139499065151</v>
      </c>
      <c r="H65" s="2">
        <f>H10*'Output-Calculation-sheet'!H54/10^9</f>
        <v>1.9389147312783266</v>
      </c>
      <c r="I65" s="2">
        <f>I10*'Output-Calculation-sheet'!I54/10^9</f>
        <v>0.73435242154308067</v>
      </c>
      <c r="J65" s="2">
        <f>J10*'Output-Calculation-sheet'!J54/10^9</f>
        <v>0.76242393462349212</v>
      </c>
      <c r="K65" s="2">
        <f>K10*'Output-Calculation-sheet'!K54/10^9</f>
        <v>0.91702401088746688</v>
      </c>
      <c r="L65" s="2">
        <f>L10*'Output-Calculation-sheet'!L54/10^9</f>
        <v>0.94845078129646299</v>
      </c>
      <c r="M65" s="2">
        <f>M10*'Output-Calculation-sheet'!M54/10^9</f>
        <v>1.4355351903991131</v>
      </c>
      <c r="N65" s="2">
        <f>N10*'Output-Calculation-sheet'!N54/10^9</f>
        <v>1.2526997754472284</v>
      </c>
      <c r="O65" s="2">
        <f>O10*'Output-Calculation-sheet'!O54/10^9</f>
        <v>1.3537798890526742</v>
      </c>
      <c r="P65" s="2">
        <f>P10*'Output-Calculation-sheet'!P54/10^9</f>
        <v>0.82414139866832625</v>
      </c>
      <c r="Q65" s="2">
        <f>Q10*'Output-Calculation-sheet'!Q54/10^9</f>
        <v>0.89961565327051229</v>
      </c>
      <c r="R65" s="2">
        <f>R10*'Output-Calculation-sheet'!R54/10^9</f>
        <v>0.68786771908219801</v>
      </c>
      <c r="S65" s="2">
        <f>S10*'Output-Calculation-sheet'!S54/10^9</f>
        <v>0.65594310406229506</v>
      </c>
      <c r="T65" s="2">
        <f>T10*'Output-Calculation-sheet'!T54/10^9</f>
        <v>0.21317106021236867</v>
      </c>
      <c r="U65" s="2">
        <f>U10*'Output-Calculation-sheet'!U54/10^9</f>
        <v>0.20954928416078333</v>
      </c>
      <c r="V65" s="2">
        <f>V10*'Output-Calculation-sheet'!V54/10^9</f>
        <v>0.17681894959488731</v>
      </c>
      <c r="W65" s="2">
        <f>W10*'Output-Calculation-sheet'!W54/10^9</f>
        <v>9.21959337133091E-2</v>
      </c>
      <c r="X65" s="2">
        <f>X10*'Output-Calculation-sheet'!X54/10^9</f>
        <v>0.16798046757785876</v>
      </c>
      <c r="Y65" s="2">
        <f>Y10*'Output-Calculation-sheet'!Y54/10^9</f>
        <v>8.4158600576951639E-2</v>
      </c>
      <c r="AA65" s="2">
        <f t="shared" si="4"/>
        <v>37.175457114565944</v>
      </c>
    </row>
    <row r="66" spans="1:27" x14ac:dyDescent="0.25">
      <c r="A66" s="2">
        <v>2034</v>
      </c>
      <c r="B66" s="2">
        <f>B11*'Output-Calculation-sheet'!B55/10^9</f>
        <v>11.291924737962466</v>
      </c>
      <c r="C66" s="2">
        <f>C11*'Output-Calculation-sheet'!C55/10^9</f>
        <v>6.9512810803292595</v>
      </c>
      <c r="D66" s="2">
        <f>D11*'Output-Calculation-sheet'!D55/10^9</f>
        <v>2.4560931904009746</v>
      </c>
      <c r="E66" s="2">
        <f>E11*'Output-Calculation-sheet'!E55/10^9</f>
        <v>2.9426267019934409</v>
      </c>
      <c r="F66" s="2">
        <f>F11*'Output-Calculation-sheet'!F55/10^9</f>
        <v>1.1429689560398295</v>
      </c>
      <c r="G66" s="2">
        <f>G11*'Output-Calculation-sheet'!G55/10^9</f>
        <v>0.80611839516092798</v>
      </c>
      <c r="H66" s="2">
        <f>H11*'Output-Calculation-sheet'!H55/10^9</f>
        <v>2.0378095141732393</v>
      </c>
      <c r="I66" s="2">
        <f>I11*'Output-Calculation-sheet'!I55/10^9</f>
        <v>0.79074413383681064</v>
      </c>
      <c r="J66" s="2">
        <f>J11*'Output-Calculation-sheet'!J55/10^9</f>
        <v>0.81963578105062485</v>
      </c>
      <c r="K66" s="2">
        <f>K11*'Output-Calculation-sheet'!K55/10^9</f>
        <v>0.98456972897620365</v>
      </c>
      <c r="L66" s="2">
        <f>L11*'Output-Calculation-sheet'!L55/10^9</f>
        <v>1.0126591106830432</v>
      </c>
      <c r="M66" s="2">
        <f>M11*'Output-Calculation-sheet'!M55/10^9</f>
        <v>1.5068342509329076</v>
      </c>
      <c r="N66" s="2">
        <f>N11*'Output-Calculation-sheet'!N55/10^9</f>
        <v>1.3233988440711943</v>
      </c>
      <c r="O66" s="2">
        <f>O11*'Output-Calculation-sheet'!O55/10^9</f>
        <v>1.4549125659885358</v>
      </c>
      <c r="P66" s="2">
        <f>P11*'Output-Calculation-sheet'!P55/10^9</f>
        <v>0.88540774149150658</v>
      </c>
      <c r="Q66" s="2">
        <f>Q11*'Output-Calculation-sheet'!Q55/10^9</f>
        <v>0.96646489930504487</v>
      </c>
      <c r="R66" s="2">
        <f>R11*'Output-Calculation-sheet'!R55/10^9</f>
        <v>0.73716684904858276</v>
      </c>
      <c r="S66" s="2">
        <f>S11*'Output-Calculation-sheet'!S55/10^9</f>
        <v>0.7010002911686839</v>
      </c>
      <c r="T66" s="2">
        <f>T11*'Output-Calculation-sheet'!T55/10^9</f>
        <v>0.22835330339141907</v>
      </c>
      <c r="U66" s="2">
        <f>U11*'Output-Calculation-sheet'!U55/10^9</f>
        <v>0.22536739363561484</v>
      </c>
      <c r="V66" s="2">
        <f>V11*'Output-Calculation-sheet'!V55/10^9</f>
        <v>0.18925622396334957</v>
      </c>
      <c r="W66" s="2">
        <f>W11*'Output-Calculation-sheet'!W55/10^9</f>
        <v>9.9260823257431824E-2</v>
      </c>
      <c r="X66" s="2">
        <f>X11*'Output-Calculation-sheet'!X55/10^9</f>
        <v>0.17707934832868055</v>
      </c>
      <c r="Y66" s="2">
        <f>Y11*'Output-Calculation-sheet'!Y55/10^9</f>
        <v>9.0720529873554348E-2</v>
      </c>
      <c r="AA66" s="2">
        <f t="shared" si="4"/>
        <v>39.821654395063334</v>
      </c>
    </row>
    <row r="67" spans="1:27" x14ac:dyDescent="0.25">
      <c r="A67" s="2">
        <v>2035</v>
      </c>
      <c r="B67" s="2">
        <f>B12*'Output-Calculation-sheet'!B56/10^9</f>
        <v>11.905092297540143</v>
      </c>
      <c r="C67" s="2">
        <f>C12*'Output-Calculation-sheet'!C56/10^9</f>
        <v>7.3538297631465097</v>
      </c>
      <c r="D67" s="2">
        <f>D12*'Output-Calculation-sheet'!D56/10^9</f>
        <v>2.6012159083970445</v>
      </c>
      <c r="E67" s="2">
        <f>E12*'Output-Calculation-sheet'!E56/10^9</f>
        <v>3.1190814365842399</v>
      </c>
      <c r="F67" s="2">
        <f>F12*'Output-Calculation-sheet'!F56/10^9</f>
        <v>1.2119270917512595</v>
      </c>
      <c r="G67" s="2">
        <f>G12*'Output-Calculation-sheet'!G56/10^9</f>
        <v>0.85426794445348997</v>
      </c>
      <c r="H67" s="2">
        <f>H12*'Output-Calculation-sheet'!H56/10^9</f>
        <v>2.1069281857231736</v>
      </c>
      <c r="I67" s="2">
        <f>I12*'Output-Calculation-sheet'!I56/10^9</f>
        <v>0.83842342892219923</v>
      </c>
      <c r="J67" s="2">
        <f>J12*'Output-Calculation-sheet'!J56/10^9</f>
        <v>0.86770843978713019</v>
      </c>
      <c r="K67" s="2">
        <f>K12*'Output-Calculation-sheet'!K56/10^9</f>
        <v>1.0406906436058794</v>
      </c>
      <c r="L67" s="2">
        <f>L12*'Output-Calculation-sheet'!L56/10^9</f>
        <v>1.0637733560310763</v>
      </c>
      <c r="M67" s="2">
        <f>M12*'Output-Calculation-sheet'!M56/10^9</f>
        <v>1.5558777358025864</v>
      </c>
      <c r="N67" s="2">
        <f>N12*'Output-Calculation-sheet'!N56/10^9</f>
        <v>1.3748127719634147</v>
      </c>
      <c r="O67" s="2">
        <f>O12*'Output-Calculation-sheet'!O56/10^9</f>
        <v>1.5384218573848958</v>
      </c>
      <c r="P67" s="2">
        <f>P12*'Output-Calculation-sheet'!P56/10^9</f>
        <v>0.93669600821622745</v>
      </c>
      <c r="Q67" s="2">
        <f>Q12*'Output-Calculation-sheet'!Q56/10^9</f>
        <v>1.0206630879300349</v>
      </c>
      <c r="R67" s="2">
        <f>R12*'Output-Calculation-sheet'!R56/10^9</f>
        <v>0.77800296304767314</v>
      </c>
      <c r="S67" s="2">
        <f>S12*'Output-Calculation-sheet'!S56/10^9</f>
        <v>0.7357599308680246</v>
      </c>
      <c r="T67" s="2">
        <f>T12*'Output-Calculation-sheet'!T56/10^9</f>
        <v>0.24084243948448578</v>
      </c>
      <c r="U67" s="2">
        <f>U12*'Output-Calculation-sheet'!U56/10^9</f>
        <v>0.23865912314046556</v>
      </c>
      <c r="V67" s="2">
        <f>V12*'Output-Calculation-sheet'!V56/10^9</f>
        <v>0.1994518129204837</v>
      </c>
      <c r="W67" s="2">
        <f>W12*'Output-Calculation-sheet'!W56/10^9</f>
        <v>0.1052290641993983</v>
      </c>
      <c r="X67" s="2">
        <f>X12*'Output-Calculation-sheet'!X56/10^9</f>
        <v>0.1836282155441851</v>
      </c>
      <c r="Y67" s="2">
        <f>Y12*'Output-Calculation-sheet'!Y56/10^9</f>
        <v>9.6299671190040279E-2</v>
      </c>
      <c r="AA67" s="2">
        <f t="shared" si="4"/>
        <v>41.967283177634073</v>
      </c>
    </row>
    <row r="68" spans="1:27" x14ac:dyDescent="0.25">
      <c r="B68" s="2">
        <f>SUM(B60:B67)</f>
        <v>68.475813479542097</v>
      </c>
      <c r="C68" s="2">
        <f t="shared" ref="C68:Y68" si="5">SUM(C60:C67)</f>
        <v>42.10223773661572</v>
      </c>
      <c r="D68" s="2">
        <f t="shared" si="5"/>
        <v>14.868638670865032</v>
      </c>
      <c r="E68" s="2">
        <f t="shared" si="5"/>
        <v>17.796870565049613</v>
      </c>
      <c r="F68" s="2">
        <f t="shared" si="5"/>
        <v>6.9118668352228898</v>
      </c>
      <c r="G68" s="2">
        <f t="shared" si="5"/>
        <v>4.8752766413406858</v>
      </c>
      <c r="H68" s="2">
        <f t="shared" si="5"/>
        <v>12.65129951575825</v>
      </c>
      <c r="I68" s="2">
        <f t="shared" si="5"/>
        <v>4.7791591803273521</v>
      </c>
      <c r="J68" s="2">
        <f t="shared" si="5"/>
        <v>4.9681713230724096</v>
      </c>
      <c r="K68" s="2">
        <f t="shared" si="5"/>
        <v>5.9866827809154648</v>
      </c>
      <c r="L68" s="2">
        <f t="shared" si="5"/>
        <v>6.2088475201970406</v>
      </c>
      <c r="M68" s="2">
        <f t="shared" si="5"/>
        <v>9.5649677304424277</v>
      </c>
      <c r="N68" s="2">
        <f t="shared" si="5"/>
        <v>8.2427365954242973</v>
      </c>
      <c r="O68" s="2">
        <f t="shared" si="5"/>
        <v>8.8113722902305813</v>
      </c>
      <c r="P68" s="2">
        <f t="shared" si="5"/>
        <v>5.3717343839607681</v>
      </c>
      <c r="Q68" s="2">
        <f t="shared" si="5"/>
        <v>5.8496776865688416</v>
      </c>
      <c r="R68" s="2">
        <f t="shared" si="5"/>
        <v>4.5053552370191694</v>
      </c>
      <c r="S68" s="2">
        <f t="shared" si="5"/>
        <v>4.2680727161916572</v>
      </c>
      <c r="T68" s="2">
        <f t="shared" si="5"/>
        <v>1.3956389873540369</v>
      </c>
      <c r="U68" s="2">
        <f t="shared" si="5"/>
        <v>1.3646650035171648</v>
      </c>
      <c r="V68" s="2">
        <f t="shared" si="5"/>
        <v>1.1602912302758861</v>
      </c>
      <c r="W68" s="2">
        <f t="shared" si="5"/>
        <v>0.60016911319254873</v>
      </c>
      <c r="X68" s="2">
        <f t="shared" si="5"/>
        <v>1.1020026640189708</v>
      </c>
      <c r="Y68" s="2">
        <f t="shared" si="5"/>
        <v>0.54734328993882375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499.0890782557035</v>
      </c>
      <c r="C74" s="2">
        <f>C8/'Output-Calculation-sheet'!C7*'Output-Calculation-sheet'!C61</f>
        <v>0</v>
      </c>
      <c r="D74" s="2">
        <f>D8/'Output-Calculation-sheet'!D7*'Output-Calculation-sheet'!D61</f>
        <v>816.71333869273576</v>
      </c>
      <c r="E74" s="2">
        <f>E8/'Output-Calculation-sheet'!E7*'Output-Calculation-sheet'!E61</f>
        <v>606.12674702696211</v>
      </c>
      <c r="F74" s="2">
        <f>F8/'Output-Calculation-sheet'!F7*'Output-Calculation-sheet'!F61</f>
        <v>0</v>
      </c>
      <c r="G74" s="2">
        <f>G8/'Output-Calculation-sheet'!G7*'Output-Calculation-sheet'!G61</f>
        <v>275.98671669200888</v>
      </c>
      <c r="H74" s="2">
        <f>H8/'Output-Calculation-sheet'!H7*'Output-Calculation-sheet'!H61</f>
        <v>1325.474394795533</v>
      </c>
      <c r="I74" s="2">
        <f>I8/'Output-Calculation-sheet'!I7*'Output-Calculation-sheet'!I61</f>
        <v>97.303618373815084</v>
      </c>
      <c r="J74" s="2">
        <f>J8/'Output-Calculation-sheet'!J7*'Output-Calculation-sheet'!J61</f>
        <v>405.67972288078602</v>
      </c>
      <c r="K74" s="2">
        <f>K8/'Output-Calculation-sheet'!K7*'Output-Calculation-sheet'!K61</f>
        <v>681.30621453639174</v>
      </c>
      <c r="L74" s="2">
        <f>L8/'Output-Calculation-sheet'!L7*'Output-Calculation-sheet'!L61</f>
        <v>591.08980914431231</v>
      </c>
      <c r="M74" s="2">
        <f>M8/'Output-Calculation-sheet'!M7*'Output-Calculation-sheet'!M61</f>
        <v>2960.2445180063901</v>
      </c>
      <c r="N74" s="2">
        <f>N8/'Output-Calculation-sheet'!N7*'Output-Calculation-sheet'!N61</f>
        <v>1669.7261064684942</v>
      </c>
      <c r="O74" s="2">
        <f>O8/'Output-Calculation-sheet'!O7*'Output-Calculation-sheet'!O61</f>
        <v>0</v>
      </c>
      <c r="P74" s="2">
        <f>P8/'Output-Calculation-sheet'!P7*'Output-Calculation-sheet'!P61</f>
        <v>471.90660592761969</v>
      </c>
      <c r="Q74" s="2">
        <f>Q8/'Output-Calculation-sheet'!Q7*'Output-Calculation-sheet'!Q61</f>
        <v>124.41068422202532</v>
      </c>
      <c r="R74" s="2">
        <f>R8/'Output-Calculation-sheet'!R7*'Output-Calculation-sheet'!R61</f>
        <v>820.68985183545442</v>
      </c>
      <c r="S74" s="2">
        <f>S8/'Output-Calculation-sheet'!S7*'Output-Calculation-sheet'!S61</f>
        <v>145.22651907940323</v>
      </c>
      <c r="T74" s="2">
        <f>T8/'Output-Calculation-sheet'!T7*'Output-Calculation-sheet'!T61</f>
        <v>277.95158767035457</v>
      </c>
      <c r="U74" s="2">
        <f>U8/'Output-Calculation-sheet'!U7*'Output-Calculation-sheet'!U61</f>
        <v>110.12761186493066</v>
      </c>
      <c r="V74" s="2">
        <f>V8/'Output-Calculation-sheet'!V7*'Output-Calculation-sheet'!V61</f>
        <v>193.43728196519783</v>
      </c>
      <c r="W74" s="2">
        <f>W8/'Output-Calculation-sheet'!W7*'Output-Calculation-sheet'!W61</f>
        <v>4.6023513949452273</v>
      </c>
      <c r="X74" s="2">
        <f>X8/'Output-Calculation-sheet'!X7*'Output-Calculation-sheet'!X61</f>
        <v>165.30052876899248</v>
      </c>
      <c r="Y74" s="2">
        <f>Y8/'Output-Calculation-sheet'!Y7*'Output-Calculation-sheet'!Y61</f>
        <v>0</v>
      </c>
      <c r="AA74" s="2">
        <f t="shared" si="6"/>
        <v>12.242393287602054</v>
      </c>
    </row>
    <row r="75" spans="1:27" x14ac:dyDescent="0.25">
      <c r="A75" s="2">
        <v>2032</v>
      </c>
      <c r="B75" s="2">
        <f>B9/'Output-Calculation-sheet'!B8*'Output-Calculation-sheet'!B62</f>
        <v>1402.849273109772</v>
      </c>
      <c r="C75" s="2">
        <f>C9/'Output-Calculation-sheet'!C8*'Output-Calculation-sheet'!C62</f>
        <v>0</v>
      </c>
      <c r="D75" s="2">
        <f>D9/'Output-Calculation-sheet'!D8*'Output-Calculation-sheet'!D62</f>
        <v>1147.5351931817597</v>
      </c>
      <c r="E75" s="2">
        <f>E9/'Output-Calculation-sheet'!E8*'Output-Calculation-sheet'!E62</f>
        <v>806.95957137118842</v>
      </c>
      <c r="F75" s="2">
        <f>F9/'Output-Calculation-sheet'!F8*'Output-Calculation-sheet'!F62</f>
        <v>0</v>
      </c>
      <c r="G75" s="2">
        <f>G9/'Output-Calculation-sheet'!G8*'Output-Calculation-sheet'!G62</f>
        <v>372.8414281284667</v>
      </c>
      <c r="H75" s="2">
        <f>H9/'Output-Calculation-sheet'!H8*'Output-Calculation-sheet'!H62</f>
        <v>2632.1556695048621</v>
      </c>
      <c r="I75" s="2">
        <f>I9/'Output-Calculation-sheet'!I8*'Output-Calculation-sheet'!I62</f>
        <v>159.42570857167414</v>
      </c>
      <c r="J75" s="2">
        <f>J9/'Output-Calculation-sheet'!J8*'Output-Calculation-sheet'!J62</f>
        <v>522.52749117452242</v>
      </c>
      <c r="K75" s="2">
        <f>K9/'Output-Calculation-sheet'!K8*'Output-Calculation-sheet'!K62</f>
        <v>819.49101701340408</v>
      </c>
      <c r="L75" s="2">
        <f>L9/'Output-Calculation-sheet'!L8*'Output-Calculation-sheet'!L62</f>
        <v>711.61110086338886</v>
      </c>
      <c r="M75" s="2">
        <f>M9/'Output-Calculation-sheet'!M8*'Output-Calculation-sheet'!M62</f>
        <v>3426.2445714725413</v>
      </c>
      <c r="N75" s="2">
        <f>N9/'Output-Calculation-sheet'!N8*'Output-Calculation-sheet'!N62</f>
        <v>2214.7489199077231</v>
      </c>
      <c r="O75" s="2">
        <f>O9/'Output-Calculation-sheet'!O8*'Output-Calculation-sheet'!O62</f>
        <v>0</v>
      </c>
      <c r="P75" s="2">
        <f>P9/'Output-Calculation-sheet'!P8*'Output-Calculation-sheet'!P62</f>
        <v>611.17249374946755</v>
      </c>
      <c r="Q75" s="2">
        <f>Q9/'Output-Calculation-sheet'!Q8*'Output-Calculation-sheet'!Q62</f>
        <v>216.76318782572676</v>
      </c>
      <c r="R75" s="2">
        <f>R9/'Output-Calculation-sheet'!R8*'Output-Calculation-sheet'!R62</f>
        <v>972.99249630899919</v>
      </c>
      <c r="S75" s="2">
        <f>S9/'Output-Calculation-sheet'!S8*'Output-Calculation-sheet'!S62</f>
        <v>281.7228567085217</v>
      </c>
      <c r="T75" s="2">
        <f>T9/'Output-Calculation-sheet'!T8*'Output-Calculation-sheet'!T62</f>
        <v>325.75487922502026</v>
      </c>
      <c r="U75" s="2">
        <f>U9/'Output-Calculation-sheet'!U8*'Output-Calculation-sheet'!U62</f>
        <v>151.54213806166428</v>
      </c>
      <c r="V75" s="2">
        <f>V9/'Output-Calculation-sheet'!V8*'Output-Calculation-sheet'!V62</f>
        <v>226.01807725896023</v>
      </c>
      <c r="W75" s="2">
        <f>W9/'Output-Calculation-sheet'!W8*'Output-Calculation-sheet'!W62</f>
        <v>12.314414302330656</v>
      </c>
      <c r="X75" s="2">
        <f>X9/'Output-Calculation-sheet'!X8*'Output-Calculation-sheet'!X62</f>
        <v>324.63592698365397</v>
      </c>
      <c r="Y75" s="2">
        <f>Y9/'Output-Calculation-sheet'!Y8*'Output-Calculation-sheet'!Y62</f>
        <v>0</v>
      </c>
      <c r="AA75" s="2">
        <f t="shared" si="6"/>
        <v>17.339306414723648</v>
      </c>
    </row>
    <row r="76" spans="1:27" x14ac:dyDescent="0.25">
      <c r="A76" s="2">
        <v>2033</v>
      </c>
      <c r="B76" s="2">
        <f>B10/'Output-Calculation-sheet'!B9*'Output-Calculation-sheet'!B63</f>
        <v>2803.1067835180165</v>
      </c>
      <c r="C76" s="2">
        <f>C10/'Output-Calculation-sheet'!C9*'Output-Calculation-sheet'!C63</f>
        <v>0</v>
      </c>
      <c r="D76" s="2">
        <f>D10/'Output-Calculation-sheet'!D9*'Output-Calculation-sheet'!D63</f>
        <v>1498.8057017955737</v>
      </c>
      <c r="E76" s="2">
        <f>E10/'Output-Calculation-sheet'!E9*'Output-Calculation-sheet'!E63</f>
        <v>1112.023415036482</v>
      </c>
      <c r="F76" s="2">
        <f>F10/'Output-Calculation-sheet'!F9*'Output-Calculation-sheet'!F63</f>
        <v>0</v>
      </c>
      <c r="G76" s="2">
        <f>G10/'Output-Calculation-sheet'!G9*'Output-Calculation-sheet'!G63</f>
        <v>498.71860609343855</v>
      </c>
      <c r="H76" s="2">
        <f>H10/'Output-Calculation-sheet'!H9*'Output-Calculation-sheet'!H63</f>
        <v>5114.5351977357141</v>
      </c>
      <c r="I76" s="2">
        <f>I10/'Output-Calculation-sheet'!I9*'Output-Calculation-sheet'!I63</f>
        <v>231.40516823606669</v>
      </c>
      <c r="J76" s="2">
        <f>J10/'Output-Calculation-sheet'!J9*'Output-Calculation-sheet'!J63</f>
        <v>696.22307121868914</v>
      </c>
      <c r="K76" s="2">
        <f>K10/'Output-Calculation-sheet'!K9*'Output-Calculation-sheet'!K63</f>
        <v>960.88726675380394</v>
      </c>
      <c r="L76" s="2">
        <f>L10/'Output-Calculation-sheet'!L9*'Output-Calculation-sheet'!L63</f>
        <v>889.39558877823356</v>
      </c>
      <c r="M76" s="2">
        <f>M10/'Output-Calculation-sheet'!M9*'Output-Calculation-sheet'!M63</f>
        <v>3825.2625492215639</v>
      </c>
      <c r="N76" s="2">
        <f>N10/'Output-Calculation-sheet'!N9*'Output-Calculation-sheet'!N63</f>
        <v>2600.7218272458194</v>
      </c>
      <c r="O76" s="2">
        <f>O10/'Output-Calculation-sheet'!O9*'Output-Calculation-sheet'!O63</f>
        <v>0</v>
      </c>
      <c r="P76" s="2">
        <f>P10/'Output-Calculation-sheet'!P9*'Output-Calculation-sheet'!P63</f>
        <v>751.55086045934365</v>
      </c>
      <c r="Q76" s="2">
        <f>Q10/'Output-Calculation-sheet'!Q9*'Output-Calculation-sheet'!Q63</f>
        <v>330.34061194626003</v>
      </c>
      <c r="R76" s="2">
        <f>R10/'Output-Calculation-sheet'!R9*'Output-Calculation-sheet'!R63</f>
        <v>1098.0067900165143</v>
      </c>
      <c r="S76" s="2">
        <f>S10/'Output-Calculation-sheet'!S9*'Output-Calculation-sheet'!S63</f>
        <v>465.4083208841065</v>
      </c>
      <c r="T76" s="2">
        <f>T10/'Output-Calculation-sheet'!T9*'Output-Calculation-sheet'!T63</f>
        <v>385.61040507312924</v>
      </c>
      <c r="U76" s="2">
        <f>U10/'Output-Calculation-sheet'!U9*'Output-Calculation-sheet'!U63</f>
        <v>189.09487150424459</v>
      </c>
      <c r="V76" s="2">
        <f>V10/'Output-Calculation-sheet'!V9*'Output-Calculation-sheet'!V63</f>
        <v>251.6184095215043</v>
      </c>
      <c r="W76" s="2">
        <f>W10/'Output-Calculation-sheet'!W9*'Output-Calculation-sheet'!W63</f>
        <v>17.539346132580263</v>
      </c>
      <c r="X76" s="2">
        <f>X10/'Output-Calculation-sheet'!X9*'Output-Calculation-sheet'!X63</f>
        <v>365.03555131088888</v>
      </c>
      <c r="Y76" s="2">
        <f>Y10/'Output-Calculation-sheet'!Y9*'Output-Calculation-sheet'!Y63</f>
        <v>5.6240758370961519</v>
      </c>
      <c r="AA76" s="2">
        <f t="shared" si="6"/>
        <v>24.09091441831907</v>
      </c>
    </row>
    <row r="77" spans="1:27" x14ac:dyDescent="0.25">
      <c r="A77" s="2">
        <v>2034</v>
      </c>
      <c r="B77" s="2">
        <f>B11/'Output-Calculation-sheet'!B10*'Output-Calculation-sheet'!B64</f>
        <v>5245.831355799528</v>
      </c>
      <c r="C77" s="2">
        <f>C11/'Output-Calculation-sheet'!C10*'Output-Calculation-sheet'!C64</f>
        <v>0</v>
      </c>
      <c r="D77" s="2">
        <f>D11/'Output-Calculation-sheet'!D10*'Output-Calculation-sheet'!D64</f>
        <v>1863.2385737635989</v>
      </c>
      <c r="E77" s="2">
        <f>E11/'Output-Calculation-sheet'!E10*'Output-Calculation-sheet'!E64</f>
        <v>1303.5647235210004</v>
      </c>
      <c r="F77" s="2">
        <f>F11/'Output-Calculation-sheet'!F10*'Output-Calculation-sheet'!F64</f>
        <v>0</v>
      </c>
      <c r="G77" s="2">
        <f>G11/'Output-Calculation-sheet'!G10*'Output-Calculation-sheet'!G64</f>
        <v>605.50473383854342</v>
      </c>
      <c r="H77" s="2">
        <f>H11/'Output-Calculation-sheet'!H10*'Output-Calculation-sheet'!H64</f>
        <v>5671.4780298329433</v>
      </c>
      <c r="I77" s="2">
        <f>I11/'Output-Calculation-sheet'!I10*'Output-Calculation-sheet'!I64</f>
        <v>321.31712513616475</v>
      </c>
      <c r="J77" s="2">
        <f>J11/'Output-Calculation-sheet'!J10*'Output-Calculation-sheet'!J64</f>
        <v>811.21285465363474</v>
      </c>
      <c r="K77" s="2">
        <f>K11/'Output-Calculation-sheet'!K10*'Output-Calculation-sheet'!K64</f>
        <v>1141.8784924191721</v>
      </c>
      <c r="L77" s="2">
        <f>L11/'Output-Calculation-sheet'!L10*'Output-Calculation-sheet'!L64</f>
        <v>1002.0969106254929</v>
      </c>
      <c r="M77" s="2">
        <f>M11/'Output-Calculation-sheet'!M10*'Output-Calculation-sheet'!M64</f>
        <v>4244.4739210996358</v>
      </c>
      <c r="N77" s="2">
        <f>N11/'Output-Calculation-sheet'!N10*'Output-Calculation-sheet'!N64</f>
        <v>2984.9858605821005</v>
      </c>
      <c r="O77" s="2">
        <f>O11/'Output-Calculation-sheet'!O10*'Output-Calculation-sheet'!O64</f>
        <v>0</v>
      </c>
      <c r="P77" s="2">
        <f>P11/'Output-Calculation-sheet'!P10*'Output-Calculation-sheet'!P64</f>
        <v>873.30406111051445</v>
      </c>
      <c r="Q77" s="2">
        <f>Q11/'Output-Calculation-sheet'!Q10*'Output-Calculation-sheet'!Q64</f>
        <v>533.49216569928114</v>
      </c>
      <c r="R77" s="2">
        <f>R11/'Output-Calculation-sheet'!R10*'Output-Calculation-sheet'!R64</f>
        <v>1229.4040890794836</v>
      </c>
      <c r="S77" s="2">
        <f>S11/'Output-Calculation-sheet'!S10*'Output-Calculation-sheet'!S64</f>
        <v>724.26953027591617</v>
      </c>
      <c r="T77" s="2">
        <f>T11/'Output-Calculation-sheet'!T10*'Output-Calculation-sheet'!T64</f>
        <v>433.32539865520539</v>
      </c>
      <c r="U77" s="2">
        <f>U11/'Output-Calculation-sheet'!U10*'Output-Calculation-sheet'!U64</f>
        <v>225.55123591588944</v>
      </c>
      <c r="V77" s="2">
        <f>V11/'Output-Calculation-sheet'!V10*'Output-Calculation-sheet'!V64</f>
        <v>288.13231014095015</v>
      </c>
      <c r="W77" s="2">
        <f>W11/'Output-Calculation-sheet'!W10*'Output-Calculation-sheet'!W64</f>
        <v>29.557840387604031</v>
      </c>
      <c r="X77" s="2">
        <f>X11/'Output-Calculation-sheet'!X10*'Output-Calculation-sheet'!X64</f>
        <v>398.73311352562405</v>
      </c>
      <c r="Y77" s="2">
        <f>Y11/'Output-Calculation-sheet'!Y10*'Output-Calculation-sheet'!Y64</f>
        <v>9.3002173304898328</v>
      </c>
      <c r="AA77" s="2">
        <f t="shared" si="6"/>
        <v>29.940652543392762</v>
      </c>
    </row>
    <row r="78" spans="1:27" x14ac:dyDescent="0.25">
      <c r="A78" s="2">
        <v>2035</v>
      </c>
      <c r="B78" s="2">
        <f>B12/'Output-Calculation-sheet'!B11*'Output-Calculation-sheet'!B65</f>
        <v>8431.0941329775287</v>
      </c>
      <c r="C78" s="2">
        <f>C12/'Output-Calculation-sheet'!C11*'Output-Calculation-sheet'!C65</f>
        <v>695.84529509552283</v>
      </c>
      <c r="D78" s="2">
        <f>D12/'Output-Calculation-sheet'!D11*'Output-Calculation-sheet'!D65</f>
        <v>2175.6342956655085</v>
      </c>
      <c r="E78" s="2">
        <f>E12/'Output-Calculation-sheet'!E11*'Output-Calculation-sheet'!E65</f>
        <v>1703.4185546078149</v>
      </c>
      <c r="F78" s="2">
        <f>F12/'Output-Calculation-sheet'!F11*'Output-Calculation-sheet'!F65</f>
        <v>77.024432414848533</v>
      </c>
      <c r="G78" s="2">
        <f>G12/'Output-Calculation-sheet'!G11*'Output-Calculation-sheet'!G65</f>
        <v>715.51013485169392</v>
      </c>
      <c r="H78" s="2">
        <f>H12/'Output-Calculation-sheet'!H11*'Output-Calculation-sheet'!H65</f>
        <v>6169.4417344293379</v>
      </c>
      <c r="I78" s="2">
        <f>I12/'Output-Calculation-sheet'!I11*'Output-Calculation-sheet'!I65</f>
        <v>390.65932647087777</v>
      </c>
      <c r="J78" s="2">
        <f>J12/'Output-Calculation-sheet'!J11*'Output-Calculation-sheet'!J65</f>
        <v>934.83872304284171</v>
      </c>
      <c r="K78" s="2">
        <f>K12/'Output-Calculation-sheet'!K11*'Output-Calculation-sheet'!K65</f>
        <v>1258.2305289740054</v>
      </c>
      <c r="L78" s="2">
        <f>L12/'Output-Calculation-sheet'!L11*'Output-Calculation-sheet'!L65</f>
        <v>1137.2438047530488</v>
      </c>
      <c r="M78" s="2">
        <f>M12/'Output-Calculation-sheet'!M11*'Output-Calculation-sheet'!M65</f>
        <v>4623.2836980987795</v>
      </c>
      <c r="N78" s="2">
        <f>N12/'Output-Calculation-sheet'!N11*'Output-Calculation-sheet'!N65</f>
        <v>3354.7232708630959</v>
      </c>
      <c r="O78" s="2">
        <f>O12/'Output-Calculation-sheet'!O11*'Output-Calculation-sheet'!O65</f>
        <v>338.29832010233969</v>
      </c>
      <c r="P78" s="2">
        <f>P12/'Output-Calculation-sheet'!P11*'Output-Calculation-sheet'!P65</f>
        <v>959.19852311789464</v>
      </c>
      <c r="Q78" s="2">
        <f>Q12/'Output-Calculation-sheet'!Q11*'Output-Calculation-sheet'!Q65</f>
        <v>713.08427547798362</v>
      </c>
      <c r="R78" s="2">
        <f>R12/'Output-Calculation-sheet'!R11*'Output-Calculation-sheet'!R65</f>
        <v>1335.88867636441</v>
      </c>
      <c r="S78" s="2">
        <f>S12/'Output-Calculation-sheet'!S11*'Output-Calculation-sheet'!S65</f>
        <v>977.10321996372932</v>
      </c>
      <c r="T78" s="2">
        <f>T12/'Output-Calculation-sheet'!T11*'Output-Calculation-sheet'!T65</f>
        <v>482.16658621689731</v>
      </c>
      <c r="U78" s="2">
        <f>U12/'Output-Calculation-sheet'!U11*'Output-Calculation-sheet'!U65</f>
        <v>259.76859225166982</v>
      </c>
      <c r="V78" s="2">
        <f>V12/'Output-Calculation-sheet'!V11*'Output-Calculation-sheet'!V65</f>
        <v>316.18791055423225</v>
      </c>
      <c r="W78" s="2">
        <f>W12/'Output-Calculation-sheet'!W11*'Output-Calculation-sheet'!W65</f>
        <v>39.421109585651251</v>
      </c>
      <c r="X78" s="2">
        <f>X12/'Output-Calculation-sheet'!X11*'Output-Calculation-sheet'!X65</f>
        <v>437.09403037845237</v>
      </c>
      <c r="Y78" s="2">
        <f>Y12/'Output-Calculation-sheet'!Y11*'Output-Calculation-sheet'!Y65</f>
        <v>13.949619775641535</v>
      </c>
      <c r="AA78" s="2">
        <f t="shared" si="6"/>
        <v>37.539108796033794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13074360471.909452</v>
      </c>
      <c r="C96" s="2">
        <f>C8/'Output-Calculation-sheet'!C7*'Output-Calculation-sheet'!C79</f>
        <v>1272645944.8262136</v>
      </c>
      <c r="D96" s="2">
        <f>D8/'Output-Calculation-sheet'!D7*'Output-Calculation-sheet'!D79</f>
        <v>3350842607.9696684</v>
      </c>
      <c r="E96" s="2">
        <f>E8/'Output-Calculation-sheet'!E7*'Output-Calculation-sheet'!E79</f>
        <v>12062051245.1168</v>
      </c>
      <c r="F96" s="2">
        <f>F8/'Output-Calculation-sheet'!F7*'Output-Calculation-sheet'!F79</f>
        <v>3676865001.9277968</v>
      </c>
      <c r="G96" s="2">
        <f>G8/'Output-Calculation-sheet'!G7*'Output-Calculation-sheet'!G79</f>
        <v>2274713408.6663747</v>
      </c>
      <c r="H96" s="2">
        <f>H8/'Output-Calculation-sheet'!H7*'Output-Calculation-sheet'!H79</f>
        <v>1526117525.6262703</v>
      </c>
      <c r="I96" s="2">
        <f>I8/'Output-Calculation-sheet'!I7*'Output-Calculation-sheet'!I79</f>
        <v>1634877900.3627934</v>
      </c>
      <c r="J96" s="2">
        <f>J8/'Output-Calculation-sheet'!J7*'Output-Calculation-sheet'!J79</f>
        <v>1328955620.1755648</v>
      </c>
      <c r="K96" s="2">
        <f>K8/'Output-Calculation-sheet'!K7*'Output-Calculation-sheet'!K79</f>
        <v>1625398336.1395421</v>
      </c>
      <c r="L96" s="2">
        <f>L8/'Output-Calculation-sheet'!L7*'Output-Calculation-sheet'!L79</f>
        <v>1563158484.6093447</v>
      </c>
      <c r="M96" s="2">
        <f>M8/'Output-Calculation-sheet'!M7*'Output-Calculation-sheet'!M79</f>
        <v>2149154914.7450027</v>
      </c>
      <c r="N96" s="2">
        <f>N8/'Output-Calculation-sheet'!N7*'Output-Calculation-sheet'!N79</f>
        <v>1347379807.5703516</v>
      </c>
      <c r="O96" s="2">
        <f>O8/'Output-Calculation-sheet'!O7*'Output-Calculation-sheet'!O79</f>
        <v>167960324.65117827</v>
      </c>
      <c r="P96" s="2">
        <f>P8/'Output-Calculation-sheet'!P7*'Output-Calculation-sheet'!P79</f>
        <v>2425844115.5632668</v>
      </c>
      <c r="Q96" s="2">
        <f>Q8/'Output-Calculation-sheet'!Q7*'Output-Calculation-sheet'!Q79</f>
        <v>1015161107.6715624</v>
      </c>
      <c r="R96" s="2">
        <f>R8/'Output-Calculation-sheet'!R7*'Output-Calculation-sheet'!R79</f>
        <v>1593856497.9180446</v>
      </c>
      <c r="S96" s="2">
        <f>S8/'Output-Calculation-sheet'!S7*'Output-Calculation-sheet'!S79</f>
        <v>617889838.23673153</v>
      </c>
      <c r="T96" s="2">
        <f>T8/'Output-Calculation-sheet'!T7*'Output-Calculation-sheet'!T79</f>
        <v>562374312.36896491</v>
      </c>
      <c r="U96" s="2">
        <f>U8/'Output-Calculation-sheet'!U7*'Output-Calculation-sheet'!U79</f>
        <v>363276490.03361475</v>
      </c>
      <c r="V96" s="2">
        <f>V8/'Output-Calculation-sheet'!V7*'Output-Calculation-sheet'!V79</f>
        <v>216202167.91048008</v>
      </c>
      <c r="W96" s="2">
        <f>W8/'Output-Calculation-sheet'!W7*'Output-Calculation-sheet'!W79</f>
        <v>596108362.16460133</v>
      </c>
      <c r="X96" s="2">
        <f>X8/'Output-Calculation-sheet'!X7*'Output-Calculation-sheet'!X79</f>
        <v>165643611.0081355</v>
      </c>
      <c r="Y96" s="2">
        <f>Y8/'Output-Calculation-sheet'!Y7*'Output-Calculation-sheet'!Y79</f>
        <v>318196850.70405585</v>
      </c>
      <c r="AA96" s="2">
        <f t="shared" si="8"/>
        <v>54.929034947875806</v>
      </c>
    </row>
    <row r="97" spans="1:27" x14ac:dyDescent="0.25">
      <c r="A97" s="2">
        <v>2032</v>
      </c>
      <c r="B97" s="2">
        <f>B9/'Output-Calculation-sheet'!B8*'Output-Calculation-sheet'!B80</f>
        <v>13980842209.472767</v>
      </c>
      <c r="C97" s="2">
        <f>C9/'Output-Calculation-sheet'!C8*'Output-Calculation-sheet'!C80</f>
        <v>1331125522.5085883</v>
      </c>
      <c r="D97" s="2">
        <f>D9/'Output-Calculation-sheet'!D8*'Output-Calculation-sheet'!D80</f>
        <v>3255474461.2570872</v>
      </c>
      <c r="E97" s="2">
        <f>E9/'Output-Calculation-sheet'!E8*'Output-Calculation-sheet'!E80</f>
        <v>13157443616.356958</v>
      </c>
      <c r="F97" s="2">
        <f>F9/'Output-Calculation-sheet'!F8*'Output-Calculation-sheet'!F80</f>
        <v>3764987531.8062658</v>
      </c>
      <c r="G97" s="2">
        <f>G9/'Output-Calculation-sheet'!G8*'Output-Calculation-sheet'!G80</f>
        <v>2229209590.5089059</v>
      </c>
      <c r="H97" s="2">
        <f>H9/'Output-Calculation-sheet'!H8*'Output-Calculation-sheet'!H80</f>
        <v>1998651603.9446106</v>
      </c>
      <c r="I97" s="2">
        <f>I9/'Output-Calculation-sheet'!I8*'Output-Calculation-sheet'!I80</f>
        <v>1678382142.7503297</v>
      </c>
      <c r="J97" s="2">
        <f>J9/'Output-Calculation-sheet'!J8*'Output-Calculation-sheet'!J80</f>
        <v>1345022681.126435</v>
      </c>
      <c r="K97" s="2">
        <f>K9/'Output-Calculation-sheet'!K8*'Output-Calculation-sheet'!K80</f>
        <v>1616018370.1428668</v>
      </c>
      <c r="L97" s="2">
        <f>L9/'Output-Calculation-sheet'!L8*'Output-Calculation-sheet'!L80</f>
        <v>1656068333.1070523</v>
      </c>
      <c r="M97" s="2">
        <f>M9/'Output-Calculation-sheet'!M8*'Output-Calculation-sheet'!M80</f>
        <v>2294576444.1986561</v>
      </c>
      <c r="N97" s="2">
        <f>N9/'Output-Calculation-sheet'!N8*'Output-Calculation-sheet'!N80</f>
        <v>1442389424.2265019</v>
      </c>
      <c r="O97" s="2">
        <f>O9/'Output-Calculation-sheet'!O8*'Output-Calculation-sheet'!O80</f>
        <v>173357593.39668819</v>
      </c>
      <c r="P97" s="2">
        <f>P9/'Output-Calculation-sheet'!P8*'Output-Calculation-sheet'!P80</f>
        <v>2485338139.7643747</v>
      </c>
      <c r="Q97" s="2">
        <f>Q9/'Output-Calculation-sheet'!Q8*'Output-Calculation-sheet'!Q80</f>
        <v>1056469059.2817028</v>
      </c>
      <c r="R97" s="2">
        <f>R9/'Output-Calculation-sheet'!R8*'Output-Calculation-sheet'!R80</f>
        <v>1665725102.3212326</v>
      </c>
      <c r="S97" s="2">
        <f>S9/'Output-Calculation-sheet'!S8*'Output-Calculation-sheet'!S80</f>
        <v>661166374.97768021</v>
      </c>
      <c r="T97" s="2">
        <f>T9/'Output-Calculation-sheet'!T8*'Output-Calculation-sheet'!T80</f>
        <v>558687897.33168292</v>
      </c>
      <c r="U97" s="2">
        <f>U9/'Output-Calculation-sheet'!U8*'Output-Calculation-sheet'!U80</f>
        <v>367459186.47670585</v>
      </c>
      <c r="V97" s="2">
        <f>V9/'Output-Calculation-sheet'!V8*'Output-Calculation-sheet'!V80</f>
        <v>217696674.0321531</v>
      </c>
      <c r="W97" s="2">
        <f>W9/'Output-Calculation-sheet'!W8*'Output-Calculation-sheet'!W80</f>
        <v>604651670.40413749</v>
      </c>
      <c r="X97" s="2">
        <f>X9/'Output-Calculation-sheet'!X8*'Output-Calculation-sheet'!X80</f>
        <v>239837776.29521054</v>
      </c>
      <c r="Y97" s="2">
        <f>Y9/'Output-Calculation-sheet'!Y8*'Output-Calculation-sheet'!Y80</f>
        <v>330200169.88271224</v>
      </c>
      <c r="AA97" s="2">
        <f t="shared" si="8"/>
        <v>58.110781575571295</v>
      </c>
    </row>
    <row r="98" spans="1:27" x14ac:dyDescent="0.25">
      <c r="A98" s="2">
        <v>2033</v>
      </c>
      <c r="B98" s="2">
        <f>B10/'Output-Calculation-sheet'!B9*'Output-Calculation-sheet'!B81</f>
        <v>14419342246.627544</v>
      </c>
      <c r="C98" s="2">
        <f>C10/'Output-Calculation-sheet'!C9*'Output-Calculation-sheet'!C81</f>
        <v>1345302139.0239122</v>
      </c>
      <c r="D98" s="2">
        <f>D10/'Output-Calculation-sheet'!D9*'Output-Calculation-sheet'!D81</f>
        <v>3049939235.3144073</v>
      </c>
      <c r="E98" s="2">
        <f>E10/'Output-Calculation-sheet'!E9*'Output-Calculation-sheet'!E81</f>
        <v>13838128092.471664</v>
      </c>
      <c r="F98" s="2">
        <f>F10/'Output-Calculation-sheet'!F9*'Output-Calculation-sheet'!F81</f>
        <v>3706878022.6377645</v>
      </c>
      <c r="G98" s="2">
        <f>G10/'Output-Calculation-sheet'!G9*'Output-Calculation-sheet'!G81</f>
        <v>2098994114.2409885</v>
      </c>
      <c r="H98" s="2">
        <f>H10/'Output-Calculation-sheet'!H9*'Output-Calculation-sheet'!H81</f>
        <v>2724443895.2035947</v>
      </c>
      <c r="I98" s="2">
        <f>I10/'Output-Calculation-sheet'!I9*'Output-Calculation-sheet'!I81</f>
        <v>1660437337.4036458</v>
      </c>
      <c r="J98" s="2">
        <f>J10/'Output-Calculation-sheet'!J9*'Output-Calculation-sheet'!J81</f>
        <v>1312929018.0755184</v>
      </c>
      <c r="K98" s="2">
        <f>K10/'Output-Calculation-sheet'!K9*'Output-Calculation-sheet'!K81</f>
        <v>1557454583.9565196</v>
      </c>
      <c r="L98" s="2">
        <f>L10/'Output-Calculation-sheet'!L9*'Output-Calculation-sheet'!L81</f>
        <v>1686174471.7111146</v>
      </c>
      <c r="M98" s="2">
        <f>M10/'Output-Calculation-sheet'!M9*'Output-Calculation-sheet'!M81</f>
        <v>2360456648.7523336</v>
      </c>
      <c r="N98" s="2">
        <f>N10/'Output-Calculation-sheet'!N9*'Output-Calculation-sheet'!N81</f>
        <v>1452587687.9880564</v>
      </c>
      <c r="O98" s="2">
        <f>O10/'Output-Calculation-sheet'!O9*'Output-Calculation-sheet'!O81</f>
        <v>173002303.83700305</v>
      </c>
      <c r="P98" s="2">
        <f>P10/'Output-Calculation-sheet'!P9*'Output-Calculation-sheet'!P81</f>
        <v>2434190667.5386605</v>
      </c>
      <c r="Q98" s="2">
        <f>Q10/'Output-Calculation-sheet'!Q9*'Output-Calculation-sheet'!Q81</f>
        <v>1064205428.5866448</v>
      </c>
      <c r="R98" s="2">
        <f>R10/'Output-Calculation-sheet'!R9*'Output-Calculation-sheet'!R81</f>
        <v>1666199797.6030211</v>
      </c>
      <c r="S98" s="2">
        <f>S10/'Output-Calculation-sheet'!S9*'Output-Calculation-sheet'!S81</f>
        <v>684995537.50658512</v>
      </c>
      <c r="T98" s="2">
        <f>T10/'Output-Calculation-sheet'!T9*'Output-Calculation-sheet'!T81</f>
        <v>534845479.69506955</v>
      </c>
      <c r="U98" s="2">
        <f>U10/'Output-Calculation-sheet'!U9*'Output-Calculation-sheet'!U81</f>
        <v>355563291.57042354</v>
      </c>
      <c r="V98" s="2">
        <f>V10/'Output-Calculation-sheet'!V9*'Output-Calculation-sheet'!V81</f>
        <v>210478366.44957191</v>
      </c>
      <c r="W98" s="2">
        <f>W10/'Output-Calculation-sheet'!W9*'Output-Calculation-sheet'!W81</f>
        <v>585023640.10167134</v>
      </c>
      <c r="X98" s="2">
        <f>X10/'Output-Calculation-sheet'!X9*'Output-Calculation-sheet'!X81</f>
        <v>254333560.89574456</v>
      </c>
      <c r="Y98" s="2">
        <f>Y10/'Output-Calculation-sheet'!Y9*'Output-Calculation-sheet'!Y81</f>
        <v>329228856.03622943</v>
      </c>
      <c r="AA98" s="2">
        <f t="shared" si="8"/>
        <v>59.505134423227702</v>
      </c>
    </row>
    <row r="99" spans="1:27" x14ac:dyDescent="0.25">
      <c r="A99" s="2">
        <v>2034</v>
      </c>
      <c r="B99" s="2">
        <f>B11/'Output-Calculation-sheet'!B10*'Output-Calculation-sheet'!B82</f>
        <v>14756497038.736563</v>
      </c>
      <c r="C99" s="2">
        <f>C11/'Output-Calculation-sheet'!C10*'Output-Calculation-sheet'!C82</f>
        <v>1326738022.8551402</v>
      </c>
      <c r="D99" s="2">
        <f>D11/'Output-Calculation-sheet'!D10*'Output-Calculation-sheet'!D82</f>
        <v>2786306410.2659531</v>
      </c>
      <c r="E99" s="2">
        <f>E11/'Output-Calculation-sheet'!E10*'Output-Calculation-sheet'!E82</f>
        <v>14142283147.097912</v>
      </c>
      <c r="F99" s="2">
        <f>F11/'Output-Calculation-sheet'!F10*'Output-Calculation-sheet'!F82</f>
        <v>3553620297.1488347</v>
      </c>
      <c r="G99" s="2">
        <f>G11/'Output-Calculation-sheet'!G10*'Output-Calculation-sheet'!G82</f>
        <v>1922009001.4417849</v>
      </c>
      <c r="H99" s="2">
        <f>H11/'Output-Calculation-sheet'!H10*'Output-Calculation-sheet'!H82</f>
        <v>2680449393.058126</v>
      </c>
      <c r="I99" s="2">
        <f>I11/'Output-Calculation-sheet'!I10*'Output-Calculation-sheet'!I82</f>
        <v>1603969810.0559521</v>
      </c>
      <c r="J99" s="2">
        <f>J11/'Output-Calculation-sheet'!J10*'Output-Calculation-sheet'!J82</f>
        <v>1251001074.4859178</v>
      </c>
      <c r="K99" s="2">
        <f>K11/'Output-Calculation-sheet'!K10*'Output-Calculation-sheet'!K82</f>
        <v>1456912201.3930471</v>
      </c>
      <c r="L99" s="2">
        <f>L11/'Output-Calculation-sheet'!L10*'Output-Calculation-sheet'!L82</f>
        <v>1675491456.2011132</v>
      </c>
      <c r="M99" s="2">
        <f>M11/'Output-Calculation-sheet'!M10*'Output-Calculation-sheet'!M82</f>
        <v>2376607535.7918711</v>
      </c>
      <c r="N99" s="2">
        <f>N11/'Output-Calculation-sheet'!N10*'Output-Calculation-sheet'!N82</f>
        <v>1422524468.9170759</v>
      </c>
      <c r="O99" s="2">
        <f>O11/'Output-Calculation-sheet'!O10*'Output-Calculation-sheet'!O82</f>
        <v>168507403.36465922</v>
      </c>
      <c r="P99" s="2">
        <f>P11/'Output-Calculation-sheet'!P10*'Output-Calculation-sheet'!P82</f>
        <v>2299977987.9815221</v>
      </c>
      <c r="Q99" s="2">
        <f>Q11/'Output-Calculation-sheet'!Q10*'Output-Calculation-sheet'!Q82</f>
        <v>1048943324.3954036</v>
      </c>
      <c r="R99" s="2">
        <f>R11/'Output-Calculation-sheet'!R10*'Output-Calculation-sheet'!R82</f>
        <v>1621630411.415396</v>
      </c>
      <c r="S99" s="2">
        <f>S11/'Output-Calculation-sheet'!S10*'Output-Calculation-sheet'!S82</f>
        <v>698270882.8577019</v>
      </c>
      <c r="T99" s="2">
        <f>T11/'Output-Calculation-sheet'!T10*'Output-Calculation-sheet'!T82</f>
        <v>497227022.54843134</v>
      </c>
      <c r="U99" s="2">
        <f>U11/'Output-Calculation-sheet'!U10*'Output-Calculation-sheet'!U82</f>
        <v>335233466.32491726</v>
      </c>
      <c r="V99" s="2">
        <f>V11/'Output-Calculation-sheet'!V10*'Output-Calculation-sheet'!V82</f>
        <v>198533985.1204716</v>
      </c>
      <c r="W99" s="2">
        <f>W11/'Output-Calculation-sheet'!W10*'Output-Calculation-sheet'!W82</f>
        <v>549867421.3193723</v>
      </c>
      <c r="X99" s="2">
        <f>X11/'Output-Calculation-sheet'!X10*'Output-Calculation-sheet'!X82</f>
        <v>263653374.18057418</v>
      </c>
      <c r="Y99" s="2">
        <f>Y11/'Output-Calculation-sheet'!Y10*'Output-Calculation-sheet'!Y82</f>
        <v>318102158.83613223</v>
      </c>
      <c r="AA99" s="2">
        <f t="shared" si="8"/>
        <v>58.954357295793884</v>
      </c>
    </row>
    <row r="100" spans="1:27" x14ac:dyDescent="0.25">
      <c r="A100" s="2">
        <v>2035</v>
      </c>
      <c r="B100" s="2">
        <f>B12/'Output-Calculation-sheet'!B11*'Output-Calculation-sheet'!B83</f>
        <v>14764956935.461603</v>
      </c>
      <c r="C100" s="2">
        <f>C12/'Output-Calculation-sheet'!C11*'Output-Calculation-sheet'!C83</f>
        <v>1327942003.8931971</v>
      </c>
      <c r="D100" s="2">
        <f>D12/'Output-Calculation-sheet'!D11*'Output-Calculation-sheet'!D83</f>
        <v>2509286239.6510096</v>
      </c>
      <c r="E100" s="2">
        <f>E12/'Output-Calculation-sheet'!E11*'Output-Calculation-sheet'!E83</f>
        <v>14204868171.211271</v>
      </c>
      <c r="F100" s="2">
        <f>F12/'Output-Calculation-sheet'!F11*'Output-Calculation-sheet'!F83</f>
        <v>3345239783.9841208</v>
      </c>
      <c r="G100" s="2">
        <f>G12/'Output-Calculation-sheet'!G11*'Output-Calculation-sheet'!G83</f>
        <v>1726611716.0143552</v>
      </c>
      <c r="H100" s="2">
        <f>H12/'Output-Calculation-sheet'!H11*'Output-Calculation-sheet'!H83</f>
        <v>2577506442.0553298</v>
      </c>
      <c r="I100" s="2">
        <f>I12/'Output-Calculation-sheet'!I11*'Output-Calculation-sheet'!I83</f>
        <v>1520811196.5707617</v>
      </c>
      <c r="J100" s="2">
        <f>J12/'Output-Calculation-sheet'!J11*'Output-Calculation-sheet'!J83</f>
        <v>1171764528.4012897</v>
      </c>
      <c r="K100" s="2">
        <f>K12/'Output-Calculation-sheet'!K11*'Output-Calculation-sheet'!K83</f>
        <v>1337090817.6990035</v>
      </c>
      <c r="L100" s="2">
        <f>L12/'Output-Calculation-sheet'!L11*'Output-Calculation-sheet'!L83</f>
        <v>1637370147.4195783</v>
      </c>
      <c r="M100" s="2">
        <f>M12/'Output-Calculation-sheet'!M11*'Output-Calculation-sheet'!M83</f>
        <v>2346235504.7775092</v>
      </c>
      <c r="N100" s="2">
        <f>N12/'Output-Calculation-sheet'!N11*'Output-Calculation-sheet'!N83</f>
        <v>1371730270.7814386</v>
      </c>
      <c r="O100" s="2">
        <f>O12/'Output-Calculation-sheet'!O11*'Output-Calculation-sheet'!O83</f>
        <v>176263424.97744671</v>
      </c>
      <c r="P100" s="2">
        <f>P12/'Output-Calculation-sheet'!P11*'Output-Calculation-sheet'!P83</f>
        <v>2106538228.9419634</v>
      </c>
      <c r="Q100" s="2">
        <f>Q12/'Output-Calculation-sheet'!Q11*'Output-Calculation-sheet'!Q83</f>
        <v>1018507700.308267</v>
      </c>
      <c r="R100" s="2">
        <f>R12/'Output-Calculation-sheet'!R11*'Output-Calculation-sheet'!R83</f>
        <v>1547680731.1033411</v>
      </c>
      <c r="S100" s="2">
        <f>S12/'Output-Calculation-sheet'!S11*'Output-Calculation-sheet'!S83</f>
        <v>693198876.88686132</v>
      </c>
      <c r="T100" s="2">
        <f>T12/'Output-Calculation-sheet'!T11*'Output-Calculation-sheet'!T83</f>
        <v>453986143.03739613</v>
      </c>
      <c r="U100" s="2">
        <f>U12/'Output-Calculation-sheet'!U11*'Output-Calculation-sheet'!U83</f>
        <v>308995196.47631544</v>
      </c>
      <c r="V100" s="2">
        <f>V12/'Output-Calculation-sheet'!V11*'Output-Calculation-sheet'!V83</f>
        <v>183680293.27302456</v>
      </c>
      <c r="W100" s="2">
        <f>W12/'Output-Calculation-sheet'!W11*'Output-Calculation-sheet'!W83</f>
        <v>504198697.99589503</v>
      </c>
      <c r="X100" s="2">
        <f>X12/'Output-Calculation-sheet'!X11*'Output-Calculation-sheet'!X83</f>
        <v>268966834.49801946</v>
      </c>
      <c r="Y100" s="2">
        <f>Y12/'Output-Calculation-sheet'!Y11*'Output-Calculation-sheet'!Y83</f>
        <v>301091290.87384117</v>
      </c>
      <c r="AA100" s="2">
        <f t="shared" si="8"/>
        <v>57.404521176292853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6450.3825721906624</v>
      </c>
      <c r="C19" s="2">
        <f>C8/'Output-Calculation-sheet'!C7*'Output-Calculation-sheet'!C25</f>
        <v>9742.2988650350908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5228.5829743358063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1062.9441146112165</v>
      </c>
      <c r="M19" s="2">
        <f>M8/'Output-Calculation-sheet'!M7*'Output-Calculation-sheet'!M25</f>
        <v>6896.2129558835813</v>
      </c>
      <c r="N19" s="2">
        <f>N8/'Output-Calculation-sheet'!N7*'Output-Calculation-sheet'!N25</f>
        <v>3520.7632456976244</v>
      </c>
      <c r="O19" s="2">
        <f>O8/'Output-Calculation-sheet'!O7*'Output-Calculation-sheet'!O25</f>
        <v>1903.0212756098535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673.19842241685365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479.53378524304964</v>
      </c>
      <c r="Y19" s="2">
        <f>Y8/'Output-Calculation-sheet'!Y7*'Output-Calculation-sheet'!Y25</f>
        <v>0</v>
      </c>
      <c r="AA19" s="2">
        <f t="shared" si="0"/>
        <v>35.95693821102374</v>
      </c>
    </row>
    <row r="20" spans="1:27" x14ac:dyDescent="0.25">
      <c r="A20" s="2">
        <v>2032</v>
      </c>
      <c r="B20" s="2">
        <f>B9/'Output-Calculation-sheet'!B8*'Output-Calculation-sheet'!B26</f>
        <v>9272.6686777907962</v>
      </c>
      <c r="C20" s="2">
        <f>C9/'Output-Calculation-sheet'!C8*'Output-Calculation-sheet'!C26</f>
        <v>11486.382750850351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7565.1209056988218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1314.5530591221798</v>
      </c>
      <c r="M20" s="2">
        <f>M9/'Output-Calculation-sheet'!M8*'Output-Calculation-sheet'!M26</f>
        <v>7999.8522144220542</v>
      </c>
      <c r="N20" s="2">
        <f>N9/'Output-Calculation-sheet'!N8*'Output-Calculation-sheet'!N26</f>
        <v>4505.6604017392292</v>
      </c>
      <c r="O20" s="2">
        <f>O9/'Output-Calculation-sheet'!O8*'Output-Calculation-sheet'!O26</f>
        <v>2241.7149394716798</v>
      </c>
      <c r="P20" s="2">
        <f>P9/'Output-Calculation-sheet'!P8*'Output-Calculation-sheet'!P26</f>
        <v>0</v>
      </c>
      <c r="Q20" s="2">
        <f>Q9/'Output-Calculation-sheet'!Q8*'Output-Calculation-sheet'!Q26</f>
        <v>135.48389585668158</v>
      </c>
      <c r="R20" s="2">
        <f>R9/'Output-Calculation-sheet'!R8*'Output-Calculation-sheet'!R26</f>
        <v>0</v>
      </c>
      <c r="S20" s="2">
        <f>S9/'Output-Calculation-sheet'!S8*'Output-Calculation-sheet'!S26</f>
        <v>956.62887026313444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739.63217819257522</v>
      </c>
      <c r="Y20" s="2">
        <f>Y9/'Output-Calculation-sheet'!Y8*'Output-Calculation-sheet'!Y26</f>
        <v>0</v>
      </c>
      <c r="AA20" s="2">
        <f t="shared" si="0"/>
        <v>46.217697893407504</v>
      </c>
    </row>
    <row r="21" spans="1:27" x14ac:dyDescent="0.25">
      <c r="A21" s="2">
        <v>2033</v>
      </c>
      <c r="B21" s="2">
        <f>B10/'Output-Calculation-sheet'!B9*'Output-Calculation-sheet'!B27</f>
        <v>13101.017593313734</v>
      </c>
      <c r="C21" s="2">
        <f>C10/'Output-Calculation-sheet'!C9*'Output-Calculation-sheet'!C27</f>
        <v>13148.777553466205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11527.436699540416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1600.3232244858611</v>
      </c>
      <c r="M21" s="2">
        <f>M10/'Output-Calculation-sheet'!M9*'Output-Calculation-sheet'!M27</f>
        <v>8972.2121689692376</v>
      </c>
      <c r="N21" s="2">
        <f>N10/'Output-Calculation-sheet'!N9*'Output-Calculation-sheet'!N27</f>
        <v>5229.2985783853119</v>
      </c>
      <c r="O21" s="2">
        <f>O10/'Output-Calculation-sheet'!O9*'Output-Calculation-sheet'!O27</f>
        <v>2558.3131617460845</v>
      </c>
      <c r="P21" s="2">
        <f>P10/'Output-Calculation-sheet'!P9*'Output-Calculation-sheet'!P27</f>
        <v>0</v>
      </c>
      <c r="Q21" s="2">
        <f>Q10/'Output-Calculation-sheet'!Q9*'Output-Calculation-sheet'!Q27</f>
        <v>389.66784866292204</v>
      </c>
      <c r="R21" s="2">
        <f>R10/'Output-Calculation-sheet'!R9*'Output-Calculation-sheet'!R27</f>
        <v>0</v>
      </c>
      <c r="S21" s="2">
        <f>S10/'Output-Calculation-sheet'!S9*'Output-Calculation-sheet'!S27</f>
        <v>1328.3382177300264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837.16868514879116</v>
      </c>
      <c r="Y21" s="2">
        <f>Y10/'Output-Calculation-sheet'!Y9*'Output-Calculation-sheet'!Y27</f>
        <v>0</v>
      </c>
      <c r="AA21" s="2">
        <f t="shared" si="0"/>
        <v>58.692553731448584</v>
      </c>
    </row>
    <row r="22" spans="1:27" x14ac:dyDescent="0.25">
      <c r="A22" s="2">
        <v>2034</v>
      </c>
      <c r="B22" s="2">
        <f>B11/'Output-Calculation-sheet'!B10*'Output-Calculation-sheet'!B28</f>
        <v>18090.416817727648</v>
      </c>
      <c r="C22" s="2">
        <f>C11/'Output-Calculation-sheet'!C10*'Output-Calculation-sheet'!C28</f>
        <v>14751.940503966534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12819.021649054979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1888.6634897582849</v>
      </c>
      <c r="M22" s="2">
        <f>M11/'Output-Calculation-sheet'!M10*'Output-Calculation-sheet'!M28</f>
        <v>9961.0321673742565</v>
      </c>
      <c r="N22" s="2">
        <f>N11/'Output-Calculation-sheet'!N10*'Output-Calculation-sheet'!N28</f>
        <v>5974.7377305123746</v>
      </c>
      <c r="O22" s="2">
        <f>O11/'Output-Calculation-sheet'!O10*'Output-Calculation-sheet'!O28</f>
        <v>2852.9586796109861</v>
      </c>
      <c r="P22" s="2">
        <f>P11/'Output-Calculation-sheet'!P10*'Output-Calculation-sheet'!P28</f>
        <v>0</v>
      </c>
      <c r="Q22" s="2">
        <f>Q11/'Output-Calculation-sheet'!Q10*'Output-Calculation-sheet'!Q28</f>
        <v>819.00369742825569</v>
      </c>
      <c r="R22" s="2">
        <f>R11/'Output-Calculation-sheet'!R10*'Output-Calculation-sheet'!R28</f>
        <v>0</v>
      </c>
      <c r="S22" s="2">
        <f>S11/'Output-Calculation-sheet'!S10*'Output-Calculation-sheet'!S28</f>
        <v>1750.3444814398929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931.52016626474301</v>
      </c>
      <c r="Y22" s="2">
        <f>Y11/'Output-Calculation-sheet'!Y10*'Output-Calculation-sheet'!Y28</f>
        <v>0</v>
      </c>
      <c r="AA22" s="2">
        <f t="shared" si="0"/>
        <v>69.83963938313795</v>
      </c>
    </row>
    <row r="23" spans="1:27" x14ac:dyDescent="0.25">
      <c r="A23" s="2">
        <v>2035</v>
      </c>
      <c r="B23" s="2">
        <f>B12/'Output-Calculation-sheet'!B11*'Output-Calculation-sheet'!B29</f>
        <v>23880.602009344366</v>
      </c>
      <c r="C23" s="2">
        <f>C12/'Output-Calculation-sheet'!C11*'Output-Calculation-sheet'!C29</f>
        <v>16740.920997031622</v>
      </c>
      <c r="D23" s="2">
        <f>D12/'Output-Calculation-sheet'!D11*'Output-Calculation-sheet'!D29</f>
        <v>0</v>
      </c>
      <c r="E23" s="2">
        <f>E12/'Output-Calculation-sheet'!E11*'Output-Calculation-sheet'!E29</f>
        <v>218.84566418537554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13979.705254023671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2203.7473866470032</v>
      </c>
      <c r="M23" s="2">
        <f>M12/'Output-Calculation-sheet'!M11*'Output-Calculation-sheet'!M29</f>
        <v>10872.391640448835</v>
      </c>
      <c r="N23" s="2">
        <f>N12/'Output-Calculation-sheet'!N11*'Output-Calculation-sheet'!N29</f>
        <v>6673.8286159692825</v>
      </c>
      <c r="O23" s="2">
        <f>O12/'Output-Calculation-sheet'!O11*'Output-Calculation-sheet'!O29</f>
        <v>3395.0744961091364</v>
      </c>
      <c r="P23" s="2">
        <f>P12/'Output-Calculation-sheet'!P11*'Output-Calculation-sheet'!P29</f>
        <v>0</v>
      </c>
      <c r="Q23" s="2">
        <f>Q12/'Output-Calculation-sheet'!Q11*'Output-Calculation-sheet'!Q29</f>
        <v>1312.3393772356487</v>
      </c>
      <c r="R23" s="2">
        <f>R12/'Output-Calculation-sheet'!R11*'Output-Calculation-sheet'!R29</f>
        <v>0</v>
      </c>
      <c r="S23" s="2">
        <f>S12/'Output-Calculation-sheet'!S11*'Output-Calculation-sheet'!S29</f>
        <v>2224.1698938051086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1027.7429768186337</v>
      </c>
      <c r="Y23" s="2">
        <f>Y12/'Output-Calculation-sheet'!Y11*'Output-Calculation-sheet'!Y29</f>
        <v>0</v>
      </c>
      <c r="AA23" s="2">
        <f t="shared" si="0"/>
        <v>82.529368311618683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30867.041296908006</v>
      </c>
      <c r="C30" s="2">
        <f>C8/'Output-Calculation-sheet'!C7*'Output-Calculation-sheet'!C16</f>
        <v>0</v>
      </c>
      <c r="D30" s="2">
        <f>D8/'Output-Calculation-sheet'!D7*'Output-Calculation-sheet'!D16</f>
        <v>8436.6848505925791</v>
      </c>
      <c r="E30" s="2">
        <f>E8/'Output-Calculation-sheet'!E7*'Output-Calculation-sheet'!E16</f>
        <v>10301.802182832222</v>
      </c>
      <c r="F30" s="2">
        <f>F8/'Output-Calculation-sheet'!F7*'Output-Calculation-sheet'!F16</f>
        <v>4633.4553885101786</v>
      </c>
      <c r="G30" s="2">
        <f>G8/'Output-Calculation-sheet'!G7*'Output-Calculation-sheet'!G16</f>
        <v>2668.1058583743661</v>
      </c>
      <c r="H30" s="2">
        <f>H8/'Output-Calculation-sheet'!H7*'Output-Calculation-sheet'!H16</f>
        <v>0</v>
      </c>
      <c r="I30" s="2">
        <f>I8/'Output-Calculation-sheet'!I7*'Output-Calculation-sheet'!I16</f>
        <v>2831.0946282960649</v>
      </c>
      <c r="J30" s="2">
        <f>J8/'Output-Calculation-sheet'!J7*'Output-Calculation-sheet'!J16</f>
        <v>2879.2197496070585</v>
      </c>
      <c r="K30" s="2">
        <f>K8/'Output-Calculation-sheet'!K7*'Output-Calculation-sheet'!K16</f>
        <v>3751.6001554758896</v>
      </c>
      <c r="L30" s="2">
        <f>L8/'Output-Calculation-sheet'!L7*'Output-Calculation-sheet'!L16</f>
        <v>3409.0559714425294</v>
      </c>
      <c r="M30" s="2">
        <f>M8/'Output-Calculation-sheet'!M7*'Output-Calculation-sheet'!M16</f>
        <v>0</v>
      </c>
      <c r="N30" s="2">
        <f>N8/'Output-Calculation-sheet'!N7*'Output-Calculation-sheet'!N16</f>
        <v>2012.8401925002743</v>
      </c>
      <c r="O30" s="2">
        <f>O8/'Output-Calculation-sheet'!O7*'Output-Calculation-sheet'!O16</f>
        <v>0</v>
      </c>
      <c r="P30" s="2">
        <f>P8/'Output-Calculation-sheet'!P7*'Output-Calculation-sheet'!P16</f>
        <v>3029.3990339609823</v>
      </c>
      <c r="Q30" s="2">
        <f>Q8/'Output-Calculation-sheet'!Q7*'Output-Calculation-sheet'!Q16</f>
        <v>3378.5974760807458</v>
      </c>
      <c r="R30" s="2">
        <f>R8/'Output-Calculation-sheet'!R7*'Output-Calculation-sheet'!R16</f>
        <v>2756.2202952293787</v>
      </c>
      <c r="S30" s="2">
        <f>S8/'Output-Calculation-sheet'!S7*'Output-Calculation-sheet'!S16</f>
        <v>1483.6271406434928</v>
      </c>
      <c r="T30" s="2">
        <f>T8/'Output-Calculation-sheet'!T7*'Output-Calculation-sheet'!T16</f>
        <v>874.07795796371795</v>
      </c>
      <c r="U30" s="2">
        <f>U8/'Output-Calculation-sheet'!U7*'Output-Calculation-sheet'!U16</f>
        <v>699.68360213079825</v>
      </c>
      <c r="V30" s="2">
        <f>V8/'Output-Calculation-sheet'!V7*'Output-Calculation-sheet'!V16</f>
        <v>823.84079440238247</v>
      </c>
      <c r="W30" s="2">
        <f>W8/'Output-Calculation-sheet'!W7*'Output-Calculation-sheet'!W16</f>
        <v>380.17053196221991</v>
      </c>
      <c r="X30" s="2">
        <f>X8/'Output-Calculation-sheet'!X7*'Output-Calculation-sheet'!X16</f>
        <v>0</v>
      </c>
      <c r="Y30" s="2">
        <f>Y8/'Output-Calculation-sheet'!Y7*'Output-Calculation-sheet'!Y16</f>
        <v>292.34422448191071</v>
      </c>
      <c r="AA30" s="2">
        <f t="shared" si="1"/>
        <v>85.508861331394797</v>
      </c>
    </row>
    <row r="31" spans="1:27" x14ac:dyDescent="0.25">
      <c r="A31" s="2">
        <v>2032</v>
      </c>
      <c r="B31" s="2">
        <f>B9/'Output-Calculation-sheet'!B8*'Output-Calculation-sheet'!B17</f>
        <v>34760.511176568158</v>
      </c>
      <c r="C31" s="2">
        <f>C9/'Output-Calculation-sheet'!C8*'Output-Calculation-sheet'!C17</f>
        <v>0</v>
      </c>
      <c r="D31" s="2">
        <f>D9/'Output-Calculation-sheet'!D8*'Output-Calculation-sheet'!D17</f>
        <v>9669.5334354725164</v>
      </c>
      <c r="E31" s="2">
        <f>E9/'Output-Calculation-sheet'!E8*'Output-Calculation-sheet'!E17</f>
        <v>11862.927070425892</v>
      </c>
      <c r="F31" s="2">
        <f>F9/'Output-Calculation-sheet'!F8*'Output-Calculation-sheet'!F17</f>
        <v>5343.0498349842283</v>
      </c>
      <c r="G31" s="2">
        <f>G9/'Output-Calculation-sheet'!G8*'Output-Calculation-sheet'!G17</f>
        <v>3075.3078375729856</v>
      </c>
      <c r="H31" s="2">
        <f>H9/'Output-Calculation-sheet'!H8*'Output-Calculation-sheet'!H17</f>
        <v>0</v>
      </c>
      <c r="I31" s="2">
        <f>I9/'Output-Calculation-sheet'!I8*'Output-Calculation-sheet'!I17</f>
        <v>3260.2015328654866</v>
      </c>
      <c r="J31" s="2">
        <f>J9/'Output-Calculation-sheet'!J8*'Output-Calculation-sheet'!J17</f>
        <v>3307.7560529565185</v>
      </c>
      <c r="K31" s="2">
        <f>K9/'Output-Calculation-sheet'!K8*'Output-Calculation-sheet'!K17</f>
        <v>4302.0236406212007</v>
      </c>
      <c r="L31" s="2">
        <f>L9/'Output-Calculation-sheet'!L8*'Output-Calculation-sheet'!L17</f>
        <v>3891.6819810944362</v>
      </c>
      <c r="M31" s="2">
        <f>M9/'Output-Calculation-sheet'!M8*'Output-Calculation-sheet'!M17</f>
        <v>0</v>
      </c>
      <c r="N31" s="2">
        <f>N9/'Output-Calculation-sheet'!N8*'Output-Calculation-sheet'!N17</f>
        <v>2173.0129652809355</v>
      </c>
      <c r="O31" s="2">
        <f>O9/'Output-Calculation-sheet'!O8*'Output-Calculation-sheet'!O17</f>
        <v>0</v>
      </c>
      <c r="P31" s="2">
        <f>P9/'Output-Calculation-sheet'!P8*'Output-Calculation-sheet'!P17</f>
        <v>3530.6985971749168</v>
      </c>
      <c r="Q31" s="2">
        <f>Q9/'Output-Calculation-sheet'!Q8*'Output-Calculation-sheet'!Q17</f>
        <v>3837.212782468474</v>
      </c>
      <c r="R31" s="2">
        <f>R9/'Output-Calculation-sheet'!R8*'Output-Calculation-sheet'!R17</f>
        <v>3185.4447791855341</v>
      </c>
      <c r="S31" s="2">
        <f>S9/'Output-Calculation-sheet'!S8*'Output-Calculation-sheet'!S17</f>
        <v>1654.8499234643157</v>
      </c>
      <c r="T31" s="2">
        <f>T9/'Output-Calculation-sheet'!T8*'Output-Calculation-sheet'!T17</f>
        <v>1003.5363037835566</v>
      </c>
      <c r="U31" s="2">
        <f>U9/'Output-Calculation-sheet'!U8*'Output-Calculation-sheet'!U17</f>
        <v>806.2484499331008</v>
      </c>
      <c r="V31" s="2">
        <f>V9/'Output-Calculation-sheet'!V8*'Output-Calculation-sheet'!V17</f>
        <v>947.73862689468683</v>
      </c>
      <c r="W31" s="2">
        <f>W9/'Output-Calculation-sheet'!W8*'Output-Calculation-sheet'!W17</f>
        <v>438.36167022225095</v>
      </c>
      <c r="X31" s="2">
        <f>X9/'Output-Calculation-sheet'!X8*'Output-Calculation-sheet'!X17</f>
        <v>0</v>
      </c>
      <c r="Y31" s="2">
        <f>Y9/'Output-Calculation-sheet'!Y8*'Output-Calculation-sheet'!Y17</f>
        <v>337.34758170004113</v>
      </c>
      <c r="AA31" s="2">
        <f t="shared" si="1"/>
        <v>97.387444242669275</v>
      </c>
    </row>
    <row r="32" spans="1:27" x14ac:dyDescent="0.25">
      <c r="A32" s="2">
        <v>2033</v>
      </c>
      <c r="B32" s="2">
        <f>B10/'Output-Calculation-sheet'!B9*'Output-Calculation-sheet'!B18</f>
        <v>37425.870508060201</v>
      </c>
      <c r="C32" s="2">
        <f>C10/'Output-Calculation-sheet'!C9*'Output-Calculation-sheet'!C18</f>
        <v>0</v>
      </c>
      <c r="D32" s="2">
        <f>D10/'Output-Calculation-sheet'!D9*'Output-Calculation-sheet'!D18</f>
        <v>10699.379748464244</v>
      </c>
      <c r="E32" s="2">
        <f>E10/'Output-Calculation-sheet'!E9*'Output-Calculation-sheet'!E18</f>
        <v>13222.958043372233</v>
      </c>
      <c r="F32" s="2">
        <f>F10/'Output-Calculation-sheet'!F9*'Output-Calculation-sheet'!F18</f>
        <v>5948.0292058823698</v>
      </c>
      <c r="G32" s="2">
        <f>G10/'Output-Calculation-sheet'!G9*'Output-Calculation-sheet'!G18</f>
        <v>3422.4584283771128</v>
      </c>
      <c r="H32" s="2">
        <f>H10/'Output-Calculation-sheet'!H9*'Output-Calculation-sheet'!H18</f>
        <v>0</v>
      </c>
      <c r="I32" s="2">
        <f>I10/'Output-Calculation-sheet'!I9*'Output-Calculation-sheet'!I18</f>
        <v>3625.3357601644575</v>
      </c>
      <c r="J32" s="2">
        <f>J10/'Output-Calculation-sheet'!J9*'Output-Calculation-sheet'!J18</f>
        <v>3649.3942149686627</v>
      </c>
      <c r="K32" s="2">
        <f>K10/'Output-Calculation-sheet'!K9*'Output-Calculation-sheet'!K18</f>
        <v>4817.824771557951</v>
      </c>
      <c r="L32" s="2">
        <f>L10/'Output-Calculation-sheet'!L9*'Output-Calculation-sheet'!L18</f>
        <v>4203.824550128089</v>
      </c>
      <c r="M32" s="2">
        <f>M10/'Output-Calculation-sheet'!M9*'Output-Calculation-sheet'!M18</f>
        <v>0</v>
      </c>
      <c r="N32" s="2">
        <f>N10/'Output-Calculation-sheet'!N9*'Output-Calculation-sheet'!N18</f>
        <v>2358.2043043652188</v>
      </c>
      <c r="O32" s="2">
        <f>O10/'Output-Calculation-sheet'!O9*'Output-Calculation-sheet'!O18</f>
        <v>0</v>
      </c>
      <c r="P32" s="2">
        <f>P10/'Output-Calculation-sheet'!P9*'Output-Calculation-sheet'!P18</f>
        <v>3964.0288885880032</v>
      </c>
      <c r="Q32" s="2">
        <f>Q10/'Output-Calculation-sheet'!Q9*'Output-Calculation-sheet'!Q18</f>
        <v>4178.1399744436567</v>
      </c>
      <c r="R32" s="2">
        <f>R10/'Output-Calculation-sheet'!R9*'Output-Calculation-sheet'!R18</f>
        <v>3540.5538541285737</v>
      </c>
      <c r="S32" s="2">
        <f>S10/'Output-Calculation-sheet'!S9*'Output-Calculation-sheet'!S18</f>
        <v>1767.0410272683562</v>
      </c>
      <c r="T32" s="2">
        <f>T10/'Output-Calculation-sheet'!T9*'Output-Calculation-sheet'!T18</f>
        <v>1115.2142760151482</v>
      </c>
      <c r="U32" s="2">
        <f>U10/'Output-Calculation-sheet'!U9*'Output-Calculation-sheet'!U18</f>
        <v>894.18301294460002</v>
      </c>
      <c r="V32" s="2">
        <f>V10/'Output-Calculation-sheet'!V9*'Output-Calculation-sheet'!V18</f>
        <v>1040.4262627807202</v>
      </c>
      <c r="W32" s="2">
        <f>W10/'Output-Calculation-sheet'!W9*'Output-Calculation-sheet'!W18</f>
        <v>485.57080308746134</v>
      </c>
      <c r="X32" s="2">
        <f>X10/'Output-Calculation-sheet'!X9*'Output-Calculation-sheet'!X18</f>
        <v>0</v>
      </c>
      <c r="Y32" s="2">
        <f>Y10/'Output-Calculation-sheet'!Y9*'Output-Calculation-sheet'!Y18</f>
        <v>375.61249658647102</v>
      </c>
      <c r="AA32" s="2">
        <f t="shared" si="1"/>
        <v>106.73405013118352</v>
      </c>
    </row>
    <row r="33" spans="1:27" x14ac:dyDescent="0.25">
      <c r="A33" s="2">
        <v>2034</v>
      </c>
      <c r="B33" s="2">
        <f>B11/'Output-Calculation-sheet'!B10*'Output-Calculation-sheet'!B19</f>
        <v>39961.214774772656</v>
      </c>
      <c r="C33" s="2">
        <f>C11/'Output-Calculation-sheet'!C10*'Output-Calculation-sheet'!C19</f>
        <v>0</v>
      </c>
      <c r="D33" s="2">
        <f>D11/'Output-Calculation-sheet'!D10*'Output-Calculation-sheet'!D19</f>
        <v>11565.364132913424</v>
      </c>
      <c r="E33" s="2">
        <f>E11/'Output-Calculation-sheet'!E10*'Output-Calculation-sheet'!E19</f>
        <v>14386.620817742743</v>
      </c>
      <c r="F33" s="2">
        <f>F11/'Output-Calculation-sheet'!F10*'Output-Calculation-sheet'!F19</f>
        <v>6473.5224370619826</v>
      </c>
      <c r="G33" s="2">
        <f>G11/'Output-Calculation-sheet'!G10*'Output-Calculation-sheet'!G19</f>
        <v>3714.1842859209119</v>
      </c>
      <c r="H33" s="2">
        <f>H11/'Output-Calculation-sheet'!H10*'Output-Calculation-sheet'!H19</f>
        <v>0</v>
      </c>
      <c r="I33" s="2">
        <f>I11/'Output-Calculation-sheet'!I10*'Output-Calculation-sheet'!I19</f>
        <v>3949.9280077702897</v>
      </c>
      <c r="J33" s="2">
        <f>J11/'Output-Calculation-sheet'!J10*'Output-Calculation-sheet'!J19</f>
        <v>3953.2552061038909</v>
      </c>
      <c r="K33" s="2">
        <f>K11/'Output-Calculation-sheet'!K10*'Output-Calculation-sheet'!K19</f>
        <v>5191.1775903048656</v>
      </c>
      <c r="L33" s="2">
        <f>L11/'Output-Calculation-sheet'!L10*'Output-Calculation-sheet'!L19</f>
        <v>4460.4217874237038</v>
      </c>
      <c r="M33" s="2">
        <f>M11/'Output-Calculation-sheet'!M10*'Output-Calculation-sheet'!M19</f>
        <v>0</v>
      </c>
      <c r="N33" s="2">
        <f>N11/'Output-Calculation-sheet'!N10*'Output-Calculation-sheet'!N19</f>
        <v>2435.0564787305898</v>
      </c>
      <c r="O33" s="2">
        <f>O11/'Output-Calculation-sheet'!O10*'Output-Calculation-sheet'!O19</f>
        <v>0</v>
      </c>
      <c r="P33" s="2">
        <f>P11/'Output-Calculation-sheet'!P10*'Output-Calculation-sheet'!P19</f>
        <v>4357.096801532598</v>
      </c>
      <c r="Q33" s="2">
        <f>Q11/'Output-Calculation-sheet'!Q10*'Output-Calculation-sheet'!Q19</f>
        <v>4346.9217497787004</v>
      </c>
      <c r="R33" s="2">
        <f>R11/'Output-Calculation-sheet'!R10*'Output-Calculation-sheet'!R19</f>
        <v>3840.6967703648156</v>
      </c>
      <c r="S33" s="2">
        <f>S11/'Output-Calculation-sheet'!S10*'Output-Calculation-sheet'!S19</f>
        <v>1872.0088501332064</v>
      </c>
      <c r="T33" s="2">
        <f>T11/'Output-Calculation-sheet'!T10*'Output-Calculation-sheet'!T19</f>
        <v>1213.3862806519217</v>
      </c>
      <c r="U33" s="2">
        <f>U11/'Output-Calculation-sheet'!U10*'Output-Calculation-sheet'!U19</f>
        <v>978.93830820287985</v>
      </c>
      <c r="V33" s="2">
        <f>V11/'Output-Calculation-sheet'!V10*'Output-Calculation-sheet'!V19</f>
        <v>1123.4070810227176</v>
      </c>
      <c r="W33" s="2">
        <f>W11/'Output-Calculation-sheet'!W10*'Output-Calculation-sheet'!W19</f>
        <v>528.79752489466921</v>
      </c>
      <c r="X33" s="2">
        <f>X11/'Output-Calculation-sheet'!X10*'Output-Calculation-sheet'!X19</f>
        <v>0</v>
      </c>
      <c r="Y33" s="2">
        <f>Y11/'Output-Calculation-sheet'!Y10*'Output-Calculation-sheet'!Y19</f>
        <v>408.89148595344744</v>
      </c>
      <c r="AA33" s="2">
        <f t="shared" si="1"/>
        <v>114.76089037128001</v>
      </c>
    </row>
    <row r="34" spans="1:27" x14ac:dyDescent="0.25">
      <c r="A34" s="2">
        <v>2035</v>
      </c>
      <c r="B34" s="2">
        <f>B12/'Output-Calculation-sheet'!B11*'Output-Calculation-sheet'!B20</f>
        <v>41240.653232736026</v>
      </c>
      <c r="C34" s="2">
        <f>C12/'Output-Calculation-sheet'!C11*'Output-Calculation-sheet'!C20</f>
        <v>0</v>
      </c>
      <c r="D34" s="2">
        <f>D12/'Output-Calculation-sheet'!D11*'Output-Calculation-sheet'!D20</f>
        <v>12431.428323846674</v>
      </c>
      <c r="E34" s="2">
        <f>E12/'Output-Calculation-sheet'!E11*'Output-Calculation-sheet'!E20</f>
        <v>15304.003532114006</v>
      </c>
      <c r="F34" s="2">
        <f>F12/'Output-Calculation-sheet'!F11*'Output-Calculation-sheet'!F20</f>
        <v>6949.5356980552488</v>
      </c>
      <c r="G34" s="2">
        <f>G12/'Output-Calculation-sheet'!G11*'Output-Calculation-sheet'!G20</f>
        <v>3981.8522976231889</v>
      </c>
      <c r="H34" s="2">
        <f>H12/'Output-Calculation-sheet'!H11*'Output-Calculation-sheet'!H20</f>
        <v>0</v>
      </c>
      <c r="I34" s="2">
        <f>I12/'Output-Calculation-sheet'!I11*'Output-Calculation-sheet'!I20</f>
        <v>4248.1818075262527</v>
      </c>
      <c r="J34" s="2">
        <f>J12/'Output-Calculation-sheet'!J11*'Output-Calculation-sheet'!J20</f>
        <v>4228.498352021651</v>
      </c>
      <c r="K34" s="2">
        <f>K12/'Output-Calculation-sheet'!K11*'Output-Calculation-sheet'!K20</f>
        <v>5552.3190735946837</v>
      </c>
      <c r="L34" s="2">
        <f>L12/'Output-Calculation-sheet'!L11*'Output-Calculation-sheet'!L20</f>
        <v>4703.6670798934811</v>
      </c>
      <c r="M34" s="2">
        <f>M12/'Output-Calculation-sheet'!M11*'Output-Calculation-sheet'!M20</f>
        <v>0</v>
      </c>
      <c r="N34" s="2">
        <f>N12/'Output-Calculation-sheet'!N11*'Output-Calculation-sheet'!N20</f>
        <v>2559.6631191214224</v>
      </c>
      <c r="O34" s="2">
        <f>O12/'Output-Calculation-sheet'!O11*'Output-Calculation-sheet'!O20</f>
        <v>0</v>
      </c>
      <c r="P34" s="2">
        <f>P12/'Output-Calculation-sheet'!P11*'Output-Calculation-sheet'!P20</f>
        <v>4687.8298170363141</v>
      </c>
      <c r="Q34" s="2">
        <f>Q12/'Output-Calculation-sheet'!Q11*'Output-Calculation-sheet'!Q20</f>
        <v>4477.8613774012483</v>
      </c>
      <c r="R34" s="2">
        <f>R12/'Output-Calculation-sheet'!R11*'Output-Calculation-sheet'!R20</f>
        <v>4119.4176363329743</v>
      </c>
      <c r="S34" s="2">
        <f>S12/'Output-Calculation-sheet'!S11*'Output-Calculation-sheet'!S20</f>
        <v>1924.0209579265286</v>
      </c>
      <c r="T34" s="2">
        <f>T12/'Output-Calculation-sheet'!T11*'Output-Calculation-sheet'!T20</f>
        <v>1300.1773963977669</v>
      </c>
      <c r="U34" s="2">
        <f>U12/'Output-Calculation-sheet'!U11*'Output-Calculation-sheet'!U20</f>
        <v>1047.2667110435934</v>
      </c>
      <c r="V34" s="2">
        <f>V12/'Output-Calculation-sheet'!V11*'Output-Calculation-sheet'!V20</f>
        <v>1202.2557705691083</v>
      </c>
      <c r="W34" s="2">
        <f>W12/'Output-Calculation-sheet'!W11*'Output-Calculation-sheet'!W20</f>
        <v>568.0571962367743</v>
      </c>
      <c r="X34" s="2">
        <f>X12/'Output-Calculation-sheet'!X11*'Output-Calculation-sheet'!X20</f>
        <v>0</v>
      </c>
      <c r="Y34" s="2">
        <f>Y12/'Output-Calculation-sheet'!Y11*'Output-Calculation-sheet'!Y20</f>
        <v>441.1435454257844</v>
      </c>
      <c r="AA34" s="2">
        <f t="shared" si="1"/>
        <v>120.96783292490274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1363.9575483046335</v>
      </c>
      <c r="C52" s="2">
        <f>C8/'Output-Calculation-sheet'!C7*'Output-Calculation-sheet'!C43</f>
        <v>0</v>
      </c>
      <c r="D52" s="2">
        <f>D8/'Output-Calculation-sheet'!D7*'Output-Calculation-sheet'!D43</f>
        <v>2962.8560627194347</v>
      </c>
      <c r="E52" s="2">
        <f>E8/'Output-Calculation-sheet'!E7*'Output-Calculation-sheet'!E43</f>
        <v>2126.807994922081</v>
      </c>
      <c r="F52" s="2">
        <f>F8/'Output-Calculation-sheet'!F7*'Output-Calculation-sheet'!F43</f>
        <v>0</v>
      </c>
      <c r="G52" s="2">
        <f>G8/'Output-Calculation-sheet'!G7*'Output-Calculation-sheet'!G43</f>
        <v>754.27363930347929</v>
      </c>
      <c r="H52" s="2">
        <f>H8/'Output-Calculation-sheet'!H7*'Output-Calculation-sheet'!H43</f>
        <v>5779.0912341396233</v>
      </c>
      <c r="I52" s="2">
        <f>I8/'Output-Calculation-sheet'!I7*'Output-Calculation-sheet'!I43</f>
        <v>246.6996746039901</v>
      </c>
      <c r="J52" s="2">
        <f>J8/'Output-Calculation-sheet'!J7*'Output-Calculation-sheet'!J43</f>
        <v>1342.8342517935871</v>
      </c>
      <c r="K52" s="2">
        <f>K8/'Output-Calculation-sheet'!K7*'Output-Calculation-sheet'!K43</f>
        <v>2697.444792313474</v>
      </c>
      <c r="L52" s="2">
        <f>L8/'Output-Calculation-sheet'!L7*'Output-Calculation-sheet'!L43</f>
        <v>2506.3752759163494</v>
      </c>
      <c r="M52" s="2">
        <f>M8/'Output-Calculation-sheet'!M7*'Output-Calculation-sheet'!M43</f>
        <v>16363.399335920372</v>
      </c>
      <c r="N52" s="2">
        <f>N8/'Output-Calculation-sheet'!N7*'Output-Calculation-sheet'!N43</f>
        <v>9366.5397521829036</v>
      </c>
      <c r="O52" s="2">
        <f>O8/'Output-Calculation-sheet'!O7*'Output-Calculation-sheet'!O43</f>
        <v>0</v>
      </c>
      <c r="P52" s="2">
        <f>P8/'Output-Calculation-sheet'!P7*'Output-Calculation-sheet'!P43</f>
        <v>1992.0564093694425</v>
      </c>
      <c r="Q52" s="2">
        <f>Q8/'Output-Calculation-sheet'!Q7*'Output-Calculation-sheet'!Q43</f>
        <v>452.63657515731279</v>
      </c>
      <c r="R52" s="2">
        <f>R8/'Output-Calculation-sheet'!R7*'Output-Calculation-sheet'!R43</f>
        <v>3630.0209939506217</v>
      </c>
      <c r="S52" s="2">
        <f>S8/'Output-Calculation-sheet'!S7*'Output-Calculation-sheet'!S43</f>
        <v>605.16268559391256</v>
      </c>
      <c r="T52" s="2">
        <f>T8/'Output-Calculation-sheet'!T7*'Output-Calculation-sheet'!T43</f>
        <v>1075.8282454409784</v>
      </c>
      <c r="U52" s="2">
        <f>U8/'Output-Calculation-sheet'!U7*'Output-Calculation-sheet'!U43</f>
        <v>401.86079759107508</v>
      </c>
      <c r="V52" s="2">
        <f>V8/'Output-Calculation-sheet'!V7*'Output-Calculation-sheet'!V43</f>
        <v>1050.6567720142752</v>
      </c>
      <c r="W52" s="2">
        <f>W8/'Output-Calculation-sheet'!W7*'Output-Calculation-sheet'!W43</f>
        <v>12.577738521197876</v>
      </c>
      <c r="X52" s="2">
        <f>X8/'Output-Calculation-sheet'!X7*'Output-Calculation-sheet'!X43</f>
        <v>852.42427893132606</v>
      </c>
      <c r="Y52" s="2">
        <f>Y8/'Output-Calculation-sheet'!Y7*'Output-Calculation-sheet'!Y43</f>
        <v>0</v>
      </c>
      <c r="AA52" s="2">
        <f t="shared" si="3"/>
        <v>55.583504058690082</v>
      </c>
    </row>
    <row r="53" spans="1:27" x14ac:dyDescent="0.25">
      <c r="A53" s="2">
        <v>2032</v>
      </c>
      <c r="B53" s="2">
        <f>B9/'Output-Calculation-sheet'!B8*'Output-Calculation-sheet'!B44</f>
        <v>4955.02038693962</v>
      </c>
      <c r="C53" s="2">
        <f>C9/'Output-Calculation-sheet'!C8*'Output-Calculation-sheet'!C44</f>
        <v>0</v>
      </c>
      <c r="D53" s="2">
        <f>D9/'Output-Calculation-sheet'!D8*'Output-Calculation-sheet'!D44</f>
        <v>4385.8229191724668</v>
      </c>
      <c r="E53" s="2">
        <f>E9/'Output-Calculation-sheet'!E8*'Output-Calculation-sheet'!E44</f>
        <v>2875.5864881521284</v>
      </c>
      <c r="F53" s="2">
        <f>F9/'Output-Calculation-sheet'!F8*'Output-Calculation-sheet'!F44</f>
        <v>0</v>
      </c>
      <c r="G53" s="2">
        <f>G9/'Output-Calculation-sheet'!G8*'Output-Calculation-sheet'!G44</f>
        <v>1061.9700160442856</v>
      </c>
      <c r="H53" s="2">
        <f>H9/'Output-Calculation-sheet'!H8*'Output-Calculation-sheet'!H44</f>
        <v>13335.846509867122</v>
      </c>
      <c r="I53" s="2">
        <f>I9/'Output-Calculation-sheet'!I8*'Output-Calculation-sheet'!I44</f>
        <v>389.14684731889787</v>
      </c>
      <c r="J53" s="2">
        <f>J9/'Output-Calculation-sheet'!J8*'Output-Calculation-sheet'!J44</f>
        <v>1785.5916709088281</v>
      </c>
      <c r="K53" s="2">
        <f>K9/'Output-Calculation-sheet'!K8*'Output-Calculation-sheet'!K44</f>
        <v>3233.6108122476053</v>
      </c>
      <c r="L53" s="2">
        <f>L9/'Output-Calculation-sheet'!L8*'Output-Calculation-sheet'!L44</f>
        <v>3151.8087101169058</v>
      </c>
      <c r="M53" s="2">
        <f>M9/'Output-Calculation-sheet'!M8*'Output-Calculation-sheet'!M44</f>
        <v>18955.753200406212</v>
      </c>
      <c r="N53" s="2">
        <f>N9/'Output-Calculation-sheet'!N8*'Output-Calculation-sheet'!N44</f>
        <v>12626.455347361625</v>
      </c>
      <c r="O53" s="2">
        <f>O9/'Output-Calculation-sheet'!O8*'Output-Calculation-sheet'!O44</f>
        <v>0</v>
      </c>
      <c r="P53" s="2">
        <f>P9/'Output-Calculation-sheet'!P8*'Output-Calculation-sheet'!P44</f>
        <v>2618.5768608190674</v>
      </c>
      <c r="Q53" s="2">
        <f>Q9/'Output-Calculation-sheet'!Q8*'Output-Calculation-sheet'!Q44</f>
        <v>790.19102732608815</v>
      </c>
      <c r="R53" s="2">
        <f>R9/'Output-Calculation-sheet'!R8*'Output-Calculation-sheet'!R44</f>
        <v>4433.0601526521386</v>
      </c>
      <c r="S53" s="2">
        <f>S9/'Output-Calculation-sheet'!S8*'Output-Calculation-sheet'!S44</f>
        <v>1285.0966093740669</v>
      </c>
      <c r="T53" s="2">
        <f>T9/'Output-Calculation-sheet'!T8*'Output-Calculation-sheet'!T44</f>
        <v>1317.0311284209677</v>
      </c>
      <c r="U53" s="2">
        <f>U9/'Output-Calculation-sheet'!U8*'Output-Calculation-sheet'!U44</f>
        <v>569.06909515854193</v>
      </c>
      <c r="V53" s="2">
        <f>V9/'Output-Calculation-sheet'!V8*'Output-Calculation-sheet'!V44</f>
        <v>1227.5399795091357</v>
      </c>
      <c r="W53" s="2">
        <f>W9/'Output-Calculation-sheet'!W8*'Output-Calculation-sheet'!W44</f>
        <v>33.66833104625583</v>
      </c>
      <c r="X53" s="2">
        <f>X9/'Output-Calculation-sheet'!X8*'Output-Calculation-sheet'!X44</f>
        <v>1823.5110243357833</v>
      </c>
      <c r="Y53" s="2">
        <f>Y9/'Output-Calculation-sheet'!Y8*'Output-Calculation-sheet'!Y44</f>
        <v>0</v>
      </c>
      <c r="AA53" s="2">
        <f t="shared" si="3"/>
        <v>80.854357117177742</v>
      </c>
    </row>
    <row r="54" spans="1:27" x14ac:dyDescent="0.25">
      <c r="A54" s="2">
        <v>2033</v>
      </c>
      <c r="B54" s="2">
        <f>B10/'Output-Calculation-sheet'!B9*'Output-Calculation-sheet'!B45</f>
        <v>10680.569592433803</v>
      </c>
      <c r="C54" s="2">
        <f>C10/'Output-Calculation-sheet'!C9*'Output-Calculation-sheet'!C45</f>
        <v>0</v>
      </c>
      <c r="D54" s="2">
        <f>D10/'Output-Calculation-sheet'!D9*'Output-Calculation-sheet'!D45</f>
        <v>6068.2288526776865</v>
      </c>
      <c r="E54" s="2">
        <f>E10/'Output-Calculation-sheet'!E9*'Output-Calculation-sheet'!E45</f>
        <v>4051.003609386576</v>
      </c>
      <c r="F54" s="2">
        <f>F10/'Output-Calculation-sheet'!F9*'Output-Calculation-sheet'!F45</f>
        <v>0</v>
      </c>
      <c r="G54" s="2">
        <f>G10/'Output-Calculation-sheet'!G9*'Output-Calculation-sheet'!G45</f>
        <v>1436.6906850919036</v>
      </c>
      <c r="H54" s="2">
        <f>H10/'Output-Calculation-sheet'!H9*'Output-Calculation-sheet'!H45</f>
        <v>28510.188269969163</v>
      </c>
      <c r="I54" s="2">
        <f>I10/'Output-Calculation-sheet'!I9*'Output-Calculation-sheet'!I45</f>
        <v>587.37158845636156</v>
      </c>
      <c r="J54" s="2">
        <f>J10/'Output-Calculation-sheet'!J9*'Output-Calculation-sheet'!J45</f>
        <v>2402.7274509451845</v>
      </c>
      <c r="K54" s="2">
        <f>K10/'Output-Calculation-sheet'!K9*'Output-Calculation-sheet'!K45</f>
        <v>4079.5429553944446</v>
      </c>
      <c r="L54" s="2">
        <f>L10/'Output-Calculation-sheet'!L9*'Output-Calculation-sheet'!L45</f>
        <v>3886.508003015726</v>
      </c>
      <c r="M54" s="2">
        <f>M10/'Output-Calculation-sheet'!M9*'Output-Calculation-sheet'!M45</f>
        <v>21213.922144576311</v>
      </c>
      <c r="N54" s="2">
        <f>N10/'Output-Calculation-sheet'!N9*'Output-Calculation-sheet'!N45</f>
        <v>14860.175408196505</v>
      </c>
      <c r="O54" s="2">
        <f>O10/'Output-Calculation-sheet'!O9*'Output-Calculation-sheet'!O45</f>
        <v>0</v>
      </c>
      <c r="P54" s="2">
        <f>P10/'Output-Calculation-sheet'!P9*'Output-Calculation-sheet'!P45</f>
        <v>3372.744600766182</v>
      </c>
      <c r="Q54" s="2">
        <f>Q10/'Output-Calculation-sheet'!Q9*'Output-Calculation-sheet'!Q45</f>
        <v>1299.4759270488005</v>
      </c>
      <c r="R54" s="2">
        <f>R10/'Output-Calculation-sheet'!R9*'Output-Calculation-sheet'!R45</f>
        <v>5005.9977358940268</v>
      </c>
      <c r="S54" s="2">
        <f>S10/'Output-Calculation-sheet'!S9*'Output-Calculation-sheet'!S45</f>
        <v>2223.5980209158042</v>
      </c>
      <c r="T54" s="2">
        <f>T10/'Output-Calculation-sheet'!T9*'Output-Calculation-sheet'!T45</f>
        <v>1613.6614673298482</v>
      </c>
      <c r="U54" s="2">
        <f>U10/'Output-Calculation-sheet'!U9*'Output-Calculation-sheet'!U45</f>
        <v>725.5713855739217</v>
      </c>
      <c r="V54" s="2">
        <f>V10/'Output-Calculation-sheet'!V9*'Output-Calculation-sheet'!V45</f>
        <v>1407.9255798564343</v>
      </c>
      <c r="W54" s="2">
        <f>W10/'Output-Calculation-sheet'!W9*'Output-Calculation-sheet'!W45</f>
        <v>47.914493709771754</v>
      </c>
      <c r="X54" s="2">
        <f>X10/'Output-Calculation-sheet'!X9*'Output-Calculation-sheet'!X45</f>
        <v>2043.8781872115512</v>
      </c>
      <c r="Y54" s="2">
        <f>Y10/'Output-Calculation-sheet'!Y9*'Output-Calculation-sheet'!Y45</f>
        <v>15.361217756685384</v>
      </c>
      <c r="AA54" s="2">
        <f t="shared" si="3"/>
        <v>115.53305717620668</v>
      </c>
    </row>
    <row r="55" spans="1:27" x14ac:dyDescent="0.25">
      <c r="A55" s="2">
        <v>2034</v>
      </c>
      <c r="B55" s="2">
        <f>B11/'Output-Calculation-sheet'!B10*'Output-Calculation-sheet'!B46</f>
        <v>23453.435805178451</v>
      </c>
      <c r="C55" s="2">
        <f>C11/'Output-Calculation-sheet'!C10*'Output-Calculation-sheet'!C46</f>
        <v>0</v>
      </c>
      <c r="D55" s="2">
        <f>D11/'Output-Calculation-sheet'!D10*'Output-Calculation-sheet'!D46</f>
        <v>7494.0972145609121</v>
      </c>
      <c r="E55" s="2">
        <f>E11/'Output-Calculation-sheet'!E10*'Output-Calculation-sheet'!E46</f>
        <v>4910.9297060282297</v>
      </c>
      <c r="F55" s="2">
        <f>F11/'Output-Calculation-sheet'!F10*'Output-Calculation-sheet'!F46</f>
        <v>0</v>
      </c>
      <c r="G55" s="2">
        <f>G11/'Output-Calculation-sheet'!G10*'Output-Calculation-sheet'!G46</f>
        <v>1886.5218843564162</v>
      </c>
      <c r="H55" s="2">
        <f>H11/'Output-Calculation-sheet'!H10*'Output-Calculation-sheet'!H46</f>
        <v>31205.174325241205</v>
      </c>
      <c r="I55" s="2">
        <f>I11/'Output-Calculation-sheet'!I10*'Output-Calculation-sheet'!I46</f>
        <v>848.40690073894143</v>
      </c>
      <c r="J55" s="2">
        <f>J11/'Output-Calculation-sheet'!J10*'Output-Calculation-sheet'!J46</f>
        <v>2938.7549984311831</v>
      </c>
      <c r="K55" s="2">
        <f>K11/'Output-Calculation-sheet'!K10*'Output-Calculation-sheet'!K46</f>
        <v>5003.1026241583795</v>
      </c>
      <c r="L55" s="2">
        <f>L11/'Output-Calculation-sheet'!L10*'Output-Calculation-sheet'!L46</f>
        <v>4773.8729598945592</v>
      </c>
      <c r="M55" s="2">
        <f>M11/'Output-Calculation-sheet'!M10*'Output-Calculation-sheet'!M46</f>
        <v>23169.870244077018</v>
      </c>
      <c r="N55" s="2">
        <f>N11/'Output-Calculation-sheet'!N10*'Output-Calculation-sheet'!N46</f>
        <v>17056.024467811461</v>
      </c>
      <c r="O55" s="2">
        <f>O11/'Output-Calculation-sheet'!O10*'Output-Calculation-sheet'!O46</f>
        <v>0</v>
      </c>
      <c r="P55" s="2">
        <f>P11/'Output-Calculation-sheet'!P10*'Output-Calculation-sheet'!P46</f>
        <v>3967.7180797625224</v>
      </c>
      <c r="Q55" s="2">
        <f>Q11/'Output-Calculation-sheet'!Q10*'Output-Calculation-sheet'!Q46</f>
        <v>2219.8890420492835</v>
      </c>
      <c r="R55" s="2">
        <f>R11/'Output-Calculation-sheet'!R10*'Output-Calculation-sheet'!R46</f>
        <v>5557.2782850937847</v>
      </c>
      <c r="S55" s="2">
        <f>S11/'Output-Calculation-sheet'!S10*'Output-Calculation-sheet'!S46</f>
        <v>3577.8428411776563</v>
      </c>
      <c r="T55" s="2">
        <f>T11/'Output-Calculation-sheet'!T10*'Output-Calculation-sheet'!T46</f>
        <v>1837.4858750100725</v>
      </c>
      <c r="U55" s="2">
        <f>U11/'Output-Calculation-sheet'!U10*'Output-Calculation-sheet'!U46</f>
        <v>872.39395710496194</v>
      </c>
      <c r="V55" s="2">
        <f>V11/'Output-Calculation-sheet'!V10*'Output-Calculation-sheet'!V46</f>
        <v>1605.1431871897064</v>
      </c>
      <c r="W55" s="2">
        <f>W11/'Output-Calculation-sheet'!W10*'Output-Calculation-sheet'!W46</f>
        <v>80.743012700957266</v>
      </c>
      <c r="X55" s="2">
        <f>X11/'Output-Calculation-sheet'!X10*'Output-Calculation-sheet'!X46</f>
        <v>2245.1920170840394</v>
      </c>
      <c r="Y55" s="2">
        <f>Y11/'Output-Calculation-sheet'!Y10*'Output-Calculation-sheet'!Y46</f>
        <v>26.625523068507121</v>
      </c>
      <c r="AA55" s="2">
        <f t="shared" si="3"/>
        <v>144.73050295071826</v>
      </c>
    </row>
    <row r="56" spans="1:27" x14ac:dyDescent="0.25">
      <c r="A56" s="2">
        <v>2035</v>
      </c>
      <c r="B56" s="2">
        <f>B12/'Output-Calculation-sheet'!B11*'Output-Calculation-sheet'!B47</f>
        <v>42794.980290311483</v>
      </c>
      <c r="C56" s="2">
        <f>C12/'Output-Calculation-sheet'!C11*'Output-Calculation-sheet'!C47</f>
        <v>2538.9315154883552</v>
      </c>
      <c r="D56" s="2">
        <f>D12/'Output-Calculation-sheet'!D11*'Output-Calculation-sheet'!D47</f>
        <v>9136.828524503424</v>
      </c>
      <c r="E56" s="2">
        <f>E12/'Output-Calculation-sheet'!E11*'Output-Calculation-sheet'!E47</f>
        <v>6591.063903490126</v>
      </c>
      <c r="F56" s="2">
        <f>F12/'Output-Calculation-sheet'!F11*'Output-Calculation-sheet'!F47</f>
        <v>140.51956684841574</v>
      </c>
      <c r="G56" s="2">
        <f>G12/'Output-Calculation-sheet'!G11*'Output-Calculation-sheet'!G47</f>
        <v>2420.364333024087</v>
      </c>
      <c r="H56" s="2">
        <f>H12/'Output-Calculation-sheet'!H11*'Output-Calculation-sheet'!H47</f>
        <v>33851.412491835508</v>
      </c>
      <c r="I56" s="2">
        <f>I12/'Output-Calculation-sheet'!I11*'Output-Calculation-sheet'!I47</f>
        <v>1043.132997107911</v>
      </c>
      <c r="J56" s="2">
        <f>J12/'Output-Calculation-sheet'!J11*'Output-Calculation-sheet'!J47</f>
        <v>3411.2738411545374</v>
      </c>
      <c r="K56" s="2">
        <f>K12/'Output-Calculation-sheet'!K11*'Output-Calculation-sheet'!K47</f>
        <v>5616.5077334050275</v>
      </c>
      <c r="L56" s="2">
        <f>L12/'Output-Calculation-sheet'!L11*'Output-Calculation-sheet'!L47</f>
        <v>5777.4157462559151</v>
      </c>
      <c r="M56" s="2">
        <f>M12/'Output-Calculation-sheet'!M11*'Output-Calculation-sheet'!M47</f>
        <v>25040.905969475749</v>
      </c>
      <c r="N56" s="2">
        <f>N12/'Output-Calculation-sheet'!N11*'Output-Calculation-sheet'!N47</f>
        <v>19193.426586600239</v>
      </c>
      <c r="O56" s="2">
        <f>O12/'Output-Calculation-sheet'!O11*'Output-Calculation-sheet'!O47</f>
        <v>1202.2873453941372</v>
      </c>
      <c r="P56" s="2">
        <f>P12/'Output-Calculation-sheet'!P11*'Output-Calculation-sheet'!P47</f>
        <v>4425.1873199631891</v>
      </c>
      <c r="Q56" s="2">
        <f>Q12/'Output-Calculation-sheet'!Q11*'Output-Calculation-sheet'!Q47</f>
        <v>3415.364604084748</v>
      </c>
      <c r="R56" s="2">
        <f>R12/'Output-Calculation-sheet'!R11*'Output-Calculation-sheet'!R47</f>
        <v>6085.0662558187159</v>
      </c>
      <c r="S56" s="2">
        <f>S12/'Output-Calculation-sheet'!S11*'Output-Calculation-sheet'!S47</f>
        <v>5207.6313795968126</v>
      </c>
      <c r="T56" s="2">
        <f>T12/'Output-Calculation-sheet'!T11*'Output-Calculation-sheet'!T47</f>
        <v>2123.8308622357081</v>
      </c>
      <c r="U56" s="2">
        <f>U12/'Output-Calculation-sheet'!U11*'Output-Calculation-sheet'!U47</f>
        <v>1062.0055004233823</v>
      </c>
      <c r="V56" s="2">
        <f>V12/'Output-Calculation-sheet'!V11*'Output-Calculation-sheet'!V47</f>
        <v>1758.8602797439496</v>
      </c>
      <c r="W56" s="2">
        <f>W12/'Output-Calculation-sheet'!W11*'Output-Calculation-sheet'!W47</f>
        <v>110.99082260257191</v>
      </c>
      <c r="X56" s="2">
        <f>X12/'Output-Calculation-sheet'!X11*'Output-Calculation-sheet'!X47</f>
        <v>2429.940090280993</v>
      </c>
      <c r="Y56" s="2">
        <f>Y12/'Output-Calculation-sheet'!Y11*'Output-Calculation-sheet'!Y47</f>
        <v>42.699919702435274</v>
      </c>
      <c r="AA56" s="2">
        <f t="shared" si="3"/>
        <v>185.42062787934734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8.4263222510993465</v>
      </c>
      <c r="C63" s="2">
        <f>C8*'Output-Calculation-sheet'!C52/10^9</f>
        <v>5.1769377723557986</v>
      </c>
      <c r="D63" s="2">
        <f>D8*'Output-Calculation-sheet'!D52/10^9</f>
        <v>1.8239343080660264</v>
      </c>
      <c r="E63" s="2">
        <f>E8*'Output-Calculation-sheet'!E52/10^9</f>
        <v>2.1811618641623856</v>
      </c>
      <c r="F63" s="2">
        <f>F8*'Output-Calculation-sheet'!F52/10^9</f>
        <v>0.84683583890159908</v>
      </c>
      <c r="G63" s="2">
        <f>G8*'Output-Calculation-sheet'!G52/10^9</f>
        <v>0.59769966922844853</v>
      </c>
      <c r="H63" s="2">
        <f>H8*'Output-Calculation-sheet'!H52/10^9</f>
        <v>1.5925013783029995</v>
      </c>
      <c r="I63" s="2">
        <f>I8*'Output-Calculation-sheet'!I52/10^9</f>
        <v>0.58558373600629177</v>
      </c>
      <c r="J63" s="2">
        <f>J8*'Output-Calculation-sheet'!J52/10^9</f>
        <v>0.60965168894725308</v>
      </c>
      <c r="K63" s="2">
        <f>K8*'Output-Calculation-sheet'!K52/10^9</f>
        <v>0.73541566133167502</v>
      </c>
      <c r="L63" s="2">
        <f>L8*'Output-Calculation-sheet'!L52/10^9</f>
        <v>0.76766648130086435</v>
      </c>
      <c r="M63" s="2">
        <f>M8*'Output-Calculation-sheet'!M52/10^9</f>
        <v>1.2016864204389193</v>
      </c>
      <c r="N63" s="2">
        <f>N8*'Output-Calculation-sheet'!N52/10^9</f>
        <v>1.0333180086150608</v>
      </c>
      <c r="O63" s="2">
        <f>O8*'Output-Calculation-sheet'!O52/10^9</f>
        <v>1.0835458365439179</v>
      </c>
      <c r="P63" s="2">
        <f>P8*'Output-Calculation-sheet'!P52/10^9</f>
        <v>0.65971498704242737</v>
      </c>
      <c r="Q63" s="2">
        <f>Q8*'Output-Calculation-sheet'!Q52/10^9</f>
        <v>0.71825838773484829</v>
      </c>
      <c r="R63" s="2">
        <f>R8*'Output-Calculation-sheet'!R52/10^9</f>
        <v>0.55405800591377563</v>
      </c>
      <c r="S63" s="2">
        <f>S8*'Output-Calculation-sheet'!S52/10^9</f>
        <v>0.52765993782317488</v>
      </c>
      <c r="T63" s="2">
        <f>T8*'Output-Calculation-sheet'!T52/10^9</f>
        <v>0.17170690528543636</v>
      </c>
      <c r="U63" s="2">
        <f>U8*'Output-Calculation-sheet'!U52/10^9</f>
        <v>0.16744826301328047</v>
      </c>
      <c r="V63" s="2">
        <f>V8*'Output-Calculation-sheet'!V52/10^9</f>
        <v>0.14277244604864031</v>
      </c>
      <c r="W63" s="2">
        <f>W8*'Output-Calculation-sheet'!W52/10^9</f>
        <v>7.3547170557444239E-2</v>
      </c>
      <c r="X63" s="2">
        <f>X8*'Output-Calculation-sheet'!X52/10^9</f>
        <v>0.13904662036325974</v>
      </c>
      <c r="Y63" s="2">
        <f>Y8*'Output-Calculation-sheet'!Y52/10^9</f>
        <v>6.6986258387101816E-2</v>
      </c>
      <c r="AA63" s="2">
        <f t="shared" si="4"/>
        <v>29.883459897469969</v>
      </c>
    </row>
    <row r="64" spans="1:27" x14ac:dyDescent="0.25">
      <c r="A64" s="2">
        <v>2032</v>
      </c>
      <c r="B64" s="2">
        <f>B9*'Output-Calculation-sheet'!B53/10^9</f>
        <v>9.596657043182649</v>
      </c>
      <c r="C64" s="2">
        <f>C9*'Output-Calculation-sheet'!C53/10^9</f>
        <v>5.8943316179692538</v>
      </c>
      <c r="D64" s="2">
        <f>D9*'Output-Calculation-sheet'!D53/10^9</f>
        <v>2.0786994851810472</v>
      </c>
      <c r="E64" s="2">
        <f>E9*'Output-Calculation-sheet'!E53/10^9</f>
        <v>2.4870421996442684</v>
      </c>
      <c r="F64" s="2">
        <f>F9*'Output-Calculation-sheet'!F53/10^9</f>
        <v>0.96561040180039337</v>
      </c>
      <c r="G64" s="2">
        <f>G9*'Output-Calculation-sheet'!G53/10^9</f>
        <v>0.68150212929493192</v>
      </c>
      <c r="H64" s="2">
        <f>H9*'Output-Calculation-sheet'!H53/10^9</f>
        <v>1.7977134020721262</v>
      </c>
      <c r="I64" s="2">
        <f>I9*'Output-Calculation-sheet'!I53/10^9</f>
        <v>0.6679147391435839</v>
      </c>
      <c r="J64" s="2">
        <f>J9*'Output-Calculation-sheet'!J53/10^9</f>
        <v>0.69441621647436513</v>
      </c>
      <c r="K64" s="2">
        <f>K9*'Output-Calculation-sheet'!K53/10^9</f>
        <v>0.83647746231207287</v>
      </c>
      <c r="L64" s="2">
        <f>L9*'Output-Calculation-sheet'!L53/10^9</f>
        <v>0.8694135927308434</v>
      </c>
      <c r="M64" s="2">
        <f>M9*'Output-Calculation-sheet'!M53/10^9</f>
        <v>1.3381969993158886</v>
      </c>
      <c r="N64" s="2">
        <f>N9*'Output-Calculation-sheet'!N53/10^9</f>
        <v>1.1599488521415511</v>
      </c>
      <c r="O64" s="2">
        <f>O9*'Output-Calculation-sheet'!O53/10^9</f>
        <v>1.233655973721367</v>
      </c>
      <c r="P64" s="2">
        <f>P9*'Output-Calculation-sheet'!P53/10^9</f>
        <v>0.75112931409980466</v>
      </c>
      <c r="Q64" s="2">
        <f>Q9*'Output-Calculation-sheet'!Q53/10^9</f>
        <v>0.819059181875614</v>
      </c>
      <c r="R64" s="2">
        <f>R9*'Output-Calculation-sheet'!R53/10^9</f>
        <v>0.62877267853877106</v>
      </c>
      <c r="S64" s="2">
        <f>S9*'Output-Calculation-sheet'!S53/10^9</f>
        <v>0.59977672108544344</v>
      </c>
      <c r="T64" s="2">
        <f>T9*'Output-Calculation-sheet'!T53/10^9</f>
        <v>0.19487979121940438</v>
      </c>
      <c r="U64" s="2">
        <f>U9*'Output-Calculation-sheet'!U53/10^9</f>
        <v>0.19080443786960841</v>
      </c>
      <c r="V64" s="2">
        <f>V9*'Output-Calculation-sheet'!V53/10^9</f>
        <v>0.16182180663487136</v>
      </c>
      <c r="W64" s="2">
        <f>W9*'Output-Calculation-sheet'!W53/10^9</f>
        <v>8.3871358482816169E-2</v>
      </c>
      <c r="X64" s="2">
        <f>X9*'Output-Calculation-sheet'!X53/10^9</f>
        <v>0.15595770242010135</v>
      </c>
      <c r="Y64" s="2">
        <f>Y9*'Output-Calculation-sheet'!Y53/10^9</f>
        <v>7.6475808215715466E-2</v>
      </c>
      <c r="AA64" s="2">
        <f t="shared" si="4"/>
        <v>33.964128915426492</v>
      </c>
    </row>
    <row r="65" spans="1:27" x14ac:dyDescent="0.25">
      <c r="A65" s="2">
        <v>2033</v>
      </c>
      <c r="B65" s="2">
        <f>B10*'Output-Calculation-sheet'!B54/10^9</f>
        <v>10.533492635851955</v>
      </c>
      <c r="C65" s="2">
        <f>C10*'Output-Calculation-sheet'!C54/10^9</f>
        <v>6.4732268928875172</v>
      </c>
      <c r="D65" s="2">
        <f>D10*'Output-Calculation-sheet'!D54/10^9</f>
        <v>2.2848634768601301</v>
      </c>
      <c r="E65" s="2">
        <f>E10*'Output-Calculation-sheet'!E54/10^9</f>
        <v>2.7355563647470373</v>
      </c>
      <c r="F65" s="2">
        <f>F10*'Output-Calculation-sheet'!F54/10^9</f>
        <v>1.0622682776405912</v>
      </c>
      <c r="G65" s="2">
        <f>G10*'Output-Calculation-sheet'!G54/10^9</f>
        <v>0.74953061248478259</v>
      </c>
      <c r="H65" s="2">
        <f>H10*'Output-Calculation-sheet'!H54/10^9</f>
        <v>1.9403883241658286</v>
      </c>
      <c r="I65" s="2">
        <f>I10*'Output-Calculation-sheet'!I54/10^9</f>
        <v>0.73491053608409107</v>
      </c>
      <c r="J65" s="2">
        <f>J10*'Output-Calculation-sheet'!J54/10^9</f>
        <v>0.76300338377058385</v>
      </c>
      <c r="K65" s="2">
        <f>K10*'Output-Calculation-sheet'!K54/10^9</f>
        <v>0.91772095750317562</v>
      </c>
      <c r="L65" s="2">
        <f>L10*'Output-Calculation-sheet'!L54/10^9</f>
        <v>0.94917161254443805</v>
      </c>
      <c r="M65" s="2">
        <f>M10*'Output-Calculation-sheet'!M54/10^9</f>
        <v>1.4366262102424336</v>
      </c>
      <c r="N65" s="2">
        <f>N10*'Output-Calculation-sheet'!N54/10^9</f>
        <v>1.253651838706894</v>
      </c>
      <c r="O65" s="2">
        <f>O10*'Output-Calculation-sheet'!O54/10^9</f>
        <v>1.3548087741209911</v>
      </c>
      <c r="P65" s="2">
        <f>P10*'Output-Calculation-sheet'!P54/10^9</f>
        <v>0.82476775365123633</v>
      </c>
      <c r="Q65" s="2">
        <f>Q10*'Output-Calculation-sheet'!Q54/10^9</f>
        <v>0.90029936937558874</v>
      </c>
      <c r="R65" s="2">
        <f>R10*'Output-Calculation-sheet'!R54/10^9</f>
        <v>0.68839050482518616</v>
      </c>
      <c r="S65" s="2">
        <f>S10*'Output-Calculation-sheet'!S54/10^9</f>
        <v>0.65644162680657014</v>
      </c>
      <c r="T65" s="2">
        <f>T10*'Output-Calculation-sheet'!T54/10^9</f>
        <v>0.21333307216322075</v>
      </c>
      <c r="U65" s="2">
        <f>U10*'Output-Calculation-sheet'!U54/10^9</f>
        <v>0.20970854352878912</v>
      </c>
      <c r="V65" s="2">
        <f>V10*'Output-Calculation-sheet'!V54/10^9</f>
        <v>0.17695333360997334</v>
      </c>
      <c r="W65" s="2">
        <f>W10*'Output-Calculation-sheet'!W54/10^9</f>
        <v>9.2266003464177904E-2</v>
      </c>
      <c r="X65" s="2">
        <f>X10*'Output-Calculation-sheet'!X54/10^9</f>
        <v>0.16810813426596463</v>
      </c>
      <c r="Y65" s="2">
        <f>Y10*'Output-Calculation-sheet'!Y54/10^9</f>
        <v>8.4222561881299743E-2</v>
      </c>
      <c r="AA65" s="2">
        <f t="shared" si="4"/>
        <v>37.203710801182453</v>
      </c>
    </row>
    <row r="66" spans="1:27" x14ac:dyDescent="0.25">
      <c r="A66" s="2">
        <v>2034</v>
      </c>
      <c r="B66" s="2">
        <f>B11*'Output-Calculation-sheet'!B55/10^9</f>
        <v>11.298484806766279</v>
      </c>
      <c r="C66" s="2">
        <f>C11*'Output-Calculation-sheet'!C55/10^9</f>
        <v>6.9553194425411764</v>
      </c>
      <c r="D66" s="2">
        <f>D11*'Output-Calculation-sheet'!D55/10^9</f>
        <v>2.457520063205346</v>
      </c>
      <c r="E66" s="2">
        <f>E11*'Output-Calculation-sheet'!E55/10^9</f>
        <v>2.9443362275240288</v>
      </c>
      <c r="F66" s="2">
        <f>F11*'Output-Calculation-sheet'!F55/10^9</f>
        <v>1.1436329663982263</v>
      </c>
      <c r="G66" s="2">
        <f>G11*'Output-Calculation-sheet'!G55/10^9</f>
        <v>0.80658671143640748</v>
      </c>
      <c r="H66" s="2">
        <f>H11*'Output-Calculation-sheet'!H55/10^9</f>
        <v>2.0389933841451229</v>
      </c>
      <c r="I66" s="2">
        <f>I11*'Output-Calculation-sheet'!I55/10^9</f>
        <v>0.79120351840096248</v>
      </c>
      <c r="J66" s="2">
        <f>J11*'Output-Calculation-sheet'!J55/10^9</f>
        <v>0.82011195028151629</v>
      </c>
      <c r="K66" s="2">
        <f>K11*'Output-Calculation-sheet'!K55/10^9</f>
        <v>0.98514171695116093</v>
      </c>
      <c r="L66" s="2">
        <f>L11*'Output-Calculation-sheet'!L55/10^9</f>
        <v>1.0132474172468089</v>
      </c>
      <c r="M66" s="2">
        <f>M11*'Output-Calculation-sheet'!M55/10^9</f>
        <v>1.5077096496440618</v>
      </c>
      <c r="N66" s="2">
        <f>N11*'Output-Calculation-sheet'!N55/10^9</f>
        <v>1.324167675574544</v>
      </c>
      <c r="O66" s="2">
        <f>O11*'Output-Calculation-sheet'!O55/10^9</f>
        <v>1.4557578006812832</v>
      </c>
      <c r="P66" s="2">
        <f>P11*'Output-Calculation-sheet'!P55/10^9</f>
        <v>0.8859221210891749</v>
      </c>
      <c r="Q66" s="2">
        <f>Q11*'Output-Calculation-sheet'!Q55/10^9</f>
        <v>0.96702636923891716</v>
      </c>
      <c r="R66" s="2">
        <f>R11*'Output-Calculation-sheet'!R55/10^9</f>
        <v>0.7375951077699141</v>
      </c>
      <c r="S66" s="2">
        <f>S11*'Output-Calculation-sheet'!S55/10^9</f>
        <v>0.70140753884773555</v>
      </c>
      <c r="T66" s="2">
        <f>T11*'Output-Calculation-sheet'!T55/10^9</f>
        <v>0.22848596575116628</v>
      </c>
      <c r="U66" s="2">
        <f>U11*'Output-Calculation-sheet'!U55/10^9</f>
        <v>0.22549832132444503</v>
      </c>
      <c r="V66" s="2">
        <f>V11*'Output-Calculation-sheet'!V55/10^9</f>
        <v>0.18936617278780249</v>
      </c>
      <c r="W66" s="2">
        <f>W11*'Output-Calculation-sheet'!W55/10^9</f>
        <v>9.9318489053582829E-2</v>
      </c>
      <c r="X66" s="2">
        <f>X11*'Output-Calculation-sheet'!X55/10^9</f>
        <v>0.17718222297013694</v>
      </c>
      <c r="Y66" s="2">
        <f>Y11*'Output-Calculation-sheet'!Y55/10^9</f>
        <v>9.0773234167259756E-2</v>
      </c>
      <c r="AA66" s="2">
        <f t="shared" si="4"/>
        <v>39.84478887379705</v>
      </c>
    </row>
    <row r="67" spans="1:27" x14ac:dyDescent="0.25">
      <c r="A67" s="2">
        <v>2035</v>
      </c>
      <c r="B67" s="2">
        <f>B12*'Output-Calculation-sheet'!B56/10^9</f>
        <v>11.934624496288155</v>
      </c>
      <c r="C67" s="2">
        <f>C12*'Output-Calculation-sheet'!C56/10^9</f>
        <v>7.3720719368900243</v>
      </c>
      <c r="D67" s="2">
        <f>D12*'Output-Calculation-sheet'!D56/10^9</f>
        <v>2.6076685778323876</v>
      </c>
      <c r="E67" s="2">
        <f>E12*'Output-Calculation-sheet'!E56/10^9</f>
        <v>3.1268187418141609</v>
      </c>
      <c r="F67" s="2">
        <f>F12*'Output-Calculation-sheet'!F56/10^9</f>
        <v>1.2149334415423567</v>
      </c>
      <c r="G67" s="2">
        <f>G12*'Output-Calculation-sheet'!G56/10^9</f>
        <v>0.85638707214180465</v>
      </c>
      <c r="H67" s="2">
        <f>H12*'Output-Calculation-sheet'!H56/10^9</f>
        <v>2.1121547073135547</v>
      </c>
      <c r="I67" s="2">
        <f>I12*'Output-Calculation-sheet'!I56/10^9</f>
        <v>0.84050325213726484</v>
      </c>
      <c r="J67" s="2">
        <f>J12*'Output-Calculation-sheet'!J56/10^9</f>
        <v>0.86986090845000819</v>
      </c>
      <c r="K67" s="2">
        <f>K12*'Output-Calculation-sheet'!K56/10^9</f>
        <v>1.043272218124921</v>
      </c>
      <c r="L67" s="2">
        <f>L12*'Output-Calculation-sheet'!L56/10^9</f>
        <v>1.0664121903540695</v>
      </c>
      <c r="M67" s="2">
        <f>M12*'Output-Calculation-sheet'!M56/10^9</f>
        <v>1.5597373018918661</v>
      </c>
      <c r="N67" s="2">
        <f>N12*'Output-Calculation-sheet'!N56/10^9</f>
        <v>1.378223181812259</v>
      </c>
      <c r="O67" s="2">
        <f>O12*'Output-Calculation-sheet'!O56/10^9</f>
        <v>1.5422381217963836</v>
      </c>
      <c r="P67" s="2">
        <f>P12*'Output-Calculation-sheet'!P56/10^9</f>
        <v>0.93901960991453826</v>
      </c>
      <c r="Q67" s="2">
        <f>Q12*'Output-Calculation-sheet'!Q56/10^9</f>
        <v>1.0231949813764838</v>
      </c>
      <c r="R67" s="2">
        <f>R12*'Output-Calculation-sheet'!R56/10^9</f>
        <v>0.77993290508903101</v>
      </c>
      <c r="S67" s="2">
        <f>S12*'Output-Calculation-sheet'!S56/10^9</f>
        <v>0.73758508332935491</v>
      </c>
      <c r="T67" s="2">
        <f>T12*'Output-Calculation-sheet'!T56/10^9</f>
        <v>0.24143988187401536</v>
      </c>
      <c r="U67" s="2">
        <f>U12*'Output-Calculation-sheet'!U56/10^9</f>
        <v>0.23925114951720081</v>
      </c>
      <c r="V67" s="2">
        <f>V12*'Output-Calculation-sheet'!V56/10^9</f>
        <v>0.19994658023791451</v>
      </c>
      <c r="W67" s="2">
        <f>W12*'Output-Calculation-sheet'!W56/10^9</f>
        <v>0.10549009918848833</v>
      </c>
      <c r="X67" s="2">
        <f>X12*'Output-Calculation-sheet'!X56/10^9</f>
        <v>0.18408373027869199</v>
      </c>
      <c r="Y67" s="2">
        <f>Y12*'Output-Calculation-sheet'!Y56/10^9</f>
        <v>9.6538555606714663E-2</v>
      </c>
      <c r="AA67" s="2">
        <f t="shared" si="4"/>
        <v>42.07138872480165</v>
      </c>
    </row>
    <row r="68" spans="1:27" x14ac:dyDescent="0.25">
      <c r="B68" s="2">
        <f>SUM(B60:B67)</f>
        <v>68.543448525058963</v>
      </c>
      <c r="C68" s="2">
        <f t="shared" ref="C68:Y68" si="5">SUM(C60:C67)</f>
        <v>42.143896353342605</v>
      </c>
      <c r="D68" s="2">
        <f t="shared" si="5"/>
        <v>14.883351596815174</v>
      </c>
      <c r="E68" s="2">
        <f t="shared" si="5"/>
        <v>17.814493317165844</v>
      </c>
      <c r="F68" s="2">
        <f t="shared" si="5"/>
        <v>6.9187116632127736</v>
      </c>
      <c r="G68" s="2">
        <f t="shared" si="5"/>
        <v>4.8801044251508205</v>
      </c>
      <c r="H68" s="2">
        <f t="shared" si="5"/>
        <v>12.6636099090295</v>
      </c>
      <c r="I68" s="2">
        <f t="shared" si="5"/>
        <v>4.7838940781215964</v>
      </c>
      <c r="J68" s="2">
        <f t="shared" si="5"/>
        <v>4.9730829184196654</v>
      </c>
      <c r="K68" s="2">
        <f t="shared" si="5"/>
        <v>5.9925864950042653</v>
      </c>
      <c r="L68" s="2">
        <f t="shared" si="5"/>
        <v>6.2149333261196968</v>
      </c>
      <c r="M68" s="2">
        <f t="shared" si="5"/>
        <v>9.5741073476413678</v>
      </c>
      <c r="N68" s="2">
        <f t="shared" si="5"/>
        <v>8.250730616510463</v>
      </c>
      <c r="O68" s="2">
        <f t="shared" si="5"/>
        <v>8.8200895678165185</v>
      </c>
      <c r="P68" s="2">
        <f t="shared" si="5"/>
        <v>5.3770416679371227</v>
      </c>
      <c r="Q68" s="2">
        <f t="shared" si="5"/>
        <v>5.8554630985516987</v>
      </c>
      <c r="R68" s="2">
        <f t="shared" si="5"/>
        <v>4.5097810385006341</v>
      </c>
      <c r="S68" s="2">
        <f t="shared" si="5"/>
        <v>4.2722762408982264</v>
      </c>
      <c r="T68" s="2">
        <f t="shared" si="5"/>
        <v>1.3970098806127584</v>
      </c>
      <c r="U68" s="2">
        <f t="shared" si="5"/>
        <v>1.3660152139705888</v>
      </c>
      <c r="V68" s="2">
        <f t="shared" si="5"/>
        <v>1.1614281121537309</v>
      </c>
      <c r="W68" s="2">
        <f t="shared" si="5"/>
        <v>0.6007635336817897</v>
      </c>
      <c r="X68" s="2">
        <f t="shared" si="5"/>
        <v>1.1030737504702499</v>
      </c>
      <c r="Y68" s="2">
        <f t="shared" si="5"/>
        <v>0.54788626925639594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499.66311519559741</v>
      </c>
      <c r="C74" s="2">
        <f>C8/'Output-Calculation-sheet'!C7*'Output-Calculation-sheet'!C61</f>
        <v>0</v>
      </c>
      <c r="D74" s="2">
        <f>D8/'Output-Calculation-sheet'!D7*'Output-Calculation-sheet'!D61</f>
        <v>817.65269730854072</v>
      </c>
      <c r="E74" s="2">
        <f>E8/'Output-Calculation-sheet'!E7*'Output-Calculation-sheet'!E61</f>
        <v>606.82389540830377</v>
      </c>
      <c r="F74" s="2">
        <f>F8/'Output-Calculation-sheet'!F7*'Output-Calculation-sheet'!F61</f>
        <v>0</v>
      </c>
      <c r="G74" s="2">
        <f>G8/'Output-Calculation-sheet'!G7*'Output-Calculation-sheet'!G61</f>
        <v>276.30414814303356</v>
      </c>
      <c r="H74" s="2">
        <f>H8/'Output-Calculation-sheet'!H7*'Output-Calculation-sheet'!H61</f>
        <v>1326.9989147633016</v>
      </c>
      <c r="I74" s="2">
        <f>I8/'Output-Calculation-sheet'!I7*'Output-Calculation-sheet'!I61</f>
        <v>97.415534009250592</v>
      </c>
      <c r="J74" s="2">
        <f>J8/'Output-Calculation-sheet'!J7*'Output-Calculation-sheet'!J61</f>
        <v>406.14632324702399</v>
      </c>
      <c r="K74" s="2">
        <f>K8/'Output-Calculation-sheet'!K7*'Output-Calculation-sheet'!K61</f>
        <v>682.08983203387345</v>
      </c>
      <c r="L74" s="2">
        <f>L8/'Output-Calculation-sheet'!L7*'Output-Calculation-sheet'!L61</f>
        <v>591.76966250121109</v>
      </c>
      <c r="M74" s="2">
        <f>M8/'Output-Calculation-sheet'!M7*'Output-Calculation-sheet'!M61</f>
        <v>2963.6493003959245</v>
      </c>
      <c r="N74" s="2">
        <f>N8/'Output-Calculation-sheet'!N7*'Output-Calculation-sheet'!N61</f>
        <v>1671.646574189343</v>
      </c>
      <c r="O74" s="2">
        <f>O8/'Output-Calculation-sheet'!O7*'Output-Calculation-sheet'!O61</f>
        <v>0</v>
      </c>
      <c r="P74" s="2">
        <f>P8/'Output-Calculation-sheet'!P7*'Output-Calculation-sheet'!P61</f>
        <v>472.44937842211942</v>
      </c>
      <c r="Q74" s="2">
        <f>Q8/'Output-Calculation-sheet'!Q7*'Output-Calculation-sheet'!Q61</f>
        <v>124.55377757263621</v>
      </c>
      <c r="R74" s="2">
        <f>R8/'Output-Calculation-sheet'!R7*'Output-Calculation-sheet'!R61</f>
        <v>821.63378411462998</v>
      </c>
      <c r="S74" s="2">
        <f>S8/'Output-Calculation-sheet'!S7*'Output-Calculation-sheet'!S61</f>
        <v>145.39355416439275</v>
      </c>
      <c r="T74" s="2">
        <f>T8/'Output-Calculation-sheet'!T7*'Output-Calculation-sheet'!T61</f>
        <v>278.27127905567318</v>
      </c>
      <c r="U74" s="2">
        <f>U8/'Output-Calculation-sheet'!U7*'Output-Calculation-sheet'!U61</f>
        <v>110.25427726408887</v>
      </c>
      <c r="V74" s="2">
        <f>V8/'Output-Calculation-sheet'!V7*'Output-Calculation-sheet'!V61</f>
        <v>193.65976758998607</v>
      </c>
      <c r="W74" s="2">
        <f>W8/'Output-Calculation-sheet'!W7*'Output-Calculation-sheet'!W61</f>
        <v>4.6076448782654884</v>
      </c>
      <c r="X74" s="2">
        <f>X8/'Output-Calculation-sheet'!X7*'Output-Calculation-sheet'!X61</f>
        <v>165.49065236382049</v>
      </c>
      <c r="Y74" s="2">
        <f>Y8/'Output-Calculation-sheet'!Y7*'Output-Calculation-sheet'!Y61</f>
        <v>0</v>
      </c>
      <c r="AA74" s="2">
        <f t="shared" si="6"/>
        <v>12.256474112621017</v>
      </c>
    </row>
    <row r="75" spans="1:27" x14ac:dyDescent="0.25">
      <c r="A75" s="2">
        <v>2032</v>
      </c>
      <c r="B75" s="2">
        <f>B9/'Output-Calculation-sheet'!B8*'Output-Calculation-sheet'!B62</f>
        <v>1404.8786749707228</v>
      </c>
      <c r="C75" s="2">
        <f>C9/'Output-Calculation-sheet'!C8*'Output-Calculation-sheet'!C62</f>
        <v>0</v>
      </c>
      <c r="D75" s="2">
        <f>D9/'Output-Calculation-sheet'!D8*'Output-Calculation-sheet'!D62</f>
        <v>1149.1952503961656</v>
      </c>
      <c r="E75" s="2">
        <f>E9/'Output-Calculation-sheet'!E8*'Output-Calculation-sheet'!E62</f>
        <v>808.12694215523743</v>
      </c>
      <c r="F75" s="2">
        <f>F9/'Output-Calculation-sheet'!F8*'Output-Calculation-sheet'!F62</f>
        <v>0</v>
      </c>
      <c r="G75" s="2">
        <f>G9/'Output-Calculation-sheet'!G8*'Output-Calculation-sheet'!G62</f>
        <v>373.38079119660756</v>
      </c>
      <c r="H75" s="2">
        <f>H9/'Output-Calculation-sheet'!H8*'Output-Calculation-sheet'!H62</f>
        <v>2635.9634211403354</v>
      </c>
      <c r="I75" s="2">
        <f>I9/'Output-Calculation-sheet'!I8*'Output-Calculation-sheet'!I62</f>
        <v>159.65633835910782</v>
      </c>
      <c r="J75" s="2">
        <f>J9/'Output-Calculation-sheet'!J8*'Output-Calculation-sheet'!J62</f>
        <v>523.28339438045771</v>
      </c>
      <c r="K75" s="2">
        <f>K9/'Output-Calculation-sheet'!K8*'Output-Calculation-sheet'!K62</f>
        <v>820.67651614494866</v>
      </c>
      <c r="L75" s="2">
        <f>L9/'Output-Calculation-sheet'!L8*'Output-Calculation-sheet'!L62</f>
        <v>712.64053782432768</v>
      </c>
      <c r="M75" s="2">
        <f>M9/'Output-Calculation-sheet'!M8*'Output-Calculation-sheet'!M62</f>
        <v>3431.2010748137782</v>
      </c>
      <c r="N75" s="2">
        <f>N9/'Output-Calculation-sheet'!N8*'Output-Calculation-sheet'!N62</f>
        <v>2217.952839007055</v>
      </c>
      <c r="O75" s="2">
        <f>O9/'Output-Calculation-sheet'!O8*'Output-Calculation-sheet'!O62</f>
        <v>0</v>
      </c>
      <c r="P75" s="2">
        <f>P9/'Output-Calculation-sheet'!P8*'Output-Calculation-sheet'!P62</f>
        <v>612.05663335017312</v>
      </c>
      <c r="Q75" s="2">
        <f>Q9/'Output-Calculation-sheet'!Q8*'Output-Calculation-sheet'!Q62</f>
        <v>217.07676364972394</v>
      </c>
      <c r="R75" s="2">
        <f>R9/'Output-Calculation-sheet'!R8*'Output-Calculation-sheet'!R62</f>
        <v>974.40005506855425</v>
      </c>
      <c r="S75" s="2">
        <f>S9/'Output-Calculation-sheet'!S8*'Output-Calculation-sheet'!S62</f>
        <v>282.13040504649058</v>
      </c>
      <c r="T75" s="2">
        <f>T9/'Output-Calculation-sheet'!T8*'Output-Calculation-sheet'!T62</f>
        <v>326.22612554548044</v>
      </c>
      <c r="U75" s="2">
        <f>U9/'Output-Calculation-sheet'!U8*'Output-Calculation-sheet'!U62</f>
        <v>151.76136325063496</v>
      </c>
      <c r="V75" s="2">
        <f>V9/'Output-Calculation-sheet'!V8*'Output-Calculation-sheet'!V62</f>
        <v>226.34504147057592</v>
      </c>
      <c r="W75" s="2">
        <f>W9/'Output-Calculation-sheet'!W8*'Output-Calculation-sheet'!W62</f>
        <v>12.332228686085708</v>
      </c>
      <c r="X75" s="2">
        <f>X9/'Output-Calculation-sheet'!X8*'Output-Calculation-sheet'!X62</f>
        <v>325.10555459581479</v>
      </c>
      <c r="Y75" s="2">
        <f>Y9/'Output-Calculation-sheet'!Y8*'Output-Calculation-sheet'!Y62</f>
        <v>0</v>
      </c>
      <c r="AA75" s="2">
        <f t="shared" si="6"/>
        <v>17.364389951052281</v>
      </c>
    </row>
    <row r="76" spans="1:27" x14ac:dyDescent="0.25">
      <c r="A76" s="2">
        <v>2033</v>
      </c>
      <c r="B76" s="2">
        <f>B10/'Output-Calculation-sheet'!B9*'Output-Calculation-sheet'!B63</f>
        <v>2805.2371702505866</v>
      </c>
      <c r="C76" s="2">
        <f>C10/'Output-Calculation-sheet'!C9*'Output-Calculation-sheet'!C63</f>
        <v>0</v>
      </c>
      <c r="D76" s="2">
        <f>D10/'Output-Calculation-sheet'!D9*'Output-Calculation-sheet'!D63</f>
        <v>1499.9448078048706</v>
      </c>
      <c r="E76" s="2">
        <f>E10/'Output-Calculation-sheet'!E9*'Output-Calculation-sheet'!E63</f>
        <v>1112.8685629786266</v>
      </c>
      <c r="F76" s="2">
        <f>F10/'Output-Calculation-sheet'!F9*'Output-Calculation-sheet'!F63</f>
        <v>0</v>
      </c>
      <c r="G76" s="2">
        <f>G10/'Output-Calculation-sheet'!G9*'Output-Calculation-sheet'!G63</f>
        <v>499.09763678465407</v>
      </c>
      <c r="H76" s="2">
        <f>H10/'Output-Calculation-sheet'!H9*'Output-Calculation-sheet'!H63</f>
        <v>5118.4222911538418</v>
      </c>
      <c r="I76" s="2">
        <f>I10/'Output-Calculation-sheet'!I9*'Output-Calculation-sheet'!I63</f>
        <v>231.5810382753948</v>
      </c>
      <c r="J76" s="2">
        <f>J10/'Output-Calculation-sheet'!J9*'Output-Calculation-sheet'!J63</f>
        <v>696.75220710553992</v>
      </c>
      <c r="K76" s="2">
        <f>K10/'Output-Calculation-sheet'!K9*'Output-Calculation-sheet'!K63</f>
        <v>961.61754984420372</v>
      </c>
      <c r="L76" s="2">
        <f>L10/'Output-Calculation-sheet'!L9*'Output-Calculation-sheet'!L63</f>
        <v>890.0715375410424</v>
      </c>
      <c r="M76" s="2">
        <f>M10/'Output-Calculation-sheet'!M9*'Output-Calculation-sheet'!M63</f>
        <v>3828.1697836627836</v>
      </c>
      <c r="N76" s="2">
        <f>N10/'Output-Calculation-sheet'!N9*'Output-Calculation-sheet'!N63</f>
        <v>2602.6983995649507</v>
      </c>
      <c r="O76" s="2">
        <f>O10/'Output-Calculation-sheet'!O9*'Output-Calculation-sheet'!O63</f>
        <v>0</v>
      </c>
      <c r="P76" s="2">
        <f>P10/'Output-Calculation-sheet'!P9*'Output-Calculation-sheet'!P63</f>
        <v>752.12204597085861</v>
      </c>
      <c r="Q76" s="2">
        <f>Q10/'Output-Calculation-sheet'!Q9*'Output-Calculation-sheet'!Q63</f>
        <v>330.59167382554966</v>
      </c>
      <c r="R76" s="2">
        <f>R10/'Output-Calculation-sheet'!R9*'Output-Calculation-sheet'!R63</f>
        <v>1098.8412851957482</v>
      </c>
      <c r="S76" s="2">
        <f>S10/'Output-Calculation-sheet'!S9*'Output-Calculation-sheet'!S63</f>
        <v>465.76203545462135</v>
      </c>
      <c r="T76" s="2">
        <f>T10/'Output-Calculation-sheet'!T9*'Output-Calculation-sheet'!T63</f>
        <v>385.90347249950747</v>
      </c>
      <c r="U76" s="2">
        <f>U10/'Output-Calculation-sheet'!U9*'Output-Calculation-sheet'!U63</f>
        <v>189.23858533199405</v>
      </c>
      <c r="V76" s="2">
        <f>V10/'Output-Calculation-sheet'!V9*'Output-Calculation-sheet'!V63</f>
        <v>251.80964180864621</v>
      </c>
      <c r="W76" s="2">
        <f>W10/'Output-Calculation-sheet'!W9*'Output-Calculation-sheet'!W63</f>
        <v>17.552676195679719</v>
      </c>
      <c r="X76" s="2">
        <f>X10/'Output-Calculation-sheet'!X9*'Output-Calculation-sheet'!X63</f>
        <v>365.31298166067148</v>
      </c>
      <c r="Y76" s="2">
        <f>Y10/'Output-Calculation-sheet'!Y9*'Output-Calculation-sheet'!Y63</f>
        <v>5.6283501860495244</v>
      </c>
      <c r="AA76" s="2">
        <f t="shared" si="6"/>
        <v>24.109223733095817</v>
      </c>
    </row>
    <row r="77" spans="1:27" x14ac:dyDescent="0.25">
      <c r="A77" s="2">
        <v>2034</v>
      </c>
      <c r="B77" s="2">
        <f>B11/'Output-Calculation-sheet'!B10*'Output-Calculation-sheet'!B64</f>
        <v>5248.8789331989374</v>
      </c>
      <c r="C77" s="2">
        <f>C11/'Output-Calculation-sheet'!C10*'Output-Calculation-sheet'!C64</f>
        <v>0</v>
      </c>
      <c r="D77" s="2">
        <f>D11/'Output-Calculation-sheet'!D10*'Output-Calculation-sheet'!D64</f>
        <v>1864.3210263591884</v>
      </c>
      <c r="E77" s="2">
        <f>E11/'Output-Calculation-sheet'!E10*'Output-Calculation-sheet'!E64</f>
        <v>1304.3220323478806</v>
      </c>
      <c r="F77" s="2">
        <f>F11/'Output-Calculation-sheet'!F10*'Output-Calculation-sheet'!F64</f>
        <v>0</v>
      </c>
      <c r="G77" s="2">
        <f>G11/'Output-Calculation-sheet'!G10*'Output-Calculation-sheet'!G64</f>
        <v>605.85650316106307</v>
      </c>
      <c r="H77" s="2">
        <f>H11/'Output-Calculation-sheet'!H10*'Output-Calculation-sheet'!H64</f>
        <v>5674.7728876148012</v>
      </c>
      <c r="I77" s="2">
        <f>I11/'Output-Calculation-sheet'!I10*'Output-Calculation-sheet'!I64</f>
        <v>321.50379503502182</v>
      </c>
      <c r="J77" s="2">
        <f>J11/'Output-Calculation-sheet'!J10*'Output-Calculation-sheet'!J64</f>
        <v>811.68413056669272</v>
      </c>
      <c r="K77" s="2">
        <f>K11/'Output-Calculation-sheet'!K10*'Output-Calculation-sheet'!K64</f>
        <v>1142.5418692703017</v>
      </c>
      <c r="L77" s="2">
        <f>L11/'Output-Calculation-sheet'!L10*'Output-Calculation-sheet'!L64</f>
        <v>1002.6790810556315</v>
      </c>
      <c r="M77" s="2">
        <f>M11/'Output-Calculation-sheet'!M10*'Output-Calculation-sheet'!M64</f>
        <v>4246.9397576690908</v>
      </c>
      <c r="N77" s="2">
        <f>N11/'Output-Calculation-sheet'!N10*'Output-Calculation-sheet'!N64</f>
        <v>2986.7199947601293</v>
      </c>
      <c r="O77" s="2">
        <f>O11/'Output-Calculation-sheet'!O10*'Output-Calculation-sheet'!O64</f>
        <v>0</v>
      </c>
      <c r="P77" s="2">
        <f>P11/'Output-Calculation-sheet'!P10*'Output-Calculation-sheet'!P64</f>
        <v>873.81140904813185</v>
      </c>
      <c r="Q77" s="2">
        <f>Q11/'Output-Calculation-sheet'!Q10*'Output-Calculation-sheet'!Q64</f>
        <v>533.80209916009471</v>
      </c>
      <c r="R77" s="2">
        <f>R11/'Output-Calculation-sheet'!R10*'Output-Calculation-sheet'!R64</f>
        <v>1230.1183141207594</v>
      </c>
      <c r="S77" s="2">
        <f>S11/'Output-Calculation-sheet'!S10*'Output-Calculation-sheet'!S64</f>
        <v>724.69029627120699</v>
      </c>
      <c r="T77" s="2">
        <f>T11/'Output-Calculation-sheet'!T10*'Output-Calculation-sheet'!T64</f>
        <v>433.57714000980917</v>
      </c>
      <c r="U77" s="2">
        <f>U11/'Output-Calculation-sheet'!U10*'Output-Calculation-sheet'!U64</f>
        <v>225.68227040830146</v>
      </c>
      <c r="V77" s="2">
        <f>V11/'Output-Calculation-sheet'!V10*'Output-Calculation-sheet'!V64</f>
        <v>288.29970124769142</v>
      </c>
      <c r="W77" s="2">
        <f>W11/'Output-Calculation-sheet'!W10*'Output-Calculation-sheet'!W64</f>
        <v>29.575012080750632</v>
      </c>
      <c r="X77" s="2">
        <f>X11/'Output-Calculation-sheet'!X10*'Output-Calculation-sheet'!X64</f>
        <v>398.96475841520544</v>
      </c>
      <c r="Y77" s="2">
        <f>Y11/'Output-Calculation-sheet'!Y10*'Output-Calculation-sheet'!Y64</f>
        <v>9.3056203124432386</v>
      </c>
      <c r="AA77" s="2">
        <f t="shared" si="6"/>
        <v>29.958046632113128</v>
      </c>
    </row>
    <row r="78" spans="1:27" x14ac:dyDescent="0.25">
      <c r="A78" s="2">
        <v>2035</v>
      </c>
      <c r="B78" s="2">
        <f>B12/'Output-Calculation-sheet'!B11*'Output-Calculation-sheet'!B65</f>
        <v>8452.0086073365183</v>
      </c>
      <c r="C78" s="2">
        <f>C12/'Output-Calculation-sheet'!C11*'Output-Calculation-sheet'!C65</f>
        <v>697.57143388042562</v>
      </c>
      <c r="D78" s="2">
        <f>D12/'Output-Calculation-sheet'!D11*'Output-Calculation-sheet'!D65</f>
        <v>2181.0312520953094</v>
      </c>
      <c r="E78" s="2">
        <f>E12/'Output-Calculation-sheet'!E11*'Output-Calculation-sheet'!E65</f>
        <v>1707.6441157415265</v>
      </c>
      <c r="F78" s="2">
        <f>F12/'Output-Calculation-sheet'!F11*'Output-Calculation-sheet'!F65</f>
        <v>77.215501983204447</v>
      </c>
      <c r="G78" s="2">
        <f>G12/'Output-Calculation-sheet'!G11*'Output-Calculation-sheet'!G65</f>
        <v>717.28505494307569</v>
      </c>
      <c r="H78" s="2">
        <f>H12/'Output-Calculation-sheet'!H11*'Output-Calculation-sheet'!H65</f>
        <v>6184.7458727687872</v>
      </c>
      <c r="I78" s="2">
        <f>I12/'Output-Calculation-sheet'!I11*'Output-Calculation-sheet'!I65</f>
        <v>391.62841000116572</v>
      </c>
      <c r="J78" s="2">
        <f>J12/'Output-Calculation-sheet'!J11*'Output-Calculation-sheet'!J65</f>
        <v>937.15771749296823</v>
      </c>
      <c r="K78" s="2">
        <f>K12/'Output-Calculation-sheet'!K11*'Output-Calculation-sheet'!K65</f>
        <v>1261.3517407314448</v>
      </c>
      <c r="L78" s="2">
        <f>L12/'Output-Calculation-sheet'!L11*'Output-Calculation-sheet'!L65</f>
        <v>1140.06489250504</v>
      </c>
      <c r="M78" s="2">
        <f>M12/'Output-Calculation-sheet'!M11*'Output-Calculation-sheet'!M65</f>
        <v>4634.752381383907</v>
      </c>
      <c r="N78" s="2">
        <f>N12/'Output-Calculation-sheet'!N11*'Output-Calculation-sheet'!N65</f>
        <v>3363.045117674832</v>
      </c>
      <c r="O78" s="2">
        <f>O12/'Output-Calculation-sheet'!O11*'Output-Calculation-sheet'!O65</f>
        <v>339.13751504310005</v>
      </c>
      <c r="P78" s="2">
        <f>P12/'Output-Calculation-sheet'!P11*'Output-Calculation-sheet'!P65</f>
        <v>961.57794536138033</v>
      </c>
      <c r="Q78" s="2">
        <f>Q12/'Output-Calculation-sheet'!Q11*'Output-Calculation-sheet'!Q65</f>
        <v>714.85317789563646</v>
      </c>
      <c r="R78" s="2">
        <f>R12/'Output-Calculation-sheet'!R11*'Output-Calculation-sheet'!R65</f>
        <v>1339.2025297062917</v>
      </c>
      <c r="S78" s="2">
        <f>S12/'Output-Calculation-sheet'!S11*'Output-Calculation-sheet'!S65</f>
        <v>979.5270572400899</v>
      </c>
      <c r="T78" s="2">
        <f>T12/'Output-Calculation-sheet'!T11*'Output-Calculation-sheet'!T65</f>
        <v>483.3626659362248</v>
      </c>
      <c r="U78" s="2">
        <f>U12/'Output-Calculation-sheet'!U11*'Output-Calculation-sheet'!U65</f>
        <v>260.41298353425179</v>
      </c>
      <c r="V78" s="2">
        <f>V12/'Output-Calculation-sheet'!V11*'Output-Calculation-sheet'!V65</f>
        <v>316.97225762041467</v>
      </c>
      <c r="W78" s="2">
        <f>W12/'Output-Calculation-sheet'!W11*'Output-Calculation-sheet'!W65</f>
        <v>39.518899003326851</v>
      </c>
      <c r="X78" s="2">
        <f>X12/'Output-Calculation-sheet'!X11*'Output-Calculation-sheet'!X65</f>
        <v>438.17830149992648</v>
      </c>
      <c r="Y78" s="2">
        <f>Y12/'Output-Calculation-sheet'!Y11*'Output-Calculation-sheet'!Y65</f>
        <v>13.984223702547553</v>
      </c>
      <c r="AA78" s="2">
        <f t="shared" si="6"/>
        <v>37.632229655081403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13089398200.049276</v>
      </c>
      <c r="C96" s="2">
        <f>C8/'Output-Calculation-sheet'!C7*'Output-Calculation-sheet'!C79</f>
        <v>1274109703.1322248</v>
      </c>
      <c r="D96" s="2">
        <f>D8/'Output-Calculation-sheet'!D7*'Output-Calculation-sheet'!D79</f>
        <v>3354696644.2941403</v>
      </c>
      <c r="E96" s="2">
        <f>E8/'Output-Calculation-sheet'!E7*'Output-Calculation-sheet'!E79</f>
        <v>12075924646.25351</v>
      </c>
      <c r="F96" s="2">
        <f>F8/'Output-Calculation-sheet'!F7*'Output-Calculation-sheet'!F79</f>
        <v>3681094019.2036028</v>
      </c>
      <c r="G96" s="2">
        <f>G8/'Output-Calculation-sheet'!G7*'Output-Calculation-sheet'!G79</f>
        <v>2277329714.2140942</v>
      </c>
      <c r="H96" s="2">
        <f>H8/'Output-Calculation-sheet'!H7*'Output-Calculation-sheet'!H79</f>
        <v>1527872819.1650324</v>
      </c>
      <c r="I96" s="2">
        <f>I8/'Output-Calculation-sheet'!I7*'Output-Calculation-sheet'!I79</f>
        <v>1636758286.7465315</v>
      </c>
      <c r="J96" s="2">
        <f>J8/'Output-Calculation-sheet'!J7*'Output-Calculation-sheet'!J79</f>
        <v>1330484144.1419208</v>
      </c>
      <c r="K96" s="2">
        <f>K8/'Output-Calculation-sheet'!K7*'Output-Calculation-sheet'!K79</f>
        <v>1627267819.4194551</v>
      </c>
      <c r="L96" s="2">
        <f>L8/'Output-Calculation-sheet'!L7*'Output-Calculation-sheet'!L79</f>
        <v>1564956381.5222774</v>
      </c>
      <c r="M96" s="2">
        <f>M8/'Output-Calculation-sheet'!M7*'Output-Calculation-sheet'!M79</f>
        <v>2151626806.7666225</v>
      </c>
      <c r="N96" s="2">
        <f>N8/'Output-Calculation-sheet'!N7*'Output-Calculation-sheet'!N79</f>
        <v>1348929522.4715788</v>
      </c>
      <c r="O96" s="2">
        <f>O8/'Output-Calculation-sheet'!O7*'Output-Calculation-sheet'!O79</f>
        <v>168153507.46159625</v>
      </c>
      <c r="P96" s="2">
        <f>P8/'Output-Calculation-sheet'!P7*'Output-Calculation-sheet'!P79</f>
        <v>2428634247.0115933</v>
      </c>
      <c r="Q96" s="2">
        <f>Q8/'Output-Calculation-sheet'!Q7*'Output-Calculation-sheet'!Q79</f>
        <v>1016328714.8205379</v>
      </c>
      <c r="R96" s="2">
        <f>R8/'Output-Calculation-sheet'!R7*'Output-Calculation-sheet'!R79</f>
        <v>1595689702.7437091</v>
      </c>
      <c r="S96" s="2">
        <f>S8/'Output-Calculation-sheet'!S7*'Output-Calculation-sheet'!S79</f>
        <v>618600516.16455269</v>
      </c>
      <c r="T96" s="2">
        <f>T8/'Output-Calculation-sheet'!T7*'Output-Calculation-sheet'!T79</f>
        <v>563021138.04280162</v>
      </c>
      <c r="U96" s="2">
        <f>U8/'Output-Calculation-sheet'!U7*'Output-Calculation-sheet'!U79</f>
        <v>363694319.5028612</v>
      </c>
      <c r="V96" s="2">
        <f>V8/'Output-Calculation-sheet'!V7*'Output-Calculation-sheet'!V79</f>
        <v>216450837.00838849</v>
      </c>
      <c r="W96" s="2">
        <f>W8/'Output-Calculation-sheet'!W7*'Output-Calculation-sheet'!W79</f>
        <v>596793987.70715594</v>
      </c>
      <c r="X96" s="2">
        <f>X8/'Output-Calculation-sheet'!X7*'Output-Calculation-sheet'!X79</f>
        <v>165834129.20562518</v>
      </c>
      <c r="Y96" s="2">
        <f>Y8/'Output-Calculation-sheet'!Y7*'Output-Calculation-sheet'!Y79</f>
        <v>318562830.9557184</v>
      </c>
      <c r="AA96" s="2">
        <f t="shared" si="8"/>
        <v>54.992212638004808</v>
      </c>
    </row>
    <row r="97" spans="1:27" x14ac:dyDescent="0.25">
      <c r="A97" s="2">
        <v>2032</v>
      </c>
      <c r="B97" s="2">
        <f>B9/'Output-Calculation-sheet'!B8*'Output-Calculation-sheet'!B80</f>
        <v>14001067295.475534</v>
      </c>
      <c r="C97" s="2">
        <f>C9/'Output-Calculation-sheet'!C8*'Output-Calculation-sheet'!C80</f>
        <v>1333051166.7415929</v>
      </c>
      <c r="D97" s="2">
        <f>D9/'Output-Calculation-sheet'!D8*'Output-Calculation-sheet'!D80</f>
        <v>3260183923.6751766</v>
      </c>
      <c r="E97" s="2">
        <f>E9/'Output-Calculation-sheet'!E8*'Output-Calculation-sheet'!E80</f>
        <v>13176477550.416887</v>
      </c>
      <c r="F97" s="2">
        <f>F9/'Output-Calculation-sheet'!F8*'Output-Calculation-sheet'!F80</f>
        <v>3770434070.397378</v>
      </c>
      <c r="G97" s="2">
        <f>G9/'Output-Calculation-sheet'!G8*'Output-Calculation-sheet'!G80</f>
        <v>2232434428.8277087</v>
      </c>
      <c r="H97" s="2">
        <f>H9/'Output-Calculation-sheet'!H8*'Output-Calculation-sheet'!H80</f>
        <v>2001542910.4892168</v>
      </c>
      <c r="I97" s="2">
        <f>I9/'Output-Calculation-sheet'!I8*'Output-Calculation-sheet'!I80</f>
        <v>1680810138.3370075</v>
      </c>
      <c r="J97" s="2">
        <f>J9/'Output-Calculation-sheet'!J8*'Output-Calculation-sheet'!J80</f>
        <v>1346968429.3863666</v>
      </c>
      <c r="K97" s="2">
        <f>K9/'Output-Calculation-sheet'!K8*'Output-Calculation-sheet'!K80</f>
        <v>1618356148.5133321</v>
      </c>
      <c r="L97" s="2">
        <f>L9/'Output-Calculation-sheet'!L8*'Output-Calculation-sheet'!L80</f>
        <v>1658464048.8988273</v>
      </c>
      <c r="M97" s="2">
        <f>M9/'Output-Calculation-sheet'!M8*'Output-Calculation-sheet'!M80</f>
        <v>2297895844.076612</v>
      </c>
      <c r="N97" s="2">
        <f>N9/'Output-Calculation-sheet'!N8*'Output-Calculation-sheet'!N80</f>
        <v>1444476026.000371</v>
      </c>
      <c r="O97" s="2">
        <f>O9/'Output-Calculation-sheet'!O8*'Output-Calculation-sheet'!O80</f>
        <v>173608377.44697276</v>
      </c>
      <c r="P97" s="2">
        <f>P9/'Output-Calculation-sheet'!P8*'Output-Calculation-sheet'!P80</f>
        <v>2488933500.9643345</v>
      </c>
      <c r="Q97" s="2">
        <f>Q9/'Output-Calculation-sheet'!Q8*'Output-Calculation-sheet'!Q80</f>
        <v>1057997377.6235521</v>
      </c>
      <c r="R97" s="2">
        <f>R9/'Output-Calculation-sheet'!R8*'Output-Calculation-sheet'!R80</f>
        <v>1668134787.8714063</v>
      </c>
      <c r="S97" s="2">
        <f>S9/'Output-Calculation-sheet'!S8*'Output-Calculation-sheet'!S80</f>
        <v>662122837.15611768</v>
      </c>
      <c r="T97" s="2">
        <f>T9/'Output-Calculation-sheet'!T8*'Output-Calculation-sheet'!T80</f>
        <v>559496111.21486259</v>
      </c>
      <c r="U97" s="2">
        <f>U9/'Output-Calculation-sheet'!U8*'Output-Calculation-sheet'!U80</f>
        <v>367990763.44021416</v>
      </c>
      <c r="V97" s="2">
        <f>V9/'Output-Calculation-sheet'!V8*'Output-Calculation-sheet'!V80</f>
        <v>218011600.26398155</v>
      </c>
      <c r="W97" s="2">
        <f>W9/'Output-Calculation-sheet'!W8*'Output-Calculation-sheet'!W80</f>
        <v>605526376.79538453</v>
      </c>
      <c r="X97" s="2">
        <f>X9/'Output-Calculation-sheet'!X8*'Output-Calculation-sheet'!X80</f>
        <v>240184732.478508</v>
      </c>
      <c r="Y97" s="2">
        <f>Y9/'Output-Calculation-sheet'!Y8*'Output-Calculation-sheet'!Y80</f>
        <v>330677846.88771284</v>
      </c>
      <c r="AA97" s="2">
        <f t="shared" si="8"/>
        <v>58.194846293379058</v>
      </c>
    </row>
    <row r="98" spans="1:27" x14ac:dyDescent="0.25">
      <c r="A98" s="2">
        <v>2033</v>
      </c>
      <c r="B98" s="2">
        <f>B10/'Output-Calculation-sheet'!B9*'Output-Calculation-sheet'!B81</f>
        <v>14430301078.305033</v>
      </c>
      <c r="C98" s="2">
        <f>C10/'Output-Calculation-sheet'!C9*'Output-Calculation-sheet'!C81</f>
        <v>1346324580.9248514</v>
      </c>
      <c r="D98" s="2">
        <f>D10/'Output-Calculation-sheet'!D9*'Output-Calculation-sheet'!D81</f>
        <v>3052257216.9625793</v>
      </c>
      <c r="E98" s="2">
        <f>E10/'Output-Calculation-sheet'!E9*'Output-Calculation-sheet'!E81</f>
        <v>13848645196.08868</v>
      </c>
      <c r="F98" s="2">
        <f>F10/'Output-Calculation-sheet'!F9*'Output-Calculation-sheet'!F81</f>
        <v>3709695283.7585745</v>
      </c>
      <c r="G98" s="2">
        <f>G10/'Output-Calculation-sheet'!G9*'Output-Calculation-sheet'!G81</f>
        <v>2100589368.9201953</v>
      </c>
      <c r="H98" s="2">
        <f>H10/'Output-Calculation-sheet'!H9*'Output-Calculation-sheet'!H81</f>
        <v>2726514497.4232831</v>
      </c>
      <c r="I98" s="2">
        <f>I10/'Output-Calculation-sheet'!I9*'Output-Calculation-sheet'!I81</f>
        <v>1661699284.9308209</v>
      </c>
      <c r="J98" s="2">
        <f>J10/'Output-Calculation-sheet'!J9*'Output-Calculation-sheet'!J81</f>
        <v>1313926856.1091466</v>
      </c>
      <c r="K98" s="2">
        <f>K10/'Output-Calculation-sheet'!K9*'Output-Calculation-sheet'!K81</f>
        <v>1558638263.6514037</v>
      </c>
      <c r="L98" s="2">
        <f>L10/'Output-Calculation-sheet'!L9*'Output-Calculation-sheet'!L81</f>
        <v>1687455979.6952038</v>
      </c>
      <c r="M98" s="2">
        <f>M10/'Output-Calculation-sheet'!M9*'Output-Calculation-sheet'!M81</f>
        <v>2362250617.3434973</v>
      </c>
      <c r="N98" s="2">
        <f>N10/'Output-Calculation-sheet'!N9*'Output-Calculation-sheet'!N81</f>
        <v>1453691667.8851409</v>
      </c>
      <c r="O98" s="2">
        <f>O10/'Output-Calculation-sheet'!O9*'Output-Calculation-sheet'!O81</f>
        <v>173133787.1664879</v>
      </c>
      <c r="P98" s="2">
        <f>P10/'Output-Calculation-sheet'!P9*'Output-Calculation-sheet'!P81</f>
        <v>2436040674.6568923</v>
      </c>
      <c r="Q98" s="2">
        <f>Q10/'Output-Calculation-sheet'!Q9*'Output-Calculation-sheet'!Q81</f>
        <v>1065014234.4227697</v>
      </c>
      <c r="R98" s="2">
        <f>R10/'Output-Calculation-sheet'!R9*'Output-Calculation-sheet'!R81</f>
        <v>1667466124.6525283</v>
      </c>
      <c r="S98" s="2">
        <f>S10/'Output-Calculation-sheet'!S9*'Output-Calculation-sheet'!S81</f>
        <v>685516140.36536837</v>
      </c>
      <c r="T98" s="2">
        <f>T10/'Output-Calculation-sheet'!T9*'Output-Calculation-sheet'!T81</f>
        <v>535251967.13986391</v>
      </c>
      <c r="U98" s="2">
        <f>U10/'Output-Calculation-sheet'!U9*'Output-Calculation-sheet'!U81</f>
        <v>355833522.91637325</v>
      </c>
      <c r="V98" s="2">
        <f>V10/'Output-Calculation-sheet'!V9*'Output-Calculation-sheet'!V81</f>
        <v>210638331.92859465</v>
      </c>
      <c r="W98" s="2">
        <f>W10/'Output-Calculation-sheet'!W9*'Output-Calculation-sheet'!W81</f>
        <v>585468263.40622795</v>
      </c>
      <c r="X98" s="2">
        <f>X10/'Output-Calculation-sheet'!X9*'Output-Calculation-sheet'!X81</f>
        <v>254526856.72270545</v>
      </c>
      <c r="Y98" s="2">
        <f>Y10/'Output-Calculation-sheet'!Y9*'Output-Calculation-sheet'!Y81</f>
        <v>329479072.97088319</v>
      </c>
      <c r="AA98" s="2">
        <f t="shared" si="8"/>
        <v>59.550358868347118</v>
      </c>
    </row>
    <row r="99" spans="1:27" x14ac:dyDescent="0.25">
      <c r="A99" s="2">
        <v>2034</v>
      </c>
      <c r="B99" s="2">
        <f>B11/'Output-Calculation-sheet'!B10*'Output-Calculation-sheet'!B82</f>
        <v>14765069858.528032</v>
      </c>
      <c r="C99" s="2">
        <f>C11/'Output-Calculation-sheet'!C10*'Output-Calculation-sheet'!C82</f>
        <v>1327508794.2618344</v>
      </c>
      <c r="D99" s="2">
        <f>D11/'Output-Calculation-sheet'!D10*'Output-Calculation-sheet'!D82</f>
        <v>2787925121.17521</v>
      </c>
      <c r="E99" s="2">
        <f>E11/'Output-Calculation-sheet'!E10*'Output-Calculation-sheet'!E82</f>
        <v>14150499137.962261</v>
      </c>
      <c r="F99" s="2">
        <f>F11/'Output-Calculation-sheet'!F10*'Output-Calculation-sheet'!F82</f>
        <v>3555684780.7681375</v>
      </c>
      <c r="G99" s="2">
        <f>G11/'Output-Calculation-sheet'!G10*'Output-Calculation-sheet'!G82</f>
        <v>1923125596.8481126</v>
      </c>
      <c r="H99" s="2">
        <f>H11/'Output-Calculation-sheet'!H10*'Output-Calculation-sheet'!H82</f>
        <v>2682006606.0976791</v>
      </c>
      <c r="I99" s="2">
        <f>I11/'Output-Calculation-sheet'!I10*'Output-Calculation-sheet'!I82</f>
        <v>1604901639.8863297</v>
      </c>
      <c r="J99" s="2">
        <f>J11/'Output-Calculation-sheet'!J10*'Output-Calculation-sheet'!J82</f>
        <v>1251727846.3439238</v>
      </c>
      <c r="K99" s="2">
        <f>K11/'Output-Calculation-sheet'!K10*'Output-Calculation-sheet'!K82</f>
        <v>1457758597.7784324</v>
      </c>
      <c r="L99" s="2">
        <f>L11/'Output-Calculation-sheet'!L10*'Output-Calculation-sheet'!L82</f>
        <v>1676464836.6909719</v>
      </c>
      <c r="M99" s="2">
        <f>M11/'Output-Calculation-sheet'!M10*'Output-Calculation-sheet'!M82</f>
        <v>2377988231.228322</v>
      </c>
      <c r="N99" s="2">
        <f>N11/'Output-Calculation-sheet'!N10*'Output-Calculation-sheet'!N82</f>
        <v>1423350887.6727581</v>
      </c>
      <c r="O99" s="2">
        <f>O11/'Output-Calculation-sheet'!O10*'Output-Calculation-sheet'!O82</f>
        <v>168605298.11561412</v>
      </c>
      <c r="P99" s="2">
        <f>P11/'Output-Calculation-sheet'!P10*'Output-Calculation-sheet'!P82</f>
        <v>2301314165.3116536</v>
      </c>
      <c r="Q99" s="2">
        <f>Q11/'Output-Calculation-sheet'!Q10*'Output-Calculation-sheet'!Q82</f>
        <v>1049552710.3538667</v>
      </c>
      <c r="R99" s="2">
        <f>R11/'Output-Calculation-sheet'!R10*'Output-Calculation-sheet'!R82</f>
        <v>1622572501.2114325</v>
      </c>
      <c r="S99" s="2">
        <f>S11/'Output-Calculation-sheet'!S10*'Output-Calculation-sheet'!S82</f>
        <v>698676544.88092172</v>
      </c>
      <c r="T99" s="2">
        <f>T11/'Output-Calculation-sheet'!T10*'Output-Calculation-sheet'!T82</f>
        <v>497515887.6936326</v>
      </c>
      <c r="U99" s="2">
        <f>U11/'Output-Calculation-sheet'!U10*'Output-Calculation-sheet'!U82</f>
        <v>335428220.95315522</v>
      </c>
      <c r="V99" s="2">
        <f>V11/'Output-Calculation-sheet'!V10*'Output-Calculation-sheet'!V82</f>
        <v>198649323.88091403</v>
      </c>
      <c r="W99" s="2">
        <f>W11/'Output-Calculation-sheet'!W10*'Output-Calculation-sheet'!W82</f>
        <v>550186868.02137733</v>
      </c>
      <c r="X99" s="2">
        <f>X11/'Output-Calculation-sheet'!X10*'Output-Calculation-sheet'!X82</f>
        <v>263806544.19499761</v>
      </c>
      <c r="Y99" s="2">
        <f>Y11/'Output-Calculation-sheet'!Y10*'Output-Calculation-sheet'!Y82</f>
        <v>318286960.99316317</v>
      </c>
      <c r="AA99" s="2">
        <f t="shared" si="8"/>
        <v>58.988606960852742</v>
      </c>
    </row>
    <row r="100" spans="1:27" x14ac:dyDescent="0.25">
      <c r="A100" s="2">
        <v>2035</v>
      </c>
      <c r="B100" s="2">
        <f>B12/'Output-Calculation-sheet'!B11*'Output-Calculation-sheet'!B83</f>
        <v>14801583416.955912</v>
      </c>
      <c r="C100" s="2">
        <f>C12/'Output-Calculation-sheet'!C11*'Output-Calculation-sheet'!C83</f>
        <v>1331236144.4344604</v>
      </c>
      <c r="D100" s="2">
        <f>D12/'Output-Calculation-sheet'!D11*'Output-Calculation-sheet'!D83</f>
        <v>2515510865.0544038</v>
      </c>
      <c r="E100" s="2">
        <f>E12/'Output-Calculation-sheet'!E11*'Output-Calculation-sheet'!E83</f>
        <v>14240105276.437933</v>
      </c>
      <c r="F100" s="2">
        <f>F12/'Output-Calculation-sheet'!F11*'Output-Calculation-sheet'!F83</f>
        <v>3353538105.7183247</v>
      </c>
      <c r="G100" s="2">
        <f>G12/'Output-Calculation-sheet'!G11*'Output-Calculation-sheet'!G83</f>
        <v>1730894810.9357212</v>
      </c>
      <c r="H100" s="2">
        <f>H12/'Output-Calculation-sheet'!H11*'Output-Calculation-sheet'!H83</f>
        <v>2583900296.9384875</v>
      </c>
      <c r="I100" s="2">
        <f>I12/'Output-Calculation-sheet'!I11*'Output-Calculation-sheet'!I83</f>
        <v>1524583775.3456962</v>
      </c>
      <c r="J100" s="2">
        <f>J12/'Output-Calculation-sheet'!J11*'Output-Calculation-sheet'!J83</f>
        <v>1174671249.4979224</v>
      </c>
      <c r="K100" s="2">
        <f>K12/'Output-Calculation-sheet'!K11*'Output-Calculation-sheet'!K83</f>
        <v>1340407653.1157768</v>
      </c>
      <c r="L100" s="2">
        <f>L12/'Output-Calculation-sheet'!L11*'Output-Calculation-sheet'!L83</f>
        <v>1641431866.5065989</v>
      </c>
      <c r="M100" s="2">
        <f>M12/'Output-Calculation-sheet'!M11*'Output-Calculation-sheet'!M83</f>
        <v>2352055660.6826468</v>
      </c>
      <c r="N100" s="2">
        <f>N12/'Output-Calculation-sheet'!N11*'Output-Calculation-sheet'!N83</f>
        <v>1375133034.067344</v>
      </c>
      <c r="O100" s="2">
        <f>O12/'Output-Calculation-sheet'!O11*'Output-Calculation-sheet'!O83</f>
        <v>176700670.34844771</v>
      </c>
      <c r="P100" s="2">
        <f>P12/'Output-Calculation-sheet'!P11*'Output-Calculation-sheet'!P83</f>
        <v>2111763783.1915724</v>
      </c>
      <c r="Q100" s="2">
        <f>Q12/'Output-Calculation-sheet'!Q11*'Output-Calculation-sheet'!Q83</f>
        <v>1021034247.0229112</v>
      </c>
      <c r="R100" s="2">
        <f>R12/'Output-Calculation-sheet'!R11*'Output-Calculation-sheet'!R83</f>
        <v>1551519963.4089031</v>
      </c>
      <c r="S100" s="2">
        <f>S12/'Output-Calculation-sheet'!S11*'Output-Calculation-sheet'!S83</f>
        <v>694918450.87188208</v>
      </c>
      <c r="T100" s="2">
        <f>T12/'Output-Calculation-sheet'!T11*'Output-Calculation-sheet'!T83</f>
        <v>455112317.33911031</v>
      </c>
      <c r="U100" s="2">
        <f>U12/'Output-Calculation-sheet'!U11*'Output-Calculation-sheet'!U83</f>
        <v>309761701.03809923</v>
      </c>
      <c r="V100" s="2">
        <f>V12/'Output-Calculation-sheet'!V11*'Output-Calculation-sheet'!V83</f>
        <v>184135937.1934126</v>
      </c>
      <c r="W100" s="2">
        <f>W12/'Output-Calculation-sheet'!W11*'Output-Calculation-sheet'!W83</f>
        <v>505449431.36154741</v>
      </c>
      <c r="X100" s="2">
        <f>X12/'Output-Calculation-sheet'!X11*'Output-Calculation-sheet'!X83</f>
        <v>269634043.27007246</v>
      </c>
      <c r="Y100" s="2">
        <f>Y12/'Output-Calculation-sheet'!Y11*'Output-Calculation-sheet'!Y83</f>
        <v>301838188.72403419</v>
      </c>
      <c r="AA100" s="2">
        <f t="shared" si="8"/>
        <v>57.546920889461227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6272.656849055671</v>
      </c>
      <c r="C19" s="2">
        <f>C8/'Output-Calculation-sheet'!C7*'Output-Calculation-sheet'!C25</f>
        <v>9473.8718234747448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5084.5211795995683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1033.6570902669837</v>
      </c>
      <c r="M19" s="2">
        <f>M8/'Output-Calculation-sheet'!M7*'Output-Calculation-sheet'!M25</f>
        <v>6706.2033834651411</v>
      </c>
      <c r="N19" s="2">
        <f>N8/'Output-Calculation-sheet'!N7*'Output-Calculation-sheet'!N25</f>
        <v>3423.756566353301</v>
      </c>
      <c r="O19" s="2">
        <f>O8/'Output-Calculation-sheet'!O7*'Output-Calculation-sheet'!O25</f>
        <v>1850.587822467528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654.64996035303886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466.32131485138467</v>
      </c>
      <c r="Y19" s="2">
        <f>Y8/'Output-Calculation-sheet'!Y7*'Output-Calculation-sheet'!Y25</f>
        <v>0</v>
      </c>
      <c r="AA19" s="2">
        <f t="shared" si="0"/>
        <v>34.966225989887363</v>
      </c>
    </row>
    <row r="20" spans="1:27" x14ac:dyDescent="0.25">
      <c r="A20" s="2">
        <v>2032</v>
      </c>
      <c r="B20" s="2">
        <f>B9/'Output-Calculation-sheet'!B8*'Output-Calculation-sheet'!B26</f>
        <v>8382.4518503329527</v>
      </c>
      <c r="C20" s="2">
        <f>C9/'Output-Calculation-sheet'!C8*'Output-Calculation-sheet'!C26</f>
        <v>10383.639671512303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6838.8361471226381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1188.3502048543878</v>
      </c>
      <c r="M20" s="2">
        <f>M9/'Output-Calculation-sheet'!M8*'Output-Calculation-sheet'!M26</f>
        <v>7231.8313451429076</v>
      </c>
      <c r="N20" s="2">
        <f>N9/'Output-Calculation-sheet'!N8*'Output-Calculation-sheet'!N26</f>
        <v>4073.0972586124167</v>
      </c>
      <c r="O20" s="2">
        <f>O9/'Output-Calculation-sheet'!O8*'Output-Calculation-sheet'!O26</f>
        <v>2026.5004817114159</v>
      </c>
      <c r="P20" s="2">
        <f>P9/'Output-Calculation-sheet'!P8*'Output-Calculation-sheet'!P26</f>
        <v>0</v>
      </c>
      <c r="Q20" s="2">
        <f>Q9/'Output-Calculation-sheet'!Q8*'Output-Calculation-sheet'!Q26</f>
        <v>122.4768481412768</v>
      </c>
      <c r="R20" s="2">
        <f>R9/'Output-Calculation-sheet'!R8*'Output-Calculation-sheet'!R26</f>
        <v>0</v>
      </c>
      <c r="S20" s="2">
        <f>S9/'Output-Calculation-sheet'!S8*'Output-Calculation-sheet'!S26</f>
        <v>864.78830660965946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668.62424789378667</v>
      </c>
      <c r="Y20" s="2">
        <f>Y9/'Output-Calculation-sheet'!Y8*'Output-Calculation-sheet'!Y26</f>
        <v>0</v>
      </c>
      <c r="AA20" s="2">
        <f t="shared" si="0"/>
        <v>41.780596361933746</v>
      </c>
    </row>
    <row r="21" spans="1:27" x14ac:dyDescent="0.25">
      <c r="A21" s="2">
        <v>2033</v>
      </c>
      <c r="B21" s="2">
        <f>B10/'Output-Calculation-sheet'!B9*'Output-Calculation-sheet'!B27</f>
        <v>10476.986977145831</v>
      </c>
      <c r="C21" s="2">
        <f>C10/'Output-Calculation-sheet'!C9*'Output-Calculation-sheet'!C27</f>
        <v>10515.180993525277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9218.5819399705033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1279.7910897180543</v>
      </c>
      <c r="M21" s="2">
        <f>M10/'Output-Calculation-sheet'!M9*'Output-Calculation-sheet'!M27</f>
        <v>7175.1487532124984</v>
      </c>
      <c r="N21" s="2">
        <f>N10/'Output-Calculation-sheet'!N9*'Output-Calculation-sheet'!N27</f>
        <v>4181.9112687331608</v>
      </c>
      <c r="O21" s="2">
        <f>O10/'Output-Calculation-sheet'!O9*'Output-Calculation-sheet'!O27</f>
        <v>2045.9031894403336</v>
      </c>
      <c r="P21" s="2">
        <f>P10/'Output-Calculation-sheet'!P9*'Output-Calculation-sheet'!P27</f>
        <v>0</v>
      </c>
      <c r="Q21" s="2">
        <f>Q10/'Output-Calculation-sheet'!Q9*'Output-Calculation-sheet'!Q27</f>
        <v>311.62044831826216</v>
      </c>
      <c r="R21" s="2">
        <f>R10/'Output-Calculation-sheet'!R9*'Output-Calculation-sheet'!R27</f>
        <v>0</v>
      </c>
      <c r="S21" s="2">
        <f>S10/'Output-Calculation-sheet'!S9*'Output-Calculation-sheet'!S27</f>
        <v>1062.2825371599602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669.49039259779113</v>
      </c>
      <c r="Y21" s="2">
        <f>Y10/'Output-Calculation-sheet'!Y9*'Output-Calculation-sheet'!Y27</f>
        <v>0</v>
      </c>
      <c r="AA21" s="2">
        <f t="shared" si="0"/>
        <v>46.936897589821669</v>
      </c>
    </row>
    <row r="22" spans="1:27" x14ac:dyDescent="0.25">
      <c r="A22" s="2">
        <v>2034</v>
      </c>
      <c r="B22" s="2">
        <f>B11/'Output-Calculation-sheet'!B10*'Output-Calculation-sheet'!B28</f>
        <v>12045.8866480735</v>
      </c>
      <c r="C22" s="2">
        <f>C11/'Output-Calculation-sheet'!C10*'Output-Calculation-sheet'!C28</f>
        <v>9822.8915862109043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8535.8166856828066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1257.606529645509</v>
      </c>
      <c r="M22" s="2">
        <f>M11/'Output-Calculation-sheet'!M10*'Output-Calculation-sheet'!M28</f>
        <v>6632.7639431956532</v>
      </c>
      <c r="N22" s="2">
        <f>N11/'Output-Calculation-sheet'!N10*'Output-Calculation-sheet'!N28</f>
        <v>3978.4054827964055</v>
      </c>
      <c r="O22" s="2">
        <f>O11/'Output-Calculation-sheet'!O10*'Output-Calculation-sheet'!O28</f>
        <v>1899.7028765282021</v>
      </c>
      <c r="P22" s="2">
        <f>P11/'Output-Calculation-sheet'!P10*'Output-Calculation-sheet'!P28</f>
        <v>0</v>
      </c>
      <c r="Q22" s="2">
        <f>Q11/'Output-Calculation-sheet'!Q10*'Output-Calculation-sheet'!Q28</f>
        <v>545.3509337554932</v>
      </c>
      <c r="R22" s="2">
        <f>R11/'Output-Calculation-sheet'!R10*'Output-Calculation-sheet'!R28</f>
        <v>0</v>
      </c>
      <c r="S22" s="2">
        <f>S11/'Output-Calculation-sheet'!S10*'Output-Calculation-sheet'!S28</f>
        <v>1165.5038925274673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620.27240423911633</v>
      </c>
      <c r="Y22" s="2">
        <f>Y11/'Output-Calculation-sheet'!Y10*'Output-Calculation-sheet'!Y28</f>
        <v>0</v>
      </c>
      <c r="AA22" s="2">
        <f t="shared" si="0"/>
        <v>46.50420098265505</v>
      </c>
    </row>
    <row r="23" spans="1:27" x14ac:dyDescent="0.25">
      <c r="A23" s="2">
        <v>2035</v>
      </c>
      <c r="B23" s="2">
        <f>B12/'Output-Calculation-sheet'!B11*'Output-Calculation-sheet'!B29</f>
        <v>12340.588398771137</v>
      </c>
      <c r="C23" s="2">
        <f>C12/'Output-Calculation-sheet'!C11*'Output-Calculation-sheet'!C29</f>
        <v>8651.0723372833636</v>
      </c>
      <c r="D23" s="2">
        <f>D12/'Output-Calculation-sheet'!D11*'Output-Calculation-sheet'!D29</f>
        <v>0</v>
      </c>
      <c r="E23" s="2">
        <f>E12/'Output-Calculation-sheet'!E11*'Output-Calculation-sheet'!E29</f>
        <v>113.09112992673487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7224.1808815598133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1138.8129756040794</v>
      </c>
      <c r="M23" s="2">
        <f>M12/'Output-Calculation-sheet'!M11*'Output-Calculation-sheet'!M29</f>
        <v>5618.4391872750302</v>
      </c>
      <c r="N23" s="2">
        <f>N12/'Output-Calculation-sheet'!N11*'Output-Calculation-sheet'!N29</f>
        <v>3448.7812309501537</v>
      </c>
      <c r="O23" s="2">
        <f>O12/'Output-Calculation-sheet'!O11*'Output-Calculation-sheet'!O29</f>
        <v>1754.4455924207434</v>
      </c>
      <c r="P23" s="2">
        <f>P12/'Output-Calculation-sheet'!P11*'Output-Calculation-sheet'!P29</f>
        <v>0</v>
      </c>
      <c r="Q23" s="2">
        <f>Q12/'Output-Calculation-sheet'!Q11*'Output-Calculation-sheet'!Q29</f>
        <v>678.16716210201673</v>
      </c>
      <c r="R23" s="2">
        <f>R12/'Output-Calculation-sheet'!R11*'Output-Calculation-sheet'!R29</f>
        <v>0</v>
      </c>
      <c r="S23" s="2">
        <f>S12/'Output-Calculation-sheet'!S11*'Output-Calculation-sheet'!S29</f>
        <v>1149.3665518837108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531.0985481724357</v>
      </c>
      <c r="Y23" s="2">
        <f>Y12/'Output-Calculation-sheet'!Y11*'Output-Calculation-sheet'!Y29</f>
        <v>0</v>
      </c>
      <c r="AA23" s="2">
        <f t="shared" si="0"/>
        <v>42.648043995949216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30016.569689350701</v>
      </c>
      <c r="C30" s="2">
        <f>C8/'Output-Calculation-sheet'!C7*'Output-Calculation-sheet'!C16</f>
        <v>0</v>
      </c>
      <c r="D30" s="2">
        <f>D8/'Output-Calculation-sheet'!D7*'Output-Calculation-sheet'!D16</f>
        <v>8204.2310543793174</v>
      </c>
      <c r="E30" s="2">
        <f>E8/'Output-Calculation-sheet'!E7*'Output-Calculation-sheet'!E16</f>
        <v>10017.959291027481</v>
      </c>
      <c r="F30" s="2">
        <f>F8/'Output-Calculation-sheet'!F7*'Output-Calculation-sheet'!F16</f>
        <v>4505.7909902639485</v>
      </c>
      <c r="G30" s="2">
        <f>G8/'Output-Calculation-sheet'!G7*'Output-Calculation-sheet'!G16</f>
        <v>2594.5922275511871</v>
      </c>
      <c r="H30" s="2">
        <f>H8/'Output-Calculation-sheet'!H7*'Output-Calculation-sheet'!H16</f>
        <v>0</v>
      </c>
      <c r="I30" s="2">
        <f>I8/'Output-Calculation-sheet'!I7*'Output-Calculation-sheet'!I16</f>
        <v>2753.0902100392691</v>
      </c>
      <c r="J30" s="2">
        <f>J8/'Output-Calculation-sheet'!J7*'Output-Calculation-sheet'!J16</f>
        <v>2799.8893523265024</v>
      </c>
      <c r="K30" s="2">
        <f>K8/'Output-Calculation-sheet'!K7*'Output-Calculation-sheet'!K16</f>
        <v>3648.2332864439868</v>
      </c>
      <c r="L30" s="2">
        <f>L8/'Output-Calculation-sheet'!L7*'Output-Calculation-sheet'!L16</f>
        <v>3315.1271337415865</v>
      </c>
      <c r="M30" s="2">
        <f>M8/'Output-Calculation-sheet'!M7*'Output-Calculation-sheet'!M16</f>
        <v>0</v>
      </c>
      <c r="N30" s="2">
        <f>N8/'Output-Calculation-sheet'!N7*'Output-Calculation-sheet'!N16</f>
        <v>1957.3809271367634</v>
      </c>
      <c r="O30" s="2">
        <f>O8/'Output-Calculation-sheet'!O7*'Output-Calculation-sheet'!O16</f>
        <v>0</v>
      </c>
      <c r="P30" s="2">
        <f>P8/'Output-Calculation-sheet'!P7*'Output-Calculation-sheet'!P16</f>
        <v>2945.9307856905061</v>
      </c>
      <c r="Q30" s="2">
        <f>Q8/'Output-Calculation-sheet'!Q7*'Output-Calculation-sheet'!Q16</f>
        <v>3285.5078534268473</v>
      </c>
      <c r="R30" s="2">
        <f>R8/'Output-Calculation-sheet'!R7*'Output-Calculation-sheet'!R16</f>
        <v>2680.2788701113</v>
      </c>
      <c r="S30" s="2">
        <f>S8/'Output-Calculation-sheet'!S7*'Output-Calculation-sheet'!S16</f>
        <v>1442.7491456590785</v>
      </c>
      <c r="T30" s="2">
        <f>T8/'Output-Calculation-sheet'!T7*'Output-Calculation-sheet'!T16</f>
        <v>849.99471399843776</v>
      </c>
      <c r="U30" s="2">
        <f>U8/'Output-Calculation-sheet'!U7*'Output-Calculation-sheet'!U16</f>
        <v>680.4054007586027</v>
      </c>
      <c r="V30" s="2">
        <f>V8/'Output-Calculation-sheet'!V7*'Output-Calculation-sheet'!V16</f>
        <v>801.14172201487543</v>
      </c>
      <c r="W30" s="2">
        <f>W8/'Output-Calculation-sheet'!W7*'Output-Calculation-sheet'!W16</f>
        <v>369.69579159582747</v>
      </c>
      <c r="X30" s="2">
        <f>X8/'Output-Calculation-sheet'!X7*'Output-Calculation-sheet'!X16</f>
        <v>0</v>
      </c>
      <c r="Y30" s="2">
        <f>Y8/'Output-Calculation-sheet'!Y7*'Output-Calculation-sheet'!Y16</f>
        <v>284.28933965625919</v>
      </c>
      <c r="AA30" s="2">
        <f t="shared" si="1"/>
        <v>83.1528577851725</v>
      </c>
    </row>
    <row r="31" spans="1:27" x14ac:dyDescent="0.25">
      <c r="A31" s="2">
        <v>2032</v>
      </c>
      <c r="B31" s="2">
        <f>B9/'Output-Calculation-sheet'!B8*'Output-Calculation-sheet'!B17</f>
        <v>31423.349777225474</v>
      </c>
      <c r="C31" s="2">
        <f>C9/'Output-Calculation-sheet'!C8*'Output-Calculation-sheet'!C17</f>
        <v>0</v>
      </c>
      <c r="D31" s="2">
        <f>D9/'Output-Calculation-sheet'!D8*'Output-Calculation-sheet'!D17</f>
        <v>8741.2158521492729</v>
      </c>
      <c r="E31" s="2">
        <f>E9/'Output-Calculation-sheet'!E8*'Output-Calculation-sheet'!E17</f>
        <v>10724.034086328207</v>
      </c>
      <c r="F31" s="2">
        <f>F9/'Output-Calculation-sheet'!F8*'Output-Calculation-sheet'!F17</f>
        <v>4830.093636684901</v>
      </c>
      <c r="G31" s="2">
        <f>G9/'Output-Calculation-sheet'!G8*'Output-Calculation-sheet'!G17</f>
        <v>2780.0648086510555</v>
      </c>
      <c r="H31" s="2">
        <f>H9/'Output-Calculation-sheet'!H8*'Output-Calculation-sheet'!H17</f>
        <v>0</v>
      </c>
      <c r="I31" s="2">
        <f>I9/'Output-Calculation-sheet'!I8*'Output-Calculation-sheet'!I17</f>
        <v>2947.2078989602815</v>
      </c>
      <c r="J31" s="2">
        <f>J9/'Output-Calculation-sheet'!J8*'Output-Calculation-sheet'!J17</f>
        <v>2990.1969767306891</v>
      </c>
      <c r="K31" s="2">
        <f>K9/'Output-Calculation-sheet'!K8*'Output-Calculation-sheet'!K17</f>
        <v>3889.0105189321725</v>
      </c>
      <c r="L31" s="2">
        <f>L9/'Output-Calculation-sheet'!L8*'Output-Calculation-sheet'!L17</f>
        <v>3518.0634569059771</v>
      </c>
      <c r="M31" s="2">
        <f>M9/'Output-Calculation-sheet'!M8*'Output-Calculation-sheet'!M17</f>
        <v>0</v>
      </c>
      <c r="N31" s="2">
        <f>N9/'Output-Calculation-sheet'!N8*'Output-Calculation-sheet'!N17</f>
        <v>1964.3941981065605</v>
      </c>
      <c r="O31" s="2">
        <f>O9/'Output-Calculation-sheet'!O8*'Output-Calculation-sheet'!O17</f>
        <v>0</v>
      </c>
      <c r="P31" s="2">
        <f>P9/'Output-Calculation-sheet'!P8*'Output-Calculation-sheet'!P17</f>
        <v>3191.736059732486</v>
      </c>
      <c r="Q31" s="2">
        <f>Q9/'Output-Calculation-sheet'!Q8*'Output-Calculation-sheet'!Q17</f>
        <v>3468.8235400412741</v>
      </c>
      <c r="R31" s="2">
        <f>R9/'Output-Calculation-sheet'!R8*'Output-Calculation-sheet'!R17</f>
        <v>2879.6281212302415</v>
      </c>
      <c r="S31" s="2">
        <f>S9/'Output-Calculation-sheet'!S8*'Output-Calculation-sheet'!S17</f>
        <v>1495.9770789817235</v>
      </c>
      <c r="T31" s="2">
        <f>T9/'Output-Calculation-sheet'!T8*'Output-Calculation-sheet'!T17</f>
        <v>907.1924209558772</v>
      </c>
      <c r="U31" s="2">
        <f>U9/'Output-Calculation-sheet'!U8*'Output-Calculation-sheet'!U17</f>
        <v>728.84506562354193</v>
      </c>
      <c r="V31" s="2">
        <f>V9/'Output-Calculation-sheet'!V8*'Output-Calculation-sheet'!V17</f>
        <v>856.75156556312072</v>
      </c>
      <c r="W31" s="2">
        <f>W9/'Output-Calculation-sheet'!W8*'Output-Calculation-sheet'!W17</f>
        <v>396.27702890652699</v>
      </c>
      <c r="X31" s="2">
        <f>X9/'Output-Calculation-sheet'!X8*'Output-Calculation-sheet'!X17</f>
        <v>0</v>
      </c>
      <c r="Y31" s="2">
        <f>Y9/'Output-Calculation-sheet'!Y8*'Output-Calculation-sheet'!Y17</f>
        <v>304.96073554313358</v>
      </c>
      <c r="AA31" s="2">
        <f t="shared" si="1"/>
        <v>88.037822827252498</v>
      </c>
    </row>
    <row r="32" spans="1:27" x14ac:dyDescent="0.25">
      <c r="A32" s="2">
        <v>2033</v>
      </c>
      <c r="B32" s="2">
        <f>B10/'Output-Calculation-sheet'!B9*'Output-Calculation-sheet'!B18</f>
        <v>29929.763480465157</v>
      </c>
      <c r="C32" s="2">
        <f>C10/'Output-Calculation-sheet'!C9*'Output-Calculation-sheet'!C18</f>
        <v>0</v>
      </c>
      <c r="D32" s="2">
        <f>D10/'Output-Calculation-sheet'!D9*'Output-Calculation-sheet'!D18</f>
        <v>8556.3782728914066</v>
      </c>
      <c r="E32" s="2">
        <f>E10/'Output-Calculation-sheet'!E9*'Output-Calculation-sheet'!E18</f>
        <v>10574.503715685451</v>
      </c>
      <c r="F32" s="2">
        <f>F10/'Output-Calculation-sheet'!F9*'Output-Calculation-sheet'!F18</f>
        <v>4756.6858135903194</v>
      </c>
      <c r="G32" s="2">
        <f>G10/'Output-Calculation-sheet'!G9*'Output-Calculation-sheet'!G18</f>
        <v>2736.9669667667708</v>
      </c>
      <c r="H32" s="2">
        <f>H10/'Output-Calculation-sheet'!H9*'Output-Calculation-sheet'!H18</f>
        <v>0</v>
      </c>
      <c r="I32" s="2">
        <f>I10/'Output-Calculation-sheet'!I9*'Output-Calculation-sheet'!I18</f>
        <v>2899.2095672330815</v>
      </c>
      <c r="J32" s="2">
        <f>J10/'Output-Calculation-sheet'!J9*'Output-Calculation-sheet'!J18</f>
        <v>2918.4493030687577</v>
      </c>
      <c r="K32" s="2">
        <f>K10/'Output-Calculation-sheet'!K9*'Output-Calculation-sheet'!K18</f>
        <v>3852.8524238868608</v>
      </c>
      <c r="L32" s="2">
        <f>L10/'Output-Calculation-sheet'!L9*'Output-Calculation-sheet'!L18</f>
        <v>3361.8316098114396</v>
      </c>
      <c r="M32" s="2">
        <f>M10/'Output-Calculation-sheet'!M9*'Output-Calculation-sheet'!M18</f>
        <v>0</v>
      </c>
      <c r="N32" s="2">
        <f>N10/'Output-Calculation-sheet'!N9*'Output-Calculation-sheet'!N18</f>
        <v>1885.8745597664943</v>
      </c>
      <c r="O32" s="2">
        <f>O10/'Output-Calculation-sheet'!O9*'Output-Calculation-sheet'!O18</f>
        <v>0</v>
      </c>
      <c r="P32" s="2">
        <f>P10/'Output-Calculation-sheet'!P9*'Output-Calculation-sheet'!P18</f>
        <v>3170.0651302050201</v>
      </c>
      <c r="Q32" s="2">
        <f>Q10/'Output-Calculation-sheet'!Q9*'Output-Calculation-sheet'!Q18</f>
        <v>3341.2914522975188</v>
      </c>
      <c r="R32" s="2">
        <f>R10/'Output-Calculation-sheet'!R9*'Output-Calculation-sheet'!R18</f>
        <v>2831.4088090775545</v>
      </c>
      <c r="S32" s="2">
        <f>S10/'Output-Calculation-sheet'!S9*'Output-Calculation-sheet'!S18</f>
        <v>1413.1166299800582</v>
      </c>
      <c r="T32" s="2">
        <f>T10/'Output-Calculation-sheet'!T9*'Output-Calculation-sheet'!T18</f>
        <v>891.84564201340652</v>
      </c>
      <c r="U32" s="2">
        <f>U10/'Output-Calculation-sheet'!U9*'Output-Calculation-sheet'!U18</f>
        <v>715.08519968607959</v>
      </c>
      <c r="V32" s="2">
        <f>V10/'Output-Calculation-sheet'!V9*'Output-Calculation-sheet'!V18</f>
        <v>832.0370786615332</v>
      </c>
      <c r="W32" s="2">
        <f>W10/'Output-Calculation-sheet'!W9*'Output-Calculation-sheet'!W18</f>
        <v>388.3147964800803</v>
      </c>
      <c r="X32" s="2">
        <f>X10/'Output-Calculation-sheet'!X9*'Output-Calculation-sheet'!X18</f>
        <v>0</v>
      </c>
      <c r="Y32" s="2">
        <f>Y10/'Output-Calculation-sheet'!Y9*'Output-Calculation-sheet'!Y18</f>
        <v>300.38027253685323</v>
      </c>
      <c r="AA32" s="2">
        <f t="shared" si="1"/>
        <v>85.356060724103841</v>
      </c>
    </row>
    <row r="33" spans="1:27" x14ac:dyDescent="0.25">
      <c r="A33" s="2">
        <v>2034</v>
      </c>
      <c r="B33" s="2">
        <f>B11/'Output-Calculation-sheet'!B10*'Output-Calculation-sheet'!B19</f>
        <v>26609.020032336462</v>
      </c>
      <c r="C33" s="2">
        <f>C11/'Output-Calculation-sheet'!C10*'Output-Calculation-sheet'!C19</f>
        <v>0</v>
      </c>
      <c r="D33" s="2">
        <f>D11/'Output-Calculation-sheet'!D10*'Output-Calculation-sheet'!D19</f>
        <v>7701.0423138646865</v>
      </c>
      <c r="E33" s="2">
        <f>E11/'Output-Calculation-sheet'!E10*'Output-Calculation-sheet'!E19</f>
        <v>9579.6357466744012</v>
      </c>
      <c r="F33" s="2">
        <f>F11/'Output-Calculation-sheet'!F10*'Output-Calculation-sheet'!F19</f>
        <v>4310.5318288848694</v>
      </c>
      <c r="G33" s="2">
        <f>G11/'Output-Calculation-sheet'!G10*'Output-Calculation-sheet'!G19</f>
        <v>2473.1681613004994</v>
      </c>
      <c r="H33" s="2">
        <f>H11/'Output-Calculation-sheet'!H10*'Output-Calculation-sheet'!H19</f>
        <v>0</v>
      </c>
      <c r="I33" s="2">
        <f>I11/'Output-Calculation-sheet'!I10*'Output-Calculation-sheet'!I19</f>
        <v>2630.1431044433116</v>
      </c>
      <c r="J33" s="2">
        <f>J11/'Output-Calculation-sheet'!J10*'Output-Calculation-sheet'!J19</f>
        <v>2632.3585898235574</v>
      </c>
      <c r="K33" s="2">
        <f>K11/'Output-Calculation-sheet'!K10*'Output-Calculation-sheet'!K19</f>
        <v>3456.655391243024</v>
      </c>
      <c r="L33" s="2">
        <f>L11/'Output-Calculation-sheet'!L10*'Output-Calculation-sheet'!L19</f>
        <v>2970.0661845033351</v>
      </c>
      <c r="M33" s="2">
        <f>M11/'Output-Calculation-sheet'!M10*'Output-Calculation-sheet'!M19</f>
        <v>0</v>
      </c>
      <c r="N33" s="2">
        <f>N11/'Output-Calculation-sheet'!N10*'Output-Calculation-sheet'!N19</f>
        <v>1621.4338574941776</v>
      </c>
      <c r="O33" s="2">
        <f>O11/'Output-Calculation-sheet'!O10*'Output-Calculation-sheet'!O19</f>
        <v>0</v>
      </c>
      <c r="P33" s="2">
        <f>P11/'Output-Calculation-sheet'!P10*'Output-Calculation-sheet'!P19</f>
        <v>2901.2650573375768</v>
      </c>
      <c r="Q33" s="2">
        <f>Q11/'Output-Calculation-sheet'!Q10*'Output-Calculation-sheet'!Q19</f>
        <v>2894.4897839262071</v>
      </c>
      <c r="R33" s="2">
        <f>R11/'Output-Calculation-sheet'!R10*'Output-Calculation-sheet'!R19</f>
        <v>2557.4091747902507</v>
      </c>
      <c r="S33" s="2">
        <f>S11/'Output-Calculation-sheet'!S10*'Output-Calculation-sheet'!S19</f>
        <v>1246.5166856076637</v>
      </c>
      <c r="T33" s="2">
        <f>T11/'Output-Calculation-sheet'!T10*'Output-Calculation-sheet'!T19</f>
        <v>807.95891793589476</v>
      </c>
      <c r="U33" s="2">
        <f>U11/'Output-Calculation-sheet'!U10*'Output-Calculation-sheet'!U19</f>
        <v>651.84677693622962</v>
      </c>
      <c r="V33" s="2">
        <f>V11/'Output-Calculation-sheet'!V10*'Output-Calculation-sheet'!V19</f>
        <v>748.04436481428718</v>
      </c>
      <c r="W33" s="2">
        <f>W11/'Output-Calculation-sheet'!W10*'Output-Calculation-sheet'!W19</f>
        <v>352.11101595077173</v>
      </c>
      <c r="X33" s="2">
        <f>X11/'Output-Calculation-sheet'!X10*'Output-Calculation-sheet'!X19</f>
        <v>0</v>
      </c>
      <c r="Y33" s="2">
        <f>Y11/'Output-Calculation-sheet'!Y10*'Output-Calculation-sheet'!Y19</f>
        <v>272.26904392445374</v>
      </c>
      <c r="AA33" s="2">
        <f t="shared" si="1"/>
        <v>76.415966031791655</v>
      </c>
    </row>
    <row r="34" spans="1:27" x14ac:dyDescent="0.25">
      <c r="A34" s="2">
        <v>2035</v>
      </c>
      <c r="B34" s="2">
        <f>B12/'Output-Calculation-sheet'!B11*'Output-Calculation-sheet'!B20</f>
        <v>21311.603729357503</v>
      </c>
      <c r="C34" s="2">
        <f>C12/'Output-Calculation-sheet'!C11*'Output-Calculation-sheet'!C20</f>
        <v>0</v>
      </c>
      <c r="D34" s="2">
        <f>D12/'Output-Calculation-sheet'!D11*'Output-Calculation-sheet'!D20</f>
        <v>6424.0901503818104</v>
      </c>
      <c r="E34" s="2">
        <f>E12/'Output-Calculation-sheet'!E11*'Output-Calculation-sheet'!E20</f>
        <v>7908.5279495574869</v>
      </c>
      <c r="F34" s="2">
        <f>F12/'Output-Calculation-sheet'!F11*'Output-Calculation-sheet'!F20</f>
        <v>3591.2561826836891</v>
      </c>
      <c r="G34" s="2">
        <f>G12/'Output-Calculation-sheet'!G11*'Output-Calculation-sheet'!G20</f>
        <v>2057.6700809486001</v>
      </c>
      <c r="H34" s="2">
        <f>H12/'Output-Calculation-sheet'!H11*'Output-Calculation-sheet'!H20</f>
        <v>0</v>
      </c>
      <c r="I34" s="2">
        <f>I12/'Output-Calculation-sheet'!I11*'Output-Calculation-sheet'!I20</f>
        <v>2195.2990594339035</v>
      </c>
      <c r="J34" s="2">
        <f>J12/'Output-Calculation-sheet'!J11*'Output-Calculation-sheet'!J20</f>
        <v>2185.1273969878412</v>
      </c>
      <c r="K34" s="2">
        <f>K12/'Output-Calculation-sheet'!K11*'Output-Calculation-sheet'!K20</f>
        <v>2869.2276819096587</v>
      </c>
      <c r="L34" s="2">
        <f>L12/'Output-Calculation-sheet'!L11*'Output-Calculation-sheet'!L20</f>
        <v>2430.676553928668</v>
      </c>
      <c r="M34" s="2">
        <f>M12/'Output-Calculation-sheet'!M11*'Output-Calculation-sheet'!M20</f>
        <v>0</v>
      </c>
      <c r="N34" s="2">
        <f>N12/'Output-Calculation-sheet'!N11*'Output-Calculation-sheet'!N20</f>
        <v>1322.7367124259279</v>
      </c>
      <c r="O34" s="2">
        <f>O12/'Output-Calculation-sheet'!O11*'Output-Calculation-sheet'!O20</f>
        <v>0</v>
      </c>
      <c r="P34" s="2">
        <f>P12/'Output-Calculation-sheet'!P11*'Output-Calculation-sheet'!P20</f>
        <v>2422.4924578071823</v>
      </c>
      <c r="Q34" s="2">
        <f>Q12/'Output-Calculation-sheet'!Q11*'Output-Calculation-sheet'!Q20</f>
        <v>2313.9887404697934</v>
      </c>
      <c r="R34" s="2">
        <f>R12/'Output-Calculation-sheet'!R11*'Output-Calculation-sheet'!R20</f>
        <v>2128.7586247922904</v>
      </c>
      <c r="S34" s="2">
        <f>S12/'Output-Calculation-sheet'!S11*'Output-Calculation-sheet'!S20</f>
        <v>994.26097813991078</v>
      </c>
      <c r="T34" s="2">
        <f>T12/'Output-Calculation-sheet'!T11*'Output-Calculation-sheet'!T20</f>
        <v>671.88231218176281</v>
      </c>
      <c r="U34" s="2">
        <f>U12/'Output-Calculation-sheet'!U11*'Output-Calculation-sheet'!U20</f>
        <v>541.18767272561706</v>
      </c>
      <c r="V34" s="2">
        <f>V12/'Output-Calculation-sheet'!V11*'Output-Calculation-sheet'!V20</f>
        <v>621.28013392775131</v>
      </c>
      <c r="W34" s="2">
        <f>W12/'Output-Calculation-sheet'!W11*'Output-Calculation-sheet'!W20</f>
        <v>293.55039052093218</v>
      </c>
      <c r="X34" s="2">
        <f>X12/'Output-Calculation-sheet'!X11*'Output-Calculation-sheet'!X20</f>
        <v>0</v>
      </c>
      <c r="Y34" s="2">
        <f>Y12/'Output-Calculation-sheet'!Y11*'Output-Calculation-sheet'!Y20</f>
        <v>227.96623455070369</v>
      </c>
      <c r="AA34" s="2">
        <f t="shared" si="1"/>
        <v>62.511583042731019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1326.3767786549438</v>
      </c>
      <c r="C52" s="2">
        <f>C8/'Output-Calculation-sheet'!C7*'Output-Calculation-sheet'!C43</f>
        <v>0</v>
      </c>
      <c r="D52" s="2">
        <f>D8/'Output-Calculation-sheet'!D7*'Output-Calculation-sheet'!D43</f>
        <v>2881.2212557295497</v>
      </c>
      <c r="E52" s="2">
        <f>E8/'Output-Calculation-sheet'!E7*'Output-Calculation-sheet'!E43</f>
        <v>2068.2086041671173</v>
      </c>
      <c r="F52" s="2">
        <f>F8/'Output-Calculation-sheet'!F7*'Output-Calculation-sheet'!F43</f>
        <v>0</v>
      </c>
      <c r="G52" s="2">
        <f>G8/'Output-Calculation-sheet'!G7*'Output-Calculation-sheet'!G43</f>
        <v>733.49133275242048</v>
      </c>
      <c r="H52" s="2">
        <f>H8/'Output-Calculation-sheet'!H7*'Output-Calculation-sheet'!H43</f>
        <v>5619.861427666031</v>
      </c>
      <c r="I52" s="2">
        <f>I8/'Output-Calculation-sheet'!I7*'Output-Calculation-sheet'!I43</f>
        <v>239.90242225880544</v>
      </c>
      <c r="J52" s="2">
        <f>J8/'Output-Calculation-sheet'!J7*'Output-Calculation-sheet'!J43</f>
        <v>1305.8354868708116</v>
      </c>
      <c r="K52" s="2">
        <f>K8/'Output-Calculation-sheet'!K7*'Output-Calculation-sheet'!K43</f>
        <v>2623.1227934296444</v>
      </c>
      <c r="L52" s="2">
        <f>L8/'Output-Calculation-sheet'!L7*'Output-Calculation-sheet'!L43</f>
        <v>2437.31776601293</v>
      </c>
      <c r="M52" s="2">
        <f>M8/'Output-Calculation-sheet'!M7*'Output-Calculation-sheet'!M43</f>
        <v>15912.542825104858</v>
      </c>
      <c r="N52" s="2">
        <f>N8/'Output-Calculation-sheet'!N7*'Output-Calculation-sheet'!N43</f>
        <v>9108.4659042988696</v>
      </c>
      <c r="O52" s="2">
        <f>O8/'Output-Calculation-sheet'!O7*'Output-Calculation-sheet'!O43</f>
        <v>0</v>
      </c>
      <c r="P52" s="2">
        <f>P8/'Output-Calculation-sheet'!P7*'Output-Calculation-sheet'!P43</f>
        <v>1937.1697942084688</v>
      </c>
      <c r="Q52" s="2">
        <f>Q8/'Output-Calculation-sheet'!Q7*'Output-Calculation-sheet'!Q43</f>
        <v>440.1651966403237</v>
      </c>
      <c r="R52" s="2">
        <f>R8/'Output-Calculation-sheet'!R7*'Output-Calculation-sheet'!R43</f>
        <v>3530.0039641194799</v>
      </c>
      <c r="S52" s="2">
        <f>S8/'Output-Calculation-sheet'!S7*'Output-Calculation-sheet'!S43</f>
        <v>588.48879459476757</v>
      </c>
      <c r="T52" s="2">
        <f>T8/'Output-Calculation-sheet'!T7*'Output-Calculation-sheet'!T43</f>
        <v>1046.1862279714453</v>
      </c>
      <c r="U52" s="2">
        <f>U8/'Output-Calculation-sheet'!U7*'Output-Calculation-sheet'!U43</f>
        <v>390.78843094426662</v>
      </c>
      <c r="V52" s="2">
        <f>V8/'Output-Calculation-sheet'!V7*'Output-Calculation-sheet'!V43</f>
        <v>1021.7082976434758</v>
      </c>
      <c r="W52" s="2">
        <f>W8/'Output-Calculation-sheet'!W7*'Output-Calculation-sheet'!W43</f>
        <v>12.231187343951413</v>
      </c>
      <c r="X52" s="2">
        <f>X8/'Output-Calculation-sheet'!X7*'Output-Calculation-sheet'!X43</f>
        <v>828.93765318542978</v>
      </c>
      <c r="Y52" s="2">
        <f>Y8/'Output-Calculation-sheet'!Y7*'Output-Calculation-sheet'!Y43</f>
        <v>0</v>
      </c>
      <c r="AA52" s="2">
        <f t="shared" si="3"/>
        <v>54.052026143597608</v>
      </c>
    </row>
    <row r="53" spans="1:27" x14ac:dyDescent="0.25">
      <c r="A53" s="2">
        <v>2032</v>
      </c>
      <c r="B53" s="2">
        <f>B9/'Output-Calculation-sheet'!B8*'Output-Calculation-sheet'!B44</f>
        <v>4479.3167160627208</v>
      </c>
      <c r="C53" s="2">
        <f>C9/'Output-Calculation-sheet'!C8*'Output-Calculation-sheet'!C44</f>
        <v>0</v>
      </c>
      <c r="D53" s="2">
        <f>D9/'Output-Calculation-sheet'!D8*'Output-Calculation-sheet'!D44</f>
        <v>3964.7646995200189</v>
      </c>
      <c r="E53" s="2">
        <f>E9/'Output-Calculation-sheet'!E8*'Output-Calculation-sheet'!E44</f>
        <v>2599.5175839870631</v>
      </c>
      <c r="F53" s="2">
        <f>F9/'Output-Calculation-sheet'!F8*'Output-Calculation-sheet'!F44</f>
        <v>0</v>
      </c>
      <c r="G53" s="2">
        <f>G9/'Output-Calculation-sheet'!G8*'Output-Calculation-sheet'!G44</f>
        <v>960.01624077324516</v>
      </c>
      <c r="H53" s="2">
        <f>H9/'Output-Calculation-sheet'!H8*'Output-Calculation-sheet'!H44</f>
        <v>12055.546805002963</v>
      </c>
      <c r="I53" s="2">
        <f>I9/'Output-Calculation-sheet'!I8*'Output-Calculation-sheet'!I44</f>
        <v>351.78704466950711</v>
      </c>
      <c r="J53" s="2">
        <f>J9/'Output-Calculation-sheet'!J8*'Output-Calculation-sheet'!J44</f>
        <v>1614.1670457392897</v>
      </c>
      <c r="K53" s="2">
        <f>K9/'Output-Calculation-sheet'!K8*'Output-Calculation-sheet'!K44</f>
        <v>2923.1700040467158</v>
      </c>
      <c r="L53" s="2">
        <f>L9/'Output-Calculation-sheet'!L8*'Output-Calculation-sheet'!L44</f>
        <v>2849.2212621910999</v>
      </c>
      <c r="M53" s="2">
        <f>M9/'Output-Calculation-sheet'!M8*'Output-Calculation-sheet'!M44</f>
        <v>17135.917825876269</v>
      </c>
      <c r="N53" s="2">
        <f>N9/'Output-Calculation-sheet'!N8*'Output-Calculation-sheet'!N44</f>
        <v>11414.260302769091</v>
      </c>
      <c r="O53" s="2">
        <f>O9/'Output-Calculation-sheet'!O8*'Output-Calculation-sheet'!O44</f>
        <v>0</v>
      </c>
      <c r="P53" s="2">
        <f>P9/'Output-Calculation-sheet'!P8*'Output-Calculation-sheet'!P44</f>
        <v>2367.182007137284</v>
      </c>
      <c r="Q53" s="2">
        <f>Q9/'Output-Calculation-sheet'!Q8*'Output-Calculation-sheet'!Q44</f>
        <v>714.32922595312243</v>
      </c>
      <c r="R53" s="2">
        <f>R9/'Output-Calculation-sheet'!R8*'Output-Calculation-sheet'!R44</f>
        <v>4007.4669515841592</v>
      </c>
      <c r="S53" s="2">
        <f>S9/'Output-Calculation-sheet'!S8*'Output-Calculation-sheet'!S44</f>
        <v>1161.7217033651989</v>
      </c>
      <c r="T53" s="2">
        <f>T9/'Output-Calculation-sheet'!T8*'Output-Calculation-sheet'!T44</f>
        <v>1190.5903686411766</v>
      </c>
      <c r="U53" s="2">
        <f>U9/'Output-Calculation-sheet'!U8*'Output-Calculation-sheet'!U44</f>
        <v>514.43596826706766</v>
      </c>
      <c r="V53" s="2">
        <f>V9/'Output-Calculation-sheet'!V8*'Output-Calculation-sheet'!V44</f>
        <v>1109.6907621901098</v>
      </c>
      <c r="W53" s="2">
        <f>W9/'Output-Calculation-sheet'!W8*'Output-Calculation-sheet'!W44</f>
        <v>30.436023725539705</v>
      </c>
      <c r="X53" s="2">
        <f>X9/'Output-Calculation-sheet'!X8*'Output-Calculation-sheet'!X44</f>
        <v>1648.4459750682884</v>
      </c>
      <c r="Y53" s="2">
        <f>Y9/'Output-Calculation-sheet'!Y8*'Output-Calculation-sheet'!Y44</f>
        <v>0</v>
      </c>
      <c r="AA53" s="2">
        <f t="shared" si="3"/>
        <v>73.091984516569923</v>
      </c>
    </row>
    <row r="54" spans="1:27" x14ac:dyDescent="0.25">
      <c r="A54" s="2">
        <v>2033</v>
      </c>
      <c r="B54" s="2">
        <f>B10/'Output-Calculation-sheet'!B9*'Output-Calculation-sheet'!B45</f>
        <v>8541.3356429303894</v>
      </c>
      <c r="C54" s="2">
        <f>C10/'Output-Calculation-sheet'!C9*'Output-Calculation-sheet'!C45</f>
        <v>0</v>
      </c>
      <c r="D54" s="2">
        <f>D10/'Output-Calculation-sheet'!D9*'Output-Calculation-sheet'!D45</f>
        <v>4852.8104180466007</v>
      </c>
      <c r="E54" s="2">
        <f>E10/'Output-Calculation-sheet'!E9*'Output-Calculation-sheet'!E45</f>
        <v>3239.6194996009203</v>
      </c>
      <c r="F54" s="2">
        <f>F10/'Output-Calculation-sheet'!F9*'Output-Calculation-sheet'!F45</f>
        <v>0</v>
      </c>
      <c r="G54" s="2">
        <f>G10/'Output-Calculation-sheet'!G9*'Output-Calculation-sheet'!G45</f>
        <v>1148.932858893088</v>
      </c>
      <c r="H54" s="2">
        <f>H10/'Output-Calculation-sheet'!H9*'Output-Calculation-sheet'!H45</f>
        <v>22799.822158309926</v>
      </c>
      <c r="I54" s="2">
        <f>I10/'Output-Calculation-sheet'!I9*'Output-Calculation-sheet'!I45</f>
        <v>469.72568651029599</v>
      </c>
      <c r="J54" s="2">
        <f>J10/'Output-Calculation-sheet'!J9*'Output-Calculation-sheet'!J45</f>
        <v>1921.480070832896</v>
      </c>
      <c r="K54" s="2">
        <f>K10/'Output-Calculation-sheet'!K9*'Output-Calculation-sheet'!K45</f>
        <v>3262.4426394319294</v>
      </c>
      <c r="L54" s="2">
        <f>L10/'Output-Calculation-sheet'!L9*'Output-Calculation-sheet'!L45</f>
        <v>3108.0710673154267</v>
      </c>
      <c r="M54" s="2">
        <f>M10/'Output-Calculation-sheet'!M9*'Output-Calculation-sheet'!M45</f>
        <v>16964.94065898695</v>
      </c>
      <c r="N54" s="2">
        <f>N10/'Output-Calculation-sheet'!N9*'Output-Calculation-sheet'!N45</f>
        <v>11883.799340078416</v>
      </c>
      <c r="O54" s="2">
        <f>O10/'Output-Calculation-sheet'!O9*'Output-Calculation-sheet'!O45</f>
        <v>0</v>
      </c>
      <c r="P54" s="2">
        <f>P10/'Output-Calculation-sheet'!P9*'Output-Calculation-sheet'!P45</f>
        <v>2697.210427188531</v>
      </c>
      <c r="Q54" s="2">
        <f>Q10/'Output-Calculation-sheet'!Q9*'Output-Calculation-sheet'!Q45</f>
        <v>1039.2011359295602</v>
      </c>
      <c r="R54" s="2">
        <f>R10/'Output-Calculation-sheet'!R9*'Output-Calculation-sheet'!R45</f>
        <v>4003.3358258636777</v>
      </c>
      <c r="S54" s="2">
        <f>S10/'Output-Calculation-sheet'!S9*'Output-Calculation-sheet'!S45</f>
        <v>1778.2288544846954</v>
      </c>
      <c r="T54" s="2">
        <f>T10/'Output-Calculation-sheet'!T9*'Output-Calculation-sheet'!T45</f>
        <v>1290.4577875969871</v>
      </c>
      <c r="U54" s="2">
        <f>U10/'Output-Calculation-sheet'!U9*'Output-Calculation-sheet'!U45</f>
        <v>580.24515298165124</v>
      </c>
      <c r="V54" s="2">
        <f>V10/'Output-Calculation-sheet'!V9*'Output-Calculation-sheet'!V45</f>
        <v>1125.9291776292716</v>
      </c>
      <c r="W54" s="2">
        <f>W10/'Output-Calculation-sheet'!W9*'Output-Calculation-sheet'!W45</f>
        <v>38.317598082611234</v>
      </c>
      <c r="X54" s="2">
        <f>X10/'Output-Calculation-sheet'!X9*'Output-Calculation-sheet'!X45</f>
        <v>1634.5054876665902</v>
      </c>
      <c r="Y54" s="2">
        <f>Y10/'Output-Calculation-sheet'!Y9*'Output-Calculation-sheet'!Y45</f>
        <v>12.28448685329843</v>
      </c>
      <c r="AA54" s="2">
        <f t="shared" si="3"/>
        <v>92.392695975213698</v>
      </c>
    </row>
    <row r="55" spans="1:27" x14ac:dyDescent="0.25">
      <c r="A55" s="2">
        <v>2034</v>
      </c>
      <c r="B55" s="2">
        <f>B11/'Output-Calculation-sheet'!B10*'Output-Calculation-sheet'!B46</f>
        <v>15616.966268029601</v>
      </c>
      <c r="C55" s="2">
        <f>C11/'Output-Calculation-sheet'!C10*'Output-Calculation-sheet'!C46</f>
        <v>0</v>
      </c>
      <c r="D55" s="2">
        <f>D11/'Output-Calculation-sheet'!D10*'Output-Calculation-sheet'!D46</f>
        <v>4990.1031295078456</v>
      </c>
      <c r="E55" s="2">
        <f>E11/'Output-Calculation-sheet'!E10*'Output-Calculation-sheet'!E46</f>
        <v>3270.046410290709</v>
      </c>
      <c r="F55" s="2">
        <f>F11/'Output-Calculation-sheet'!F10*'Output-Calculation-sheet'!F46</f>
        <v>0</v>
      </c>
      <c r="G55" s="2">
        <f>G11/'Output-Calculation-sheet'!G10*'Output-Calculation-sheet'!G46</f>
        <v>1256.1804963939962</v>
      </c>
      <c r="H55" s="2">
        <f>H11/'Output-Calculation-sheet'!H10*'Output-Calculation-sheet'!H46</f>
        <v>20778.625309886327</v>
      </c>
      <c r="I55" s="2">
        <f>I11/'Output-Calculation-sheet'!I10*'Output-Calculation-sheet'!I46</f>
        <v>564.9296785538827</v>
      </c>
      <c r="J55" s="2">
        <f>J11/'Output-Calculation-sheet'!J10*'Output-Calculation-sheet'!J46</f>
        <v>1956.8321699957417</v>
      </c>
      <c r="K55" s="2">
        <f>K11/'Output-Calculation-sheet'!K10*'Output-Calculation-sheet'!K46</f>
        <v>3331.4216972730351</v>
      </c>
      <c r="L55" s="2">
        <f>L11/'Output-Calculation-sheet'!L10*'Output-Calculation-sheet'!L46</f>
        <v>3178.7842771450464</v>
      </c>
      <c r="M55" s="2">
        <f>M11/'Output-Calculation-sheet'!M10*'Output-Calculation-sheet'!M46</f>
        <v>15428.148141795056</v>
      </c>
      <c r="N55" s="2">
        <f>N11/'Output-Calculation-sheet'!N10*'Output-Calculation-sheet'!N46</f>
        <v>11357.114624616612</v>
      </c>
      <c r="O55" s="2">
        <f>O11/'Output-Calculation-sheet'!O10*'Output-Calculation-sheet'!O46</f>
        <v>0</v>
      </c>
      <c r="P55" s="2">
        <f>P11/'Output-Calculation-sheet'!P10*'Output-Calculation-sheet'!P46</f>
        <v>2641.9890001370745</v>
      </c>
      <c r="Q55" s="2">
        <f>Q11/'Output-Calculation-sheet'!Q10*'Output-Calculation-sheet'!Q46</f>
        <v>1478.1600690163107</v>
      </c>
      <c r="R55" s="2">
        <f>R11/'Output-Calculation-sheet'!R10*'Output-Calculation-sheet'!R46</f>
        <v>3700.4312818508452</v>
      </c>
      <c r="S55" s="2">
        <f>S11/'Output-Calculation-sheet'!S10*'Output-Calculation-sheet'!S46</f>
        <v>2382.382326714177</v>
      </c>
      <c r="T55" s="2">
        <f>T11/'Output-Calculation-sheet'!T10*'Output-Calculation-sheet'!T46</f>
        <v>1223.5288324654405</v>
      </c>
      <c r="U55" s="2">
        <f>U11/'Output-Calculation-sheet'!U10*'Output-Calculation-sheet'!U46</f>
        <v>580.90196735835525</v>
      </c>
      <c r="V55" s="2">
        <f>V11/'Output-Calculation-sheet'!V10*'Output-Calculation-sheet'!V46</f>
        <v>1068.8185397622781</v>
      </c>
      <c r="W55" s="2">
        <f>W11/'Output-Calculation-sheet'!W10*'Output-Calculation-sheet'!W46</f>
        <v>53.7644427112687</v>
      </c>
      <c r="X55" s="2">
        <f>X11/'Output-Calculation-sheet'!X10*'Output-Calculation-sheet'!X46</f>
        <v>1495.0085900978713</v>
      </c>
      <c r="Y55" s="2">
        <f>Y11/'Output-Calculation-sheet'!Y10*'Output-Calculation-sheet'!Y46</f>
        <v>17.729167661554733</v>
      </c>
      <c r="AA55" s="2">
        <f t="shared" si="3"/>
        <v>96.371866421263036</v>
      </c>
    </row>
    <row r="56" spans="1:27" x14ac:dyDescent="0.25">
      <c r="A56" s="2">
        <v>2035</v>
      </c>
      <c r="B56" s="2">
        <f>B12/'Output-Calculation-sheet'!B11*'Output-Calculation-sheet'!B47</f>
        <v>22114.820936658482</v>
      </c>
      <c r="C56" s="2">
        <f>C12/'Output-Calculation-sheet'!C11*'Output-Calculation-sheet'!C47</f>
        <v>1312.023406824082</v>
      </c>
      <c r="D56" s="2">
        <f>D12/'Output-Calculation-sheet'!D11*'Output-Calculation-sheet'!D47</f>
        <v>4721.5660663381996</v>
      </c>
      <c r="E56" s="2">
        <f>E12/'Output-Calculation-sheet'!E11*'Output-Calculation-sheet'!E47</f>
        <v>3406.011570024174</v>
      </c>
      <c r="F56" s="2">
        <f>F12/'Output-Calculation-sheet'!F11*'Output-Calculation-sheet'!F47</f>
        <v>72.615176777007619</v>
      </c>
      <c r="G56" s="2">
        <f>G12/'Output-Calculation-sheet'!G11*'Output-Calculation-sheet'!G47</f>
        <v>1250.7523887894031</v>
      </c>
      <c r="H56" s="2">
        <f>H12/'Output-Calculation-sheet'!H11*'Output-Calculation-sheet'!H47</f>
        <v>17493.124675638388</v>
      </c>
      <c r="I56" s="2">
        <f>I12/'Output-Calculation-sheet'!I11*'Output-Calculation-sheet'!I47</f>
        <v>539.05152631613544</v>
      </c>
      <c r="J56" s="2">
        <f>J12/'Output-Calculation-sheet'!J11*'Output-Calculation-sheet'!J47</f>
        <v>1762.8167988692553</v>
      </c>
      <c r="K56" s="2">
        <f>K12/'Output-Calculation-sheet'!K11*'Output-Calculation-sheet'!K47</f>
        <v>2902.3979441282672</v>
      </c>
      <c r="L56" s="2">
        <f>L12/'Output-Calculation-sheet'!L11*'Output-Calculation-sheet'!L47</f>
        <v>2985.5490956729382</v>
      </c>
      <c r="M56" s="2">
        <f>M12/'Output-Calculation-sheet'!M11*'Output-Calculation-sheet'!M47</f>
        <v>12940.189429927836</v>
      </c>
      <c r="N56" s="2">
        <f>N12/'Output-Calculation-sheet'!N11*'Output-Calculation-sheet'!N47</f>
        <v>9918.4341070875416</v>
      </c>
      <c r="O56" s="2">
        <f>O12/'Output-Calculation-sheet'!O11*'Output-Calculation-sheet'!O47</f>
        <v>621.29645059846541</v>
      </c>
      <c r="P56" s="2">
        <f>P12/'Output-Calculation-sheet'!P11*'Output-Calculation-sheet'!P47</f>
        <v>2286.7687875606516</v>
      </c>
      <c r="Q56" s="2">
        <f>Q12/'Output-Calculation-sheet'!Q11*'Output-Calculation-sheet'!Q47</f>
        <v>1764.9307498299104</v>
      </c>
      <c r="R56" s="2">
        <f>R12/'Output-Calculation-sheet'!R11*'Output-Calculation-sheet'!R47</f>
        <v>3144.5311978704108</v>
      </c>
      <c r="S56" s="2">
        <f>S12/'Output-Calculation-sheet'!S11*'Output-Calculation-sheet'!S47</f>
        <v>2691.1061690564698</v>
      </c>
      <c r="T56" s="2">
        <f>T12/'Output-Calculation-sheet'!T11*'Output-Calculation-sheet'!T47</f>
        <v>1097.515150129067</v>
      </c>
      <c r="U56" s="2">
        <f>U12/'Output-Calculation-sheet'!U11*'Output-Calculation-sheet'!U47</f>
        <v>548.80411946180004</v>
      </c>
      <c r="V56" s="2">
        <f>V12/'Output-Calculation-sheet'!V11*'Output-Calculation-sheet'!V47</f>
        <v>908.91221062075147</v>
      </c>
      <c r="W56" s="2">
        <f>W12/'Output-Calculation-sheet'!W11*'Output-Calculation-sheet'!W47</f>
        <v>57.355842924035592</v>
      </c>
      <c r="X56" s="2">
        <f>X12/'Output-Calculation-sheet'!X11*'Output-Calculation-sheet'!X47</f>
        <v>1255.7007765590158</v>
      </c>
      <c r="Y56" s="2">
        <f>Y12/'Output-Calculation-sheet'!Y11*'Output-Calculation-sheet'!Y47</f>
        <v>22.065697234187894</v>
      </c>
      <c r="AA56" s="2">
        <f t="shared" si="3"/>
        <v>95.818340274896471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8.1941539729104598</v>
      </c>
      <c r="C63" s="2">
        <f>C8*'Output-Calculation-sheet'!C52/10^9</f>
        <v>5.0342989445158075</v>
      </c>
      <c r="D63" s="2">
        <f>D8*'Output-Calculation-sheet'!D52/10^9</f>
        <v>1.7736799176909046</v>
      </c>
      <c r="E63" s="2">
        <f>E8*'Output-Calculation-sheet'!E52/10^9</f>
        <v>2.1210648753025332</v>
      </c>
      <c r="F63" s="2">
        <f>F8*'Output-Calculation-sheet'!F52/10^9</f>
        <v>0.82350318999883798</v>
      </c>
      <c r="G63" s="2">
        <f>G8*'Output-Calculation-sheet'!G52/10^9</f>
        <v>0.58123140478950774</v>
      </c>
      <c r="H63" s="2">
        <f>H8*'Output-Calculation-sheet'!H52/10^9</f>
        <v>1.548623599599984</v>
      </c>
      <c r="I63" s="2">
        <f>I8*'Output-Calculation-sheet'!I52/10^9</f>
        <v>0.56944929874260197</v>
      </c>
      <c r="J63" s="2">
        <f>J8*'Output-Calculation-sheet'!J52/10^9</f>
        <v>0.59285411359943607</v>
      </c>
      <c r="K63" s="2">
        <f>K8*'Output-Calculation-sheet'!K52/10^9</f>
        <v>0.7151529437715628</v>
      </c>
      <c r="L63" s="2">
        <f>L8*'Output-Calculation-sheet'!L52/10^9</f>
        <v>0.74651516523724126</v>
      </c>
      <c r="M63" s="2">
        <f>M8*'Output-Calculation-sheet'!M52/10^9</f>
        <v>1.168576665216839</v>
      </c>
      <c r="N63" s="2">
        <f>N8*'Output-Calculation-sheet'!N52/10^9</f>
        <v>1.0048472647089126</v>
      </c>
      <c r="O63" s="2">
        <f>O8*'Output-Calculation-sheet'!O52/10^9</f>
        <v>1.0536911782822647</v>
      </c>
      <c r="P63" s="2">
        <f>P8*'Output-Calculation-sheet'!P52/10^9</f>
        <v>0.64153803058706982</v>
      </c>
      <c r="Q63" s="2">
        <f>Q8*'Output-Calculation-sheet'!Q52/10^9</f>
        <v>0.69846840009778988</v>
      </c>
      <c r="R63" s="2">
        <f>R8*'Output-Calculation-sheet'!R52/10^9</f>
        <v>0.53879218893971137</v>
      </c>
      <c r="S63" s="2">
        <f>S8*'Output-Calculation-sheet'!S52/10^9</f>
        <v>0.5131214599934576</v>
      </c>
      <c r="T63" s="2">
        <f>T8*'Output-Calculation-sheet'!T52/10^9</f>
        <v>0.16697590932239201</v>
      </c>
      <c r="U63" s="2">
        <f>U8*'Output-Calculation-sheet'!U52/10^9</f>
        <v>0.16283460431960295</v>
      </c>
      <c r="V63" s="2">
        <f>V8*'Output-Calculation-sheet'!V52/10^9</f>
        <v>0.1388386737593591</v>
      </c>
      <c r="W63" s="2">
        <f>W8*'Output-Calculation-sheet'!W52/10^9</f>
        <v>7.1520744384180046E-2</v>
      </c>
      <c r="X63" s="2">
        <f>X8*'Output-Calculation-sheet'!X52/10^9</f>
        <v>0.13521550478570038</v>
      </c>
      <c r="Y63" s="2">
        <f>Y8*'Output-Calculation-sheet'!Y52/10^9</f>
        <v>6.5140603330410857E-2</v>
      </c>
      <c r="AA63" s="2">
        <f t="shared" si="4"/>
        <v>29.060088653886574</v>
      </c>
    </row>
    <row r="64" spans="1:27" x14ac:dyDescent="0.25">
      <c r="A64" s="2">
        <v>2032</v>
      </c>
      <c r="B64" s="2">
        <f>B9*'Output-Calculation-sheet'!B53/10^9</f>
        <v>8.675335912875811</v>
      </c>
      <c r="C64" s="2">
        <f>C9*'Output-Calculation-sheet'!C53/10^9</f>
        <v>5.3284499526940969</v>
      </c>
      <c r="D64" s="2">
        <f>D9*'Output-Calculation-sheet'!D53/10^9</f>
        <v>1.8791352253937557</v>
      </c>
      <c r="E64" s="2">
        <f>E9*'Output-Calculation-sheet'!E53/10^9</f>
        <v>2.2482752498422207</v>
      </c>
      <c r="F64" s="2">
        <f>F9*'Output-Calculation-sheet'!F53/10^9</f>
        <v>0.87290757176076339</v>
      </c>
      <c r="G64" s="2">
        <f>G9*'Output-Calculation-sheet'!G53/10^9</f>
        <v>0.61607493842594441</v>
      </c>
      <c r="H64" s="2">
        <f>H9*'Output-Calculation-sheet'!H53/10^9</f>
        <v>1.6251250375914512</v>
      </c>
      <c r="I64" s="2">
        <f>I9*'Output-Calculation-sheet'!I53/10^9</f>
        <v>0.60379199727134925</v>
      </c>
      <c r="J64" s="2">
        <f>J9*'Output-Calculation-sheet'!J53/10^9</f>
        <v>0.62774921664445527</v>
      </c>
      <c r="K64" s="2">
        <f>K9*'Output-Calculation-sheet'!K53/10^9</f>
        <v>0.75617196034552869</v>
      </c>
      <c r="L64" s="2">
        <f>L9*'Output-Calculation-sheet'!L53/10^9</f>
        <v>0.78594607791244764</v>
      </c>
      <c r="M64" s="2">
        <f>M9*'Output-Calculation-sheet'!M53/10^9</f>
        <v>1.209724223177788</v>
      </c>
      <c r="N64" s="2">
        <f>N9*'Output-Calculation-sheet'!N53/10^9</f>
        <v>1.0485886792454739</v>
      </c>
      <c r="O64" s="2">
        <f>O9*'Output-Calculation-sheet'!O53/10^9</f>
        <v>1.1152195941566545</v>
      </c>
      <c r="P64" s="2">
        <f>P9*'Output-Calculation-sheet'!P53/10^9</f>
        <v>0.67901760837154346</v>
      </c>
      <c r="Q64" s="2">
        <f>Q9*'Output-Calculation-sheet'!Q53/10^9</f>
        <v>0.74042591116079715</v>
      </c>
      <c r="R64" s="2">
        <f>R9*'Output-Calculation-sheet'!R53/10^9</f>
        <v>0.56840774601167521</v>
      </c>
      <c r="S64" s="2">
        <f>S9*'Output-Calculation-sheet'!S53/10^9</f>
        <v>0.54219552753901767</v>
      </c>
      <c r="T64" s="2">
        <f>T9*'Output-Calculation-sheet'!T53/10^9</f>
        <v>0.17617047726639923</v>
      </c>
      <c r="U64" s="2">
        <f>U9*'Output-Calculation-sheet'!U53/10^9</f>
        <v>0.17248637569706579</v>
      </c>
      <c r="V64" s="2">
        <f>V9*'Output-Calculation-sheet'!V53/10^9</f>
        <v>0.1462862040676163</v>
      </c>
      <c r="W64" s="2">
        <f>W9*'Output-Calculation-sheet'!W53/10^9</f>
        <v>7.5819340530100879E-2</v>
      </c>
      <c r="X64" s="2">
        <f>X9*'Output-Calculation-sheet'!X53/10^9</f>
        <v>0.14098507955495279</v>
      </c>
      <c r="Y64" s="2">
        <f>Y9*'Output-Calculation-sheet'!Y53/10^9</f>
        <v>6.9133795497183959E-2</v>
      </c>
      <c r="AA64" s="2">
        <f t="shared" si="4"/>
        <v>30.703423703034098</v>
      </c>
    </row>
    <row r="65" spans="1:27" x14ac:dyDescent="0.25">
      <c r="A65" s="2">
        <v>2033</v>
      </c>
      <c r="B65" s="2">
        <f>B10*'Output-Calculation-sheet'!B54/10^9</f>
        <v>8.4237170421025649</v>
      </c>
      <c r="C65" s="2">
        <f>C10*'Output-Calculation-sheet'!C54/10^9</f>
        <v>5.1766905413137838</v>
      </c>
      <c r="D65" s="2">
        <f>D10*'Output-Calculation-sheet'!D54/10^9</f>
        <v>1.8272233222430767</v>
      </c>
      <c r="E65" s="2">
        <f>E10*'Output-Calculation-sheet'!E54/10^9</f>
        <v>2.1876459751744988</v>
      </c>
      <c r="F65" s="2">
        <f>F10*'Output-Calculation-sheet'!F54/10^9</f>
        <v>0.84950431001295768</v>
      </c>
      <c r="G65" s="2">
        <f>G10*'Output-Calculation-sheet'!G54/10^9</f>
        <v>0.59940553548931863</v>
      </c>
      <c r="H65" s="2">
        <f>H10*'Output-Calculation-sheet'!H54/10^9</f>
        <v>1.5517438289119294</v>
      </c>
      <c r="I65" s="2">
        <f>I10*'Output-Calculation-sheet'!I54/10^9</f>
        <v>0.58771374521700459</v>
      </c>
      <c r="J65" s="2">
        <f>J10*'Output-Calculation-sheet'!J54/10^9</f>
        <v>0.61017981682296429</v>
      </c>
      <c r="K65" s="2">
        <f>K10*'Output-Calculation-sheet'!K54/10^9</f>
        <v>0.73390867937782789</v>
      </c>
      <c r="L65" s="2">
        <f>L10*'Output-Calculation-sheet'!L54/10^9</f>
        <v>0.75906001597767936</v>
      </c>
      <c r="M65" s="2">
        <f>M10*'Output-Calculation-sheet'!M54/10^9</f>
        <v>1.1488812978480445</v>
      </c>
      <c r="N65" s="2">
        <f>N10*'Output-Calculation-sheet'!N54/10^9</f>
        <v>1.0025552514875182</v>
      </c>
      <c r="O65" s="2">
        <f>O10*'Output-Calculation-sheet'!O54/10^9</f>
        <v>1.0834512496367281</v>
      </c>
      <c r="P65" s="2">
        <f>P10*'Output-Calculation-sheet'!P54/10^9</f>
        <v>0.65957326998659283</v>
      </c>
      <c r="Q65" s="2">
        <f>Q10*'Output-Calculation-sheet'!Q54/10^9</f>
        <v>0.71997649810764308</v>
      </c>
      <c r="R65" s="2">
        <f>R10*'Output-Calculation-sheet'!R54/10^9</f>
        <v>0.55051130974170903</v>
      </c>
      <c r="S65" s="2">
        <f>S10*'Output-Calculation-sheet'!S54/10^9</f>
        <v>0.52496154030194508</v>
      </c>
      <c r="T65" s="2">
        <f>T10*'Output-Calculation-sheet'!T54/10^9</f>
        <v>0.17060413841359007</v>
      </c>
      <c r="U65" s="2">
        <f>U10*'Output-Calculation-sheet'!U54/10^9</f>
        <v>0.16770557431116392</v>
      </c>
      <c r="V65" s="2">
        <f>V10*'Output-Calculation-sheet'!V54/10^9</f>
        <v>0.14151097489865305</v>
      </c>
      <c r="W65" s="2">
        <f>W10*'Output-Calculation-sheet'!W54/10^9</f>
        <v>7.3785849827484831E-2</v>
      </c>
      <c r="X65" s="2">
        <f>X10*'Output-Calculation-sheet'!X54/10^9</f>
        <v>0.13443739930214871</v>
      </c>
      <c r="Y65" s="2">
        <f>Y10*'Output-Calculation-sheet'!Y54/10^9</f>
        <v>6.7353446228679156E-2</v>
      </c>
      <c r="AA65" s="2">
        <f t="shared" si="4"/>
        <v>29.752100612735497</v>
      </c>
    </row>
    <row r="66" spans="1:27" x14ac:dyDescent="0.25">
      <c r="A66" s="2">
        <v>2034</v>
      </c>
      <c r="B66" s="2">
        <f>B11*'Output-Calculation-sheet'!B55/10^9</f>
        <v>7.523335070086179</v>
      </c>
      <c r="C66" s="2">
        <f>C11*'Output-Calculation-sheet'!C55/10^9</f>
        <v>4.6313465549279051</v>
      </c>
      <c r="D66" s="2">
        <f>D11*'Output-Calculation-sheet'!D55/10^9</f>
        <v>1.6363917103186174</v>
      </c>
      <c r="E66" s="2">
        <f>E11*'Output-Calculation-sheet'!E55/10^9</f>
        <v>1.9605485494294901</v>
      </c>
      <c r="F66" s="2">
        <f>F11*'Output-Calculation-sheet'!F55/10^9</f>
        <v>0.76151219836644457</v>
      </c>
      <c r="G66" s="2">
        <f>G11*'Output-Calculation-sheet'!G55/10^9</f>
        <v>0.53708282101516402</v>
      </c>
      <c r="H66" s="2">
        <f>H11*'Output-Calculation-sheet'!H55/10^9</f>
        <v>1.3577068692809215</v>
      </c>
      <c r="I66" s="2">
        <f>I11*'Output-Calculation-sheet'!I55/10^9</f>
        <v>0.52683959657995838</v>
      </c>
      <c r="J66" s="2">
        <f>J11*'Output-Calculation-sheet'!J55/10^9</f>
        <v>0.54608888735724237</v>
      </c>
      <c r="K66" s="2">
        <f>K11*'Output-Calculation-sheet'!K55/10^9</f>
        <v>0.65597744785256995</v>
      </c>
      <c r="L66" s="2">
        <f>L11*'Output-Calculation-sheet'!L55/10^9</f>
        <v>0.67469222282637431</v>
      </c>
      <c r="M66" s="2">
        <f>M11*'Output-Calculation-sheet'!M55/10^9</f>
        <v>1.0039403580807202</v>
      </c>
      <c r="N66" s="2">
        <f>N11*'Output-Calculation-sheet'!N55/10^9</f>
        <v>0.88172505275738078</v>
      </c>
      <c r="O66" s="2">
        <f>O11*'Output-Calculation-sheet'!O55/10^9</f>
        <v>0.96934712067392881</v>
      </c>
      <c r="P66" s="2">
        <f>P11*'Output-Calculation-sheet'!P55/10^9</f>
        <v>0.58990998146617213</v>
      </c>
      <c r="Q66" s="2">
        <f>Q11*'Output-Calculation-sheet'!Q55/10^9</f>
        <v>0.64391496044109742</v>
      </c>
      <c r="R66" s="2">
        <f>R11*'Output-Calculation-sheet'!R55/10^9</f>
        <v>0.49114330255028327</v>
      </c>
      <c r="S66" s="2">
        <f>S11*'Output-Calculation-sheet'!S55/10^9</f>
        <v>0.46704704442102102</v>
      </c>
      <c r="T66" s="2">
        <f>T11*'Output-Calculation-sheet'!T55/10^9</f>
        <v>0.15214221274420989</v>
      </c>
      <c r="U66" s="2">
        <f>U11*'Output-Calculation-sheet'!U55/10^9</f>
        <v>0.15015282651438214</v>
      </c>
      <c r="V66" s="2">
        <f>V11*'Output-Calculation-sheet'!V55/10^9</f>
        <v>0.12609347122096318</v>
      </c>
      <c r="W66" s="2">
        <f>W11*'Output-Calculation-sheet'!W55/10^9</f>
        <v>6.6133316509600762E-2</v>
      </c>
      <c r="X66" s="2">
        <f>X11*'Output-Calculation-sheet'!X55/10^9</f>
        <v>0.11798053054589858</v>
      </c>
      <c r="Y66" s="2">
        <f>Y11*'Output-Calculation-sheet'!Y55/10^9</f>
        <v>6.0443277812500508E-2</v>
      </c>
      <c r="AA66" s="2">
        <f t="shared" si="4"/>
        <v>26.531495383779028</v>
      </c>
    </row>
    <row r="67" spans="1:27" x14ac:dyDescent="0.25">
      <c r="A67" s="2">
        <v>2035</v>
      </c>
      <c r="B67" s="2">
        <f>B12*'Output-Calculation-sheet'!B56/10^9</f>
        <v>6.167360795383356</v>
      </c>
      <c r="C67" s="2">
        <f>C12*'Output-Calculation-sheet'!C56/10^9</f>
        <v>3.8096068676867079</v>
      </c>
      <c r="D67" s="2">
        <f>D12*'Output-Calculation-sheet'!D56/10^9</f>
        <v>1.3475441107743618</v>
      </c>
      <c r="E67" s="2">
        <f>E12*'Output-Calculation-sheet'!E56/10^9</f>
        <v>1.6158212039710376</v>
      </c>
      <c r="F67" s="2">
        <f>F12*'Output-Calculation-sheet'!F56/10^9</f>
        <v>0.6278314729297868</v>
      </c>
      <c r="G67" s="2">
        <f>G12*'Output-Calculation-sheet'!G56/10^9</f>
        <v>0.44254832282684503</v>
      </c>
      <c r="H67" s="2">
        <f>H12*'Output-Calculation-sheet'!H56/10^9</f>
        <v>1.0914813565957968</v>
      </c>
      <c r="I67" s="2">
        <f>I12*'Output-Calculation-sheet'!I56/10^9</f>
        <v>0.43434016773931861</v>
      </c>
      <c r="J67" s="2">
        <f>J12*'Output-Calculation-sheet'!J56/10^9</f>
        <v>0.44951108984448118</v>
      </c>
      <c r="K67" s="2">
        <f>K12*'Output-Calculation-sheet'!K56/10^9</f>
        <v>0.53912347045166054</v>
      </c>
      <c r="L67" s="2">
        <f>L12*'Output-Calculation-sheet'!L56/10^9</f>
        <v>0.55108132950090793</v>
      </c>
      <c r="M67" s="2">
        <f>M12*'Output-Calculation-sheet'!M56/10^9</f>
        <v>0.80601301614279564</v>
      </c>
      <c r="N67" s="2">
        <f>N12*'Output-Calculation-sheet'!N56/10^9</f>
        <v>0.71221341077308797</v>
      </c>
      <c r="O67" s="2">
        <f>O12*'Output-Calculation-sheet'!O56/10^9</f>
        <v>0.79697010429367987</v>
      </c>
      <c r="P67" s="2">
        <f>P12*'Output-Calculation-sheet'!P56/10^9</f>
        <v>0.48524968088306991</v>
      </c>
      <c r="Q67" s="2">
        <f>Q12*'Output-Calculation-sheet'!Q56/10^9</f>
        <v>0.52874831681021561</v>
      </c>
      <c r="R67" s="2">
        <f>R12*'Output-Calculation-sheet'!R56/10^9</f>
        <v>0.40303971217289308</v>
      </c>
      <c r="S67" s="2">
        <f>S12*'Output-Calculation-sheet'!S56/10^9</f>
        <v>0.38115596578675942</v>
      </c>
      <c r="T67" s="2">
        <f>T12*'Output-Calculation-sheet'!T56/10^9</f>
        <v>0.12476696375113489</v>
      </c>
      <c r="U67" s="2">
        <f>U12*'Output-Calculation-sheet'!U56/10^9</f>
        <v>0.12363590997284439</v>
      </c>
      <c r="V67" s="2">
        <f>V12*'Output-Calculation-sheet'!V56/10^9</f>
        <v>0.1033248009196948</v>
      </c>
      <c r="W67" s="2">
        <f>W12*'Output-Calculation-sheet'!W56/10^9</f>
        <v>5.4513277919931977E-2</v>
      </c>
      <c r="X67" s="2">
        <f>X12*'Output-Calculation-sheet'!X56/10^9</f>
        <v>9.5127482355379281E-2</v>
      </c>
      <c r="Y67" s="2">
        <f>Y12*'Output-Calculation-sheet'!Y56/10^9</f>
        <v>4.9887460076935196E-2</v>
      </c>
      <c r="AA67" s="2">
        <f t="shared" si="4"/>
        <v>21.740896289562681</v>
      </c>
    </row>
    <row r="68" spans="1:27" x14ac:dyDescent="0.25">
      <c r="B68" s="2">
        <f>SUM(B60:B67)</f>
        <v>55.737770085228959</v>
      </c>
      <c r="C68" s="2">
        <f t="shared" ref="C68:Y68" si="5">SUM(C60:C67)</f>
        <v>34.252401551837131</v>
      </c>
      <c r="D68" s="2">
        <f t="shared" si="5"/>
        <v>12.094639972090954</v>
      </c>
      <c r="E68" s="2">
        <f t="shared" si="5"/>
        <v>14.472933772993743</v>
      </c>
      <c r="F68" s="2">
        <f t="shared" si="5"/>
        <v>5.6206894799983971</v>
      </c>
      <c r="G68" s="2">
        <f t="shared" si="5"/>
        <v>3.9647412531112263</v>
      </c>
      <c r="H68" s="2">
        <f t="shared" si="5"/>
        <v>10.356539405009952</v>
      </c>
      <c r="I68" s="2">
        <f t="shared" si="5"/>
        <v>3.8859131018996353</v>
      </c>
      <c r="J68" s="2">
        <f t="shared" si="5"/>
        <v>4.0424218947645185</v>
      </c>
      <c r="K68" s="2">
        <f t="shared" si="5"/>
        <v>4.8748929805804107</v>
      </c>
      <c r="L68" s="2">
        <f t="shared" si="5"/>
        <v>5.0663168433973231</v>
      </c>
      <c r="M68" s="2">
        <f t="shared" si="5"/>
        <v>7.8672863265743853</v>
      </c>
      <c r="N68" s="2">
        <f t="shared" si="5"/>
        <v>6.7513507186325263</v>
      </c>
      <c r="O68" s="2">
        <f t="shared" si="5"/>
        <v>7.1687623079958307</v>
      </c>
      <c r="P68" s="2">
        <f t="shared" si="5"/>
        <v>4.3717764534343884</v>
      </c>
      <c r="Q68" s="2">
        <f t="shared" si="5"/>
        <v>4.7591588955677908</v>
      </c>
      <c r="R68" s="2">
        <f t="shared" si="5"/>
        <v>3.6729260957802277</v>
      </c>
      <c r="S68" s="2">
        <f t="shared" si="5"/>
        <v>3.477886871048149</v>
      </c>
      <c r="T68" s="2">
        <f t="shared" si="5"/>
        <v>1.1378239658172413</v>
      </c>
      <c r="U68" s="2">
        <f t="shared" si="5"/>
        <v>1.1101197895323245</v>
      </c>
      <c r="V68" s="2">
        <f t="shared" si="5"/>
        <v>0.94662189770081517</v>
      </c>
      <c r="W68" s="2">
        <f t="shared" si="5"/>
        <v>0.48804294210657873</v>
      </c>
      <c r="X68" s="2">
        <f t="shared" si="5"/>
        <v>0.9024413367161751</v>
      </c>
      <c r="Y68" s="2">
        <f t="shared" si="5"/>
        <v>0.44484843394401424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485.89602658059437</v>
      </c>
      <c r="C74" s="2">
        <f>C8/'Output-Calculation-sheet'!C7*'Output-Calculation-sheet'!C61</f>
        <v>0</v>
      </c>
      <c r="D74" s="2">
        <f>D8/'Output-Calculation-sheet'!D7*'Output-Calculation-sheet'!D61</f>
        <v>795.12412396020306</v>
      </c>
      <c r="E74" s="2">
        <f>E8/'Output-Calculation-sheet'!E7*'Output-Calculation-sheet'!E61</f>
        <v>590.10423352468217</v>
      </c>
      <c r="F74" s="2">
        <f>F8/'Output-Calculation-sheet'!F7*'Output-Calculation-sheet'!F61</f>
        <v>0</v>
      </c>
      <c r="G74" s="2">
        <f>G8/'Output-Calculation-sheet'!G7*'Output-Calculation-sheet'!G61</f>
        <v>268.69121139326165</v>
      </c>
      <c r="H74" s="2">
        <f>H8/'Output-Calculation-sheet'!H7*'Output-Calculation-sheet'!H61</f>
        <v>1290.4364567871758</v>
      </c>
      <c r="I74" s="2">
        <f>I8/'Output-Calculation-sheet'!I7*'Output-Calculation-sheet'!I61</f>
        <v>94.731468989445787</v>
      </c>
      <c r="J74" s="2">
        <f>J8/'Output-Calculation-sheet'!J7*'Output-Calculation-sheet'!J61</f>
        <v>394.95587861992635</v>
      </c>
      <c r="K74" s="2">
        <f>K8/'Output-Calculation-sheet'!K7*'Output-Calculation-sheet'!K61</f>
        <v>663.29638725993425</v>
      </c>
      <c r="L74" s="2">
        <f>L8/'Output-Calculation-sheet'!L7*'Output-Calculation-sheet'!L61</f>
        <v>575.46478600430282</v>
      </c>
      <c r="M74" s="2">
        <f>M8/'Output-Calculation-sheet'!M7*'Output-Calculation-sheet'!M61</f>
        <v>2881.9926375334467</v>
      </c>
      <c r="N74" s="2">
        <f>N8/'Output-Calculation-sheet'!N7*'Output-Calculation-sheet'!N61</f>
        <v>1625.5881283686583</v>
      </c>
      <c r="O74" s="2">
        <f>O8/'Output-Calculation-sheet'!O7*'Output-Calculation-sheet'!O61</f>
        <v>0</v>
      </c>
      <c r="P74" s="2">
        <f>P8/'Output-Calculation-sheet'!P7*'Output-Calculation-sheet'!P61</f>
        <v>459.43210285977517</v>
      </c>
      <c r="Q74" s="2">
        <f>Q8/'Output-Calculation-sheet'!Q7*'Output-Calculation-sheet'!Q61</f>
        <v>121.12197954506993</v>
      </c>
      <c r="R74" s="2">
        <f>R8/'Output-Calculation-sheet'!R7*'Output-Calculation-sheet'!R61</f>
        <v>798.99552091091459</v>
      </c>
      <c r="S74" s="2">
        <f>S8/'Output-Calculation-sheet'!S7*'Output-Calculation-sheet'!S61</f>
        <v>141.38756316093861</v>
      </c>
      <c r="T74" s="2">
        <f>T8/'Output-Calculation-sheet'!T7*'Output-Calculation-sheet'!T61</f>
        <v>270.60414245650674</v>
      </c>
      <c r="U74" s="2">
        <f>U8/'Output-Calculation-sheet'!U7*'Output-Calculation-sheet'!U61</f>
        <v>107.21646967109966</v>
      </c>
      <c r="V74" s="2">
        <f>V8/'Output-Calculation-sheet'!V7*'Output-Calculation-sheet'!V61</f>
        <v>188.32391008822</v>
      </c>
      <c r="W74" s="2">
        <f>W8/'Output-Calculation-sheet'!W7*'Output-Calculation-sheet'!W61</f>
        <v>4.480691630334201</v>
      </c>
      <c r="X74" s="2">
        <f>X8/'Output-Calculation-sheet'!X7*'Output-Calculation-sheet'!X61</f>
        <v>160.93093121018779</v>
      </c>
      <c r="Y74" s="2">
        <f>Y8/'Output-Calculation-sheet'!Y7*'Output-Calculation-sheet'!Y61</f>
        <v>0</v>
      </c>
      <c r="AA74" s="2">
        <f t="shared" si="6"/>
        <v>11.918774650554678</v>
      </c>
    </row>
    <row r="75" spans="1:27" x14ac:dyDescent="0.25">
      <c r="A75" s="2">
        <v>2032</v>
      </c>
      <c r="B75" s="2">
        <f>B9/'Output-Calculation-sheet'!B8*'Output-Calculation-sheet'!B62</f>
        <v>1270.0041657594672</v>
      </c>
      <c r="C75" s="2">
        <f>C9/'Output-Calculation-sheet'!C8*'Output-Calculation-sheet'!C62</f>
        <v>0</v>
      </c>
      <c r="D75" s="2">
        <f>D9/'Output-Calculation-sheet'!D8*'Output-Calculation-sheet'!D62</f>
        <v>1038.8674703917329</v>
      </c>
      <c r="E75" s="2">
        <f>E9/'Output-Calculation-sheet'!E8*'Output-Calculation-sheet'!E62</f>
        <v>730.54321436048554</v>
      </c>
      <c r="F75" s="2">
        <f>F9/'Output-Calculation-sheet'!F8*'Output-Calculation-sheet'!F62</f>
        <v>0</v>
      </c>
      <c r="G75" s="2">
        <f>G9/'Output-Calculation-sheet'!G8*'Output-Calculation-sheet'!G62</f>
        <v>337.53459902445991</v>
      </c>
      <c r="H75" s="2">
        <f>H9/'Output-Calculation-sheet'!H8*'Output-Calculation-sheet'!H62</f>
        <v>2382.8993814768855</v>
      </c>
      <c r="I75" s="2">
        <f>I9/'Output-Calculation-sheet'!I8*'Output-Calculation-sheet'!I62</f>
        <v>144.32863023577141</v>
      </c>
      <c r="J75" s="2">
        <f>J9/'Output-Calculation-sheet'!J8*'Output-Calculation-sheet'!J62</f>
        <v>473.04589540430243</v>
      </c>
      <c r="K75" s="2">
        <f>K9/'Output-Calculation-sheet'!K8*'Output-Calculation-sheet'!K62</f>
        <v>741.88797425284554</v>
      </c>
      <c r="L75" s="2">
        <f>L9/'Output-Calculation-sheet'!L8*'Output-Calculation-sheet'!L62</f>
        <v>644.22392328278761</v>
      </c>
      <c r="M75" s="2">
        <f>M9/'Output-Calculation-sheet'!M8*'Output-Calculation-sheet'!M62</f>
        <v>3101.7907355328539</v>
      </c>
      <c r="N75" s="2">
        <f>N9/'Output-Calculation-sheet'!N8*'Output-Calculation-sheet'!N62</f>
        <v>2005.0196470209059</v>
      </c>
      <c r="O75" s="2">
        <f>O9/'Output-Calculation-sheet'!O8*'Output-Calculation-sheet'!O62</f>
        <v>0</v>
      </c>
      <c r="P75" s="2">
        <f>P9/'Output-Calculation-sheet'!P8*'Output-Calculation-sheet'!P62</f>
        <v>553.29651441369731</v>
      </c>
      <c r="Q75" s="2">
        <f>Q9/'Output-Calculation-sheet'!Q8*'Output-Calculation-sheet'!Q62</f>
        <v>196.23644307255066</v>
      </c>
      <c r="R75" s="2">
        <f>R9/'Output-Calculation-sheet'!R8*'Output-Calculation-sheet'!R62</f>
        <v>880.85337979744543</v>
      </c>
      <c r="S75" s="2">
        <f>S9/'Output-Calculation-sheet'!S8*'Output-Calculation-sheet'!S62</f>
        <v>255.04464981925631</v>
      </c>
      <c r="T75" s="2">
        <f>T9/'Output-Calculation-sheet'!T8*'Output-Calculation-sheet'!T62</f>
        <v>294.9069879154975</v>
      </c>
      <c r="U75" s="2">
        <f>U9/'Output-Calculation-sheet'!U8*'Output-Calculation-sheet'!U62</f>
        <v>137.19160733481749</v>
      </c>
      <c r="V75" s="2">
        <f>V9/'Output-Calculation-sheet'!V8*'Output-Calculation-sheet'!V62</f>
        <v>204.61492560745239</v>
      </c>
      <c r="W75" s="2">
        <f>W9/'Output-Calculation-sheet'!W8*'Output-Calculation-sheet'!W62</f>
        <v>11.148280690326258</v>
      </c>
      <c r="X75" s="2">
        <f>X9/'Output-Calculation-sheet'!X8*'Output-Calculation-sheet'!X62</f>
        <v>293.89399668752969</v>
      </c>
      <c r="Y75" s="2">
        <f>Y9/'Output-Calculation-sheet'!Y8*'Output-Calculation-sheet'!Y62</f>
        <v>0</v>
      </c>
      <c r="AA75" s="2">
        <f t="shared" si="6"/>
        <v>15.697332422081072</v>
      </c>
    </row>
    <row r="76" spans="1:27" x14ac:dyDescent="0.25">
      <c r="A76" s="2">
        <v>2033</v>
      </c>
      <c r="B76" s="2">
        <f>B10/'Output-Calculation-sheet'!B9*'Output-Calculation-sheet'!B63</f>
        <v>2243.3702642702033</v>
      </c>
      <c r="C76" s="2">
        <f>C10/'Output-Calculation-sheet'!C9*'Output-Calculation-sheet'!C63</f>
        <v>0</v>
      </c>
      <c r="D76" s="2">
        <f>D10/'Output-Calculation-sheet'!D9*'Output-Calculation-sheet'!D63</f>
        <v>1199.5176791327588</v>
      </c>
      <c r="E76" s="2">
        <f>E10/'Output-Calculation-sheet'!E9*'Output-Calculation-sheet'!E63</f>
        <v>889.96975681893855</v>
      </c>
      <c r="F76" s="2">
        <f>F10/'Output-Calculation-sheet'!F9*'Output-Calculation-sheet'!F63</f>
        <v>0</v>
      </c>
      <c r="G76" s="2">
        <f>G10/'Output-Calculation-sheet'!G9*'Output-Calculation-sheet'!G63</f>
        <v>399.132311950011</v>
      </c>
      <c r="H76" s="2">
        <f>H10/'Output-Calculation-sheet'!H9*'Output-Calculation-sheet'!H63</f>
        <v>4093.2426283680607</v>
      </c>
      <c r="I76" s="2">
        <f>I10/'Output-Calculation-sheet'!I9*'Output-Calculation-sheet'!I63</f>
        <v>185.19718066812601</v>
      </c>
      <c r="J76" s="2">
        <f>J10/'Output-Calculation-sheet'!J9*'Output-Calculation-sheet'!J63</f>
        <v>557.19822892749414</v>
      </c>
      <c r="K76" s="2">
        <f>K10/'Output-Calculation-sheet'!K9*'Output-Calculation-sheet'!K63</f>
        <v>769.0131300834546</v>
      </c>
      <c r="L76" s="2">
        <f>L10/'Output-Calculation-sheet'!L9*'Output-Calculation-sheet'!L63</f>
        <v>711.79722041629282</v>
      </c>
      <c r="M76" s="2">
        <f>M10/'Output-Calculation-sheet'!M9*'Output-Calculation-sheet'!M63</f>
        <v>3061.4175337194879</v>
      </c>
      <c r="N76" s="2">
        <f>N10/'Output-Calculation-sheet'!N9*'Output-Calculation-sheet'!N63</f>
        <v>2081.3984137840607</v>
      </c>
      <c r="O76" s="2">
        <f>O10/'Output-Calculation-sheet'!O9*'Output-Calculation-sheet'!O63</f>
        <v>0</v>
      </c>
      <c r="P76" s="2">
        <f>P10/'Output-Calculation-sheet'!P9*'Output-Calculation-sheet'!P63</f>
        <v>601.47792526304238</v>
      </c>
      <c r="Q76" s="2">
        <f>Q10/'Output-Calculation-sheet'!Q9*'Output-Calculation-sheet'!Q63</f>
        <v>264.37676590792597</v>
      </c>
      <c r="R76" s="2">
        <f>R10/'Output-Calculation-sheet'!R9*'Output-Calculation-sheet'!R63</f>
        <v>878.75203227126474</v>
      </c>
      <c r="S76" s="2">
        <f>S10/'Output-Calculation-sheet'!S9*'Output-Calculation-sheet'!S63</f>
        <v>372.47356895371701</v>
      </c>
      <c r="T76" s="2">
        <f>T10/'Output-Calculation-sheet'!T9*'Output-Calculation-sheet'!T63</f>
        <v>308.61004704521133</v>
      </c>
      <c r="U76" s="2">
        <f>U10/'Output-Calculation-sheet'!U9*'Output-Calculation-sheet'!U63</f>
        <v>151.33558748204956</v>
      </c>
      <c r="V76" s="2">
        <f>V10/'Output-Calculation-sheet'!V9*'Output-Calculation-sheet'!V63</f>
        <v>201.3741542714501</v>
      </c>
      <c r="W76" s="2">
        <f>W10/'Output-Calculation-sheet'!W9*'Output-Calculation-sheet'!W63</f>
        <v>14.037013430929916</v>
      </c>
      <c r="X76" s="2">
        <f>X10/'Output-Calculation-sheet'!X9*'Output-Calculation-sheet'!X63</f>
        <v>292.14366931271951</v>
      </c>
      <c r="Y76" s="2">
        <f>Y10/'Output-Calculation-sheet'!Y9*'Output-Calculation-sheet'!Y63</f>
        <v>4.5010359830485456</v>
      </c>
      <c r="AA76" s="2">
        <f t="shared" si="6"/>
        <v>19.280336148060247</v>
      </c>
    </row>
    <row r="77" spans="1:27" x14ac:dyDescent="0.25">
      <c r="A77" s="2">
        <v>2034</v>
      </c>
      <c r="B77" s="2">
        <f>B11/'Output-Calculation-sheet'!B10*'Output-Calculation-sheet'!B64</f>
        <v>3495.0770507850248</v>
      </c>
      <c r="C77" s="2">
        <f>C11/'Output-Calculation-sheet'!C10*'Output-Calculation-sheet'!C64</f>
        <v>0</v>
      </c>
      <c r="D77" s="2">
        <f>D11/'Output-Calculation-sheet'!D10*'Output-Calculation-sheet'!D64</f>
        <v>1241.3975855512501</v>
      </c>
      <c r="E77" s="2">
        <f>E11/'Output-Calculation-sheet'!E10*'Output-Calculation-sheet'!E64</f>
        <v>868.5104114821047</v>
      </c>
      <c r="F77" s="2">
        <f>F11/'Output-Calculation-sheet'!F10*'Output-Calculation-sheet'!F64</f>
        <v>0</v>
      </c>
      <c r="G77" s="2">
        <f>G11/'Output-Calculation-sheet'!G10*'Output-Calculation-sheet'!G64</f>
        <v>403.42236641693188</v>
      </c>
      <c r="H77" s="2">
        <f>H11/'Output-Calculation-sheet'!H10*'Output-Calculation-sheet'!H64</f>
        <v>3778.6675479351998</v>
      </c>
      <c r="I77" s="2">
        <f>I11/'Output-Calculation-sheet'!I10*'Output-Calculation-sheet'!I64</f>
        <v>214.08010168799382</v>
      </c>
      <c r="J77" s="2">
        <f>J11/'Output-Calculation-sheet'!J10*'Output-Calculation-sheet'!J64</f>
        <v>540.47704535282378</v>
      </c>
      <c r="K77" s="2">
        <f>K11/'Output-Calculation-sheet'!K10*'Output-Calculation-sheet'!K64</f>
        <v>760.78566826725216</v>
      </c>
      <c r="L77" s="2">
        <f>L11/'Output-Calculation-sheet'!L10*'Output-Calculation-sheet'!L64</f>
        <v>667.65507265452732</v>
      </c>
      <c r="M77" s="2">
        <f>M11/'Output-Calculation-sheet'!M10*'Output-Calculation-sheet'!M64</f>
        <v>2827.914659873748</v>
      </c>
      <c r="N77" s="2">
        <f>N11/'Output-Calculation-sheet'!N10*'Output-Calculation-sheet'!N64</f>
        <v>1988.770677254875</v>
      </c>
      <c r="O77" s="2">
        <f>O11/'Output-Calculation-sheet'!O10*'Output-Calculation-sheet'!O64</f>
        <v>0</v>
      </c>
      <c r="P77" s="2">
        <f>P11/'Output-Calculation-sheet'!P10*'Output-Calculation-sheet'!P64</f>
        <v>581.84580771364119</v>
      </c>
      <c r="Q77" s="2">
        <f>Q11/'Output-Calculation-sheet'!Q10*'Output-Calculation-sheet'!Q64</f>
        <v>355.4434175715075</v>
      </c>
      <c r="R77" s="2">
        <f>R11/'Output-Calculation-sheet'!R10*'Output-Calculation-sheet'!R64</f>
        <v>819.10029630147699</v>
      </c>
      <c r="S77" s="2">
        <f>S11/'Output-Calculation-sheet'!S10*'Output-Calculation-sheet'!S64</f>
        <v>482.5503608787651</v>
      </c>
      <c r="T77" s="2">
        <f>T11/'Output-Calculation-sheet'!T10*'Output-Calculation-sheet'!T64</f>
        <v>288.70650877629117</v>
      </c>
      <c r="U77" s="2">
        <f>U11/'Output-Calculation-sheet'!U10*'Output-Calculation-sheet'!U64</f>
        <v>150.27531290236738</v>
      </c>
      <c r="V77" s="2">
        <f>V11/'Output-Calculation-sheet'!V10*'Output-Calculation-sheet'!V64</f>
        <v>191.97045357738577</v>
      </c>
      <c r="W77" s="2">
        <f>W11/'Output-Calculation-sheet'!W10*'Output-Calculation-sheet'!W64</f>
        <v>19.693147301670422</v>
      </c>
      <c r="X77" s="2">
        <f>X11/'Output-Calculation-sheet'!X10*'Output-Calculation-sheet'!X64</f>
        <v>265.65912244410424</v>
      </c>
      <c r="Y77" s="2">
        <f>Y11/'Output-Calculation-sheet'!Y10*'Output-Calculation-sheet'!Y64</f>
        <v>6.1963440977133786</v>
      </c>
      <c r="AA77" s="2">
        <f t="shared" si="6"/>
        <v>19.948198958826648</v>
      </c>
    </row>
    <row r="78" spans="1:27" x14ac:dyDescent="0.25">
      <c r="A78" s="2">
        <v>2035</v>
      </c>
      <c r="B78" s="2">
        <f>B12/'Output-Calculation-sheet'!B11*'Output-Calculation-sheet'!B65</f>
        <v>4367.67713499005</v>
      </c>
      <c r="C78" s="2">
        <f>C12/'Output-Calculation-sheet'!C11*'Output-Calculation-sheet'!C65</f>
        <v>360.47843102491652</v>
      </c>
      <c r="D78" s="2">
        <f>D12/'Output-Calculation-sheet'!D11*'Output-Calculation-sheet'!D65</f>
        <v>1127.0741397739</v>
      </c>
      <c r="E78" s="2">
        <f>E12/'Output-Calculation-sheet'!E11*'Output-Calculation-sheet'!E65</f>
        <v>882.44564168456816</v>
      </c>
      <c r="F78" s="2">
        <f>F12/'Output-Calculation-sheet'!F11*'Output-Calculation-sheet'!F65</f>
        <v>39.902039638965682</v>
      </c>
      <c r="G78" s="2">
        <f>G12/'Output-Calculation-sheet'!G11*'Output-Calculation-sheet'!G65</f>
        <v>370.66568188602622</v>
      </c>
      <c r="H78" s="2">
        <f>H12/'Output-Calculation-sheet'!H11*'Output-Calculation-sheet'!H65</f>
        <v>3196.041839187018</v>
      </c>
      <c r="I78" s="2">
        <f>I12/'Output-Calculation-sheet'!I11*'Output-Calculation-sheet'!I65</f>
        <v>202.37869259738389</v>
      </c>
      <c r="J78" s="2">
        <f>J12/'Output-Calculation-sheet'!J11*'Output-Calculation-sheet'!J65</f>
        <v>484.28752557356825</v>
      </c>
      <c r="K78" s="2">
        <f>K12/'Output-Calculation-sheet'!K11*'Output-Calculation-sheet'!K65</f>
        <v>651.8186874999808</v>
      </c>
      <c r="L78" s="2">
        <f>L12/'Output-Calculation-sheet'!L11*'Output-Calculation-sheet'!L65</f>
        <v>589.14224946208628</v>
      </c>
      <c r="M78" s="2">
        <f>M12/'Output-Calculation-sheet'!M11*'Output-Calculation-sheet'!M65</f>
        <v>2395.0640543526833</v>
      </c>
      <c r="N78" s="2">
        <f>N12/'Output-Calculation-sheet'!N11*'Output-Calculation-sheet'!N65</f>
        <v>1737.8940257654492</v>
      </c>
      <c r="O78" s="2">
        <f>O12/'Output-Calculation-sheet'!O11*'Output-Calculation-sheet'!O65</f>
        <v>175.25339110342867</v>
      </c>
      <c r="P78" s="2">
        <f>P12/'Output-Calculation-sheet'!P11*'Output-Calculation-sheet'!P65</f>
        <v>496.90697212731732</v>
      </c>
      <c r="Q78" s="2">
        <f>Q12/'Output-Calculation-sheet'!Q11*'Output-Calculation-sheet'!Q65</f>
        <v>369.40898016355192</v>
      </c>
      <c r="R78" s="2">
        <f>R12/'Output-Calculation-sheet'!R11*'Output-Calculation-sheet'!R65</f>
        <v>692.04901933509313</v>
      </c>
      <c r="S78" s="2">
        <f>S12/'Output-Calculation-sheet'!S11*'Output-Calculation-sheet'!S65</f>
        <v>506.18239163859988</v>
      </c>
      <c r="T78" s="2">
        <f>T12/'Output-Calculation-sheet'!T11*'Output-Calculation-sheet'!T65</f>
        <v>249.78347301787434</v>
      </c>
      <c r="U78" s="2">
        <f>U12/'Output-Calculation-sheet'!U11*'Output-Calculation-sheet'!U65</f>
        <v>134.57154230176781</v>
      </c>
      <c r="V78" s="2">
        <f>V12/'Output-Calculation-sheet'!V11*'Output-Calculation-sheet'!V65</f>
        <v>163.79922765733403</v>
      </c>
      <c r="W78" s="2">
        <f>W12/'Output-Calculation-sheet'!W11*'Output-Calculation-sheet'!W65</f>
        <v>20.421866516674672</v>
      </c>
      <c r="X78" s="2">
        <f>X12/'Output-Calculation-sheet'!X11*'Output-Calculation-sheet'!X65</f>
        <v>226.43390907680438</v>
      </c>
      <c r="Y78" s="2">
        <f>Y12/'Output-Calculation-sheet'!Y11*'Output-Calculation-sheet'!Y65</f>
        <v>7.2265158441965358</v>
      </c>
      <c r="AA78" s="2">
        <f t="shared" si="6"/>
        <v>19.446907432219238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12728749395.971357</v>
      </c>
      <c r="C96" s="2">
        <f>C8/'Output-Calculation-sheet'!C7*'Output-Calculation-sheet'!C79</f>
        <v>1239004487.928597</v>
      </c>
      <c r="D96" s="2">
        <f>D8/'Output-Calculation-sheet'!D7*'Output-Calculation-sheet'!D79</f>
        <v>3262265555.0784173</v>
      </c>
      <c r="E96" s="2">
        <f>E8/'Output-Calculation-sheet'!E7*'Output-Calculation-sheet'!E79</f>
        <v>11743199816.949284</v>
      </c>
      <c r="F96" s="2">
        <f>F8/'Output-Calculation-sheet'!F7*'Output-Calculation-sheet'!F79</f>
        <v>3579669787.5136266</v>
      </c>
      <c r="G96" s="2">
        <f>G8/'Output-Calculation-sheet'!G7*'Output-Calculation-sheet'!G79</f>
        <v>2214583037.4479055</v>
      </c>
      <c r="H96" s="2">
        <f>H8/'Output-Calculation-sheet'!H7*'Output-Calculation-sheet'!H79</f>
        <v>1485775734.440927</v>
      </c>
      <c r="I96" s="2">
        <f>I8/'Output-Calculation-sheet'!I7*'Output-Calculation-sheet'!I79</f>
        <v>1591661108.8886878</v>
      </c>
      <c r="J96" s="2">
        <f>J8/'Output-Calculation-sheet'!J7*'Output-Calculation-sheet'!J79</f>
        <v>1293825658.5419023</v>
      </c>
      <c r="K96" s="2">
        <f>K8/'Output-Calculation-sheet'!K7*'Output-Calculation-sheet'!K79</f>
        <v>1582432129.9539225</v>
      </c>
      <c r="L96" s="2">
        <f>L8/'Output-Calculation-sheet'!L7*'Output-Calculation-sheet'!L79</f>
        <v>1521837542.9932458</v>
      </c>
      <c r="M96" s="2">
        <f>M8/'Output-Calculation-sheet'!M7*'Output-Calculation-sheet'!M79</f>
        <v>2092343589.7063112</v>
      </c>
      <c r="N96" s="2">
        <f>N8/'Output-Calculation-sheet'!N7*'Output-Calculation-sheet'!N79</f>
        <v>1311762816.1318676</v>
      </c>
      <c r="O96" s="2">
        <f>O8/'Output-Calculation-sheet'!O7*'Output-Calculation-sheet'!O79</f>
        <v>163520417.34998947</v>
      </c>
      <c r="P96" s="2">
        <f>P8/'Output-Calculation-sheet'!P7*'Output-Calculation-sheet'!P79</f>
        <v>2361718715.5760756</v>
      </c>
      <c r="Q96" s="2">
        <f>Q8/'Output-Calculation-sheet'!Q7*'Output-Calculation-sheet'!Q79</f>
        <v>988326072.53338552</v>
      </c>
      <c r="R96" s="2">
        <f>R8/'Output-Calculation-sheet'!R7*'Output-Calculation-sheet'!R79</f>
        <v>1551724076.9617844</v>
      </c>
      <c r="S96" s="2">
        <f>S8/'Output-Calculation-sheet'!S7*'Output-Calculation-sheet'!S79</f>
        <v>601556376.09431708</v>
      </c>
      <c r="T96" s="2">
        <f>T8/'Output-Calculation-sheet'!T7*'Output-Calculation-sheet'!T79</f>
        <v>547508362.20678484</v>
      </c>
      <c r="U96" s="2">
        <f>U8/'Output-Calculation-sheet'!U7*'Output-Calculation-sheet'!U79</f>
        <v>353673543.95810425</v>
      </c>
      <c r="V96" s="2">
        <f>V8/'Output-Calculation-sheet'!V7*'Output-Calculation-sheet'!V79</f>
        <v>210487023.06402808</v>
      </c>
      <c r="W96" s="2">
        <f>W8/'Output-Calculation-sheet'!W7*'Output-Calculation-sheet'!W79</f>
        <v>580350677.27698898</v>
      </c>
      <c r="X96" s="2">
        <f>X8/'Output-Calculation-sheet'!X7*'Output-Calculation-sheet'!X79</f>
        <v>161264944.32338309</v>
      </c>
      <c r="Y96" s="2">
        <f>Y8/'Output-Calculation-sheet'!Y7*'Output-Calculation-sheet'!Y79</f>
        <v>309785551.64524376</v>
      </c>
      <c r="AA96" s="2">
        <f t="shared" si="8"/>
        <v>53.477026422536127</v>
      </c>
    </row>
    <row r="97" spans="1:27" x14ac:dyDescent="0.25">
      <c r="A97" s="2">
        <v>2032</v>
      </c>
      <c r="B97" s="2">
        <f>B9/'Output-Calculation-sheet'!B8*'Output-Calculation-sheet'!B80</f>
        <v>12656903480.083876</v>
      </c>
      <c r="C97" s="2">
        <f>C9/'Output-Calculation-sheet'!C8*'Output-Calculation-sheet'!C80</f>
        <v>1205072413.0805261</v>
      </c>
      <c r="D97" s="2">
        <f>D9/'Output-Calculation-sheet'!D8*'Output-Calculation-sheet'!D80</f>
        <v>2947191980.3294077</v>
      </c>
      <c r="E97" s="2">
        <f>E9/'Output-Calculation-sheet'!E8*'Output-Calculation-sheet'!E80</f>
        <v>11911477964.041473</v>
      </c>
      <c r="F97" s="2">
        <f>F9/'Output-Calculation-sheet'!F8*'Output-Calculation-sheet'!F80</f>
        <v>3408455876.9645243</v>
      </c>
      <c r="G97" s="2">
        <f>G9/'Output-Calculation-sheet'!G8*'Output-Calculation-sheet'!G80</f>
        <v>2018110940.7580211</v>
      </c>
      <c r="H97" s="2">
        <f>H9/'Output-Calculation-sheet'!H8*'Output-Calculation-sheet'!H80</f>
        <v>1809386019.9853961</v>
      </c>
      <c r="I97" s="2">
        <f>I9/'Output-Calculation-sheet'!I8*'Output-Calculation-sheet'!I80</f>
        <v>1519444999.4646199</v>
      </c>
      <c r="J97" s="2">
        <f>J9/'Output-Calculation-sheet'!J8*'Output-Calculation-sheet'!J80</f>
        <v>1217653557.5236216</v>
      </c>
      <c r="K97" s="2">
        <f>K9/'Output-Calculation-sheet'!K8*'Output-Calculation-sheet'!K80</f>
        <v>1462986866.3478792</v>
      </c>
      <c r="L97" s="2">
        <f>L9/'Output-Calculation-sheet'!L8*'Output-Calculation-sheet'!L80</f>
        <v>1499244232.536818</v>
      </c>
      <c r="M97" s="2">
        <f>M9/'Output-Calculation-sheet'!M8*'Output-Calculation-sheet'!M80</f>
        <v>2077287773.2801244</v>
      </c>
      <c r="N97" s="2">
        <f>N9/'Output-Calculation-sheet'!N8*'Output-Calculation-sheet'!N80</f>
        <v>1305799997.5680332</v>
      </c>
      <c r="O97" s="2">
        <f>O9/'Output-Calculation-sheet'!O8*'Output-Calculation-sheet'!O80</f>
        <v>156941212.43102518</v>
      </c>
      <c r="P97" s="2">
        <f>P9/'Output-Calculation-sheet'!P8*'Output-Calculation-sheet'!P80</f>
        <v>2249984977.9475603</v>
      </c>
      <c r="Q97" s="2">
        <f>Q9/'Output-Calculation-sheet'!Q8*'Output-Calculation-sheet'!Q80</f>
        <v>956424993.04966986</v>
      </c>
      <c r="R97" s="2">
        <f>R9/'Output-Calculation-sheet'!R8*'Output-Calculation-sheet'!R80</f>
        <v>1507986538.1892285</v>
      </c>
      <c r="S97" s="2">
        <f>S9/'Output-Calculation-sheet'!S8*'Output-Calculation-sheet'!S80</f>
        <v>598556143.25576603</v>
      </c>
      <c r="T97" s="2">
        <f>T9/'Output-Calculation-sheet'!T8*'Output-Calculation-sheet'!T80</f>
        <v>505782032.73240328</v>
      </c>
      <c r="U97" s="2">
        <f>U9/'Output-Calculation-sheet'!U8*'Output-Calculation-sheet'!U80</f>
        <v>332662037.55268615</v>
      </c>
      <c r="V97" s="2">
        <f>V9/'Output-Calculation-sheet'!V8*'Output-Calculation-sheet'!V80</f>
        <v>197081531.27522865</v>
      </c>
      <c r="W97" s="2">
        <f>W9/'Output-Calculation-sheet'!W8*'Output-Calculation-sheet'!W80</f>
        <v>547393191.10484838</v>
      </c>
      <c r="X97" s="2">
        <f>X9/'Output-Calculation-sheet'!X8*'Output-Calculation-sheet'!X80</f>
        <v>217125945.63077497</v>
      </c>
      <c r="Y97" s="2">
        <f>Y9/'Output-Calculation-sheet'!Y8*'Output-Calculation-sheet'!Y80</f>
        <v>298931324.50068575</v>
      </c>
      <c r="AA97" s="2">
        <f t="shared" si="8"/>
        <v>52.607886029634209</v>
      </c>
    </row>
    <row r="98" spans="1:27" x14ac:dyDescent="0.25">
      <c r="A98" s="2">
        <v>2033</v>
      </c>
      <c r="B98" s="2">
        <f>B10/'Output-Calculation-sheet'!B9*'Output-Calculation-sheet'!B81</f>
        <v>11540025451.981298</v>
      </c>
      <c r="C98" s="2">
        <f>C10/'Output-Calculation-sheet'!C9*'Output-Calculation-sheet'!C81</f>
        <v>1076666373.5006249</v>
      </c>
      <c r="D98" s="2">
        <f>D10/'Output-Calculation-sheet'!D9*'Output-Calculation-sheet'!D81</f>
        <v>2440914141.611176</v>
      </c>
      <c r="E98" s="2">
        <f>E10/'Output-Calculation-sheet'!E9*'Output-Calculation-sheet'!E81</f>
        <v>11074870660.778576</v>
      </c>
      <c r="F98" s="2">
        <f>F10/'Output-Calculation-sheet'!F9*'Output-Calculation-sheet'!F81</f>
        <v>2966672542.822463</v>
      </c>
      <c r="G98" s="2">
        <f>G10/'Output-Calculation-sheet'!G9*'Output-Calculation-sheet'!G81</f>
        <v>1679857866.4408357</v>
      </c>
      <c r="H98" s="2">
        <f>H10/'Output-Calculation-sheet'!H9*'Output-Calculation-sheet'!H81</f>
        <v>2180415122.6452723</v>
      </c>
      <c r="I98" s="2">
        <f>I10/'Output-Calculation-sheet'!I9*'Output-Calculation-sheet'!I81</f>
        <v>1328874008.7669184</v>
      </c>
      <c r="J98" s="2">
        <f>J10/'Output-Calculation-sheet'!J9*'Output-Calculation-sheet'!J81</f>
        <v>1050757657.7412838</v>
      </c>
      <c r="K98" s="2">
        <f>K10/'Output-Calculation-sheet'!K9*'Output-Calculation-sheet'!K81</f>
        <v>1246455298.1511204</v>
      </c>
      <c r="L98" s="2">
        <f>L10/'Output-Calculation-sheet'!L9*'Output-Calculation-sheet'!L81</f>
        <v>1349471840.4772186</v>
      </c>
      <c r="M98" s="2">
        <f>M10/'Output-Calculation-sheet'!M9*'Output-Calculation-sheet'!M81</f>
        <v>1889110428.1314464</v>
      </c>
      <c r="N98" s="2">
        <f>N10/'Output-Calculation-sheet'!N9*'Output-Calculation-sheet'!N81</f>
        <v>1162528678.7639303</v>
      </c>
      <c r="O98" s="2">
        <f>O10/'Output-Calculation-sheet'!O9*'Output-Calculation-sheet'!O81</f>
        <v>138456453.51800671</v>
      </c>
      <c r="P98" s="2">
        <f>P10/'Output-Calculation-sheet'!P9*'Output-Calculation-sheet'!P81</f>
        <v>1948120918.2715282</v>
      </c>
      <c r="Q98" s="2">
        <f>Q10/'Output-Calculation-sheet'!Q9*'Output-Calculation-sheet'!Q81</f>
        <v>851700273.28388488</v>
      </c>
      <c r="R98" s="2">
        <f>R10/'Output-Calculation-sheet'!R9*'Output-Calculation-sheet'!R81</f>
        <v>1333485795.9226313</v>
      </c>
      <c r="S98" s="2">
        <f>S10/'Output-Calculation-sheet'!S9*'Output-Calculation-sheet'!S81</f>
        <v>548212657.83939815</v>
      </c>
      <c r="T98" s="2">
        <f>T10/'Output-Calculation-sheet'!T9*'Output-Calculation-sheet'!T81</f>
        <v>428045214.75324667</v>
      </c>
      <c r="U98" s="2">
        <f>U10/'Output-Calculation-sheet'!U9*'Output-Calculation-sheet'!U81</f>
        <v>284562871.47720701</v>
      </c>
      <c r="V98" s="2">
        <f>V10/'Output-Calculation-sheet'!V9*'Output-Calculation-sheet'!V81</f>
        <v>168449133.41921639</v>
      </c>
      <c r="W98" s="2">
        <f>W10/'Output-Calculation-sheet'!W9*'Output-Calculation-sheet'!W81</f>
        <v>468203582.47360629</v>
      </c>
      <c r="X98" s="2">
        <f>X10/'Output-Calculation-sheet'!X9*'Output-Calculation-sheet'!X81</f>
        <v>203547132.44401848</v>
      </c>
      <c r="Y98" s="2">
        <f>Y10/'Output-Calculation-sheet'!Y9*'Output-Calculation-sheet'!Y81</f>
        <v>263487010.23955324</v>
      </c>
      <c r="AA98" s="2">
        <f t="shared" si="8"/>
        <v>47.622891115454465</v>
      </c>
    </row>
    <row r="99" spans="1:27" x14ac:dyDescent="0.25">
      <c r="A99" s="2">
        <v>2034</v>
      </c>
      <c r="B99" s="2">
        <f>B11/'Output-Calculation-sheet'!B10*'Output-Calculation-sheet'!B82</f>
        <v>9831634044.629837</v>
      </c>
      <c r="C99" s="2">
        <f>C11/'Output-Calculation-sheet'!C10*'Output-Calculation-sheet'!C82</f>
        <v>883949807.29954386</v>
      </c>
      <c r="D99" s="2">
        <f>D11/'Output-Calculation-sheet'!D10*'Output-Calculation-sheet'!D82</f>
        <v>1856398906.1923423</v>
      </c>
      <c r="E99" s="2">
        <f>E11/'Output-Calculation-sheet'!E10*'Output-Calculation-sheet'!E82</f>
        <v>9422409132.2494011</v>
      </c>
      <c r="F99" s="2">
        <f>F11/'Output-Calculation-sheet'!F10*'Output-Calculation-sheet'!F82</f>
        <v>2367627913.5503712</v>
      </c>
      <c r="G99" s="2">
        <f>G11/'Output-Calculation-sheet'!G10*'Output-Calculation-sheet'!G82</f>
        <v>1280553852.5204048</v>
      </c>
      <c r="H99" s="2">
        <f>H11/'Output-Calculation-sheet'!H10*'Output-Calculation-sheet'!H82</f>
        <v>1785870822.7649937</v>
      </c>
      <c r="I99" s="2">
        <f>I11/'Output-Calculation-sheet'!I10*'Output-Calculation-sheet'!I82</f>
        <v>1068657700.3816304</v>
      </c>
      <c r="J99" s="2">
        <f>J11/'Output-Calculation-sheet'!J10*'Output-Calculation-sheet'!J82</f>
        <v>833489460.37109911</v>
      </c>
      <c r="K99" s="2">
        <f>K11/'Output-Calculation-sheet'!K10*'Output-Calculation-sheet'!K82</f>
        <v>970679393.73766673</v>
      </c>
      <c r="L99" s="2">
        <f>L11/'Output-Calculation-sheet'!L10*'Output-Calculation-sheet'!L82</f>
        <v>1116309568.5264118</v>
      </c>
      <c r="M99" s="2">
        <f>M11/'Output-Calculation-sheet'!M10*'Output-Calculation-sheet'!M82</f>
        <v>1583433757.9086962</v>
      </c>
      <c r="N99" s="2">
        <f>N11/'Output-Calculation-sheet'!N10*'Output-Calculation-sheet'!N82</f>
        <v>947768292.24515927</v>
      </c>
      <c r="O99" s="2">
        <f>O11/'Output-Calculation-sheet'!O10*'Output-Calculation-sheet'!O82</f>
        <v>112269403.73065676</v>
      </c>
      <c r="P99" s="2">
        <f>P11/'Output-Calculation-sheet'!P10*'Output-Calculation-sheet'!P82</f>
        <v>1532378709.471447</v>
      </c>
      <c r="Q99" s="2">
        <f>Q11/'Output-Calculation-sheet'!Q10*'Output-Calculation-sheet'!Q82</f>
        <v>698866870.09398961</v>
      </c>
      <c r="R99" s="2">
        <f>R11/'Output-Calculation-sheet'!R10*'Output-Calculation-sheet'!R82</f>
        <v>1080424217.1313949</v>
      </c>
      <c r="S99" s="2">
        <f>S11/'Output-Calculation-sheet'!S10*'Output-Calculation-sheet'!S82</f>
        <v>465228554.32804674</v>
      </c>
      <c r="T99" s="2">
        <f>T11/'Output-Calculation-sheet'!T10*'Output-Calculation-sheet'!T82</f>
        <v>331281476.217857</v>
      </c>
      <c r="U99" s="2">
        <f>U11/'Output-Calculation-sheet'!U10*'Output-Calculation-sheet'!U82</f>
        <v>223351975.18540064</v>
      </c>
      <c r="V99" s="2">
        <f>V11/'Output-Calculation-sheet'!V10*'Output-Calculation-sheet'!V82</f>
        <v>132274853.71376342</v>
      </c>
      <c r="W99" s="2">
        <f>W11/'Output-Calculation-sheet'!W10*'Output-Calculation-sheet'!W82</f>
        <v>366353562.45354712</v>
      </c>
      <c r="X99" s="2">
        <f>X11/'Output-Calculation-sheet'!X10*'Output-Calculation-sheet'!X82</f>
        <v>175661166.92672738</v>
      </c>
      <c r="Y99" s="2">
        <f>Y11/'Output-Calculation-sheet'!Y10*'Output-Calculation-sheet'!Y82</f>
        <v>211938104.70559591</v>
      </c>
      <c r="AA99" s="2">
        <f t="shared" si="8"/>
        <v>39.278811546335973</v>
      </c>
    </row>
    <row r="100" spans="1:27" x14ac:dyDescent="0.25">
      <c r="A100" s="2">
        <v>2035</v>
      </c>
      <c r="B100" s="2">
        <f>B12/'Output-Calculation-sheet'!B11*'Output-Calculation-sheet'!B83</f>
        <v>7648896310.3717108</v>
      </c>
      <c r="C100" s="2">
        <f>C12/'Output-Calculation-sheet'!C11*'Output-Calculation-sheet'!C83</f>
        <v>687932293.90131903</v>
      </c>
      <c r="D100" s="2">
        <f>D12/'Output-Calculation-sheet'!D11*'Output-Calculation-sheet'!D83</f>
        <v>1299920503.9356294</v>
      </c>
      <c r="E100" s="2">
        <f>E12/'Output-Calculation-sheet'!E11*'Output-Calculation-sheet'!E83</f>
        <v>7358745726.0468893</v>
      </c>
      <c r="F100" s="2">
        <f>F12/'Output-Calculation-sheet'!F11*'Output-Calculation-sheet'!F83</f>
        <v>1732981162.9569006</v>
      </c>
      <c r="G100" s="2">
        <f>G12/'Output-Calculation-sheet'!G11*'Output-Calculation-sheet'!G83</f>
        <v>894460718.1581248</v>
      </c>
      <c r="H100" s="2">
        <f>H12/'Output-Calculation-sheet'!H11*'Output-Calculation-sheet'!H83</f>
        <v>1335261565.6633456</v>
      </c>
      <c r="I100" s="2">
        <f>I12/'Output-Calculation-sheet'!I11*'Output-Calculation-sheet'!I83</f>
        <v>787847008.36368644</v>
      </c>
      <c r="J100" s="2">
        <f>J12/'Output-Calculation-sheet'!J11*'Output-Calculation-sheet'!J83</f>
        <v>607025500.79147053</v>
      </c>
      <c r="K100" s="2">
        <f>K12/'Output-Calculation-sheet'!K11*'Output-Calculation-sheet'!K83</f>
        <v>692671781.35593164</v>
      </c>
      <c r="L100" s="2">
        <f>L12/'Output-Calculation-sheet'!L11*'Output-Calculation-sheet'!L83</f>
        <v>848229665.28475344</v>
      </c>
      <c r="M100" s="2">
        <f>M12/'Output-Calculation-sheet'!M11*'Output-Calculation-sheet'!M83</f>
        <v>1215453060.5269759</v>
      </c>
      <c r="N100" s="2">
        <f>N12/'Output-Calculation-sheet'!N11*'Output-Calculation-sheet'!N83</f>
        <v>710616539.74795783</v>
      </c>
      <c r="O100" s="2">
        <f>O12/'Output-Calculation-sheet'!O11*'Output-Calculation-sheet'!O83</f>
        <v>91312197.309928894</v>
      </c>
      <c r="P100" s="2">
        <f>P12/'Output-Calculation-sheet'!P11*'Output-Calculation-sheet'!P83</f>
        <v>1091279341.8525069</v>
      </c>
      <c r="Q100" s="2">
        <f>Q12/'Output-Calculation-sheet'!Q11*'Output-Calculation-sheet'!Q83</f>
        <v>527631731.3369478</v>
      </c>
      <c r="R100" s="2">
        <f>R12/'Output-Calculation-sheet'!R11*'Output-Calculation-sheet'!R83</f>
        <v>801766607.61792052</v>
      </c>
      <c r="S100" s="2">
        <f>S12/'Output-Calculation-sheet'!S11*'Output-Calculation-sheet'!S83</f>
        <v>359107470.1368888</v>
      </c>
      <c r="T100" s="2">
        <f>T12/'Output-Calculation-sheet'!T11*'Output-Calculation-sheet'!T83</f>
        <v>235184765.49691755</v>
      </c>
      <c r="U100" s="2">
        <f>U12/'Output-Calculation-sheet'!U11*'Output-Calculation-sheet'!U83</f>
        <v>160073085.79233468</v>
      </c>
      <c r="V100" s="2">
        <f>V12/'Output-Calculation-sheet'!V11*'Output-Calculation-sheet'!V83</f>
        <v>95154460.906668961</v>
      </c>
      <c r="W100" s="2">
        <f>W12/'Output-Calculation-sheet'!W11*'Output-Calculation-sheet'!W83</f>
        <v>261197074.77998498</v>
      </c>
      <c r="X100" s="2">
        <f>X12/'Output-Calculation-sheet'!X11*'Output-Calculation-sheet'!X83</f>
        <v>139336635.85995021</v>
      </c>
      <c r="Y100" s="2">
        <f>Y12/'Output-Calculation-sheet'!Y11*'Output-Calculation-sheet'!Y83</f>
        <v>155978515.4752962</v>
      </c>
      <c r="AA100" s="2">
        <f t="shared" si="8"/>
        <v>29.738063723670042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6394.775984095937</v>
      </c>
      <c r="C19" s="2">
        <f>C8/'Output-Calculation-sheet'!C7*'Output-Calculation-sheet'!C25</f>
        <v>9658.3137689542327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5183.5091114262686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1053.7808293506298</v>
      </c>
      <c r="M19" s="2">
        <f>M8/'Output-Calculation-sheet'!M7*'Output-Calculation-sheet'!M25</f>
        <v>6836.7630133476769</v>
      </c>
      <c r="N19" s="2">
        <f>N8/'Output-Calculation-sheet'!N7*'Output-Calculation-sheet'!N25</f>
        <v>3490.4119247656517</v>
      </c>
      <c r="O19" s="2">
        <f>O8/'Output-Calculation-sheet'!O7*'Output-Calculation-sheet'!O25</f>
        <v>1886.6159664636089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667.39500425329504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475.39988506347339</v>
      </c>
      <c r="Y19" s="2">
        <f>Y8/'Output-Calculation-sheet'!Y7*'Output-Calculation-sheet'!Y25</f>
        <v>0</v>
      </c>
      <c r="AA19" s="2">
        <f t="shared" si="0"/>
        <v>35.646965487720777</v>
      </c>
    </row>
    <row r="20" spans="1:27" x14ac:dyDescent="0.25">
      <c r="A20" s="2">
        <v>2032</v>
      </c>
      <c r="B20" s="2">
        <f>B9/'Output-Calculation-sheet'!B8*'Output-Calculation-sheet'!B26</f>
        <v>8999.8976083695579</v>
      </c>
      <c r="C20" s="2">
        <f>C9/'Output-Calculation-sheet'!C8*'Output-Calculation-sheet'!C26</f>
        <v>11148.491576733948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7342.5802120265798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1275.8832806358046</v>
      </c>
      <c r="M20" s="2">
        <f>M9/'Output-Calculation-sheet'!M8*'Output-Calculation-sheet'!M26</f>
        <v>7764.5231716658691</v>
      </c>
      <c r="N20" s="2">
        <f>N9/'Output-Calculation-sheet'!N8*'Output-Calculation-sheet'!N26</f>
        <v>4373.1188596074608</v>
      </c>
      <c r="O20" s="2">
        <f>O9/'Output-Calculation-sheet'!O8*'Output-Calculation-sheet'!O26</f>
        <v>2175.7711424241461</v>
      </c>
      <c r="P20" s="2">
        <f>P9/'Output-Calculation-sheet'!P8*'Output-Calculation-sheet'!P26</f>
        <v>0</v>
      </c>
      <c r="Q20" s="2">
        <f>Q9/'Output-Calculation-sheet'!Q8*'Output-Calculation-sheet'!Q26</f>
        <v>131.49841029191666</v>
      </c>
      <c r="R20" s="2">
        <f>R9/'Output-Calculation-sheet'!R8*'Output-Calculation-sheet'!R26</f>
        <v>0</v>
      </c>
      <c r="S20" s="2">
        <f>S9/'Output-Calculation-sheet'!S8*'Output-Calculation-sheet'!S26</f>
        <v>928.48803087286365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717.87465970092819</v>
      </c>
      <c r="Y20" s="2">
        <f>Y9/'Output-Calculation-sheet'!Y8*'Output-Calculation-sheet'!Y26</f>
        <v>0</v>
      </c>
      <c r="AA20" s="2">
        <f t="shared" si="0"/>
        <v>44.858126952329073</v>
      </c>
    </row>
    <row r="21" spans="1:27" x14ac:dyDescent="0.25">
      <c r="A21" s="2">
        <v>2033</v>
      </c>
      <c r="B21" s="2">
        <f>B10/'Output-Calculation-sheet'!B9*'Output-Calculation-sheet'!B27</f>
        <v>12290.038635789737</v>
      </c>
      <c r="C21" s="2">
        <f>C10/'Output-Calculation-sheet'!C9*'Output-Calculation-sheet'!C27</f>
        <v>12334.84215974021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10813.865518452289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1501.2600447709242</v>
      </c>
      <c r="M21" s="2">
        <f>M10/'Output-Calculation-sheet'!M9*'Output-Calculation-sheet'!M27</f>
        <v>8416.8144512233757</v>
      </c>
      <c r="N21" s="2">
        <f>N10/'Output-Calculation-sheet'!N9*'Output-Calculation-sheet'!N27</f>
        <v>4905.5946310030085</v>
      </c>
      <c r="O21" s="2">
        <f>O10/'Output-Calculation-sheet'!O9*'Output-Calculation-sheet'!O27</f>
        <v>2399.9485060118886</v>
      </c>
      <c r="P21" s="2">
        <f>P10/'Output-Calculation-sheet'!P9*'Output-Calculation-sheet'!P27</f>
        <v>0</v>
      </c>
      <c r="Q21" s="2">
        <f>Q10/'Output-Calculation-sheet'!Q9*'Output-Calculation-sheet'!Q27</f>
        <v>365.54663644116624</v>
      </c>
      <c r="R21" s="2">
        <f>R10/'Output-Calculation-sheet'!R9*'Output-Calculation-sheet'!R27</f>
        <v>0</v>
      </c>
      <c r="S21" s="2">
        <f>S10/'Output-Calculation-sheet'!S9*'Output-Calculation-sheet'!S27</f>
        <v>1246.1114490549144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785.34628412398797</v>
      </c>
      <c r="Y21" s="2">
        <f>Y10/'Output-Calculation-sheet'!Y9*'Output-Calculation-sheet'!Y27</f>
        <v>0</v>
      </c>
      <c r="AA21" s="2">
        <f t="shared" si="0"/>
        <v>55.059368316611511</v>
      </c>
    </row>
    <row r="22" spans="1:27" x14ac:dyDescent="0.25">
      <c r="A22" s="2">
        <v>2034</v>
      </c>
      <c r="B22" s="2">
        <f>B11/'Output-Calculation-sheet'!B10*'Output-Calculation-sheet'!B28</f>
        <v>16153.016083506503</v>
      </c>
      <c r="C22" s="2">
        <f>C11/'Output-Calculation-sheet'!C10*'Output-Calculation-sheet'!C28</f>
        <v>13172.075282974829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11446.163179009209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1686.396285601405</v>
      </c>
      <c r="M22" s="2">
        <f>M11/'Output-Calculation-sheet'!M10*'Output-Calculation-sheet'!M28</f>
        <v>8894.2512728754737</v>
      </c>
      <c r="N22" s="2">
        <f>N11/'Output-Calculation-sheet'!N10*'Output-Calculation-sheet'!N28</f>
        <v>5334.8707013276135</v>
      </c>
      <c r="O22" s="2">
        <f>O11/'Output-Calculation-sheet'!O10*'Output-Calculation-sheet'!O28</f>
        <v>2547.4198799098967</v>
      </c>
      <c r="P22" s="2">
        <f>P11/'Output-Calculation-sheet'!P10*'Output-Calculation-sheet'!P28</f>
        <v>0</v>
      </c>
      <c r="Q22" s="2">
        <f>Q11/'Output-Calculation-sheet'!Q10*'Output-Calculation-sheet'!Q28</f>
        <v>731.29215486322119</v>
      </c>
      <c r="R22" s="2">
        <f>R11/'Output-Calculation-sheet'!R10*'Output-Calculation-sheet'!R28</f>
        <v>0</v>
      </c>
      <c r="S22" s="2">
        <f>S11/'Output-Calculation-sheet'!S10*'Output-Calculation-sheet'!S28</f>
        <v>1562.8906091687759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831.75862554144817</v>
      </c>
      <c r="Y22" s="2">
        <f>Y11/'Output-Calculation-sheet'!Y10*'Output-Calculation-sheet'!Y28</f>
        <v>0</v>
      </c>
      <c r="AA22" s="2">
        <f t="shared" si="0"/>
        <v>62.360134074778379</v>
      </c>
    </row>
    <row r="23" spans="1:27" x14ac:dyDescent="0.25">
      <c r="A23" s="2">
        <v>2035</v>
      </c>
      <c r="B23" s="2">
        <f>B12/'Output-Calculation-sheet'!B11*'Output-Calculation-sheet'!B29</f>
        <v>19966.864401655181</v>
      </c>
      <c r="C23" s="2">
        <f>C12/'Output-Calculation-sheet'!C11*'Output-Calculation-sheet'!C29</f>
        <v>13997.28948942563</v>
      </c>
      <c r="D23" s="2">
        <f>D12/'Output-Calculation-sheet'!D11*'Output-Calculation-sheet'!D29</f>
        <v>0</v>
      </c>
      <c r="E23" s="2">
        <f>E12/'Output-Calculation-sheet'!E11*'Output-Calculation-sheet'!E29</f>
        <v>182.97954548925239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11688.603121184906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1842.5802342614702</v>
      </c>
      <c r="M23" s="2">
        <f>M12/'Output-Calculation-sheet'!M11*'Output-Calculation-sheet'!M29</f>
        <v>9090.5400760661687</v>
      </c>
      <c r="N23" s="2">
        <f>N12/'Output-Calculation-sheet'!N11*'Output-Calculation-sheet'!N29</f>
        <v>5580.0700067277421</v>
      </c>
      <c r="O23" s="2">
        <f>O12/'Output-Calculation-sheet'!O11*'Output-Calculation-sheet'!O29</f>
        <v>2838.6634503938976</v>
      </c>
      <c r="P23" s="2">
        <f>P12/'Output-Calculation-sheet'!P11*'Output-Calculation-sheet'!P29</f>
        <v>0</v>
      </c>
      <c r="Q23" s="2">
        <f>Q12/'Output-Calculation-sheet'!Q11*'Output-Calculation-sheet'!Q29</f>
        <v>1097.2630582748113</v>
      </c>
      <c r="R23" s="2">
        <f>R12/'Output-Calculation-sheet'!R11*'Output-Calculation-sheet'!R29</f>
        <v>0</v>
      </c>
      <c r="S23" s="2">
        <f>S12/'Output-Calculation-sheet'!S11*'Output-Calculation-sheet'!S29</f>
        <v>1859.6557431204246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859.30851533229384</v>
      </c>
      <c r="Y23" s="2">
        <f>Y12/'Output-Calculation-sheet'!Y11*'Output-Calculation-sheet'!Y29</f>
        <v>0</v>
      </c>
      <c r="AA23" s="2">
        <f t="shared" si="0"/>
        <v>69.003817641931775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30600.946870431664</v>
      </c>
      <c r="C30" s="2">
        <f>C8/'Output-Calculation-sheet'!C7*'Output-Calculation-sheet'!C16</f>
        <v>0</v>
      </c>
      <c r="D30" s="2">
        <f>D8/'Output-Calculation-sheet'!D7*'Output-Calculation-sheet'!D16</f>
        <v>8363.9550157151134</v>
      </c>
      <c r="E30" s="2">
        <f>E8/'Output-Calculation-sheet'!E7*'Output-Calculation-sheet'!E16</f>
        <v>10212.993796011287</v>
      </c>
      <c r="F30" s="2">
        <f>F8/'Output-Calculation-sheet'!F7*'Output-Calculation-sheet'!F16</f>
        <v>4593.5119212257769</v>
      </c>
      <c r="G30" s="2">
        <f>G8/'Output-Calculation-sheet'!G7*'Output-Calculation-sheet'!G16</f>
        <v>2645.1050112464159</v>
      </c>
      <c r="H30" s="2">
        <f>H8/'Output-Calculation-sheet'!H7*'Output-Calculation-sheet'!H16</f>
        <v>0</v>
      </c>
      <c r="I30" s="2">
        <f>I8/'Output-Calculation-sheet'!I7*'Output-Calculation-sheet'!I16</f>
        <v>2806.6887095631878</v>
      </c>
      <c r="J30" s="2">
        <f>J8/'Output-Calculation-sheet'!J7*'Output-Calculation-sheet'!J16</f>
        <v>2854.3989603191721</v>
      </c>
      <c r="K30" s="2">
        <f>K8/'Output-Calculation-sheet'!K7*'Output-Calculation-sheet'!K16</f>
        <v>3719.2588668458093</v>
      </c>
      <c r="L30" s="2">
        <f>L8/'Output-Calculation-sheet'!L7*'Output-Calculation-sheet'!L16</f>
        <v>3379.6676415141401</v>
      </c>
      <c r="M30" s="2">
        <f>M8/'Output-Calculation-sheet'!M7*'Output-Calculation-sheet'!M16</f>
        <v>0</v>
      </c>
      <c r="N30" s="2">
        <f>N8/'Output-Calculation-sheet'!N7*'Output-Calculation-sheet'!N16</f>
        <v>1995.4881712469269</v>
      </c>
      <c r="O30" s="2">
        <f>O8/'Output-Calculation-sheet'!O7*'Output-Calculation-sheet'!O16</f>
        <v>0</v>
      </c>
      <c r="P30" s="2">
        <f>P8/'Output-Calculation-sheet'!P7*'Output-Calculation-sheet'!P16</f>
        <v>3003.2835993536946</v>
      </c>
      <c r="Q30" s="2">
        <f>Q8/'Output-Calculation-sheet'!Q7*'Output-Calculation-sheet'!Q16</f>
        <v>3349.4717186411372</v>
      </c>
      <c r="R30" s="2">
        <f>R8/'Output-Calculation-sheet'!R7*'Output-Calculation-sheet'!R16</f>
        <v>2732.4598430484643</v>
      </c>
      <c r="S30" s="2">
        <f>S8/'Output-Calculation-sheet'!S7*'Output-Calculation-sheet'!S16</f>
        <v>1470.8372878909452</v>
      </c>
      <c r="T30" s="2">
        <f>T8/'Output-Calculation-sheet'!T7*'Output-Calculation-sheet'!T16</f>
        <v>866.54282459337867</v>
      </c>
      <c r="U30" s="2">
        <f>U8/'Output-Calculation-sheet'!U7*'Output-Calculation-sheet'!U16</f>
        <v>693.65186410210197</v>
      </c>
      <c r="V30" s="2">
        <f>V8/'Output-Calculation-sheet'!V7*'Output-Calculation-sheet'!V16</f>
        <v>816.73873879602684</v>
      </c>
      <c r="W30" s="2">
        <f>W8/'Output-Calculation-sheet'!W7*'Output-Calculation-sheet'!W16</f>
        <v>376.89320911508895</v>
      </c>
      <c r="X30" s="2">
        <f>X8/'Output-Calculation-sheet'!X7*'Output-Calculation-sheet'!X16</f>
        <v>0</v>
      </c>
      <c r="Y30" s="2">
        <f>Y8/'Output-Calculation-sheet'!Y7*'Output-Calculation-sheet'!Y16</f>
        <v>289.82402282089254</v>
      </c>
      <c r="AA30" s="2">
        <f t="shared" si="1"/>
        <v>84.771718072481221</v>
      </c>
    </row>
    <row r="31" spans="1:27" x14ac:dyDescent="0.25">
      <c r="A31" s="2">
        <v>2032</v>
      </c>
      <c r="B31" s="2">
        <f>B9/'Output-Calculation-sheet'!B8*'Output-Calculation-sheet'!B17</f>
        <v>33737.972559398411</v>
      </c>
      <c r="C31" s="2">
        <f>C9/'Output-Calculation-sheet'!C8*'Output-Calculation-sheet'!C17</f>
        <v>0</v>
      </c>
      <c r="D31" s="2">
        <f>D9/'Output-Calculation-sheet'!D8*'Output-Calculation-sheet'!D17</f>
        <v>9385.0879249459122</v>
      </c>
      <c r="E31" s="2">
        <f>E9/'Output-Calculation-sheet'!E8*'Output-Calculation-sheet'!E17</f>
        <v>11513.959214902647</v>
      </c>
      <c r="F31" s="2">
        <f>F9/'Output-Calculation-sheet'!F8*'Output-Calculation-sheet'!F17</f>
        <v>5185.8750810808178</v>
      </c>
      <c r="G31" s="2">
        <f>G9/'Output-Calculation-sheet'!G8*'Output-Calculation-sheet'!G17</f>
        <v>2984.8425101895682</v>
      </c>
      <c r="H31" s="2">
        <f>H9/'Output-Calculation-sheet'!H8*'Output-Calculation-sheet'!H17</f>
        <v>0</v>
      </c>
      <c r="I31" s="2">
        <f>I9/'Output-Calculation-sheet'!I8*'Output-Calculation-sheet'!I17</f>
        <v>3164.2972479665295</v>
      </c>
      <c r="J31" s="2">
        <f>J9/'Output-Calculation-sheet'!J8*'Output-Calculation-sheet'!J17</f>
        <v>3210.4528722540144</v>
      </c>
      <c r="K31" s="2">
        <f>K9/'Output-Calculation-sheet'!K8*'Output-Calculation-sheet'!K17</f>
        <v>4175.4724146577082</v>
      </c>
      <c r="L31" s="2">
        <f>L9/'Output-Calculation-sheet'!L8*'Output-Calculation-sheet'!L17</f>
        <v>3777.2016418612425</v>
      </c>
      <c r="M31" s="2">
        <f>M9/'Output-Calculation-sheet'!M8*'Output-Calculation-sheet'!M17</f>
        <v>0</v>
      </c>
      <c r="N31" s="2">
        <f>N9/'Output-Calculation-sheet'!N8*'Output-Calculation-sheet'!N17</f>
        <v>2109.0901517951511</v>
      </c>
      <c r="O31" s="2">
        <f>O9/'Output-Calculation-sheet'!O8*'Output-Calculation-sheet'!O17</f>
        <v>0</v>
      </c>
      <c r="P31" s="2">
        <f>P9/'Output-Calculation-sheet'!P8*'Output-Calculation-sheet'!P17</f>
        <v>3426.8371883809036</v>
      </c>
      <c r="Q31" s="2">
        <f>Q9/'Output-Calculation-sheet'!Q8*'Output-Calculation-sheet'!Q17</f>
        <v>3724.334745881476</v>
      </c>
      <c r="R31" s="2">
        <f>R9/'Output-Calculation-sheet'!R8*'Output-Calculation-sheet'!R17</f>
        <v>3091.7395893212765</v>
      </c>
      <c r="S31" s="2">
        <f>S9/'Output-Calculation-sheet'!S8*'Output-Calculation-sheet'!S17</f>
        <v>1606.1697431364921</v>
      </c>
      <c r="T31" s="2">
        <f>T9/'Output-Calculation-sheet'!T8*'Output-Calculation-sheet'!T17</f>
        <v>974.01560372428366</v>
      </c>
      <c r="U31" s="2">
        <f>U9/'Output-Calculation-sheet'!U8*'Output-Calculation-sheet'!U17</f>
        <v>782.53130230825275</v>
      </c>
      <c r="V31" s="2">
        <f>V9/'Output-Calculation-sheet'!V8*'Output-Calculation-sheet'!V17</f>
        <v>919.85930889327301</v>
      </c>
      <c r="W31" s="2">
        <f>W9/'Output-Calculation-sheet'!W8*'Output-Calculation-sheet'!W17</f>
        <v>425.46652797844411</v>
      </c>
      <c r="X31" s="2">
        <f>X9/'Output-Calculation-sheet'!X8*'Output-Calculation-sheet'!X17</f>
        <v>0</v>
      </c>
      <c r="Y31" s="2">
        <f>Y9/'Output-Calculation-sheet'!Y8*'Output-Calculation-sheet'!Y17</f>
        <v>327.42393794391467</v>
      </c>
      <c r="AA31" s="2">
        <f t="shared" si="1"/>
        <v>94.522629566620324</v>
      </c>
    </row>
    <row r="32" spans="1:27" x14ac:dyDescent="0.25">
      <c r="A32" s="2">
        <v>2033</v>
      </c>
      <c r="B32" s="2">
        <f>B10/'Output-Calculation-sheet'!B9*'Output-Calculation-sheet'!B18</f>
        <v>35109.134939019743</v>
      </c>
      <c r="C32" s="2">
        <f>C10/'Output-Calculation-sheet'!C9*'Output-Calculation-sheet'!C18</f>
        <v>0</v>
      </c>
      <c r="D32" s="2">
        <f>D10/'Output-Calculation-sheet'!D9*'Output-Calculation-sheet'!D18</f>
        <v>10037.066934000784</v>
      </c>
      <c r="E32" s="2">
        <f>E10/'Output-Calculation-sheet'!E9*'Output-Calculation-sheet'!E18</f>
        <v>12404.430730282409</v>
      </c>
      <c r="F32" s="2">
        <f>F10/'Output-Calculation-sheet'!F9*'Output-Calculation-sheet'!F18</f>
        <v>5579.8344080087581</v>
      </c>
      <c r="G32" s="2">
        <f>G10/'Output-Calculation-sheet'!G9*'Output-Calculation-sheet'!G18</f>
        <v>3210.6014677520825</v>
      </c>
      <c r="H32" s="2">
        <f>H10/'Output-Calculation-sheet'!H9*'Output-Calculation-sheet'!H18</f>
        <v>0</v>
      </c>
      <c r="I32" s="2">
        <f>I10/'Output-Calculation-sheet'!I9*'Output-Calculation-sheet'!I18</f>
        <v>3400.9202905635966</v>
      </c>
      <c r="J32" s="2">
        <f>J10/'Output-Calculation-sheet'!J9*'Output-Calculation-sheet'!J18</f>
        <v>3423.4894793273743</v>
      </c>
      <c r="K32" s="2">
        <f>K10/'Output-Calculation-sheet'!K9*'Output-Calculation-sheet'!K18</f>
        <v>4519.5918684309881</v>
      </c>
      <c r="L32" s="2">
        <f>L10/'Output-Calculation-sheet'!L9*'Output-Calculation-sheet'!L18</f>
        <v>3943.5994777629767</v>
      </c>
      <c r="M32" s="2">
        <f>M10/'Output-Calculation-sheet'!M9*'Output-Calculation-sheet'!M18</f>
        <v>0</v>
      </c>
      <c r="N32" s="2">
        <f>N10/'Output-Calculation-sheet'!N9*'Output-Calculation-sheet'!N18</f>
        <v>2212.2267835534949</v>
      </c>
      <c r="O32" s="2">
        <f>O10/'Output-Calculation-sheet'!O9*'Output-Calculation-sheet'!O18</f>
        <v>0</v>
      </c>
      <c r="P32" s="2">
        <f>P10/'Output-Calculation-sheet'!P9*'Output-Calculation-sheet'!P18</f>
        <v>3718.6476429889735</v>
      </c>
      <c r="Q32" s="2">
        <f>Q10/'Output-Calculation-sheet'!Q9*'Output-Calculation-sheet'!Q18</f>
        <v>3919.5048282247108</v>
      </c>
      <c r="R32" s="2">
        <f>R10/'Output-Calculation-sheet'!R9*'Output-Calculation-sheet'!R18</f>
        <v>3321.3865525638325</v>
      </c>
      <c r="S32" s="2">
        <f>S10/'Output-Calculation-sheet'!S9*'Output-Calculation-sheet'!S18</f>
        <v>1657.6576850974707</v>
      </c>
      <c r="T32" s="2">
        <f>T10/'Output-Calculation-sheet'!T9*'Output-Calculation-sheet'!T18</f>
        <v>1046.1803017809461</v>
      </c>
      <c r="U32" s="2">
        <f>U10/'Output-Calculation-sheet'!U9*'Output-Calculation-sheet'!U18</f>
        <v>838.83131201691197</v>
      </c>
      <c r="V32" s="2">
        <f>V10/'Output-Calculation-sheet'!V9*'Output-Calculation-sheet'!V18</f>
        <v>976.02181480859281</v>
      </c>
      <c r="W32" s="2">
        <f>W10/'Output-Calculation-sheet'!W9*'Output-Calculation-sheet'!W18</f>
        <v>455.51300789047338</v>
      </c>
      <c r="X32" s="2">
        <f>X10/'Output-Calculation-sheet'!X9*'Output-Calculation-sheet'!X18</f>
        <v>0</v>
      </c>
      <c r="Y32" s="2">
        <f>Y10/'Output-Calculation-sheet'!Y9*'Output-Calculation-sheet'!Y18</f>
        <v>352.36133851840259</v>
      </c>
      <c r="AA32" s="2">
        <f t="shared" si="1"/>
        <v>100.12700086259252</v>
      </c>
    </row>
    <row r="33" spans="1:27" x14ac:dyDescent="0.25">
      <c r="A33" s="2">
        <v>2034</v>
      </c>
      <c r="B33" s="2">
        <f>B11/'Output-Calculation-sheet'!B10*'Output-Calculation-sheet'!B19</f>
        <v>35681.551811498917</v>
      </c>
      <c r="C33" s="2">
        <f>C11/'Output-Calculation-sheet'!C10*'Output-Calculation-sheet'!C19</f>
        <v>0</v>
      </c>
      <c r="D33" s="2">
        <f>D11/'Output-Calculation-sheet'!D10*'Output-Calculation-sheet'!D19</f>
        <v>10326.766637432618</v>
      </c>
      <c r="E33" s="2">
        <f>E11/'Output-Calculation-sheet'!E10*'Output-Calculation-sheet'!E19</f>
        <v>12845.879660914212</v>
      </c>
      <c r="F33" s="2">
        <f>F11/'Output-Calculation-sheet'!F10*'Output-Calculation-sheet'!F19</f>
        <v>5780.2378516968392</v>
      </c>
      <c r="G33" s="2">
        <f>G11/'Output-Calculation-sheet'!G10*'Output-Calculation-sheet'!G19</f>
        <v>3316.4121707132485</v>
      </c>
      <c r="H33" s="2">
        <f>H11/'Output-Calculation-sheet'!H10*'Output-Calculation-sheet'!H19</f>
        <v>0</v>
      </c>
      <c r="I33" s="2">
        <f>I11/'Output-Calculation-sheet'!I10*'Output-Calculation-sheet'!I19</f>
        <v>3526.9088203474948</v>
      </c>
      <c r="J33" s="2">
        <f>J11/'Output-Calculation-sheet'!J10*'Output-Calculation-sheet'!J19</f>
        <v>3529.8796909878561</v>
      </c>
      <c r="K33" s="2">
        <f>K11/'Output-Calculation-sheet'!K10*'Output-Calculation-sheet'!K19</f>
        <v>4635.2262611418309</v>
      </c>
      <c r="L33" s="2">
        <f>L11/'Output-Calculation-sheet'!L10*'Output-Calculation-sheet'!L19</f>
        <v>3982.7310557528704</v>
      </c>
      <c r="M33" s="2">
        <f>M11/'Output-Calculation-sheet'!M10*'Output-Calculation-sheet'!M19</f>
        <v>0</v>
      </c>
      <c r="N33" s="2">
        <f>N11/'Output-Calculation-sheet'!N10*'Output-Calculation-sheet'!N19</f>
        <v>2174.2730895308719</v>
      </c>
      <c r="O33" s="2">
        <f>O11/'Output-Calculation-sheet'!O10*'Output-Calculation-sheet'!O19</f>
        <v>0</v>
      </c>
      <c r="P33" s="2">
        <f>P11/'Output-Calculation-sheet'!P10*'Output-Calculation-sheet'!P19</f>
        <v>3890.4717023204184</v>
      </c>
      <c r="Q33" s="2">
        <f>Q11/'Output-Calculation-sheet'!Q10*'Output-Calculation-sheet'!Q19</f>
        <v>3881.3863519779002</v>
      </c>
      <c r="R33" s="2">
        <f>R11/'Output-Calculation-sheet'!R10*'Output-Calculation-sheet'!R19</f>
        <v>3429.3757478699763</v>
      </c>
      <c r="S33" s="2">
        <f>S11/'Output-Calculation-sheet'!S10*'Output-Calculation-sheet'!S19</f>
        <v>1671.5252815532685</v>
      </c>
      <c r="T33" s="2">
        <f>T11/'Output-Calculation-sheet'!T10*'Output-Calculation-sheet'!T19</f>
        <v>1083.4381708479939</v>
      </c>
      <c r="U33" s="2">
        <f>U11/'Output-Calculation-sheet'!U10*'Output-Calculation-sheet'!U19</f>
        <v>874.09850179162561</v>
      </c>
      <c r="V33" s="2">
        <f>V11/'Output-Calculation-sheet'!V10*'Output-Calculation-sheet'!V19</f>
        <v>1003.0953311314825</v>
      </c>
      <c r="W33" s="2">
        <f>W11/'Output-Calculation-sheet'!W10*'Output-Calculation-sheet'!W19</f>
        <v>472.1657334159176</v>
      </c>
      <c r="X33" s="2">
        <f>X11/'Output-Calculation-sheet'!X10*'Output-Calculation-sheet'!X19</f>
        <v>0</v>
      </c>
      <c r="Y33" s="2">
        <f>Y11/'Output-Calculation-sheet'!Y10*'Output-Calculation-sheet'!Y19</f>
        <v>365.10108172535456</v>
      </c>
      <c r="AA33" s="2">
        <f t="shared" si="1"/>
        <v>102.47052495265069</v>
      </c>
    </row>
    <row r="34" spans="1:27" x14ac:dyDescent="0.25">
      <c r="A34" s="2">
        <v>2035</v>
      </c>
      <c r="B34" s="2">
        <f>B12/'Output-Calculation-sheet'!B11*'Output-Calculation-sheet'!B20</f>
        <v>34481.816271277916</v>
      </c>
      <c r="C34" s="2">
        <f>C12/'Output-Calculation-sheet'!C11*'Output-Calculation-sheet'!C20</f>
        <v>0</v>
      </c>
      <c r="D34" s="2">
        <f>D12/'Output-Calculation-sheet'!D11*'Output-Calculation-sheet'!D20</f>
        <v>10394.069779481108</v>
      </c>
      <c r="E34" s="2">
        <f>E12/'Output-Calculation-sheet'!E11*'Output-Calculation-sheet'!E20</f>
        <v>12795.8651632234</v>
      </c>
      <c r="F34" s="2">
        <f>F12/'Output-Calculation-sheet'!F11*'Output-Calculation-sheet'!F20</f>
        <v>5810.5920815243653</v>
      </c>
      <c r="G34" s="2">
        <f>G12/'Output-Calculation-sheet'!G11*'Output-Calculation-sheet'!G20</f>
        <v>3329.275571149813</v>
      </c>
      <c r="H34" s="2">
        <f>H12/'Output-Calculation-sheet'!H11*'Output-Calculation-sheet'!H20</f>
        <v>0</v>
      </c>
      <c r="I34" s="2">
        <f>I12/'Output-Calculation-sheet'!I11*'Output-Calculation-sheet'!I20</f>
        <v>3551.9569427631809</v>
      </c>
      <c r="J34" s="2">
        <f>J12/'Output-Calculation-sheet'!J11*'Output-Calculation-sheet'!J20</f>
        <v>3535.4993640613293</v>
      </c>
      <c r="K34" s="2">
        <f>K12/'Output-Calculation-sheet'!K11*'Output-Calculation-sheet'!K20</f>
        <v>4642.3621152351534</v>
      </c>
      <c r="L34" s="2">
        <f>L12/'Output-Calculation-sheet'!L11*'Output-Calculation-sheet'!L20</f>
        <v>3932.7937686835971</v>
      </c>
      <c r="M34" s="2">
        <f>M12/'Output-Calculation-sheet'!M11*'Output-Calculation-sheet'!M20</f>
        <v>0</v>
      </c>
      <c r="N34" s="2">
        <f>N12/'Output-Calculation-sheet'!N11*'Output-Calculation-sheet'!N20</f>
        <v>2140.1657459647249</v>
      </c>
      <c r="O34" s="2">
        <f>O12/'Output-Calculation-sheet'!O11*'Output-Calculation-sheet'!O20</f>
        <v>0</v>
      </c>
      <c r="P34" s="2">
        <f>P12/'Output-Calculation-sheet'!P11*'Output-Calculation-sheet'!P20</f>
        <v>3919.5520388545642</v>
      </c>
      <c r="Q34" s="2">
        <f>Q12/'Output-Calculation-sheet'!Q11*'Output-Calculation-sheet'!Q20</f>
        <v>3743.9948497527139</v>
      </c>
      <c r="R34" s="2">
        <f>R12/'Output-Calculation-sheet'!R11*'Output-Calculation-sheet'!R20</f>
        <v>3444.2956390405329</v>
      </c>
      <c r="S34" s="2">
        <f>S12/'Output-Calculation-sheet'!S11*'Output-Calculation-sheet'!S20</f>
        <v>1608.6975344184978</v>
      </c>
      <c r="T34" s="2">
        <f>T12/'Output-Calculation-sheet'!T11*'Output-Calculation-sheet'!T20</f>
        <v>1087.0942768449927</v>
      </c>
      <c r="U34" s="2">
        <f>U12/'Output-Calculation-sheet'!U11*'Output-Calculation-sheet'!U20</f>
        <v>875.63254911214528</v>
      </c>
      <c r="V34" s="2">
        <f>V12/'Output-Calculation-sheet'!V11*'Output-Calculation-sheet'!V20</f>
        <v>1005.2208037999922</v>
      </c>
      <c r="W34" s="2">
        <f>W12/'Output-Calculation-sheet'!W11*'Output-Calculation-sheet'!W20</f>
        <v>474.95959294518207</v>
      </c>
      <c r="X34" s="2">
        <f>X12/'Output-Calculation-sheet'!X11*'Output-Calculation-sheet'!X20</f>
        <v>0</v>
      </c>
      <c r="Y34" s="2">
        <f>Y12/'Output-Calculation-sheet'!Y11*'Output-Calculation-sheet'!Y20</f>
        <v>368.84553202366601</v>
      </c>
      <c r="AA34" s="2">
        <f t="shared" si="1"/>
        <v>101.14268962015686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1352.199327033502</v>
      </c>
      <c r="C52" s="2">
        <f>C8/'Output-Calculation-sheet'!C7*'Output-Calculation-sheet'!C43</f>
        <v>0</v>
      </c>
      <c r="D52" s="2">
        <f>D8/'Output-Calculation-sheet'!D7*'Output-Calculation-sheet'!D43</f>
        <v>2937.3142727837649</v>
      </c>
      <c r="E52" s="2">
        <f>E8/'Output-Calculation-sheet'!E7*'Output-Calculation-sheet'!E43</f>
        <v>2108.4734954088158</v>
      </c>
      <c r="F52" s="2">
        <f>F8/'Output-Calculation-sheet'!F7*'Output-Calculation-sheet'!F43</f>
        <v>0</v>
      </c>
      <c r="G52" s="2">
        <f>G8/'Output-Calculation-sheet'!G7*'Output-Calculation-sheet'!G43</f>
        <v>747.77129884505666</v>
      </c>
      <c r="H52" s="2">
        <f>H8/'Output-Calculation-sheet'!H7*'Output-Calculation-sheet'!H43</f>
        <v>5729.2716238727689</v>
      </c>
      <c r="I52" s="2">
        <f>I8/'Output-Calculation-sheet'!I7*'Output-Calculation-sheet'!I43</f>
        <v>244.57295932233384</v>
      </c>
      <c r="J52" s="2">
        <f>J8/'Output-Calculation-sheet'!J7*'Output-Calculation-sheet'!J43</f>
        <v>1331.2581273880517</v>
      </c>
      <c r="K52" s="2">
        <f>K8/'Output-Calculation-sheet'!K7*'Output-Calculation-sheet'!K43</f>
        <v>2674.1910240608577</v>
      </c>
      <c r="L52" s="2">
        <f>L8/'Output-Calculation-sheet'!L7*'Output-Calculation-sheet'!L43</f>
        <v>2484.7686539805354</v>
      </c>
      <c r="M52" s="2">
        <f>M8/'Output-Calculation-sheet'!M7*'Output-Calculation-sheet'!M43</f>
        <v>16222.335949908986</v>
      </c>
      <c r="N52" s="2">
        <f>N8/'Output-Calculation-sheet'!N7*'Output-Calculation-sheet'!N43</f>
        <v>9285.7939495822939</v>
      </c>
      <c r="O52" s="2">
        <f>O8/'Output-Calculation-sheet'!O7*'Output-Calculation-sheet'!O43</f>
        <v>0</v>
      </c>
      <c r="P52" s="2">
        <f>P8/'Output-Calculation-sheet'!P7*'Output-Calculation-sheet'!P43</f>
        <v>1974.8835581505343</v>
      </c>
      <c r="Q52" s="2">
        <f>Q8/'Output-Calculation-sheet'!Q7*'Output-Calculation-sheet'!Q43</f>
        <v>448.7345468187313</v>
      </c>
      <c r="R52" s="2">
        <f>R8/'Output-Calculation-sheet'!R7*'Output-Calculation-sheet'!R43</f>
        <v>3598.727798558451</v>
      </c>
      <c r="S52" s="2">
        <f>S8/'Output-Calculation-sheet'!S7*'Output-Calculation-sheet'!S43</f>
        <v>599.94578073416085</v>
      </c>
      <c r="T52" s="2">
        <f>T8/'Output-Calculation-sheet'!T7*'Output-Calculation-sheet'!T43</f>
        <v>1066.5538904030582</v>
      </c>
      <c r="U52" s="2">
        <f>U8/'Output-Calculation-sheet'!U7*'Output-Calculation-sheet'!U43</f>
        <v>398.39649022744595</v>
      </c>
      <c r="V52" s="2">
        <f>V8/'Output-Calculation-sheet'!V7*'Output-Calculation-sheet'!V43</f>
        <v>1041.5994118195156</v>
      </c>
      <c r="W52" s="2">
        <f>W8/'Output-Calculation-sheet'!W7*'Output-Calculation-sheet'!W43</f>
        <v>12.469310049353936</v>
      </c>
      <c r="X52" s="2">
        <f>X8/'Output-Calculation-sheet'!X7*'Output-Calculation-sheet'!X43</f>
        <v>845.07581467668899</v>
      </c>
      <c r="Y52" s="2">
        <f>Y8/'Output-Calculation-sheet'!Y7*'Output-Calculation-sheet'!Y43</f>
        <v>0</v>
      </c>
      <c r="AA52" s="2">
        <f t="shared" si="3"/>
        <v>55.104337283624901</v>
      </c>
    </row>
    <row r="53" spans="1:27" x14ac:dyDescent="0.25">
      <c r="A53" s="2">
        <v>2032</v>
      </c>
      <c r="B53" s="2">
        <f>B9/'Output-Calculation-sheet'!B8*'Output-Calculation-sheet'!B44</f>
        <v>4809.2601687203742</v>
      </c>
      <c r="C53" s="2">
        <f>C9/'Output-Calculation-sheet'!C8*'Output-Calculation-sheet'!C44</f>
        <v>0</v>
      </c>
      <c r="D53" s="2">
        <f>D9/'Output-Calculation-sheet'!D8*'Output-Calculation-sheet'!D44</f>
        <v>4256.806597170129</v>
      </c>
      <c r="E53" s="2">
        <f>E9/'Output-Calculation-sheet'!E8*'Output-Calculation-sheet'!E44</f>
        <v>2790.9962985484385</v>
      </c>
      <c r="F53" s="2">
        <f>F9/'Output-Calculation-sheet'!F8*'Output-Calculation-sheet'!F44</f>
        <v>0</v>
      </c>
      <c r="G53" s="2">
        <f>G9/'Output-Calculation-sheet'!G8*'Output-Calculation-sheet'!G44</f>
        <v>1030.7303905345877</v>
      </c>
      <c r="H53" s="2">
        <f>H9/'Output-Calculation-sheet'!H8*'Output-Calculation-sheet'!H44</f>
        <v>12943.550263712385</v>
      </c>
      <c r="I53" s="2">
        <f>I9/'Output-Calculation-sheet'!I8*'Output-Calculation-sheet'!I44</f>
        <v>377.69944146481862</v>
      </c>
      <c r="J53" s="2">
        <f>J9/'Output-Calculation-sheet'!J8*'Output-Calculation-sheet'!J44</f>
        <v>1733.0655032490235</v>
      </c>
      <c r="K53" s="2">
        <f>K9/'Output-Calculation-sheet'!K8*'Output-Calculation-sheet'!K44</f>
        <v>3138.488737902228</v>
      </c>
      <c r="L53" s="2">
        <f>L9/'Output-Calculation-sheet'!L8*'Output-Calculation-sheet'!L44</f>
        <v>3059.0929815231611</v>
      </c>
      <c r="M53" s="2">
        <f>M9/'Output-Calculation-sheet'!M8*'Output-Calculation-sheet'!M44</f>
        <v>18398.137992548731</v>
      </c>
      <c r="N53" s="2">
        <f>N9/'Output-Calculation-sheet'!N8*'Output-Calculation-sheet'!N44</f>
        <v>12255.027029605759</v>
      </c>
      <c r="O53" s="2">
        <f>O9/'Output-Calculation-sheet'!O8*'Output-Calculation-sheet'!O44</f>
        <v>0</v>
      </c>
      <c r="P53" s="2">
        <f>P9/'Output-Calculation-sheet'!P8*'Output-Calculation-sheet'!P44</f>
        <v>2541.5470395769803</v>
      </c>
      <c r="Q53" s="2">
        <f>Q9/'Output-Calculation-sheet'!Q8*'Output-Calculation-sheet'!Q44</f>
        <v>766.94623566356995</v>
      </c>
      <c r="R53" s="2">
        <f>R9/'Output-Calculation-sheet'!R8*'Output-Calculation-sheet'!R44</f>
        <v>4302.6542683629896</v>
      </c>
      <c r="S53" s="2">
        <f>S9/'Output-Calculation-sheet'!S8*'Output-Calculation-sheet'!S44</f>
        <v>1247.2933416601938</v>
      </c>
      <c r="T53" s="2">
        <f>T9/'Output-Calculation-sheet'!T8*'Output-Calculation-sheet'!T44</f>
        <v>1278.2884533784643</v>
      </c>
      <c r="U53" s="2">
        <f>U9/'Output-Calculation-sheet'!U8*'Output-Calculation-sheet'!U44</f>
        <v>552.32897523678116</v>
      </c>
      <c r="V53" s="2">
        <f>V9/'Output-Calculation-sheet'!V8*'Output-Calculation-sheet'!V44</f>
        <v>1191.4298363989856</v>
      </c>
      <c r="W53" s="2">
        <f>W9/'Output-Calculation-sheet'!W8*'Output-Calculation-sheet'!W44</f>
        <v>32.677920735671592</v>
      </c>
      <c r="X53" s="2">
        <f>X9/'Output-Calculation-sheet'!X8*'Output-Calculation-sheet'!X44</f>
        <v>1769.8693954268556</v>
      </c>
      <c r="Y53" s="2">
        <f>Y9/'Output-Calculation-sheet'!Y8*'Output-Calculation-sheet'!Y44</f>
        <v>0</v>
      </c>
      <c r="AA53" s="2">
        <f t="shared" si="3"/>
        <v>78.47589087142012</v>
      </c>
    </row>
    <row r="54" spans="1:27" x14ac:dyDescent="0.25">
      <c r="A54" s="2">
        <v>2033</v>
      </c>
      <c r="B54" s="2">
        <f>B10/'Output-Calculation-sheet'!B9*'Output-Calculation-sheet'!B45</f>
        <v>10019.421163913634</v>
      </c>
      <c r="C54" s="2">
        <f>C10/'Output-Calculation-sheet'!C9*'Output-Calculation-sheet'!C45</f>
        <v>0</v>
      </c>
      <c r="D54" s="2">
        <f>D10/'Output-Calculation-sheet'!D9*'Output-Calculation-sheet'!D45</f>
        <v>5692.5934584108172</v>
      </c>
      <c r="E54" s="2">
        <f>E10/'Output-Calculation-sheet'!E9*'Output-Calculation-sheet'!E45</f>
        <v>3800.2384561710751</v>
      </c>
      <c r="F54" s="2">
        <f>F10/'Output-Calculation-sheet'!F9*'Output-Calculation-sheet'!F45</f>
        <v>0</v>
      </c>
      <c r="G54" s="2">
        <f>G10/'Output-Calculation-sheet'!G9*'Output-Calculation-sheet'!G45</f>
        <v>1347.7566839136357</v>
      </c>
      <c r="H54" s="2">
        <f>H10/'Output-Calculation-sheet'!H9*'Output-Calculation-sheet'!H45</f>
        <v>26745.351103901026</v>
      </c>
      <c r="I54" s="2">
        <f>I10/'Output-Calculation-sheet'!I9*'Output-Calculation-sheet'!I45</f>
        <v>551.01212285815768</v>
      </c>
      <c r="J54" s="2">
        <f>J10/'Output-Calculation-sheet'!J9*'Output-Calculation-sheet'!J45</f>
        <v>2253.9938591075324</v>
      </c>
      <c r="K54" s="2">
        <f>K10/'Output-Calculation-sheet'!K9*'Output-Calculation-sheet'!K45</f>
        <v>3827.0111600911041</v>
      </c>
      <c r="L54" s="2">
        <f>L10/'Output-Calculation-sheet'!L9*'Output-Calculation-sheet'!L45</f>
        <v>3645.9254538935133</v>
      </c>
      <c r="M54" s="2">
        <f>M10/'Output-Calculation-sheet'!M9*'Output-Calculation-sheet'!M45</f>
        <v>19900.738314139802</v>
      </c>
      <c r="N54" s="2">
        <f>N10/'Output-Calculation-sheet'!N9*'Output-Calculation-sheet'!N45</f>
        <v>13940.301094974187</v>
      </c>
      <c r="O54" s="2">
        <f>O10/'Output-Calculation-sheet'!O9*'Output-Calculation-sheet'!O45</f>
        <v>0</v>
      </c>
      <c r="P54" s="2">
        <f>P10/'Output-Calculation-sheet'!P9*'Output-Calculation-sheet'!P45</f>
        <v>3163.9650246117299</v>
      </c>
      <c r="Q54" s="2">
        <f>Q10/'Output-Calculation-sheet'!Q9*'Output-Calculation-sheet'!Q45</f>
        <v>1219.0357913769412</v>
      </c>
      <c r="R54" s="2">
        <f>R10/'Output-Calculation-sheet'!R9*'Output-Calculation-sheet'!R45</f>
        <v>4696.1165532830828</v>
      </c>
      <c r="S54" s="2">
        <f>S10/'Output-Calculation-sheet'!S9*'Output-Calculation-sheet'!S45</f>
        <v>2085.9528958626897</v>
      </c>
      <c r="T54" s="2">
        <f>T10/'Output-Calculation-sheet'!T9*'Output-Calculation-sheet'!T45</f>
        <v>1513.7726239441486</v>
      </c>
      <c r="U54" s="2">
        <f>U10/'Output-Calculation-sheet'!U9*'Output-Calculation-sheet'!U45</f>
        <v>680.65707859808094</v>
      </c>
      <c r="V54" s="2">
        <f>V10/'Output-Calculation-sheet'!V9*'Output-Calculation-sheet'!V45</f>
        <v>1320.7721957096887</v>
      </c>
      <c r="W54" s="2">
        <f>W10/'Output-Calculation-sheet'!W9*'Output-Calculation-sheet'!W45</f>
        <v>44.94849157426799</v>
      </c>
      <c r="X54" s="2">
        <f>X10/'Output-Calculation-sheet'!X9*'Output-Calculation-sheet'!X45</f>
        <v>1917.3580761007306</v>
      </c>
      <c r="Y54" s="2">
        <f>Y10/'Output-Calculation-sheet'!Y9*'Output-Calculation-sheet'!Y45</f>
        <v>14.410327928938433</v>
      </c>
      <c r="AA54" s="2">
        <f t="shared" si="3"/>
        <v>108.38133193036479</v>
      </c>
    </row>
    <row r="55" spans="1:27" x14ac:dyDescent="0.25">
      <c r="A55" s="2">
        <v>2034</v>
      </c>
      <c r="B55" s="2">
        <f>B11/'Output-Calculation-sheet'!B10*'Output-Calculation-sheet'!B46</f>
        <v>20941.680315695554</v>
      </c>
      <c r="C55" s="2">
        <f>C11/'Output-Calculation-sheet'!C10*'Output-Calculation-sheet'!C46</f>
        <v>0</v>
      </c>
      <c r="D55" s="2">
        <f>D11/'Output-Calculation-sheet'!D10*'Output-Calculation-sheet'!D46</f>
        <v>6691.5137477395729</v>
      </c>
      <c r="E55" s="2">
        <f>E11/'Output-Calculation-sheet'!E10*'Output-Calculation-sheet'!E46</f>
        <v>4384.9916409172101</v>
      </c>
      <c r="F55" s="2">
        <f>F11/'Output-Calculation-sheet'!F10*'Output-Calculation-sheet'!F46</f>
        <v>0</v>
      </c>
      <c r="G55" s="2">
        <f>G11/'Output-Calculation-sheet'!G10*'Output-Calculation-sheet'!G46</f>
        <v>1684.4840363232674</v>
      </c>
      <c r="H55" s="2">
        <f>H11/'Output-Calculation-sheet'!H10*'Output-Calculation-sheet'!H46</f>
        <v>27863.24316586756</v>
      </c>
      <c r="I55" s="2">
        <f>I11/'Output-Calculation-sheet'!I10*'Output-Calculation-sheet'!I46</f>
        <v>757.54640985190076</v>
      </c>
      <c r="J55" s="2">
        <f>J11/'Output-Calculation-sheet'!J10*'Output-Calculation-sheet'!J46</f>
        <v>2624.0278061822323</v>
      </c>
      <c r="K55" s="2">
        <f>K11/'Output-Calculation-sheet'!K10*'Output-Calculation-sheet'!K46</f>
        <v>4467.2932619368548</v>
      </c>
      <c r="L55" s="2">
        <f>L11/'Output-Calculation-sheet'!L10*'Output-Calculation-sheet'!L46</f>
        <v>4262.613044174168</v>
      </c>
      <c r="M55" s="2">
        <f>M11/'Output-Calculation-sheet'!M10*'Output-Calculation-sheet'!M46</f>
        <v>20688.483326629415</v>
      </c>
      <c r="N55" s="2">
        <f>N11/'Output-Calculation-sheet'!N10*'Output-Calculation-sheet'!N46</f>
        <v>15229.402413727556</v>
      </c>
      <c r="O55" s="2">
        <f>O11/'Output-Calculation-sheet'!O10*'Output-Calculation-sheet'!O46</f>
        <v>0</v>
      </c>
      <c r="P55" s="2">
        <f>P11/'Output-Calculation-sheet'!P10*'Output-Calculation-sheet'!P46</f>
        <v>3542.7936571598602</v>
      </c>
      <c r="Q55" s="2">
        <f>Q11/'Output-Calculation-sheet'!Q10*'Output-Calculation-sheet'!Q46</f>
        <v>1982.1490992226929</v>
      </c>
      <c r="R55" s="2">
        <f>R11/'Output-Calculation-sheet'!R10*'Output-Calculation-sheet'!R46</f>
        <v>4962.1192493295475</v>
      </c>
      <c r="S55" s="2">
        <f>S11/'Output-Calculation-sheet'!S10*'Output-Calculation-sheet'!S46</f>
        <v>3194.6722698598765</v>
      </c>
      <c r="T55" s="2">
        <f>T11/'Output-Calculation-sheet'!T10*'Output-Calculation-sheet'!T46</f>
        <v>1640.699558849743</v>
      </c>
      <c r="U55" s="2">
        <f>U11/'Output-Calculation-sheet'!U10*'Output-Calculation-sheet'!U46</f>
        <v>778.96456241191322</v>
      </c>
      <c r="V55" s="2">
        <f>V11/'Output-Calculation-sheet'!V10*'Output-Calculation-sheet'!V46</f>
        <v>1433.2397080866733</v>
      </c>
      <c r="W55" s="2">
        <f>W11/'Output-Calculation-sheet'!W10*'Output-Calculation-sheet'!W46</f>
        <v>72.095806079561626</v>
      </c>
      <c r="X55" s="2">
        <f>X11/'Output-Calculation-sheet'!X10*'Output-Calculation-sheet'!X46</f>
        <v>2004.7422415927715</v>
      </c>
      <c r="Y55" s="2">
        <f>Y11/'Output-Calculation-sheet'!Y10*'Output-Calculation-sheet'!Y46</f>
        <v>23.774051570548171</v>
      </c>
      <c r="AA55" s="2">
        <f t="shared" si="3"/>
        <v>129.23052937320847</v>
      </c>
    </row>
    <row r="56" spans="1:27" x14ac:dyDescent="0.25">
      <c r="A56" s="2">
        <v>2035</v>
      </c>
      <c r="B56" s="2">
        <f>B12/'Output-Calculation-sheet'!B11*'Output-Calculation-sheet'!B47</f>
        <v>35781.408198746452</v>
      </c>
      <c r="C56" s="2">
        <f>C12/'Output-Calculation-sheet'!C11*'Output-Calculation-sheet'!C47</f>
        <v>2122.8317977498373</v>
      </c>
      <c r="D56" s="2">
        <f>D12/'Output-Calculation-sheet'!D11*'Output-Calculation-sheet'!D47</f>
        <v>7639.4144560739951</v>
      </c>
      <c r="E56" s="2">
        <f>E12/'Output-Calculation-sheet'!E11*'Output-Calculation-sheet'!E47</f>
        <v>5510.8694149391986</v>
      </c>
      <c r="F56" s="2">
        <f>F12/'Output-Calculation-sheet'!F11*'Output-Calculation-sheet'!F47</f>
        <v>117.49013429157969</v>
      </c>
      <c r="G56" s="2">
        <f>G12/'Output-Calculation-sheet'!G11*'Output-Calculation-sheet'!G47</f>
        <v>2023.6963214404882</v>
      </c>
      <c r="H56" s="2">
        <f>H12/'Output-Calculation-sheet'!H11*'Output-Calculation-sheet'!H47</f>
        <v>28303.581407390684</v>
      </c>
      <c r="I56" s="2">
        <f>I12/'Output-Calculation-sheet'!I11*'Output-Calculation-sheet'!I47</f>
        <v>872.1763001617752</v>
      </c>
      <c r="J56" s="2">
        <f>J12/'Output-Calculation-sheet'!J11*'Output-Calculation-sheet'!J47</f>
        <v>2852.2079215839699</v>
      </c>
      <c r="K56" s="2">
        <f>K12/'Output-Calculation-sheet'!K11*'Output-Calculation-sheet'!K47</f>
        <v>4696.0310414228425</v>
      </c>
      <c r="L56" s="2">
        <f>L12/'Output-Calculation-sheet'!L11*'Output-Calculation-sheet'!L47</f>
        <v>4830.5682056231553</v>
      </c>
      <c r="M56" s="2">
        <f>M12/'Output-Calculation-sheet'!M11*'Output-Calculation-sheet'!M47</f>
        <v>20937.008781917517</v>
      </c>
      <c r="N56" s="2">
        <f>N12/'Output-Calculation-sheet'!N11*'Output-Calculation-sheet'!N47</f>
        <v>16047.859509899012</v>
      </c>
      <c r="O56" s="2">
        <f>O12/'Output-Calculation-sheet'!O11*'Output-Calculation-sheet'!O47</f>
        <v>1005.2472038986834</v>
      </c>
      <c r="P56" s="2">
        <f>P12/'Output-Calculation-sheet'!P11*'Output-Calculation-sheet'!P47</f>
        <v>3699.9534239151585</v>
      </c>
      <c r="Q56" s="2">
        <f>Q12/'Output-Calculation-sheet'!Q11*'Output-Calculation-sheet'!Q47</f>
        <v>2855.628258671572</v>
      </c>
      <c r="R56" s="2">
        <f>R12/'Output-Calculation-sheet'!R11*'Output-Calculation-sheet'!R47</f>
        <v>5087.7985721414252</v>
      </c>
      <c r="S56" s="2">
        <f>S12/'Output-Calculation-sheet'!S11*'Output-Calculation-sheet'!S47</f>
        <v>4354.1645042921091</v>
      </c>
      <c r="T56" s="2">
        <f>T12/'Output-Calculation-sheet'!T11*'Output-Calculation-sheet'!T47</f>
        <v>1775.7610474692988</v>
      </c>
      <c r="U56" s="2">
        <f>U12/'Output-Calculation-sheet'!U11*'Output-Calculation-sheet'!U47</f>
        <v>887.95583178632774</v>
      </c>
      <c r="V56" s="2">
        <f>V12/'Output-Calculation-sheet'!V11*'Output-Calculation-sheet'!V47</f>
        <v>1470.6046645458468</v>
      </c>
      <c r="W56" s="2">
        <f>W12/'Output-Calculation-sheet'!W11*'Output-Calculation-sheet'!W47</f>
        <v>92.800788852247237</v>
      </c>
      <c r="X56" s="2">
        <f>X12/'Output-Calculation-sheet'!X11*'Output-Calculation-sheet'!X47</f>
        <v>2031.7027295962375</v>
      </c>
      <c r="Y56" s="2">
        <f>Y12/'Output-Calculation-sheet'!Y11*'Output-Calculation-sheet'!Y47</f>
        <v>35.701926874644016</v>
      </c>
      <c r="AA56" s="2">
        <f t="shared" si="3"/>
        <v>155.03246244328409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8.3536817487219537</v>
      </c>
      <c r="C63" s="2">
        <f>C8*'Output-Calculation-sheet'!C52/10^9</f>
        <v>5.1323091254379385</v>
      </c>
      <c r="D63" s="2">
        <f>D8*'Output-Calculation-sheet'!D52/10^9</f>
        <v>1.8082107811828727</v>
      </c>
      <c r="E63" s="2">
        <f>E8*'Output-Calculation-sheet'!E52/10^9</f>
        <v>2.1623587981440529</v>
      </c>
      <c r="F63" s="2">
        <f>F8*'Output-Calculation-sheet'!F52/10^9</f>
        <v>0.83953555071703934</v>
      </c>
      <c r="G63" s="2">
        <f>G8*'Output-Calculation-sheet'!G52/10^9</f>
        <v>0.59254710053361948</v>
      </c>
      <c r="H63" s="2">
        <f>H8*'Output-Calculation-sheet'!H52/10^9</f>
        <v>1.5787729572066513</v>
      </c>
      <c r="I63" s="2">
        <f>I8*'Output-Calculation-sheet'!I52/10^9</f>
        <v>0.58053561471446991</v>
      </c>
      <c r="J63" s="2">
        <f>J8*'Output-Calculation-sheet'!J52/10^9</f>
        <v>0.60439608589283922</v>
      </c>
      <c r="K63" s="2">
        <f>K8*'Output-Calculation-sheet'!K52/10^9</f>
        <v>0.72907588918631638</v>
      </c>
      <c r="L63" s="2">
        <f>L8*'Output-Calculation-sheet'!L52/10^9</f>
        <v>0.76104868563648598</v>
      </c>
      <c r="M63" s="2">
        <f>M8*'Output-Calculation-sheet'!M52/10^9</f>
        <v>1.1913270842208692</v>
      </c>
      <c r="N63" s="2">
        <f>N8*'Output-Calculation-sheet'!N52/10^9</f>
        <v>1.0244101200932785</v>
      </c>
      <c r="O63" s="2">
        <f>O8*'Output-Calculation-sheet'!O52/10^9</f>
        <v>1.0742049507375135</v>
      </c>
      <c r="P63" s="2">
        <f>P8*'Output-Calculation-sheet'!P52/10^9</f>
        <v>0.65402780505999081</v>
      </c>
      <c r="Q63" s="2">
        <f>Q8*'Output-Calculation-sheet'!Q52/10^9</f>
        <v>0.71206652269965709</v>
      </c>
      <c r="R63" s="2">
        <f>R8*'Output-Calculation-sheet'!R52/10^9</f>
        <v>0.54928165738395984</v>
      </c>
      <c r="S63" s="2">
        <f>S8*'Output-Calculation-sheet'!S52/10^9</f>
        <v>0.52311115819836307</v>
      </c>
      <c r="T63" s="2">
        <f>T8*'Output-Calculation-sheet'!T52/10^9</f>
        <v>0.17022667755500814</v>
      </c>
      <c r="U63" s="2">
        <f>U8*'Output-Calculation-sheet'!U52/10^9</f>
        <v>0.16600474761177542</v>
      </c>
      <c r="V63" s="2">
        <f>V8*'Output-Calculation-sheet'!V52/10^9</f>
        <v>0.14154165260191814</v>
      </c>
      <c r="W63" s="2">
        <f>W8*'Output-Calculation-sheet'!W52/10^9</f>
        <v>7.2913145029043447E-2</v>
      </c>
      <c r="X63" s="2">
        <f>X8*'Output-Calculation-sheet'!X52/10^9</f>
        <v>0.1378479460120921</v>
      </c>
      <c r="Y63" s="2">
        <f>Y8*'Output-Calculation-sheet'!Y52/10^9</f>
        <v>6.6408792285448048E-2</v>
      </c>
      <c r="AA63" s="2">
        <f t="shared" si="4"/>
        <v>29.625844596863157</v>
      </c>
    </row>
    <row r="64" spans="1:27" x14ac:dyDescent="0.25">
      <c r="A64" s="2">
        <v>2032</v>
      </c>
      <c r="B64" s="2">
        <f>B9*'Output-Calculation-sheet'!B53/10^9</f>
        <v>9.3143553137131718</v>
      </c>
      <c r="C64" s="2">
        <f>C9*'Output-Calculation-sheet'!C53/10^9</f>
        <v>5.7209399877034395</v>
      </c>
      <c r="D64" s="2">
        <f>D9*'Output-Calculation-sheet'!D53/10^9</f>
        <v>2.0175510605709599</v>
      </c>
      <c r="E64" s="2">
        <f>E9*'Output-Calculation-sheet'!E53/10^9</f>
        <v>2.4138816906186897</v>
      </c>
      <c r="F64" s="2">
        <f>F9*'Output-Calculation-sheet'!F53/10^9</f>
        <v>0.93720535562698482</v>
      </c>
      <c r="G64" s="2">
        <f>G9*'Output-Calculation-sheet'!G53/10^9</f>
        <v>0.66145460348762353</v>
      </c>
      <c r="H64" s="2">
        <f>H9*'Output-Calculation-sheet'!H53/10^9</f>
        <v>1.7448306534012297</v>
      </c>
      <c r="I64" s="2">
        <f>I9*'Output-Calculation-sheet'!I53/10^9</f>
        <v>0.64826690915966945</v>
      </c>
      <c r="J64" s="2">
        <f>J9*'Output-Calculation-sheet'!J53/10^9</f>
        <v>0.67398880117753246</v>
      </c>
      <c r="K64" s="2">
        <f>K9*'Output-Calculation-sheet'!K53/10^9</f>
        <v>0.81187107769184852</v>
      </c>
      <c r="L64" s="2">
        <f>L9*'Output-Calculation-sheet'!L53/10^9</f>
        <v>0.84383833670702357</v>
      </c>
      <c r="M64" s="2">
        <f>M9*'Output-Calculation-sheet'!M53/10^9</f>
        <v>1.298831694754327</v>
      </c>
      <c r="N64" s="2">
        <f>N9*'Output-Calculation-sheet'!N53/10^9</f>
        <v>1.1258270151745506</v>
      </c>
      <c r="O64" s="2">
        <f>O9*'Output-Calculation-sheet'!O53/10^9</f>
        <v>1.1973659184047301</v>
      </c>
      <c r="P64" s="2">
        <f>P9*'Output-Calculation-sheet'!P53/10^9</f>
        <v>0.72903358811194829</v>
      </c>
      <c r="Q64" s="2">
        <f>Q9*'Output-Calculation-sheet'!Q53/10^9</f>
        <v>0.79496518512852798</v>
      </c>
      <c r="R64" s="2">
        <f>R9*'Output-Calculation-sheet'!R53/10^9</f>
        <v>0.61027627778214011</v>
      </c>
      <c r="S64" s="2">
        <f>S9*'Output-Calculation-sheet'!S53/10^9</f>
        <v>0.58213328494970762</v>
      </c>
      <c r="T64" s="2">
        <f>T9*'Output-Calculation-sheet'!T53/10^9</f>
        <v>0.18914707597780153</v>
      </c>
      <c r="U64" s="2">
        <f>U9*'Output-Calculation-sheet'!U53/10^9</f>
        <v>0.18519160596797168</v>
      </c>
      <c r="V64" s="2">
        <f>V9*'Output-Calculation-sheet'!V53/10^9</f>
        <v>0.15706154734110492</v>
      </c>
      <c r="W64" s="2">
        <f>W9*'Output-Calculation-sheet'!W53/10^9</f>
        <v>8.1404142092138379E-2</v>
      </c>
      <c r="X64" s="2">
        <f>X9*'Output-Calculation-sheet'!X53/10^9</f>
        <v>0.15136994556694203</v>
      </c>
      <c r="Y64" s="2">
        <f>Y9*'Output-Calculation-sheet'!Y53/10^9</f>
        <v>7.4226144314554265E-2</v>
      </c>
      <c r="AA64" s="2">
        <f t="shared" si="4"/>
        <v>32.965017215424623</v>
      </c>
    </row>
    <row r="65" spans="1:27" x14ac:dyDescent="0.25">
      <c r="A65" s="2">
        <v>2033</v>
      </c>
      <c r="B65" s="2">
        <f>B10*'Output-Calculation-sheet'!B54/10^9</f>
        <v>9.8814485624763382</v>
      </c>
      <c r="C65" s="2">
        <f>C10*'Output-Calculation-sheet'!C54/10^9</f>
        <v>6.0725213171550294</v>
      </c>
      <c r="D65" s="2">
        <f>D10*'Output-Calculation-sheet'!D54/10^9</f>
        <v>2.143425898645261</v>
      </c>
      <c r="E65" s="2">
        <f>E10*'Output-Calculation-sheet'!E54/10^9</f>
        <v>2.5662200034201952</v>
      </c>
      <c r="F65" s="2">
        <f>F10*'Output-Calculation-sheet'!F54/10^9</f>
        <v>0.99651176565396149</v>
      </c>
      <c r="G65" s="2">
        <f>G10*'Output-Calculation-sheet'!G54/10^9</f>
        <v>0.70313318187180029</v>
      </c>
      <c r="H65" s="2">
        <f>H10*'Output-Calculation-sheet'!H54/10^9</f>
        <v>1.8202744407124656</v>
      </c>
      <c r="I65" s="2">
        <f>I10*'Output-Calculation-sheet'!I54/10^9</f>
        <v>0.68941811717984858</v>
      </c>
      <c r="J65" s="2">
        <f>J10*'Output-Calculation-sheet'!J54/10^9</f>
        <v>0.71577196190963199</v>
      </c>
      <c r="K65" s="2">
        <f>K10*'Output-Calculation-sheet'!K54/10^9</f>
        <v>0.86091221115100747</v>
      </c>
      <c r="L65" s="2">
        <f>L10*'Output-Calculation-sheet'!L54/10^9</f>
        <v>0.8904160083045416</v>
      </c>
      <c r="M65" s="2">
        <f>M10*'Output-Calculation-sheet'!M54/10^9</f>
        <v>1.3476962001851482</v>
      </c>
      <c r="N65" s="2">
        <f>N10*'Output-Calculation-sheet'!N54/10^9</f>
        <v>1.1760483049347206</v>
      </c>
      <c r="O65" s="2">
        <f>O10*'Output-Calculation-sheet'!O54/10^9</f>
        <v>1.2709434255360263</v>
      </c>
      <c r="P65" s="2">
        <f>P10*'Output-Calculation-sheet'!P54/10^9</f>
        <v>0.77371299486693701</v>
      </c>
      <c r="Q65" s="2">
        <f>Q10*'Output-Calculation-sheet'!Q54/10^9</f>
        <v>0.84456905386113901</v>
      </c>
      <c r="R65" s="2">
        <f>R10*'Output-Calculation-sheet'!R54/10^9</f>
        <v>0.64577776806667142</v>
      </c>
      <c r="S65" s="2">
        <f>S10*'Output-Calculation-sheet'!S54/10^9</f>
        <v>0.61580658892564655</v>
      </c>
      <c r="T65" s="2">
        <f>T10*'Output-Calculation-sheet'!T54/10^9</f>
        <v>0.20012733213302508</v>
      </c>
      <c r="U65" s="2">
        <f>U10*'Output-Calculation-sheet'!U54/10^9</f>
        <v>0.19672716900551157</v>
      </c>
      <c r="V65" s="2">
        <f>V10*'Output-Calculation-sheet'!V54/10^9</f>
        <v>0.16599957150719952</v>
      </c>
      <c r="W65" s="2">
        <f>W10*'Output-Calculation-sheet'!W54/10^9</f>
        <v>8.6554554962462046E-2</v>
      </c>
      <c r="X65" s="2">
        <f>X10*'Output-Calculation-sheet'!X54/10^9</f>
        <v>0.15770190753531008</v>
      </c>
      <c r="Y65" s="2">
        <f>Y10*'Output-Calculation-sheet'!Y54/10^9</f>
        <v>7.9009018357065711E-2</v>
      </c>
      <c r="AA65" s="2">
        <f t="shared" si="4"/>
        <v>34.900727358356932</v>
      </c>
    </row>
    <row r="66" spans="1:27" x14ac:dyDescent="0.25">
      <c r="A66" s="2">
        <v>2034</v>
      </c>
      <c r="B66" s="2">
        <f>B11*'Output-Calculation-sheet'!B55/10^9</f>
        <v>10.088468864028867</v>
      </c>
      <c r="C66" s="2">
        <f>C11*'Output-Calculation-sheet'!C55/10^9</f>
        <v>6.2104366059269953</v>
      </c>
      <c r="D66" s="2">
        <f>D11*'Output-Calculation-sheet'!D55/10^9</f>
        <v>2.1943309270572229</v>
      </c>
      <c r="E66" s="2">
        <f>E11*'Output-Calculation-sheet'!E55/10^9</f>
        <v>2.6290113112175675</v>
      </c>
      <c r="F66" s="2">
        <f>F11*'Output-Calculation-sheet'!F55/10^9</f>
        <v>1.021155116876916</v>
      </c>
      <c r="G66" s="2">
        <f>G11*'Output-Calculation-sheet'!G55/10^9</f>
        <v>0.72020497116502968</v>
      </c>
      <c r="H66" s="2">
        <f>H11*'Output-Calculation-sheet'!H55/10^9</f>
        <v>1.8206265372494956</v>
      </c>
      <c r="I66" s="2">
        <f>I11*'Output-Calculation-sheet'!I55/10^9</f>
        <v>0.7064692476037171</v>
      </c>
      <c r="J66" s="2">
        <f>J11*'Output-Calculation-sheet'!J55/10^9</f>
        <v>0.73228171891493343</v>
      </c>
      <c r="K66" s="2">
        <f>K11*'Output-Calculation-sheet'!K55/10^9</f>
        <v>0.87963755389270015</v>
      </c>
      <c r="L66" s="2">
        <f>L11*'Output-Calculation-sheet'!L55/10^9</f>
        <v>0.9047332624928982</v>
      </c>
      <c r="M66" s="2">
        <f>M11*'Output-Calculation-sheet'!M55/10^9</f>
        <v>1.3462408558819274</v>
      </c>
      <c r="N66" s="2">
        <f>N11*'Output-Calculation-sheet'!N55/10^9</f>
        <v>1.1823553860768234</v>
      </c>
      <c r="O66" s="2">
        <f>O11*'Output-Calculation-sheet'!O55/10^9</f>
        <v>1.2998528118518251</v>
      </c>
      <c r="P66" s="2">
        <f>P11*'Output-Calculation-sheet'!P55/10^9</f>
        <v>0.79104392203192864</v>
      </c>
      <c r="Q66" s="2">
        <f>Q11*'Output-Calculation-sheet'!Q55/10^9</f>
        <v>0.86346227689922384</v>
      </c>
      <c r="R66" s="2">
        <f>R11*'Output-Calculation-sheet'!R55/10^9</f>
        <v>0.65860205206812428</v>
      </c>
      <c r="S66" s="2">
        <f>S11*'Output-Calculation-sheet'!S55/10^9</f>
        <v>0.62629000593272866</v>
      </c>
      <c r="T66" s="2">
        <f>T11*'Output-Calculation-sheet'!T55/10^9</f>
        <v>0.20401616595242728</v>
      </c>
      <c r="U66" s="2">
        <f>U11*'Output-Calculation-sheet'!U55/10^9</f>
        <v>0.20134848455166846</v>
      </c>
      <c r="V66" s="2">
        <f>V11*'Output-Calculation-sheet'!V55/10^9</f>
        <v>0.16908592353250537</v>
      </c>
      <c r="W66" s="2">
        <f>W11*'Output-Calculation-sheet'!W55/10^9</f>
        <v>8.8681934044768165E-2</v>
      </c>
      <c r="X66" s="2">
        <f>X11*'Output-Calculation-sheet'!X55/10^9</f>
        <v>0.15820681890222799</v>
      </c>
      <c r="Y66" s="2">
        <f>Y11*'Output-Calculation-sheet'!Y55/10^9</f>
        <v>8.1051836794539242E-2</v>
      </c>
      <c r="AA66" s="2">
        <f t="shared" si="4"/>
        <v>35.577594590947065</v>
      </c>
    </row>
    <row r="67" spans="1:27" x14ac:dyDescent="0.25">
      <c r="A67" s="2">
        <v>2035</v>
      </c>
      <c r="B67" s="2">
        <f>B12*'Output-Calculation-sheet'!B56/10^9</f>
        <v>9.9786860025058584</v>
      </c>
      <c r="C67" s="2">
        <f>C12*'Output-Calculation-sheet'!C56/10^9</f>
        <v>6.1638798161592847</v>
      </c>
      <c r="D67" s="2">
        <f>D12*'Output-Calculation-sheet'!D56/10^9</f>
        <v>2.1803036991137299</v>
      </c>
      <c r="E67" s="2">
        <f>E12*'Output-Calculation-sheet'!E56/10^9</f>
        <v>2.61437152220567</v>
      </c>
      <c r="F67" s="2">
        <f>F12*'Output-Calculation-sheet'!F56/10^9</f>
        <v>1.0158207600805162</v>
      </c>
      <c r="G67" s="2">
        <f>G12*'Output-Calculation-sheet'!G56/10^9</f>
        <v>0.71603574056026753</v>
      </c>
      <c r="H67" s="2">
        <f>H12*'Output-Calculation-sheet'!H56/10^9</f>
        <v>1.7659984710496532</v>
      </c>
      <c r="I67" s="2">
        <f>I12*'Output-Calculation-sheet'!I56/10^9</f>
        <v>0.70275508372896789</v>
      </c>
      <c r="J67" s="2">
        <f>J12*'Output-Calculation-sheet'!J56/10^9</f>
        <v>0.72730138044785198</v>
      </c>
      <c r="K67" s="2">
        <f>K12*'Output-Calculation-sheet'!K56/10^9</f>
        <v>0.8722927045626111</v>
      </c>
      <c r="L67" s="2">
        <f>L12*'Output-Calculation-sheet'!L56/10^9</f>
        <v>0.89164031931607013</v>
      </c>
      <c r="M67" s="2">
        <f>M12*'Output-Calculation-sheet'!M56/10^9</f>
        <v>1.3041154991357533</v>
      </c>
      <c r="N67" s="2">
        <f>N12*'Output-Calculation-sheet'!N56/10^9</f>
        <v>1.152349315804315</v>
      </c>
      <c r="O67" s="2">
        <f>O12*'Output-Calculation-sheet'!O56/10^9</f>
        <v>1.2894842199087926</v>
      </c>
      <c r="P67" s="2">
        <f>P12*'Output-Calculation-sheet'!P56/10^9</f>
        <v>0.78512581945472848</v>
      </c>
      <c r="Q67" s="2">
        <f>Q12*'Output-Calculation-sheet'!Q56/10^9</f>
        <v>0.85550588053032295</v>
      </c>
      <c r="R67" s="2">
        <f>R12*'Output-Calculation-sheet'!R56/10^9</f>
        <v>0.65211147324544461</v>
      </c>
      <c r="S67" s="2">
        <f>S12*'Output-Calculation-sheet'!S56/10^9</f>
        <v>0.61670393978167126</v>
      </c>
      <c r="T67" s="2">
        <f>T12*'Output-Calculation-sheet'!T56/10^9</f>
        <v>0.20187084817391768</v>
      </c>
      <c r="U67" s="2">
        <f>U12*'Output-Calculation-sheet'!U56/10^9</f>
        <v>0.20004082219036284</v>
      </c>
      <c r="V67" s="2">
        <f>V12*'Output-Calculation-sheet'!V56/10^9</f>
        <v>0.16717778947209688</v>
      </c>
      <c r="W67" s="2">
        <f>W12*'Output-Calculation-sheet'!W56/10^9</f>
        <v>8.8201566501108858E-2</v>
      </c>
      <c r="X67" s="2">
        <f>X12*'Output-Calculation-sheet'!X56/10^9</f>
        <v>0.15391466595303058</v>
      </c>
      <c r="Y67" s="2">
        <f>Y12*'Output-Calculation-sheet'!Y56/10^9</f>
        <v>8.0717071059459494E-2</v>
      </c>
      <c r="AA67" s="2">
        <f t="shared" si="4"/>
        <v>35.176404410941487</v>
      </c>
    </row>
    <row r="68" spans="1:27" x14ac:dyDescent="0.25">
      <c r="B68" s="2">
        <f>SUM(B60:B67)</f>
        <v>64.370507783316768</v>
      </c>
      <c r="C68" s="2">
        <f t="shared" ref="C68:Y68" si="5">SUM(C60:C67)</f>
        <v>39.572095543081524</v>
      </c>
      <c r="D68" s="2">
        <f t="shared" si="5"/>
        <v>13.974488052240282</v>
      </c>
      <c r="E68" s="2">
        <f t="shared" si="5"/>
        <v>16.725421244880138</v>
      </c>
      <c r="F68" s="2">
        <f t="shared" si="5"/>
        <v>6.4956592858850248</v>
      </c>
      <c r="G68" s="2">
        <f t="shared" si="5"/>
        <v>4.5817738281827864</v>
      </c>
      <c r="H68" s="2">
        <f t="shared" si="5"/>
        <v>11.912361772649366</v>
      </c>
      <c r="I68" s="2">
        <f t="shared" si="5"/>
        <v>4.4912232687360749</v>
      </c>
      <c r="J68" s="2">
        <f t="shared" si="5"/>
        <v>4.6697787188387281</v>
      </c>
      <c r="K68" s="2">
        <f t="shared" si="5"/>
        <v>5.6283479152657439</v>
      </c>
      <c r="L68" s="2">
        <f t="shared" si="5"/>
        <v>5.8406986443996916</v>
      </c>
      <c r="M68" s="2">
        <f t="shared" si="5"/>
        <v>9.0183621002862235</v>
      </c>
      <c r="N68" s="2">
        <f t="shared" si="5"/>
        <v>7.7624112017438414</v>
      </c>
      <c r="O68" s="2">
        <f t="shared" si="5"/>
        <v>8.2819343873914626</v>
      </c>
      <c r="P68" s="2">
        <f t="shared" si="5"/>
        <v>5.0494320116654743</v>
      </c>
      <c r="Q68" s="2">
        <f t="shared" si="5"/>
        <v>5.4981937280691184</v>
      </c>
      <c r="R68" s="2">
        <f t="shared" si="5"/>
        <v>4.2370810649102957</v>
      </c>
      <c r="S68" s="2">
        <f t="shared" si="5"/>
        <v>4.0134503107940649</v>
      </c>
      <c r="T68" s="2">
        <f t="shared" si="5"/>
        <v>1.3125523641116952</v>
      </c>
      <c r="U68" s="2">
        <f t="shared" si="5"/>
        <v>1.2826173280445552</v>
      </c>
      <c r="V68" s="2">
        <f t="shared" si="5"/>
        <v>1.0914342572893536</v>
      </c>
      <c r="W68" s="2">
        <f t="shared" si="5"/>
        <v>0.56402575556480117</v>
      </c>
      <c r="X68" s="2">
        <f t="shared" si="5"/>
        <v>1.0377366241416981</v>
      </c>
      <c r="Y68" s="2">
        <f t="shared" si="5"/>
        <v>0.51430271380937131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495.35568680327293</v>
      </c>
      <c r="C74" s="2">
        <f>C8/'Output-Calculation-sheet'!C7*'Output-Calculation-sheet'!C61</f>
        <v>0</v>
      </c>
      <c r="D74" s="2">
        <f>D8/'Output-Calculation-sheet'!D7*'Output-Calculation-sheet'!D61</f>
        <v>810.60398721500349</v>
      </c>
      <c r="E74" s="2">
        <f>E8/'Output-Calculation-sheet'!E7*'Output-Calculation-sheet'!E61</f>
        <v>601.59266981503674</v>
      </c>
      <c r="F74" s="2">
        <f>F8/'Output-Calculation-sheet'!F7*'Output-Calculation-sheet'!F61</f>
        <v>0</v>
      </c>
      <c r="G74" s="2">
        <f>G8/'Output-Calculation-sheet'!G7*'Output-Calculation-sheet'!G61</f>
        <v>273.92222260874144</v>
      </c>
      <c r="H74" s="2">
        <f>H8/'Output-Calculation-sheet'!H7*'Output-Calculation-sheet'!H61</f>
        <v>1315.5593014954748</v>
      </c>
      <c r="I74" s="2">
        <f>I8/'Output-Calculation-sheet'!I7*'Output-Calculation-sheet'!I61</f>
        <v>96.575747312406577</v>
      </c>
      <c r="J74" s="2">
        <f>J8/'Output-Calculation-sheet'!J7*'Output-Calculation-sheet'!J61</f>
        <v>402.64507180182255</v>
      </c>
      <c r="K74" s="2">
        <f>K8/'Output-Calculation-sheet'!K7*'Output-Calculation-sheet'!K61</f>
        <v>676.20976400550114</v>
      </c>
      <c r="L74" s="2">
        <f>L8/'Output-Calculation-sheet'!L7*'Output-Calculation-sheet'!L61</f>
        <v>586.66821440857734</v>
      </c>
      <c r="M74" s="2">
        <f>M8/'Output-Calculation-sheet'!M7*'Output-Calculation-sheet'!M61</f>
        <v>2938.100672223879</v>
      </c>
      <c r="N74" s="2">
        <f>N8/'Output-Calculation-sheet'!N7*'Output-Calculation-sheet'!N61</f>
        <v>1657.2358688628622</v>
      </c>
      <c r="O74" s="2">
        <f>O8/'Output-Calculation-sheet'!O7*'Output-Calculation-sheet'!O61</f>
        <v>0</v>
      </c>
      <c r="P74" s="2">
        <f>P8/'Output-Calculation-sheet'!P7*'Output-Calculation-sheet'!P61</f>
        <v>468.37655054136843</v>
      </c>
      <c r="Q74" s="2">
        <f>Q8/'Output-Calculation-sheet'!Q7*'Output-Calculation-sheet'!Q61</f>
        <v>123.48004116590219</v>
      </c>
      <c r="R74" s="2">
        <f>R8/'Output-Calculation-sheet'!R7*'Output-Calculation-sheet'!R61</f>
        <v>814.55075440489679</v>
      </c>
      <c r="S74" s="2">
        <f>S8/'Output-Calculation-sheet'!S7*'Output-Calculation-sheet'!S61</f>
        <v>144.1401650223435</v>
      </c>
      <c r="T74" s="2">
        <f>T8/'Output-Calculation-sheet'!T7*'Output-Calculation-sheet'!T61</f>
        <v>275.87239554452253</v>
      </c>
      <c r="U74" s="2">
        <f>U8/'Output-Calculation-sheet'!U7*'Output-Calculation-sheet'!U61</f>
        <v>109.30381206099568</v>
      </c>
      <c r="V74" s="2">
        <f>V8/'Output-Calculation-sheet'!V7*'Output-Calculation-sheet'!V61</f>
        <v>191.99029158505519</v>
      </c>
      <c r="W74" s="2">
        <f>W8/'Output-Calculation-sheet'!W7*'Output-Calculation-sheet'!W61</f>
        <v>4.5679239147466584</v>
      </c>
      <c r="X74" s="2">
        <f>X8/'Output-Calculation-sheet'!X7*'Output-Calculation-sheet'!X61</f>
        <v>164.06401286817319</v>
      </c>
      <c r="Y74" s="2">
        <f>Y8/'Output-Calculation-sheet'!Y7*'Output-Calculation-sheet'!Y61</f>
        <v>0</v>
      </c>
      <c r="AA74" s="2">
        <f t="shared" si="6"/>
        <v>12.150815153660581</v>
      </c>
    </row>
    <row r="75" spans="1:27" x14ac:dyDescent="0.25">
      <c r="A75" s="2">
        <v>2032</v>
      </c>
      <c r="B75" s="2">
        <f>B9/'Output-Calculation-sheet'!B8*'Output-Calculation-sheet'!B62</f>
        <v>1363.5518173103501</v>
      </c>
      <c r="C75" s="2">
        <f>C9/'Output-Calculation-sheet'!C8*'Output-Calculation-sheet'!C62</f>
        <v>0</v>
      </c>
      <c r="D75" s="2">
        <f>D9/'Output-Calculation-sheet'!D8*'Output-Calculation-sheet'!D62</f>
        <v>1115.389748623503</v>
      </c>
      <c r="E75" s="2">
        <f>E9/'Output-Calculation-sheet'!E8*'Output-Calculation-sheet'!E62</f>
        <v>784.35453553752177</v>
      </c>
      <c r="F75" s="2">
        <f>F9/'Output-Calculation-sheet'!F8*'Output-Calculation-sheet'!F62</f>
        <v>0</v>
      </c>
      <c r="G75" s="2">
        <f>G9/'Output-Calculation-sheet'!G8*'Output-Calculation-sheet'!G62</f>
        <v>362.39717027203119</v>
      </c>
      <c r="H75" s="2">
        <f>H9/'Output-Calculation-sheet'!H8*'Output-Calculation-sheet'!H62</f>
        <v>2558.4221451253898</v>
      </c>
      <c r="I75" s="2">
        <f>I9/'Output-Calculation-sheet'!I8*'Output-Calculation-sheet'!I62</f>
        <v>154.95977993915693</v>
      </c>
      <c r="J75" s="2">
        <f>J9/'Output-Calculation-sheet'!J8*'Output-Calculation-sheet'!J62</f>
        <v>507.89013748156674</v>
      </c>
      <c r="K75" s="2">
        <f>K9/'Output-Calculation-sheet'!K8*'Output-Calculation-sheet'!K62</f>
        <v>796.53494280329346</v>
      </c>
      <c r="L75" s="2">
        <f>L9/'Output-Calculation-sheet'!L8*'Output-Calculation-sheet'!L62</f>
        <v>691.67702361176316</v>
      </c>
      <c r="M75" s="2">
        <f>M9/'Output-Calculation-sheet'!M8*'Output-Calculation-sheet'!M62</f>
        <v>3330.2665521754425</v>
      </c>
      <c r="N75" s="2">
        <f>N9/'Output-Calculation-sheet'!N8*'Output-Calculation-sheet'!N62</f>
        <v>2152.7080439168499</v>
      </c>
      <c r="O75" s="2">
        <f>O9/'Output-Calculation-sheet'!O8*'Output-Calculation-sheet'!O62</f>
        <v>0</v>
      </c>
      <c r="P75" s="2">
        <f>P9/'Output-Calculation-sheet'!P8*'Output-Calculation-sheet'!P62</f>
        <v>594.05196304148853</v>
      </c>
      <c r="Q75" s="2">
        <f>Q9/'Output-Calculation-sheet'!Q8*'Output-Calculation-sheet'!Q62</f>
        <v>210.69108731157786</v>
      </c>
      <c r="R75" s="2">
        <f>R9/'Output-Calculation-sheet'!R8*'Output-Calculation-sheet'!R62</f>
        <v>945.73644653245287</v>
      </c>
      <c r="S75" s="2">
        <f>S9/'Output-Calculation-sheet'!S8*'Output-Calculation-sheet'!S62</f>
        <v>273.8310669621805</v>
      </c>
      <c r="T75" s="2">
        <f>T9/'Output-Calculation-sheet'!T8*'Output-Calculation-sheet'!T62</f>
        <v>316.62963803683925</v>
      </c>
      <c r="U75" s="2">
        <f>U9/'Output-Calculation-sheet'!U8*'Output-Calculation-sheet'!U62</f>
        <v>147.29704873782919</v>
      </c>
      <c r="V75" s="2">
        <f>V9/'Output-Calculation-sheet'!V8*'Output-Calculation-sheet'!V62</f>
        <v>219.68672322741477</v>
      </c>
      <c r="W75" s="2">
        <f>W9/'Output-Calculation-sheet'!W8*'Output-Calculation-sheet'!W62</f>
        <v>11.969455538037423</v>
      </c>
      <c r="X75" s="2">
        <f>X9/'Output-Calculation-sheet'!X8*'Output-Calculation-sheet'!X62</f>
        <v>315.54203055722991</v>
      </c>
      <c r="Y75" s="2">
        <f>Y9/'Output-Calculation-sheet'!Y8*'Output-Calculation-sheet'!Y62</f>
        <v>0</v>
      </c>
      <c r="AA75" s="2">
        <f t="shared" si="6"/>
        <v>16.853587356741919</v>
      </c>
    </row>
    <row r="76" spans="1:27" x14ac:dyDescent="0.25">
      <c r="A76" s="2">
        <v>2033</v>
      </c>
      <c r="B76" s="2">
        <f>B10/'Output-Calculation-sheet'!B9*'Output-Calculation-sheet'!B63</f>
        <v>2631.5874289435865</v>
      </c>
      <c r="C76" s="2">
        <f>C10/'Output-Calculation-sheet'!C9*'Output-Calculation-sheet'!C63</f>
        <v>0</v>
      </c>
      <c r="D76" s="2">
        <f>D10/'Output-Calculation-sheet'!D9*'Output-Calculation-sheet'!D63</f>
        <v>1407.0952510499858</v>
      </c>
      <c r="E76" s="2">
        <f>E10/'Output-Calculation-sheet'!E9*'Output-Calculation-sheet'!E63</f>
        <v>1043.9797930309969</v>
      </c>
      <c r="F76" s="2">
        <f>F10/'Output-Calculation-sheet'!F9*'Output-Calculation-sheet'!F63</f>
        <v>0</v>
      </c>
      <c r="G76" s="2">
        <f>G10/'Output-Calculation-sheet'!G9*'Output-Calculation-sheet'!G63</f>
        <v>468.20250376927032</v>
      </c>
      <c r="H76" s="2">
        <f>H10/'Output-Calculation-sheet'!H9*'Output-Calculation-sheet'!H63</f>
        <v>4801.5818057272727</v>
      </c>
      <c r="I76" s="2">
        <f>I10/'Output-Calculation-sheet'!I9*'Output-Calculation-sheet'!I63</f>
        <v>217.24571297220962</v>
      </c>
      <c r="J76" s="2">
        <f>J10/'Output-Calculation-sheet'!J9*'Output-Calculation-sheet'!J63</f>
        <v>653.62186440152129</v>
      </c>
      <c r="K76" s="2">
        <f>K10/'Output-Calculation-sheet'!K9*'Output-Calculation-sheet'!K63</f>
        <v>902.09151741543712</v>
      </c>
      <c r="L76" s="2">
        <f>L10/'Output-Calculation-sheet'!L9*'Output-Calculation-sheet'!L63</f>
        <v>834.97434509049481</v>
      </c>
      <c r="M76" s="2">
        <f>M10/'Output-Calculation-sheet'!M9*'Output-Calculation-sheet'!M63</f>
        <v>3591.1984859550257</v>
      </c>
      <c r="N76" s="2">
        <f>N10/'Output-Calculation-sheet'!N9*'Output-Calculation-sheet'!N63</f>
        <v>2441.5862096304982</v>
      </c>
      <c r="O76" s="2">
        <f>O10/'Output-Calculation-sheet'!O9*'Output-Calculation-sheet'!O63</f>
        <v>0</v>
      </c>
      <c r="P76" s="2">
        <f>P10/'Output-Calculation-sheet'!P9*'Output-Calculation-sheet'!P63</f>
        <v>705.56420048841574</v>
      </c>
      <c r="Q76" s="2">
        <f>Q10/'Output-Calculation-sheet'!Q9*'Output-Calculation-sheet'!Q63</f>
        <v>310.12739392549145</v>
      </c>
      <c r="R76" s="2">
        <f>R10/'Output-Calculation-sheet'!R9*'Output-Calculation-sheet'!R63</f>
        <v>1030.8208315473858</v>
      </c>
      <c r="S76" s="2">
        <f>S10/'Output-Calculation-sheet'!S9*'Output-Calculation-sheet'!S63</f>
        <v>436.93044223853258</v>
      </c>
      <c r="T76" s="2">
        <f>T10/'Output-Calculation-sheet'!T9*'Output-Calculation-sheet'!T63</f>
        <v>362.01528262391599</v>
      </c>
      <c r="U76" s="2">
        <f>U10/'Output-Calculation-sheet'!U9*'Output-Calculation-sheet'!U63</f>
        <v>177.52434179611927</v>
      </c>
      <c r="V76" s="2">
        <f>V10/'Output-Calculation-sheet'!V9*'Output-Calculation-sheet'!V63</f>
        <v>236.2221258501385</v>
      </c>
      <c r="W76" s="2">
        <f>W10/'Output-Calculation-sheet'!W9*'Output-Calculation-sheet'!W63</f>
        <v>16.466130746706842</v>
      </c>
      <c r="X76" s="2">
        <f>X10/'Output-Calculation-sheet'!X9*'Output-Calculation-sheet'!X63</f>
        <v>342.69938398194182</v>
      </c>
      <c r="Y76" s="2">
        <f>Y10/'Output-Calculation-sheet'!Y9*'Output-Calculation-sheet'!Y63</f>
        <v>5.2799441531630418</v>
      </c>
      <c r="AA76" s="2">
        <f t="shared" si="6"/>
        <v>22.61681499533811</v>
      </c>
    </row>
    <row r="77" spans="1:27" x14ac:dyDescent="0.25">
      <c r="A77" s="2">
        <v>2034</v>
      </c>
      <c r="B77" s="2">
        <f>B11/'Output-Calculation-sheet'!B10*'Output-Calculation-sheet'!B64</f>
        <v>4686.7480546526649</v>
      </c>
      <c r="C77" s="2">
        <f>C11/'Output-Calculation-sheet'!C10*'Output-Calculation-sheet'!C64</f>
        <v>0</v>
      </c>
      <c r="D77" s="2">
        <f>D11/'Output-Calculation-sheet'!D10*'Output-Calculation-sheet'!D64</f>
        <v>1664.6607884727568</v>
      </c>
      <c r="E77" s="2">
        <f>E11/'Output-Calculation-sheet'!E10*'Output-Calculation-sheet'!E64</f>
        <v>1164.6351202887136</v>
      </c>
      <c r="F77" s="2">
        <f>F11/'Output-Calculation-sheet'!F10*'Output-Calculation-sheet'!F64</f>
        <v>0</v>
      </c>
      <c r="G77" s="2">
        <f>G11/'Output-Calculation-sheet'!G10*'Output-Calculation-sheet'!G64</f>
        <v>540.97204826521738</v>
      </c>
      <c r="H77" s="2">
        <f>H11/'Output-Calculation-sheet'!H10*'Output-Calculation-sheet'!H64</f>
        <v>5067.0307183890864</v>
      </c>
      <c r="I77" s="2">
        <f>I11/'Output-Calculation-sheet'!I10*'Output-Calculation-sheet'!I64</f>
        <v>287.07221201337779</v>
      </c>
      <c r="J77" s="2">
        <f>J11/'Output-Calculation-sheet'!J10*'Output-Calculation-sheet'!J64</f>
        <v>724.75648006753249</v>
      </c>
      <c r="K77" s="2">
        <f>K11/'Output-Calculation-sheet'!K10*'Output-Calculation-sheet'!K64</f>
        <v>1020.1808712509799</v>
      </c>
      <c r="L77" s="2">
        <f>L11/'Output-Calculation-sheet'!L10*'Output-Calculation-sheet'!L64</f>
        <v>895.29674667394238</v>
      </c>
      <c r="M77" s="2">
        <f>M11/'Output-Calculation-sheet'!M10*'Output-Calculation-sheet'!M64</f>
        <v>3792.1119730136238</v>
      </c>
      <c r="N77" s="2">
        <f>N11/'Output-Calculation-sheet'!N10*'Output-Calculation-sheet'!N64</f>
        <v>2666.855971224154</v>
      </c>
      <c r="O77" s="2">
        <f>O11/'Output-Calculation-sheet'!O10*'Output-Calculation-sheet'!O64</f>
        <v>0</v>
      </c>
      <c r="P77" s="2">
        <f>P11/'Output-Calculation-sheet'!P10*'Output-Calculation-sheet'!P64</f>
        <v>780.23021174804046</v>
      </c>
      <c r="Q77" s="2">
        <f>Q11/'Output-Calculation-sheet'!Q10*'Output-Calculation-sheet'!Q64</f>
        <v>476.63434071308609</v>
      </c>
      <c r="R77" s="2">
        <f>R11/'Output-Calculation-sheet'!R10*'Output-Calculation-sheet'!R64</f>
        <v>1098.3782802139124</v>
      </c>
      <c r="S77" s="2">
        <f>S11/'Output-Calculation-sheet'!S10*'Output-Calculation-sheet'!S64</f>
        <v>647.0792867391923</v>
      </c>
      <c r="T77" s="2">
        <f>T11/'Output-Calculation-sheet'!T10*'Output-Calculation-sheet'!T64</f>
        <v>387.14301536469094</v>
      </c>
      <c r="U77" s="2">
        <f>U11/'Output-Calculation-sheet'!U10*'Output-Calculation-sheet'!U64</f>
        <v>201.512733531668</v>
      </c>
      <c r="V77" s="2">
        <f>V11/'Output-Calculation-sheet'!V10*'Output-Calculation-sheet'!V64</f>
        <v>257.42412449892009</v>
      </c>
      <c r="W77" s="2">
        <f>W11/'Output-Calculation-sheet'!W10*'Output-Calculation-sheet'!W64</f>
        <v>26.40766382685657</v>
      </c>
      <c r="X77" s="2">
        <f>X11/'Output-Calculation-sheet'!X10*'Output-Calculation-sheet'!X64</f>
        <v>356.23746121304669</v>
      </c>
      <c r="Y77" s="2">
        <f>Y11/'Output-Calculation-sheet'!Y10*'Output-Calculation-sheet'!Y64</f>
        <v>8.3090310239065843</v>
      </c>
      <c r="AA77" s="2">
        <f t="shared" si="6"/>
        <v>26.749677133185372</v>
      </c>
    </row>
    <row r="78" spans="1:27" x14ac:dyDescent="0.25">
      <c r="A78" s="2">
        <v>2035</v>
      </c>
      <c r="B78" s="2">
        <f>B12/'Output-Calculation-sheet'!B11*'Output-Calculation-sheet'!B65</f>
        <v>7066.8281192524246</v>
      </c>
      <c r="C78" s="2">
        <f>C12/'Output-Calculation-sheet'!C11*'Output-Calculation-sheet'!C65</f>
        <v>583.24803643176779</v>
      </c>
      <c r="D78" s="2">
        <f>D12/'Output-Calculation-sheet'!D11*'Output-Calculation-sheet'!D65</f>
        <v>1823.5869953914478</v>
      </c>
      <c r="E78" s="2">
        <f>E12/'Output-Calculation-sheet'!E11*'Output-Calculation-sheet'!E65</f>
        <v>1427.782201301027</v>
      </c>
      <c r="F78" s="2">
        <f>F12/'Output-Calculation-sheet'!F11*'Output-Calculation-sheet'!F65</f>
        <v>64.560828793223038</v>
      </c>
      <c r="G78" s="2">
        <f>G12/'Output-Calculation-sheet'!G11*'Output-Calculation-sheet'!G65</f>
        <v>599.73083692689465</v>
      </c>
      <c r="H78" s="2">
        <f>H12/'Output-Calculation-sheet'!H11*'Output-Calculation-sheet'!H65</f>
        <v>5171.1419231370228</v>
      </c>
      <c r="I78" s="2">
        <f>I12/'Output-Calculation-sheet'!I11*'Output-Calculation-sheet'!I65</f>
        <v>327.44531964769254</v>
      </c>
      <c r="J78" s="2">
        <f>J12/'Output-Calculation-sheet'!J11*'Output-Calculation-sheet'!J65</f>
        <v>783.56906835199618</v>
      </c>
      <c r="K78" s="2">
        <f>K12/'Output-Calculation-sheet'!K11*'Output-Calculation-sheet'!K65</f>
        <v>1054.6316696757317</v>
      </c>
      <c r="L78" s="2">
        <f>L12/'Output-Calculation-sheet'!L11*'Output-Calculation-sheet'!L65</f>
        <v>953.22224744704772</v>
      </c>
      <c r="M78" s="2">
        <f>M12/'Output-Calculation-sheet'!M11*'Output-Calculation-sheet'!M65</f>
        <v>3875.1733435417532</v>
      </c>
      <c r="N78" s="2">
        <f>N12/'Output-Calculation-sheet'!N11*'Output-Calculation-sheet'!N65</f>
        <v>2811.8832940219268</v>
      </c>
      <c r="O78" s="2">
        <f>O12/'Output-Calculation-sheet'!O11*'Output-Calculation-sheet'!O65</f>
        <v>283.55703820742093</v>
      </c>
      <c r="P78" s="2">
        <f>P12/'Output-Calculation-sheet'!P11*'Output-Calculation-sheet'!P65</f>
        <v>803.98712055668148</v>
      </c>
      <c r="Q78" s="2">
        <f>Q12/'Output-Calculation-sheet'!Q11*'Output-Calculation-sheet'!Q65</f>
        <v>597.69751468364814</v>
      </c>
      <c r="R78" s="2">
        <f>R12/'Output-Calculation-sheet'!R11*'Output-Calculation-sheet'!R65</f>
        <v>1119.7236697188794</v>
      </c>
      <c r="S78" s="2">
        <f>S12/'Output-Calculation-sheet'!S11*'Output-Calculation-sheet'!S65</f>
        <v>818.99459326914052</v>
      </c>
      <c r="T78" s="2">
        <f>T12/'Output-Calculation-sheet'!T11*'Output-Calculation-sheet'!T65</f>
        <v>404.14545679353773</v>
      </c>
      <c r="U78" s="2">
        <f>U12/'Output-Calculation-sheet'!U11*'Output-Calculation-sheet'!U65</f>
        <v>217.73449130906658</v>
      </c>
      <c r="V78" s="2">
        <f>V12/'Output-Calculation-sheet'!V11*'Output-Calculation-sheet'!V65</f>
        <v>265.0243944653007</v>
      </c>
      <c r="W78" s="2">
        <f>W12/'Output-Calculation-sheet'!W11*'Output-Calculation-sheet'!W65</f>
        <v>33.042236430780697</v>
      </c>
      <c r="X78" s="2">
        <f>X12/'Output-Calculation-sheet'!X11*'Output-Calculation-sheet'!X65</f>
        <v>366.36625518791999</v>
      </c>
      <c r="Y78" s="2">
        <f>Y12/'Output-Calculation-sheet'!Y11*'Output-Calculation-sheet'!Y65</f>
        <v>11.692381051445917</v>
      </c>
      <c r="AA78" s="2">
        <f t="shared" si="6"/>
        <v>31.464769035593775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12976558881.455063</v>
      </c>
      <c r="C96" s="2">
        <f>C8/'Output-Calculation-sheet'!C7*'Output-Calculation-sheet'!C79</f>
        <v>1263126030.0466909</v>
      </c>
      <c r="D96" s="2">
        <f>D8/'Output-Calculation-sheet'!D7*'Output-Calculation-sheet'!D79</f>
        <v>3325776927.921617</v>
      </c>
      <c r="E96" s="2">
        <f>E8/'Output-Calculation-sheet'!E7*'Output-Calculation-sheet'!E79</f>
        <v>11971822143.781454</v>
      </c>
      <c r="F96" s="2">
        <f>F8/'Output-Calculation-sheet'!F7*'Output-Calculation-sheet'!F79</f>
        <v>3649360540.3637118</v>
      </c>
      <c r="G96" s="2">
        <f>G8/'Output-Calculation-sheet'!G7*'Output-Calculation-sheet'!G79</f>
        <v>2257697617.3644996</v>
      </c>
      <c r="H96" s="2">
        <f>H8/'Output-Calculation-sheet'!H7*'Output-Calculation-sheet'!H79</f>
        <v>1514701539.2346413</v>
      </c>
      <c r="I96" s="2">
        <f>I8/'Output-Calculation-sheet'!I7*'Output-Calculation-sheet'!I79</f>
        <v>1622648341.6629434</v>
      </c>
      <c r="J96" s="2">
        <f>J8/'Output-Calculation-sheet'!J7*'Output-Calculation-sheet'!J79</f>
        <v>1319014485.8787308</v>
      </c>
      <c r="K96" s="2">
        <f>K8/'Output-Calculation-sheet'!K7*'Output-Calculation-sheet'!K79</f>
        <v>1613239688.4765909</v>
      </c>
      <c r="L96" s="2">
        <f>L8/'Output-Calculation-sheet'!L7*'Output-Calculation-sheet'!L79</f>
        <v>1551465416.6190951</v>
      </c>
      <c r="M96" s="2">
        <f>M8/'Output-Calculation-sheet'!M7*'Output-Calculation-sheet'!M79</f>
        <v>2133078352.5876002</v>
      </c>
      <c r="N96" s="2">
        <f>N8/'Output-Calculation-sheet'!N7*'Output-Calculation-sheet'!N79</f>
        <v>1337300852.778671</v>
      </c>
      <c r="O96" s="2">
        <f>O8/'Output-Calculation-sheet'!O7*'Output-Calculation-sheet'!O79</f>
        <v>166703912.38386974</v>
      </c>
      <c r="P96" s="2">
        <f>P8/'Output-Calculation-sheet'!P7*'Output-Calculation-sheet'!P79</f>
        <v>2407697804.4525814</v>
      </c>
      <c r="Q96" s="2">
        <f>Q8/'Output-Calculation-sheet'!Q7*'Output-Calculation-sheet'!Q79</f>
        <v>1007567285.3112996</v>
      </c>
      <c r="R96" s="2">
        <f>R8/'Output-Calculation-sheet'!R7*'Output-Calculation-sheet'!R79</f>
        <v>1581933796.1700423</v>
      </c>
      <c r="S96" s="2">
        <f>S8/'Output-Calculation-sheet'!S7*'Output-Calculation-sheet'!S79</f>
        <v>613267768.26742065</v>
      </c>
      <c r="T96" s="2">
        <f>T8/'Output-Calculation-sheet'!T7*'Output-Calculation-sheet'!T79</f>
        <v>558167521.35241389</v>
      </c>
      <c r="U96" s="2">
        <f>U8/'Output-Calculation-sheet'!U7*'Output-Calculation-sheet'!U79</f>
        <v>360559032.56590068</v>
      </c>
      <c r="V96" s="2">
        <f>V8/'Output-Calculation-sheet'!V7*'Output-Calculation-sheet'!V79</f>
        <v>214584886.82611945</v>
      </c>
      <c r="W96" s="2">
        <f>W8/'Output-Calculation-sheet'!W7*'Output-Calculation-sheet'!W79</f>
        <v>591649226.58943355</v>
      </c>
      <c r="X96" s="2">
        <f>X8/'Output-Calculation-sheet'!X7*'Output-Calculation-sheet'!X79</f>
        <v>164404528.71114588</v>
      </c>
      <c r="Y96" s="2">
        <f>Y8/'Output-Calculation-sheet'!Y7*'Output-Calculation-sheet'!Y79</f>
        <v>315816607.46819764</v>
      </c>
      <c r="AA96" s="2">
        <f t="shared" si="8"/>
        <v>54.518143188269747</v>
      </c>
    </row>
    <row r="97" spans="1:27" x14ac:dyDescent="0.25">
      <c r="A97" s="2">
        <v>2032</v>
      </c>
      <c r="B97" s="2">
        <f>B9/'Output-Calculation-sheet'!B8*'Output-Calculation-sheet'!B80</f>
        <v>13589202466.489162</v>
      </c>
      <c r="C97" s="2">
        <f>C9/'Output-Calculation-sheet'!C8*'Output-Calculation-sheet'!C80</f>
        <v>1293837235.4581163</v>
      </c>
      <c r="D97" s="2">
        <f>D9/'Output-Calculation-sheet'!D8*'Output-Calculation-sheet'!D80</f>
        <v>3164280156.7800264</v>
      </c>
      <c r="E97" s="2">
        <f>E9/'Output-Calculation-sheet'!E8*'Output-Calculation-sheet'!E80</f>
        <v>12788869408.950491</v>
      </c>
      <c r="F97" s="2">
        <f>F9/'Output-Calculation-sheet'!F8*'Output-Calculation-sheet'!F80</f>
        <v>3659520441.3977914</v>
      </c>
      <c r="G97" s="2">
        <f>G9/'Output-Calculation-sheet'!G8*'Output-Calculation-sheet'!G80</f>
        <v>2166763633.5341573</v>
      </c>
      <c r="H97" s="2">
        <f>H9/'Output-Calculation-sheet'!H8*'Output-Calculation-sheet'!H80</f>
        <v>1942664175.665628</v>
      </c>
      <c r="I97" s="2">
        <f>I9/'Output-Calculation-sheet'!I8*'Output-Calculation-sheet'!I80</f>
        <v>1631366294.8374166</v>
      </c>
      <c r="J97" s="2">
        <f>J9/'Output-Calculation-sheet'!J8*'Output-Calculation-sheet'!J80</f>
        <v>1307345098.5279732</v>
      </c>
      <c r="K97" s="2">
        <f>K9/'Output-Calculation-sheet'!K8*'Output-Calculation-sheet'!K80</f>
        <v>1570749493.6576779</v>
      </c>
      <c r="L97" s="2">
        <f>L9/'Output-Calculation-sheet'!L8*'Output-Calculation-sheet'!L80</f>
        <v>1609677553.0221524</v>
      </c>
      <c r="M97" s="2">
        <f>M9/'Output-Calculation-sheet'!M8*'Output-Calculation-sheet'!M80</f>
        <v>2230299391.6865182</v>
      </c>
      <c r="N97" s="2">
        <f>N9/'Output-Calculation-sheet'!N8*'Output-Calculation-sheet'!N80</f>
        <v>1401984345.9828193</v>
      </c>
      <c r="O97" s="2">
        <f>O9/'Output-Calculation-sheet'!O8*'Output-Calculation-sheet'!O80</f>
        <v>168501396.44482407</v>
      </c>
      <c r="P97" s="2">
        <f>P9/'Output-Calculation-sheet'!P8*'Output-Calculation-sheet'!P80</f>
        <v>2415717356.1448326</v>
      </c>
      <c r="Q97" s="2">
        <f>Q9/'Output-Calculation-sheet'!Q8*'Output-Calculation-sheet'!Q80</f>
        <v>1026874613.9222612</v>
      </c>
      <c r="R97" s="2">
        <f>R9/'Output-Calculation-sheet'!R8*'Output-Calculation-sheet'!R80</f>
        <v>1619063811.0213132</v>
      </c>
      <c r="S97" s="2">
        <f>S9/'Output-Calculation-sheet'!S8*'Output-Calculation-sheet'!S80</f>
        <v>642645385.66344464</v>
      </c>
      <c r="T97" s="2">
        <f>T9/'Output-Calculation-sheet'!T8*'Output-Calculation-sheet'!T80</f>
        <v>543037596.63872623</v>
      </c>
      <c r="U97" s="2">
        <f>U9/'Output-Calculation-sheet'!U8*'Output-Calculation-sheet'!U80</f>
        <v>357165699.20372939</v>
      </c>
      <c r="V97" s="2">
        <f>V9/'Output-Calculation-sheet'!V8*'Output-Calculation-sheet'!V80</f>
        <v>211598424.14213076</v>
      </c>
      <c r="W97" s="2">
        <f>W9/'Output-Calculation-sheet'!W8*'Output-Calculation-sheet'!W80</f>
        <v>587713804.91337073</v>
      </c>
      <c r="X97" s="2">
        <f>X9/'Output-Calculation-sheet'!X8*'Output-Calculation-sheet'!X80</f>
        <v>233119296.55996445</v>
      </c>
      <c r="Y97" s="2">
        <f>Y9/'Output-Calculation-sheet'!Y8*'Output-Calculation-sheet'!Y80</f>
        <v>320950404.54465657</v>
      </c>
      <c r="AA97" s="2">
        <f t="shared" si="8"/>
        <v>56.482947485189186</v>
      </c>
    </row>
    <row r="98" spans="1:27" x14ac:dyDescent="0.25">
      <c r="A98" s="2">
        <v>2033</v>
      </c>
      <c r="B98" s="2">
        <f>B10/'Output-Calculation-sheet'!B9*'Output-Calculation-sheet'!B81</f>
        <v>13537036838.188766</v>
      </c>
      <c r="C98" s="2">
        <f>C10/'Output-Calculation-sheet'!C9*'Output-Calculation-sheet'!C81</f>
        <v>1262984420.7158759</v>
      </c>
      <c r="D98" s="2">
        <f>D10/'Output-Calculation-sheet'!D9*'Output-Calculation-sheet'!D81</f>
        <v>2863316445.1273651</v>
      </c>
      <c r="E98" s="2">
        <f>E10/'Output-Calculation-sheet'!E9*'Output-Calculation-sheet'!E81</f>
        <v>12991386608.024834</v>
      </c>
      <c r="F98" s="2">
        <f>F10/'Output-Calculation-sheet'!F9*'Output-Calculation-sheet'!F81</f>
        <v>3480057792.4319735</v>
      </c>
      <c r="G98" s="2">
        <f>G10/'Output-Calculation-sheet'!G9*'Output-Calculation-sheet'!G81</f>
        <v>1970558723.2501738</v>
      </c>
      <c r="H98" s="2">
        <f>H10/'Output-Calculation-sheet'!H9*'Output-Calculation-sheet'!H81</f>
        <v>2557737845.6063361</v>
      </c>
      <c r="I98" s="2">
        <f>I10/'Output-Calculation-sheet'!I9*'Output-Calculation-sheet'!I81</f>
        <v>1558836805.4163034</v>
      </c>
      <c r="J98" s="2">
        <f>J10/'Output-Calculation-sheet'!J9*'Output-Calculation-sheet'!J81</f>
        <v>1232592179.2841945</v>
      </c>
      <c r="K98" s="2">
        <f>K10/'Output-Calculation-sheet'!K9*'Output-Calculation-sheet'!K81</f>
        <v>1462155465.6389697</v>
      </c>
      <c r="L98" s="2">
        <f>L10/'Output-Calculation-sheet'!L9*'Output-Calculation-sheet'!L81</f>
        <v>1582999109.7205174</v>
      </c>
      <c r="M98" s="2">
        <f>M10/'Output-Calculation-sheet'!M9*'Output-Calculation-sheet'!M81</f>
        <v>2216022621.7379212</v>
      </c>
      <c r="N98" s="2">
        <f>N10/'Output-Calculation-sheet'!N9*'Output-Calculation-sheet'!N81</f>
        <v>1363705272.1730635</v>
      </c>
      <c r="O98" s="2">
        <f>O10/'Output-Calculation-sheet'!O9*'Output-Calculation-sheet'!O81</f>
        <v>162416462.55957192</v>
      </c>
      <c r="P98" s="2">
        <f>P10/'Output-Calculation-sheet'!P9*'Output-Calculation-sheet'!P81</f>
        <v>2285244928.2388759</v>
      </c>
      <c r="Q98" s="2">
        <f>Q10/'Output-Calculation-sheet'!Q9*'Output-Calculation-sheet'!Q81</f>
        <v>999087742.26835847</v>
      </c>
      <c r="R98" s="2">
        <f>R10/'Output-Calculation-sheet'!R9*'Output-Calculation-sheet'!R81</f>
        <v>1564246666.3283563</v>
      </c>
      <c r="S98" s="2">
        <f>S10/'Output-Calculation-sheet'!S9*'Output-Calculation-sheet'!S81</f>
        <v>643081332.46440721</v>
      </c>
      <c r="T98" s="2">
        <f>T10/'Output-Calculation-sheet'!T9*'Output-Calculation-sheet'!T81</f>
        <v>502118809.41131496</v>
      </c>
      <c r="U98" s="2">
        <f>U10/'Output-Calculation-sheet'!U9*'Output-Calculation-sheet'!U81</f>
        <v>333806722.52385336</v>
      </c>
      <c r="V98" s="2">
        <f>V10/'Output-Calculation-sheet'!V9*'Output-Calculation-sheet'!V81</f>
        <v>197599401.66036662</v>
      </c>
      <c r="W98" s="2">
        <f>W10/'Output-Calculation-sheet'!W9*'Output-Calculation-sheet'!W81</f>
        <v>549226617.40134895</v>
      </c>
      <c r="X98" s="2">
        <f>X10/'Output-Calculation-sheet'!X9*'Output-Calculation-sheet'!X81</f>
        <v>238771139.77502441</v>
      </c>
      <c r="Y98" s="2">
        <f>Y10/'Output-Calculation-sheet'!Y9*'Output-Calculation-sheet'!Y81</f>
        <v>309083665.26909751</v>
      </c>
      <c r="AA98" s="2">
        <f t="shared" si="8"/>
        <v>55.864073615216881</v>
      </c>
    </row>
    <row r="99" spans="1:27" x14ac:dyDescent="0.25">
      <c r="A99" s="2">
        <v>2034</v>
      </c>
      <c r="B99" s="2">
        <f>B11/'Output-Calculation-sheet'!B10*'Output-Calculation-sheet'!B82</f>
        <v>13183798543.833588</v>
      </c>
      <c r="C99" s="2">
        <f>C11/'Output-Calculation-sheet'!C10*'Output-Calculation-sheet'!C82</f>
        <v>1185338686.2647891</v>
      </c>
      <c r="D99" s="2">
        <f>D11/'Output-Calculation-sheet'!D10*'Output-Calculation-sheet'!D82</f>
        <v>2489351117.538909</v>
      </c>
      <c r="E99" s="2">
        <f>E11/'Output-Calculation-sheet'!E10*'Output-Calculation-sheet'!E82</f>
        <v>12635045530.911131</v>
      </c>
      <c r="F99" s="2">
        <f>F11/'Output-Calculation-sheet'!F10*'Output-Calculation-sheet'!F82</f>
        <v>3174887236.1715703</v>
      </c>
      <c r="G99" s="2">
        <f>G11/'Output-Calculation-sheet'!G10*'Output-Calculation-sheet'!G82</f>
        <v>1717167658.9590387</v>
      </c>
      <c r="H99" s="2">
        <f>H11/'Output-Calculation-sheet'!H10*'Output-Calculation-sheet'!H82</f>
        <v>2394775990.0099568</v>
      </c>
      <c r="I99" s="2">
        <f>I11/'Output-Calculation-sheet'!I10*'Output-Calculation-sheet'!I82</f>
        <v>1433024029.3924959</v>
      </c>
      <c r="J99" s="2">
        <f>J11/'Output-Calculation-sheet'!J10*'Output-Calculation-sheet'!J82</f>
        <v>1117673530.5707629</v>
      </c>
      <c r="K99" s="2">
        <f>K11/'Output-Calculation-sheet'!K10*'Output-Calculation-sheet'!K82</f>
        <v>1301639332.7493649</v>
      </c>
      <c r="L99" s="2">
        <f>L11/'Output-Calculation-sheet'!L10*'Output-Calculation-sheet'!L82</f>
        <v>1496923135.7878633</v>
      </c>
      <c r="M99" s="2">
        <f>M11/'Output-Calculation-sheet'!M10*'Output-Calculation-sheet'!M82</f>
        <v>2123316589.7968066</v>
      </c>
      <c r="N99" s="2">
        <f>N11/'Output-Calculation-sheet'!N10*'Output-Calculation-sheet'!N82</f>
        <v>1270916530.7081795</v>
      </c>
      <c r="O99" s="2">
        <f>O11/'Output-Calculation-sheet'!O10*'Output-Calculation-sheet'!O82</f>
        <v>150548443.39225253</v>
      </c>
      <c r="P99" s="2">
        <f>P11/'Output-Calculation-sheet'!P10*'Output-Calculation-sheet'!P82</f>
        <v>2054853964.9485998</v>
      </c>
      <c r="Q99" s="2">
        <f>Q11/'Output-Calculation-sheet'!Q10*'Output-Calculation-sheet'!Q82</f>
        <v>937150425.09249306</v>
      </c>
      <c r="R99" s="2">
        <f>R11/'Output-Calculation-sheet'!R10*'Output-Calculation-sheet'!R82</f>
        <v>1448802422.4538476</v>
      </c>
      <c r="S99" s="2">
        <f>S11/'Output-Calculation-sheet'!S10*'Output-Calculation-sheet'!S82</f>
        <v>623851488.90382993</v>
      </c>
      <c r="T99" s="2">
        <f>T11/'Output-Calculation-sheet'!T10*'Output-Calculation-sheet'!T82</f>
        <v>444234216.19782883</v>
      </c>
      <c r="U99" s="2">
        <f>U11/'Output-Calculation-sheet'!U10*'Output-Calculation-sheet'!U82</f>
        <v>299505395.73022789</v>
      </c>
      <c r="V99" s="2">
        <f>V11/'Output-Calculation-sheet'!V10*'Output-Calculation-sheet'!V82</f>
        <v>177374891.68749598</v>
      </c>
      <c r="W99" s="2">
        <f>W11/'Output-Calculation-sheet'!W10*'Output-Calculation-sheet'!W82</f>
        <v>491264375.91943252</v>
      </c>
      <c r="X99" s="2">
        <f>X11/'Output-Calculation-sheet'!X10*'Output-Calculation-sheet'!X82</f>
        <v>235554072.31635737</v>
      </c>
      <c r="Y99" s="2">
        <f>Y11/'Output-Calculation-sheet'!Y10*'Output-Calculation-sheet'!Y82</f>
        <v>284199886.15490478</v>
      </c>
      <c r="AA99" s="2">
        <f t="shared" si="8"/>
        <v>52.671197495491732</v>
      </c>
    </row>
    <row r="100" spans="1:27" x14ac:dyDescent="0.25">
      <c r="A100" s="2">
        <v>2035</v>
      </c>
      <c r="B100" s="2">
        <f>B12/'Output-Calculation-sheet'!B11*'Output-Calculation-sheet'!B83</f>
        <v>12375785539.263323</v>
      </c>
      <c r="C100" s="2">
        <f>C12/'Output-Calculation-sheet'!C11*'Output-Calculation-sheet'!C83</f>
        <v>1113062877.22999</v>
      </c>
      <c r="D100" s="2">
        <f>D12/'Output-Calculation-sheet'!D11*'Output-Calculation-sheet'!D83</f>
        <v>2103249504.5048728</v>
      </c>
      <c r="E100" s="2">
        <f>E12/'Output-Calculation-sheet'!E11*'Output-Calculation-sheet'!E83</f>
        <v>11906326775.542494</v>
      </c>
      <c r="F100" s="2">
        <f>F12/'Output-Calculation-sheet'!F11*'Output-Calculation-sheet'!F83</f>
        <v>2803934364.6554794</v>
      </c>
      <c r="G100" s="2">
        <f>G12/'Output-Calculation-sheet'!G11*'Output-Calculation-sheet'!G83</f>
        <v>1447222392.8843479</v>
      </c>
      <c r="H100" s="2">
        <f>H12/'Output-Calculation-sheet'!H11*'Output-Calculation-sheet'!H83</f>
        <v>2160430747.7750969</v>
      </c>
      <c r="I100" s="2">
        <f>I12/'Output-Calculation-sheet'!I11*'Output-Calculation-sheet'!I83</f>
        <v>1274723204.18805</v>
      </c>
      <c r="J100" s="2">
        <f>J12/'Output-Calculation-sheet'!J11*'Output-Calculation-sheet'!J83</f>
        <v>982157047.21640801</v>
      </c>
      <c r="K100" s="2">
        <f>K12/'Output-Calculation-sheet'!K11*'Output-Calculation-sheet'!K83</f>
        <v>1120731288.1907685</v>
      </c>
      <c r="L100" s="2">
        <f>L12/'Output-Calculation-sheet'!L11*'Output-Calculation-sheet'!L83</f>
        <v>1372421327.1620462</v>
      </c>
      <c r="M100" s="2">
        <f>M12/'Output-Calculation-sheet'!M11*'Output-Calculation-sheet'!M83</f>
        <v>1966582602.2149456</v>
      </c>
      <c r="N100" s="2">
        <f>N12/'Output-Calculation-sheet'!N11*'Output-Calculation-sheet'!N83</f>
        <v>1149765605.3526416</v>
      </c>
      <c r="O100" s="2">
        <f>O12/'Output-Calculation-sheet'!O11*'Output-Calculation-sheet'!O83</f>
        <v>147741598.94078368</v>
      </c>
      <c r="P100" s="2">
        <f>P12/'Output-Calculation-sheet'!P11*'Output-Calculation-sheet'!P83</f>
        <v>1765671614.5938616</v>
      </c>
      <c r="Q100" s="2">
        <f>Q12/'Output-Calculation-sheet'!Q11*'Output-Calculation-sheet'!Q83</f>
        <v>853699264.0208689</v>
      </c>
      <c r="R100" s="2">
        <f>R12/'Output-Calculation-sheet'!R11*'Output-Calculation-sheet'!R83</f>
        <v>1297244881.5873504</v>
      </c>
      <c r="S100" s="2">
        <f>S12/'Output-Calculation-sheet'!S11*'Output-Calculation-sheet'!S83</f>
        <v>581029844.78103995</v>
      </c>
      <c r="T100" s="2">
        <f>T12/'Output-Calculation-sheet'!T11*'Output-Calculation-sheet'!T83</f>
        <v>380524993.6445201</v>
      </c>
      <c r="U100" s="2">
        <f>U12/'Output-Calculation-sheet'!U11*'Output-Calculation-sheet'!U83</f>
        <v>258995559.61921012</v>
      </c>
      <c r="V100" s="2">
        <f>V12/'Output-Calculation-sheet'!V11*'Output-Calculation-sheet'!V83</f>
        <v>153958316.79510936</v>
      </c>
      <c r="W100" s="2">
        <f>W12/'Output-Calculation-sheet'!W11*'Output-Calculation-sheet'!W83</f>
        <v>422612472.41341263</v>
      </c>
      <c r="X100" s="2">
        <f>X12/'Output-Calculation-sheet'!X11*'Output-Calculation-sheet'!X83</f>
        <v>225444332.51460448</v>
      </c>
      <c r="Y100" s="2">
        <f>Y12/'Output-Calculation-sheet'!Y11*'Output-Calculation-sheet'!Y83</f>
        <v>252370613.73644406</v>
      </c>
      <c r="AA100" s="2">
        <f t="shared" si="8"/>
        <v>48.115686768827658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6412.3673393562785</v>
      </c>
      <c r="C19" s="2">
        <f>C8/'Output-Calculation-sheet'!C7*'Output-Calculation-sheet'!C25</f>
        <v>9684.8827729581426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5197.7683990856185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1056.6796694322445</v>
      </c>
      <c r="M19" s="2">
        <f>M8/'Output-Calculation-sheet'!M7*'Output-Calculation-sheet'!M25</f>
        <v>6855.5702283772071</v>
      </c>
      <c r="N19" s="2">
        <f>N8/'Output-Calculation-sheet'!N7*'Output-Calculation-sheet'!N25</f>
        <v>3500.013680374635</v>
      </c>
      <c r="O19" s="2">
        <f>O8/'Output-Calculation-sheet'!O7*'Output-Calculation-sheet'!O25</f>
        <v>1891.8058482965982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669.23093762265705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476.70766008009258</v>
      </c>
      <c r="Y19" s="2">
        <f>Y8/'Output-Calculation-sheet'!Y7*'Output-Calculation-sheet'!Y25</f>
        <v>0</v>
      </c>
      <c r="AA19" s="2">
        <f t="shared" si="0"/>
        <v>35.745026535583477</v>
      </c>
    </row>
    <row r="20" spans="1:27" x14ac:dyDescent="0.25">
      <c r="A20" s="2">
        <v>2032</v>
      </c>
      <c r="B20" s="2">
        <f>B9/'Output-Calculation-sheet'!B8*'Output-Calculation-sheet'!B26</f>
        <v>9075.6345376637346</v>
      </c>
      <c r="C20" s="2">
        <f>C9/'Output-Calculation-sheet'!C8*'Output-Calculation-sheet'!C26</f>
        <v>11242.309590563194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7404.3703014869216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1286.6202341010612</v>
      </c>
      <c r="M20" s="2">
        <f>M9/'Output-Calculation-sheet'!M8*'Output-Calculation-sheet'!M26</f>
        <v>7829.8640419785033</v>
      </c>
      <c r="N20" s="2">
        <f>N9/'Output-Calculation-sheet'!N8*'Output-Calculation-sheet'!N26</f>
        <v>4409.9200109402391</v>
      </c>
      <c r="O20" s="2">
        <f>O9/'Output-Calculation-sheet'!O8*'Output-Calculation-sheet'!O26</f>
        <v>2194.0809313067266</v>
      </c>
      <c r="P20" s="2">
        <f>P9/'Output-Calculation-sheet'!P8*'Output-Calculation-sheet'!P26</f>
        <v>0</v>
      </c>
      <c r="Q20" s="2">
        <f>Q9/'Output-Calculation-sheet'!Q8*'Output-Calculation-sheet'!Q26</f>
        <v>132.60501019293261</v>
      </c>
      <c r="R20" s="2">
        <f>R9/'Output-Calculation-sheet'!R8*'Output-Calculation-sheet'!R26</f>
        <v>0</v>
      </c>
      <c r="S20" s="2">
        <f>S9/'Output-Calculation-sheet'!S8*'Output-Calculation-sheet'!S26</f>
        <v>936.30154558210995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723.91579757935142</v>
      </c>
      <c r="Y20" s="2">
        <f>Y9/'Output-Calculation-sheet'!Y8*'Output-Calculation-sheet'!Y26</f>
        <v>0</v>
      </c>
      <c r="AA20" s="2">
        <f t="shared" si="0"/>
        <v>45.235622001394773</v>
      </c>
    </row>
    <row r="21" spans="1:27" x14ac:dyDescent="0.25">
      <c r="A21" s="2">
        <v>2033</v>
      </c>
      <c r="B21" s="2">
        <f>B10/'Output-Calculation-sheet'!B9*'Output-Calculation-sheet'!B27</f>
        <v>12506.459146021773</v>
      </c>
      <c r="C21" s="2">
        <f>C10/'Output-Calculation-sheet'!C9*'Output-Calculation-sheet'!C27</f>
        <v>12552.051634254698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11004.291469292571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1527.696370522915</v>
      </c>
      <c r="M21" s="2">
        <f>M10/'Output-Calculation-sheet'!M9*'Output-Calculation-sheet'!M27</f>
        <v>8565.0297117317987</v>
      </c>
      <c r="N21" s="2">
        <f>N10/'Output-Calculation-sheet'!N9*'Output-Calculation-sheet'!N27</f>
        <v>4991.9793303921151</v>
      </c>
      <c r="O21" s="2">
        <f>O10/'Output-Calculation-sheet'!O9*'Output-Calculation-sheet'!O27</f>
        <v>2442.2102185738959</v>
      </c>
      <c r="P21" s="2">
        <f>P10/'Output-Calculation-sheet'!P9*'Output-Calculation-sheet'!P27</f>
        <v>0</v>
      </c>
      <c r="Q21" s="2">
        <f>Q10/'Output-Calculation-sheet'!Q9*'Output-Calculation-sheet'!Q27</f>
        <v>371.98370241928455</v>
      </c>
      <c r="R21" s="2">
        <f>R10/'Output-Calculation-sheet'!R9*'Output-Calculation-sheet'!R27</f>
        <v>0</v>
      </c>
      <c r="S21" s="2">
        <f>S10/'Output-Calculation-sheet'!S9*'Output-Calculation-sheet'!S27</f>
        <v>1268.0547548167938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799.17578039782347</v>
      </c>
      <c r="Y21" s="2">
        <f>Y10/'Output-Calculation-sheet'!Y9*'Output-Calculation-sheet'!Y27</f>
        <v>0</v>
      </c>
      <c r="AA21" s="2">
        <f t="shared" si="0"/>
        <v>56.028932118423668</v>
      </c>
    </row>
    <row r="22" spans="1:27" x14ac:dyDescent="0.25">
      <c r="A22" s="2">
        <v>2034</v>
      </c>
      <c r="B22" s="2">
        <f>B11/'Output-Calculation-sheet'!B10*'Output-Calculation-sheet'!B28</f>
        <v>16674.572110425412</v>
      </c>
      <c r="C22" s="2">
        <f>C11/'Output-Calculation-sheet'!C10*'Output-Calculation-sheet'!C28</f>
        <v>13597.381319652393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11815.742170341062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1740.847425994137</v>
      </c>
      <c r="M22" s="2">
        <f>M11/'Output-Calculation-sheet'!M10*'Output-Calculation-sheet'!M28</f>
        <v>9181.4329566129145</v>
      </c>
      <c r="N22" s="2">
        <f>N11/'Output-Calculation-sheet'!N10*'Output-Calculation-sheet'!N28</f>
        <v>5507.1254649411776</v>
      </c>
      <c r="O22" s="2">
        <f>O11/'Output-Calculation-sheet'!O10*'Output-Calculation-sheet'!O28</f>
        <v>2629.6721468915825</v>
      </c>
      <c r="P22" s="2">
        <f>P11/'Output-Calculation-sheet'!P10*'Output-Calculation-sheet'!P28</f>
        <v>0</v>
      </c>
      <c r="Q22" s="2">
        <f>Q11/'Output-Calculation-sheet'!Q10*'Output-Calculation-sheet'!Q28</f>
        <v>754.90445295267057</v>
      </c>
      <c r="R22" s="2">
        <f>R11/'Output-Calculation-sheet'!R10*'Output-Calculation-sheet'!R28</f>
        <v>0</v>
      </c>
      <c r="S22" s="2">
        <f>S11/'Output-Calculation-sheet'!S10*'Output-Calculation-sheet'!S28</f>
        <v>1613.3539413671051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858.61483133300203</v>
      </c>
      <c r="Y22" s="2">
        <f>Y11/'Output-Calculation-sheet'!Y10*'Output-Calculation-sheet'!Y28</f>
        <v>0</v>
      </c>
      <c r="AA22" s="2">
        <f t="shared" si="0"/>
        <v>64.373646820511468</v>
      </c>
    </row>
    <row r="23" spans="1:27" x14ac:dyDescent="0.25">
      <c r="A23" s="2">
        <v>2035</v>
      </c>
      <c r="B23" s="2">
        <f>B12/'Output-Calculation-sheet'!B11*'Output-Calculation-sheet'!B29</f>
        <v>21045.391296394166</v>
      </c>
      <c r="C23" s="2">
        <f>C12/'Output-Calculation-sheet'!C11*'Output-Calculation-sheet'!C29</f>
        <v>14753.364798202774</v>
      </c>
      <c r="D23" s="2">
        <f>D12/'Output-Calculation-sheet'!D11*'Output-Calculation-sheet'!D29</f>
        <v>0</v>
      </c>
      <c r="E23" s="2">
        <f>E12/'Output-Calculation-sheet'!E11*'Output-Calculation-sheet'!E29</f>
        <v>192.86333880939503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12319.972803200824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1942.1087480225349</v>
      </c>
      <c r="M23" s="2">
        <f>M12/'Output-Calculation-sheet'!M11*'Output-Calculation-sheet'!M29</f>
        <v>9581.5732078846613</v>
      </c>
      <c r="N23" s="2">
        <f>N12/'Output-Calculation-sheet'!N11*'Output-Calculation-sheet'!N29</f>
        <v>5881.4821591678274</v>
      </c>
      <c r="O23" s="2">
        <f>O12/'Output-Calculation-sheet'!O11*'Output-Calculation-sheet'!O29</f>
        <v>2991.996232886705</v>
      </c>
      <c r="P23" s="2">
        <f>P12/'Output-Calculation-sheet'!P11*'Output-Calculation-sheet'!P29</f>
        <v>0</v>
      </c>
      <c r="Q23" s="2">
        <f>Q12/'Output-Calculation-sheet'!Q11*'Output-Calculation-sheet'!Q29</f>
        <v>1156.5326408766159</v>
      </c>
      <c r="R23" s="2">
        <f>R12/'Output-Calculation-sheet'!R11*'Output-Calculation-sheet'!R29</f>
        <v>0</v>
      </c>
      <c r="S23" s="2">
        <f>S12/'Output-Calculation-sheet'!S11*'Output-Calculation-sheet'!S29</f>
        <v>1960.1066047862616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905.72478410743895</v>
      </c>
      <c r="Y23" s="2">
        <f>Y12/'Output-Calculation-sheet'!Y11*'Output-Calculation-sheet'!Y29</f>
        <v>0</v>
      </c>
      <c r="AA23" s="2">
        <f t="shared" si="0"/>
        <v>72.7311166143392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30685.12685250444</v>
      </c>
      <c r="C30" s="2">
        <f>C8/'Output-Calculation-sheet'!C7*'Output-Calculation-sheet'!C16</f>
        <v>0</v>
      </c>
      <c r="D30" s="2">
        <f>D8/'Output-Calculation-sheet'!D7*'Output-Calculation-sheet'!D16</f>
        <v>8386.9633751054789</v>
      </c>
      <c r="E30" s="2">
        <f>E8/'Output-Calculation-sheet'!E7*'Output-Calculation-sheet'!E16</f>
        <v>10241.088666352975</v>
      </c>
      <c r="F30" s="2">
        <f>F8/'Output-Calculation-sheet'!F7*'Output-Calculation-sheet'!F16</f>
        <v>4606.1481887509981</v>
      </c>
      <c r="G30" s="2">
        <f>G8/'Output-Calculation-sheet'!G7*'Output-Calculation-sheet'!G16</f>
        <v>2652.3814165606086</v>
      </c>
      <c r="H30" s="2">
        <f>H8/'Output-Calculation-sheet'!H7*'Output-Calculation-sheet'!H16</f>
        <v>0</v>
      </c>
      <c r="I30" s="2">
        <f>I8/'Output-Calculation-sheet'!I7*'Output-Calculation-sheet'!I16</f>
        <v>2814.4096146141096</v>
      </c>
      <c r="J30" s="2">
        <f>J8/'Output-Calculation-sheet'!J7*'Output-Calculation-sheet'!J16</f>
        <v>2862.2511112452726</v>
      </c>
      <c r="K30" s="2">
        <f>K8/'Output-Calculation-sheet'!K7*'Output-Calculation-sheet'!K16</f>
        <v>3729.4901562912223</v>
      </c>
      <c r="L30" s="2">
        <f>L8/'Output-Calculation-sheet'!L7*'Output-Calculation-sheet'!L16</f>
        <v>3388.9647512630381</v>
      </c>
      <c r="M30" s="2">
        <f>M8/'Output-Calculation-sheet'!M7*'Output-Calculation-sheet'!M16</f>
        <v>0</v>
      </c>
      <c r="N30" s="2">
        <f>N8/'Output-Calculation-sheet'!N7*'Output-Calculation-sheet'!N16</f>
        <v>2000.977549049295</v>
      </c>
      <c r="O30" s="2">
        <f>O8/'Output-Calculation-sheet'!O7*'Output-Calculation-sheet'!O16</f>
        <v>0</v>
      </c>
      <c r="P30" s="2">
        <f>P8/'Output-Calculation-sheet'!P7*'Output-Calculation-sheet'!P16</f>
        <v>3011.5453162418517</v>
      </c>
      <c r="Q30" s="2">
        <f>Q8/'Output-Calculation-sheet'!Q7*'Output-Calculation-sheet'!Q16</f>
        <v>3358.6857625863236</v>
      </c>
      <c r="R30" s="2">
        <f>R8/'Output-Calculation-sheet'!R7*'Output-Calculation-sheet'!R16</f>
        <v>2739.9765523050864</v>
      </c>
      <c r="S30" s="2">
        <f>S8/'Output-Calculation-sheet'!S7*'Output-Calculation-sheet'!S16</f>
        <v>1474.8834063673071</v>
      </c>
      <c r="T30" s="2">
        <f>T8/'Output-Calculation-sheet'!T7*'Output-Calculation-sheet'!T16</f>
        <v>868.92659264305451</v>
      </c>
      <c r="U30" s="2">
        <f>U8/'Output-Calculation-sheet'!U7*'Output-Calculation-sheet'!U16</f>
        <v>695.56002732764205</v>
      </c>
      <c r="V30" s="2">
        <f>V8/'Output-Calculation-sheet'!V7*'Output-Calculation-sheet'!V16</f>
        <v>818.98550105083871</v>
      </c>
      <c r="W30" s="2">
        <f>W8/'Output-Calculation-sheet'!W7*'Output-Calculation-sheet'!W16</f>
        <v>377.93000264049823</v>
      </c>
      <c r="X30" s="2">
        <f>X8/'Output-Calculation-sheet'!X7*'Output-Calculation-sheet'!X16</f>
        <v>0</v>
      </c>
      <c r="Y30" s="2">
        <f>Y8/'Output-Calculation-sheet'!Y7*'Output-Calculation-sheet'!Y16</f>
        <v>290.62129818458067</v>
      </c>
      <c r="AA30" s="2">
        <f t="shared" si="1"/>
        <v>85.004916141084593</v>
      </c>
    </row>
    <row r="31" spans="1:27" x14ac:dyDescent="0.25">
      <c r="A31" s="2">
        <v>2032</v>
      </c>
      <c r="B31" s="2">
        <f>B9/'Output-Calculation-sheet'!B8*'Output-Calculation-sheet'!B17</f>
        <v>34021.888060824094</v>
      </c>
      <c r="C31" s="2">
        <f>C9/'Output-Calculation-sheet'!C8*'Output-Calculation-sheet'!C17</f>
        <v>0</v>
      </c>
      <c r="D31" s="2">
        <f>D9/'Output-Calculation-sheet'!D8*'Output-Calculation-sheet'!D17</f>
        <v>9464.0663502037987</v>
      </c>
      <c r="E31" s="2">
        <f>E9/'Output-Calculation-sheet'!E8*'Output-Calculation-sheet'!E17</f>
        <v>11610.852752240688</v>
      </c>
      <c r="F31" s="2">
        <f>F9/'Output-Calculation-sheet'!F8*'Output-Calculation-sheet'!F17</f>
        <v>5229.5158280576497</v>
      </c>
      <c r="G31" s="2">
        <f>G9/'Output-Calculation-sheet'!G8*'Output-Calculation-sheet'!G17</f>
        <v>3009.960885529556</v>
      </c>
      <c r="H31" s="2">
        <f>H9/'Output-Calculation-sheet'!H8*'Output-Calculation-sheet'!H17</f>
        <v>0</v>
      </c>
      <c r="I31" s="2">
        <f>I9/'Output-Calculation-sheet'!I8*'Output-Calculation-sheet'!I17</f>
        <v>3190.9257905748518</v>
      </c>
      <c r="J31" s="2">
        <f>J9/'Output-Calculation-sheet'!J8*'Output-Calculation-sheet'!J17</f>
        <v>3237.469828753839</v>
      </c>
      <c r="K31" s="2">
        <f>K9/'Output-Calculation-sheet'!K8*'Output-Calculation-sheet'!K17</f>
        <v>4210.6103098649419</v>
      </c>
      <c r="L31" s="2">
        <f>L9/'Output-Calculation-sheet'!L8*'Output-Calculation-sheet'!L17</f>
        <v>3808.987965009348</v>
      </c>
      <c r="M31" s="2">
        <f>M9/'Output-Calculation-sheet'!M8*'Output-Calculation-sheet'!M17</f>
        <v>0</v>
      </c>
      <c r="N31" s="2">
        <f>N9/'Output-Calculation-sheet'!N8*'Output-Calculation-sheet'!N17</f>
        <v>2126.8387994634313</v>
      </c>
      <c r="O31" s="2">
        <f>O9/'Output-Calculation-sheet'!O8*'Output-Calculation-sheet'!O17</f>
        <v>0</v>
      </c>
      <c r="P31" s="2">
        <f>P9/'Output-Calculation-sheet'!P8*'Output-Calculation-sheet'!P17</f>
        <v>3455.6750860029501</v>
      </c>
      <c r="Q31" s="2">
        <f>Q9/'Output-Calculation-sheet'!Q8*'Output-Calculation-sheet'!Q17</f>
        <v>3755.676177705584</v>
      </c>
      <c r="R31" s="2">
        <f>R9/'Output-Calculation-sheet'!R8*'Output-Calculation-sheet'!R17</f>
        <v>3117.757536731553</v>
      </c>
      <c r="S31" s="2">
        <f>S9/'Output-Calculation-sheet'!S8*'Output-Calculation-sheet'!S17</f>
        <v>1619.6861596074136</v>
      </c>
      <c r="T31" s="2">
        <f>T9/'Output-Calculation-sheet'!T8*'Output-Calculation-sheet'!T17</f>
        <v>982.21224707743545</v>
      </c>
      <c r="U31" s="2">
        <f>U9/'Output-Calculation-sheet'!U8*'Output-Calculation-sheet'!U17</f>
        <v>789.11654588461124</v>
      </c>
      <c r="V31" s="2">
        <f>V9/'Output-Calculation-sheet'!V8*'Output-Calculation-sheet'!V17</f>
        <v>927.60021023124511</v>
      </c>
      <c r="W31" s="2">
        <f>W9/'Output-Calculation-sheet'!W8*'Output-Calculation-sheet'!W17</f>
        <v>429.04696075098769</v>
      </c>
      <c r="X31" s="2">
        <f>X9/'Output-Calculation-sheet'!X8*'Output-Calculation-sheet'!X17</f>
        <v>0</v>
      </c>
      <c r="Y31" s="2">
        <f>Y9/'Output-Calculation-sheet'!Y8*'Output-Calculation-sheet'!Y17</f>
        <v>330.17931191774937</v>
      </c>
      <c r="AA31" s="2">
        <f t="shared" si="1"/>
        <v>95.31806680643173</v>
      </c>
    </row>
    <row r="32" spans="1:27" x14ac:dyDescent="0.25">
      <c r="A32" s="2">
        <v>2033</v>
      </c>
      <c r="B32" s="2">
        <f>B10/'Output-Calculation-sheet'!B9*'Output-Calculation-sheet'!B18</f>
        <v>35727.386607910426</v>
      </c>
      <c r="C32" s="2">
        <f>C10/'Output-Calculation-sheet'!C9*'Output-Calculation-sheet'!C18</f>
        <v>0</v>
      </c>
      <c r="D32" s="2">
        <f>D10/'Output-Calculation-sheet'!D9*'Output-Calculation-sheet'!D18</f>
        <v>10213.81390864119</v>
      </c>
      <c r="E32" s="2">
        <f>E10/'Output-Calculation-sheet'!E9*'Output-Calculation-sheet'!E18</f>
        <v>12622.865619491618</v>
      </c>
      <c r="F32" s="2">
        <f>F10/'Output-Calculation-sheet'!F9*'Output-Calculation-sheet'!F18</f>
        <v>5678.0920819980738</v>
      </c>
      <c r="G32" s="2">
        <f>G10/'Output-Calculation-sheet'!G9*'Output-Calculation-sheet'!G18</f>
        <v>3267.1383126224628</v>
      </c>
      <c r="H32" s="2">
        <f>H10/'Output-Calculation-sheet'!H9*'Output-Calculation-sheet'!H18</f>
        <v>0</v>
      </c>
      <c r="I32" s="2">
        <f>I10/'Output-Calculation-sheet'!I9*'Output-Calculation-sheet'!I18</f>
        <v>3460.8085404181465</v>
      </c>
      <c r="J32" s="2">
        <f>J10/'Output-Calculation-sheet'!J9*'Output-Calculation-sheet'!J18</f>
        <v>3483.7751596125804</v>
      </c>
      <c r="K32" s="2">
        <f>K10/'Output-Calculation-sheet'!K9*'Output-Calculation-sheet'!K18</f>
        <v>4599.1792812286976</v>
      </c>
      <c r="L32" s="2">
        <f>L10/'Output-Calculation-sheet'!L9*'Output-Calculation-sheet'!L18</f>
        <v>4013.0439959146811</v>
      </c>
      <c r="M32" s="2">
        <f>M10/'Output-Calculation-sheet'!M9*'Output-Calculation-sheet'!M18</f>
        <v>0</v>
      </c>
      <c r="N32" s="2">
        <f>N10/'Output-Calculation-sheet'!N9*'Output-Calculation-sheet'!N18</f>
        <v>2251.1828245745046</v>
      </c>
      <c r="O32" s="2">
        <f>O10/'Output-Calculation-sheet'!O9*'Output-Calculation-sheet'!O18</f>
        <v>0</v>
      </c>
      <c r="P32" s="2">
        <f>P10/'Output-Calculation-sheet'!P9*'Output-Calculation-sheet'!P18</f>
        <v>3784.1308887393334</v>
      </c>
      <c r="Q32" s="2">
        <f>Q10/'Output-Calculation-sheet'!Q9*'Output-Calculation-sheet'!Q18</f>
        <v>3988.5250534590805</v>
      </c>
      <c r="R32" s="2">
        <f>R10/'Output-Calculation-sheet'!R9*'Output-Calculation-sheet'!R18</f>
        <v>3379.8742590459283</v>
      </c>
      <c r="S32" s="2">
        <f>S10/'Output-Calculation-sheet'!S9*'Output-Calculation-sheet'!S18</f>
        <v>1686.8480833240583</v>
      </c>
      <c r="T32" s="2">
        <f>T10/'Output-Calculation-sheet'!T9*'Output-Calculation-sheet'!T18</f>
        <v>1064.6029350545957</v>
      </c>
      <c r="U32" s="2">
        <f>U10/'Output-Calculation-sheet'!U9*'Output-Calculation-sheet'!U18</f>
        <v>853.60264886337598</v>
      </c>
      <c r="V32" s="2">
        <f>V10/'Output-Calculation-sheet'!V9*'Output-Calculation-sheet'!V18</f>
        <v>993.20899748703857</v>
      </c>
      <c r="W32" s="2">
        <f>W10/'Output-Calculation-sheet'!W9*'Output-Calculation-sheet'!W18</f>
        <v>463.53432991446635</v>
      </c>
      <c r="X32" s="2">
        <f>X10/'Output-Calculation-sheet'!X9*'Output-Calculation-sheet'!X18</f>
        <v>0</v>
      </c>
      <c r="Y32" s="2">
        <f>Y10/'Output-Calculation-sheet'!Y9*'Output-Calculation-sheet'!Y18</f>
        <v>358.56621898526498</v>
      </c>
      <c r="AA32" s="2">
        <f t="shared" si="1"/>
        <v>101.89017974728553</v>
      </c>
    </row>
    <row r="33" spans="1:27" x14ac:dyDescent="0.25">
      <c r="A33" s="2">
        <v>2034</v>
      </c>
      <c r="B33" s="2">
        <f>B11/'Output-Calculation-sheet'!B10*'Output-Calculation-sheet'!B19</f>
        <v>36833.654199121047</v>
      </c>
      <c r="C33" s="2">
        <f>C11/'Output-Calculation-sheet'!C10*'Output-Calculation-sheet'!C19</f>
        <v>0</v>
      </c>
      <c r="D33" s="2">
        <f>D11/'Output-Calculation-sheet'!D10*'Output-Calculation-sheet'!D19</f>
        <v>10660.202037390995</v>
      </c>
      <c r="E33" s="2">
        <f>E11/'Output-Calculation-sheet'!E10*'Output-Calculation-sheet'!E19</f>
        <v>13260.653343029582</v>
      </c>
      <c r="F33" s="2">
        <f>F11/'Output-Calculation-sheet'!F10*'Output-Calculation-sheet'!F19</f>
        <v>5966.8728350951142</v>
      </c>
      <c r="G33" s="2">
        <f>G11/'Output-Calculation-sheet'!G10*'Output-Calculation-sheet'!G19</f>
        <v>3423.4940151465544</v>
      </c>
      <c r="H33" s="2">
        <f>H11/'Output-Calculation-sheet'!H10*'Output-Calculation-sheet'!H19</f>
        <v>0</v>
      </c>
      <c r="I33" s="2">
        <f>I11/'Output-Calculation-sheet'!I10*'Output-Calculation-sheet'!I19</f>
        <v>3640.7872776050181</v>
      </c>
      <c r="J33" s="2">
        <f>J11/'Output-Calculation-sheet'!J10*'Output-Calculation-sheet'!J19</f>
        <v>3643.8540730856494</v>
      </c>
      <c r="K33" s="2">
        <f>K11/'Output-Calculation-sheet'!K10*'Output-Calculation-sheet'!K19</f>
        <v>4784.8905826613163</v>
      </c>
      <c r="L33" s="2">
        <f>L11/'Output-Calculation-sheet'!L10*'Output-Calculation-sheet'!L19</f>
        <v>4111.3273113986506</v>
      </c>
      <c r="M33" s="2">
        <f>M11/'Output-Calculation-sheet'!M10*'Output-Calculation-sheet'!M19</f>
        <v>0</v>
      </c>
      <c r="N33" s="2">
        <f>N11/'Output-Calculation-sheet'!N10*'Output-Calculation-sheet'!N19</f>
        <v>2244.4770209917169</v>
      </c>
      <c r="O33" s="2">
        <f>O11/'Output-Calculation-sheet'!O10*'Output-Calculation-sheet'!O19</f>
        <v>0</v>
      </c>
      <c r="P33" s="2">
        <f>P11/'Output-Calculation-sheet'!P10*'Output-Calculation-sheet'!P19</f>
        <v>4016.0890454477208</v>
      </c>
      <c r="Q33" s="2">
        <f>Q11/'Output-Calculation-sheet'!Q10*'Output-Calculation-sheet'!Q19</f>
        <v>4006.7103431266423</v>
      </c>
      <c r="R33" s="2">
        <f>R11/'Output-Calculation-sheet'!R10*'Output-Calculation-sheet'!R19</f>
        <v>3540.1050123382656</v>
      </c>
      <c r="S33" s="2">
        <f>S11/'Output-Calculation-sheet'!S10*'Output-Calculation-sheet'!S19</f>
        <v>1725.4962601144553</v>
      </c>
      <c r="T33" s="2">
        <f>T11/'Output-Calculation-sheet'!T10*'Output-Calculation-sheet'!T19</f>
        <v>1118.4207217770895</v>
      </c>
      <c r="U33" s="2">
        <f>U11/'Output-Calculation-sheet'!U10*'Output-Calculation-sheet'!U19</f>
        <v>902.32179701855921</v>
      </c>
      <c r="V33" s="2">
        <f>V11/'Output-Calculation-sheet'!V10*'Output-Calculation-sheet'!V19</f>
        <v>1035.4837354283147</v>
      </c>
      <c r="W33" s="2">
        <f>W11/'Output-Calculation-sheet'!W10*'Output-Calculation-sheet'!W19</f>
        <v>487.41123819933131</v>
      </c>
      <c r="X33" s="2">
        <f>X11/'Output-Calculation-sheet'!X10*'Output-Calculation-sheet'!X19</f>
        <v>0</v>
      </c>
      <c r="Y33" s="2">
        <f>Y11/'Output-Calculation-sheet'!Y10*'Output-Calculation-sheet'!Y19</f>
        <v>376.88963369757141</v>
      </c>
      <c r="AA33" s="2">
        <f t="shared" si="1"/>
        <v>105.7791404826736</v>
      </c>
    </row>
    <row r="34" spans="1:27" x14ac:dyDescent="0.25">
      <c r="A34" s="2">
        <v>2035</v>
      </c>
      <c r="B34" s="2">
        <f>B12/'Output-Calculation-sheet'!B11*'Output-Calculation-sheet'!B20</f>
        <v>36344.38044159094</v>
      </c>
      <c r="C34" s="2">
        <f>C12/'Output-Calculation-sheet'!C11*'Output-Calculation-sheet'!C20</f>
        <v>0</v>
      </c>
      <c r="D34" s="2">
        <f>D12/'Output-Calculation-sheet'!D11*'Output-Calculation-sheet'!D20</f>
        <v>10955.514159402614</v>
      </c>
      <c r="E34" s="2">
        <f>E12/'Output-Calculation-sheet'!E11*'Output-Calculation-sheet'!E20</f>
        <v>13487.044531319174</v>
      </c>
      <c r="F34" s="2">
        <f>F12/'Output-Calculation-sheet'!F11*'Output-Calculation-sheet'!F20</f>
        <v>6124.4560768025576</v>
      </c>
      <c r="G34" s="2">
        <f>G12/'Output-Calculation-sheet'!G11*'Output-Calculation-sheet'!G20</f>
        <v>3509.1091780322695</v>
      </c>
      <c r="H34" s="2">
        <f>H12/'Output-Calculation-sheet'!H11*'Output-Calculation-sheet'!H20</f>
        <v>0</v>
      </c>
      <c r="I34" s="2">
        <f>I12/'Output-Calculation-sheet'!I11*'Output-Calculation-sheet'!I20</f>
        <v>3743.8188703379174</v>
      </c>
      <c r="J34" s="2">
        <f>J12/'Output-Calculation-sheet'!J11*'Output-Calculation-sheet'!J20</f>
        <v>3726.4723217459932</v>
      </c>
      <c r="K34" s="2">
        <f>K12/'Output-Calculation-sheet'!K11*'Output-Calculation-sheet'!K20</f>
        <v>4893.1231909693788</v>
      </c>
      <c r="L34" s="2">
        <f>L12/'Output-Calculation-sheet'!L11*'Output-Calculation-sheet'!L20</f>
        <v>4145.2269162055245</v>
      </c>
      <c r="M34" s="2">
        <f>M12/'Output-Calculation-sheet'!M11*'Output-Calculation-sheet'!M20</f>
        <v>0</v>
      </c>
      <c r="N34" s="2">
        <f>N12/'Output-Calculation-sheet'!N11*'Output-Calculation-sheet'!N20</f>
        <v>2255.768590246611</v>
      </c>
      <c r="O34" s="2">
        <f>O12/'Output-Calculation-sheet'!O11*'Output-Calculation-sheet'!O20</f>
        <v>0</v>
      </c>
      <c r="P34" s="2">
        <f>P12/'Output-Calculation-sheet'!P11*'Output-Calculation-sheet'!P20</f>
        <v>4131.2699232552432</v>
      </c>
      <c r="Q34" s="2">
        <f>Q12/'Output-Calculation-sheet'!Q11*'Output-Calculation-sheet'!Q20</f>
        <v>3946.2298656267039</v>
      </c>
      <c r="R34" s="2">
        <f>R12/'Output-Calculation-sheet'!R11*'Output-Calculation-sheet'!R20</f>
        <v>3630.3421511723759</v>
      </c>
      <c r="S34" s="2">
        <f>S12/'Output-Calculation-sheet'!S11*'Output-Calculation-sheet'!S20</f>
        <v>1695.5926783664286</v>
      </c>
      <c r="T34" s="2">
        <f>T12/'Output-Calculation-sheet'!T11*'Output-Calculation-sheet'!T20</f>
        <v>1145.8145842056695</v>
      </c>
      <c r="U34" s="2">
        <f>U12/'Output-Calculation-sheet'!U11*'Output-Calculation-sheet'!U20</f>
        <v>922.93057423661185</v>
      </c>
      <c r="V34" s="2">
        <f>V12/'Output-Calculation-sheet'!V11*'Output-Calculation-sheet'!V20</f>
        <v>1059.5186469785913</v>
      </c>
      <c r="W34" s="2">
        <f>W12/'Output-Calculation-sheet'!W11*'Output-Calculation-sheet'!W20</f>
        <v>500.61493294254274</v>
      </c>
      <c r="X34" s="2">
        <f>X12/'Output-Calculation-sheet'!X11*'Output-Calculation-sheet'!X20</f>
        <v>0</v>
      </c>
      <c r="Y34" s="2">
        <f>Y12/'Output-Calculation-sheet'!Y11*'Output-Calculation-sheet'!Y20</f>
        <v>388.76903219321969</v>
      </c>
      <c r="AA34" s="2">
        <f t="shared" si="1"/>
        <v>106.60599666563037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1355.9190849740148</v>
      </c>
      <c r="C52" s="2">
        <f>C8/'Output-Calculation-sheet'!C7*'Output-Calculation-sheet'!C43</f>
        <v>0</v>
      </c>
      <c r="D52" s="2">
        <f>D8/'Output-Calculation-sheet'!D7*'Output-Calculation-sheet'!D43</f>
        <v>2945.3945150021505</v>
      </c>
      <c r="E52" s="2">
        <f>E8/'Output-Calculation-sheet'!E7*'Output-Calculation-sheet'!E43</f>
        <v>2114.2736839387971</v>
      </c>
      <c r="F52" s="2">
        <f>F8/'Output-Calculation-sheet'!F7*'Output-Calculation-sheet'!F43</f>
        <v>0</v>
      </c>
      <c r="G52" s="2">
        <f>G8/'Output-Calculation-sheet'!G7*'Output-Calculation-sheet'!G43</f>
        <v>749.82833893593488</v>
      </c>
      <c r="H52" s="2">
        <f>H8/'Output-Calculation-sheet'!H7*'Output-Calculation-sheet'!H43</f>
        <v>5745.0322467263622</v>
      </c>
      <c r="I52" s="2">
        <f>I8/'Output-Calculation-sheet'!I7*'Output-Calculation-sheet'!I43</f>
        <v>245.24575377599612</v>
      </c>
      <c r="J52" s="2">
        <f>J8/'Output-Calculation-sheet'!J7*'Output-Calculation-sheet'!J43</f>
        <v>1334.9202782937821</v>
      </c>
      <c r="K52" s="2">
        <f>K8/'Output-Calculation-sheet'!K7*'Output-Calculation-sheet'!K43</f>
        <v>2681.5474419330817</v>
      </c>
      <c r="L52" s="2">
        <f>L8/'Output-Calculation-sheet'!L7*'Output-Calculation-sheet'!L43</f>
        <v>2491.603990861865</v>
      </c>
      <c r="M52" s="2">
        <f>M8/'Output-Calculation-sheet'!M7*'Output-Calculation-sheet'!M43</f>
        <v>16266.961887636471</v>
      </c>
      <c r="N52" s="2">
        <f>N8/'Output-Calculation-sheet'!N7*'Output-Calculation-sheet'!N43</f>
        <v>9311.3381907953844</v>
      </c>
      <c r="O52" s="2">
        <f>O8/'Output-Calculation-sheet'!O7*'Output-Calculation-sheet'!O43</f>
        <v>0</v>
      </c>
      <c r="P52" s="2">
        <f>P8/'Output-Calculation-sheet'!P7*'Output-Calculation-sheet'!P43</f>
        <v>1980.3162548322689</v>
      </c>
      <c r="Q52" s="2">
        <f>Q8/'Output-Calculation-sheet'!Q7*'Output-Calculation-sheet'!Q43</f>
        <v>449.96896829812465</v>
      </c>
      <c r="R52" s="2">
        <f>R8/'Output-Calculation-sheet'!R7*'Output-Calculation-sheet'!R43</f>
        <v>3608.6275197288487</v>
      </c>
      <c r="S52" s="2">
        <f>S8/'Output-Calculation-sheet'!S7*'Output-Calculation-sheet'!S43</f>
        <v>601.59616839310081</v>
      </c>
      <c r="T52" s="2">
        <f>T8/'Output-Calculation-sheet'!T7*'Output-Calculation-sheet'!T43</f>
        <v>1069.487867830421</v>
      </c>
      <c r="U52" s="2">
        <f>U8/'Output-Calculation-sheet'!U7*'Output-Calculation-sheet'!U43</f>
        <v>399.49243701455691</v>
      </c>
      <c r="V52" s="2">
        <f>V8/'Output-Calculation-sheet'!V7*'Output-Calculation-sheet'!V43</f>
        <v>1044.4647421043996</v>
      </c>
      <c r="W52" s="2">
        <f>W8/'Output-Calculation-sheet'!W7*'Output-Calculation-sheet'!W43</f>
        <v>12.503611808082475</v>
      </c>
      <c r="X52" s="2">
        <f>X8/'Output-Calculation-sheet'!X7*'Output-Calculation-sheet'!X43</f>
        <v>847.40052924290251</v>
      </c>
      <c r="Y52" s="2">
        <f>Y8/'Output-Calculation-sheet'!Y7*'Output-Calculation-sheet'!Y43</f>
        <v>0</v>
      </c>
      <c r="AA52" s="2">
        <f t="shared" si="3"/>
        <v>55.25592351212655</v>
      </c>
    </row>
    <row r="53" spans="1:27" x14ac:dyDescent="0.25">
      <c r="A53" s="2">
        <v>2032</v>
      </c>
      <c r="B53" s="2">
        <f>B9/'Output-Calculation-sheet'!B8*'Output-Calculation-sheet'!B44</f>
        <v>4849.7315844192526</v>
      </c>
      <c r="C53" s="2">
        <f>C9/'Output-Calculation-sheet'!C8*'Output-Calculation-sheet'!C44</f>
        <v>0</v>
      </c>
      <c r="D53" s="2">
        <f>D9/'Output-Calculation-sheet'!D8*'Output-Calculation-sheet'!D44</f>
        <v>4292.6289447453992</v>
      </c>
      <c r="E53" s="2">
        <f>E9/'Output-Calculation-sheet'!E8*'Output-Calculation-sheet'!E44</f>
        <v>2814.4833979046462</v>
      </c>
      <c r="F53" s="2">
        <f>F9/'Output-Calculation-sheet'!F8*'Output-Calculation-sheet'!F44</f>
        <v>0</v>
      </c>
      <c r="G53" s="2">
        <f>G9/'Output-Calculation-sheet'!G8*'Output-Calculation-sheet'!G44</f>
        <v>1039.4043064063285</v>
      </c>
      <c r="H53" s="2">
        <f>H9/'Output-Calculation-sheet'!H8*'Output-Calculation-sheet'!H44</f>
        <v>13052.474253050526</v>
      </c>
      <c r="I53" s="2">
        <f>I9/'Output-Calculation-sheet'!I8*'Output-Calculation-sheet'!I44</f>
        <v>380.87789939150321</v>
      </c>
      <c r="J53" s="2">
        <f>J9/'Output-Calculation-sheet'!J8*'Output-Calculation-sheet'!J44</f>
        <v>1747.6497868923939</v>
      </c>
      <c r="K53" s="2">
        <f>K9/'Output-Calculation-sheet'!K8*'Output-Calculation-sheet'!K44</f>
        <v>3164.9000938949926</v>
      </c>
      <c r="L53" s="2">
        <f>L9/'Output-Calculation-sheet'!L8*'Output-Calculation-sheet'!L44</f>
        <v>3084.8361976049168</v>
      </c>
      <c r="M53" s="2">
        <f>M9/'Output-Calculation-sheet'!M8*'Output-Calculation-sheet'!M44</f>
        <v>18552.964029123897</v>
      </c>
      <c r="N53" s="2">
        <f>N9/'Output-Calculation-sheet'!N8*'Output-Calculation-sheet'!N44</f>
        <v>12358.156882413898</v>
      </c>
      <c r="O53" s="2">
        <f>O9/'Output-Calculation-sheet'!O8*'Output-Calculation-sheet'!O44</f>
        <v>0</v>
      </c>
      <c r="P53" s="2">
        <f>P9/'Output-Calculation-sheet'!P8*'Output-Calculation-sheet'!P44</f>
        <v>2562.9349460633007</v>
      </c>
      <c r="Q53" s="2">
        <f>Q9/'Output-Calculation-sheet'!Q8*'Output-Calculation-sheet'!Q44</f>
        <v>773.40032607109504</v>
      </c>
      <c r="R53" s="2">
        <f>R9/'Output-Calculation-sheet'!R8*'Output-Calculation-sheet'!R44</f>
        <v>4338.8624383089727</v>
      </c>
      <c r="S53" s="2">
        <f>S9/'Output-Calculation-sheet'!S8*'Output-Calculation-sheet'!S44</f>
        <v>1257.7897019230666</v>
      </c>
      <c r="T53" s="2">
        <f>T9/'Output-Calculation-sheet'!T8*'Output-Calculation-sheet'!T44</f>
        <v>1289.0456471182079</v>
      </c>
      <c r="U53" s="2">
        <f>U9/'Output-Calculation-sheet'!U8*'Output-Calculation-sheet'!U44</f>
        <v>556.97699484377438</v>
      </c>
      <c r="V53" s="2">
        <f>V9/'Output-Calculation-sheet'!V8*'Output-Calculation-sheet'!V44</f>
        <v>1201.4560879414928</v>
      </c>
      <c r="W53" s="2">
        <f>W9/'Output-Calculation-sheet'!W8*'Output-Calculation-sheet'!W44</f>
        <v>32.952915572272481</v>
      </c>
      <c r="X53" s="2">
        <f>X9/'Output-Calculation-sheet'!X8*'Output-Calculation-sheet'!X44</f>
        <v>1784.763395236</v>
      </c>
      <c r="Y53" s="2">
        <f>Y9/'Output-Calculation-sheet'!Y8*'Output-Calculation-sheet'!Y44</f>
        <v>0</v>
      </c>
      <c r="AA53" s="2">
        <f t="shared" si="3"/>
        <v>79.136289828925953</v>
      </c>
    </row>
    <row r="54" spans="1:27" x14ac:dyDescent="0.25">
      <c r="A54" s="2">
        <v>2033</v>
      </c>
      <c r="B54" s="2">
        <f>B10/'Output-Calculation-sheet'!B9*'Output-Calculation-sheet'!B45</f>
        <v>10195.857406693965</v>
      </c>
      <c r="C54" s="2">
        <f>C10/'Output-Calculation-sheet'!C9*'Output-Calculation-sheet'!C45</f>
        <v>0</v>
      </c>
      <c r="D54" s="2">
        <f>D10/'Output-Calculation-sheet'!D9*'Output-Calculation-sheet'!D45</f>
        <v>5792.8367544103212</v>
      </c>
      <c r="E54" s="2">
        <f>E10/'Output-Calculation-sheet'!E9*'Output-Calculation-sheet'!E45</f>
        <v>3867.1584692044671</v>
      </c>
      <c r="F54" s="2">
        <f>F10/'Output-Calculation-sheet'!F9*'Output-Calculation-sheet'!F45</f>
        <v>0</v>
      </c>
      <c r="G54" s="2">
        <f>G10/'Output-Calculation-sheet'!G9*'Output-Calculation-sheet'!G45</f>
        <v>1371.4899037874789</v>
      </c>
      <c r="H54" s="2">
        <f>H10/'Output-Calculation-sheet'!H9*'Output-Calculation-sheet'!H45</f>
        <v>27216.321350925744</v>
      </c>
      <c r="I54" s="2">
        <f>I10/'Output-Calculation-sheet'!I9*'Output-Calculation-sheet'!I45</f>
        <v>560.71512935853843</v>
      </c>
      <c r="J54" s="2">
        <f>J10/'Output-Calculation-sheet'!J9*'Output-Calculation-sheet'!J45</f>
        <v>2293.6853943015217</v>
      </c>
      <c r="K54" s="2">
        <f>K10/'Output-Calculation-sheet'!K9*'Output-Calculation-sheet'!K45</f>
        <v>3894.4026250388783</v>
      </c>
      <c r="L54" s="2">
        <f>L10/'Output-Calculation-sheet'!L9*'Output-Calculation-sheet'!L45</f>
        <v>3710.1281037291128</v>
      </c>
      <c r="M54" s="2">
        <f>M10/'Output-Calculation-sheet'!M9*'Output-Calculation-sheet'!M45</f>
        <v>20251.17886746713</v>
      </c>
      <c r="N54" s="2">
        <f>N10/'Output-Calculation-sheet'!N9*'Output-Calculation-sheet'!N45</f>
        <v>14185.781777758764</v>
      </c>
      <c r="O54" s="2">
        <f>O10/'Output-Calculation-sheet'!O9*'Output-Calculation-sheet'!O45</f>
        <v>0</v>
      </c>
      <c r="P54" s="2">
        <f>P10/'Output-Calculation-sheet'!P9*'Output-Calculation-sheet'!P45</f>
        <v>3219.6806285471594</v>
      </c>
      <c r="Q54" s="2">
        <f>Q10/'Output-Calculation-sheet'!Q9*'Output-Calculation-sheet'!Q45</f>
        <v>1240.5023103830433</v>
      </c>
      <c r="R54" s="2">
        <f>R10/'Output-Calculation-sheet'!R9*'Output-Calculation-sheet'!R45</f>
        <v>4778.8124642309112</v>
      </c>
      <c r="S54" s="2">
        <f>S10/'Output-Calculation-sheet'!S9*'Output-Calculation-sheet'!S45</f>
        <v>2122.6853263635953</v>
      </c>
      <c r="T54" s="2">
        <f>T10/'Output-Calculation-sheet'!T9*'Output-Calculation-sheet'!T45</f>
        <v>1540.4292890172139</v>
      </c>
      <c r="U54" s="2">
        <f>U10/'Output-Calculation-sheet'!U9*'Output-Calculation-sheet'!U45</f>
        <v>692.6430581876217</v>
      </c>
      <c r="V54" s="2">
        <f>V10/'Output-Calculation-sheet'!V9*'Output-Calculation-sheet'!V45</f>
        <v>1344.0302342697448</v>
      </c>
      <c r="W54" s="2">
        <f>W10/'Output-Calculation-sheet'!W9*'Output-Calculation-sheet'!W45</f>
        <v>45.740008653175714</v>
      </c>
      <c r="X54" s="2">
        <f>X10/'Output-Calculation-sheet'!X9*'Output-Calculation-sheet'!X45</f>
        <v>1951.1216488139073</v>
      </c>
      <c r="Y54" s="2">
        <f>Y10/'Output-Calculation-sheet'!Y9*'Output-Calculation-sheet'!Y45</f>
        <v>14.664085513874731</v>
      </c>
      <c r="AA54" s="2">
        <f t="shared" si="3"/>
        <v>110.28986483665614</v>
      </c>
    </row>
    <row r="55" spans="1:27" x14ac:dyDescent="0.25">
      <c r="A55" s="2">
        <v>2034</v>
      </c>
      <c r="B55" s="2">
        <f>B11/'Output-Calculation-sheet'!B10*'Output-Calculation-sheet'!B46</f>
        <v>21617.854940050231</v>
      </c>
      <c r="C55" s="2">
        <f>C11/'Output-Calculation-sheet'!C10*'Output-Calculation-sheet'!C46</f>
        <v>0</v>
      </c>
      <c r="D55" s="2">
        <f>D11/'Output-Calculation-sheet'!D10*'Output-Calculation-sheet'!D46</f>
        <v>6907.5724272024045</v>
      </c>
      <c r="E55" s="2">
        <f>E11/'Output-Calculation-sheet'!E10*'Output-Calculation-sheet'!E46</f>
        <v>4526.5762717060461</v>
      </c>
      <c r="F55" s="2">
        <f>F11/'Output-Calculation-sheet'!F10*'Output-Calculation-sheet'!F46</f>
        <v>0</v>
      </c>
      <c r="G55" s="2">
        <f>G11/'Output-Calculation-sheet'!G10*'Output-Calculation-sheet'!G46</f>
        <v>1738.8734331301068</v>
      </c>
      <c r="H55" s="2">
        <f>H11/'Output-Calculation-sheet'!H10*'Output-Calculation-sheet'!H46</f>
        <v>28762.904401115375</v>
      </c>
      <c r="I55" s="2">
        <f>I11/'Output-Calculation-sheet'!I10*'Output-Calculation-sheet'!I46</f>
        <v>782.00641742488085</v>
      </c>
      <c r="J55" s="2">
        <f>J11/'Output-Calculation-sheet'!J10*'Output-Calculation-sheet'!J46</f>
        <v>2708.7536251897782</v>
      </c>
      <c r="K55" s="2">
        <f>K11/'Output-Calculation-sheet'!K10*'Output-Calculation-sheet'!K46</f>
        <v>4611.5352853913146</v>
      </c>
      <c r="L55" s="2">
        <f>L11/'Output-Calculation-sheet'!L10*'Output-Calculation-sheet'!L46</f>
        <v>4400.2462584369969</v>
      </c>
      <c r="M55" s="2">
        <f>M11/'Output-Calculation-sheet'!M10*'Output-Calculation-sheet'!M46</f>
        <v>21356.482609923176</v>
      </c>
      <c r="N55" s="2">
        <f>N11/'Output-Calculation-sheet'!N10*'Output-Calculation-sheet'!N46</f>
        <v>15721.13637685803</v>
      </c>
      <c r="O55" s="2">
        <f>O11/'Output-Calculation-sheet'!O10*'Output-Calculation-sheet'!O46</f>
        <v>0</v>
      </c>
      <c r="P55" s="2">
        <f>P11/'Output-Calculation-sheet'!P10*'Output-Calculation-sheet'!P46</f>
        <v>3657.1850113484138</v>
      </c>
      <c r="Q55" s="2">
        <f>Q11/'Output-Calculation-sheet'!Q10*'Output-Calculation-sheet'!Q46</f>
        <v>2046.1496427501072</v>
      </c>
      <c r="R55" s="2">
        <f>R11/'Output-Calculation-sheet'!R10*'Output-Calculation-sheet'!R46</f>
        <v>5122.3384422900954</v>
      </c>
      <c r="S55" s="2">
        <f>S11/'Output-Calculation-sheet'!S10*'Output-Calculation-sheet'!S46</f>
        <v>3297.8233202743841</v>
      </c>
      <c r="T55" s="2">
        <f>T11/'Output-Calculation-sheet'!T10*'Output-Calculation-sheet'!T46</f>
        <v>1693.6752222712034</v>
      </c>
      <c r="U55" s="2">
        <f>U11/'Output-Calculation-sheet'!U10*'Output-Calculation-sheet'!U46</f>
        <v>804.11612916464014</v>
      </c>
      <c r="V55" s="2">
        <f>V11/'Output-Calculation-sheet'!V10*'Output-Calculation-sheet'!V46</f>
        <v>1479.5168122452815</v>
      </c>
      <c r="W55" s="2">
        <f>W11/'Output-Calculation-sheet'!W10*'Output-Calculation-sheet'!W46</f>
        <v>74.423668689366522</v>
      </c>
      <c r="X55" s="2">
        <f>X11/'Output-Calculation-sheet'!X10*'Output-Calculation-sheet'!X46</f>
        <v>2069.4722829123775</v>
      </c>
      <c r="Y55" s="2">
        <f>Y11/'Output-Calculation-sheet'!Y10*'Output-Calculation-sheet'!Y46</f>
        <v>24.541679103189654</v>
      </c>
      <c r="AA55" s="2">
        <f t="shared" si="3"/>
        <v>133.40318425747739</v>
      </c>
    </row>
    <row r="56" spans="1:27" x14ac:dyDescent="0.25">
      <c r="A56" s="2">
        <v>2035</v>
      </c>
      <c r="B56" s="2">
        <f>B12/'Output-Calculation-sheet'!B11*'Output-Calculation-sheet'!B47</f>
        <v>37714.170914898466</v>
      </c>
      <c r="C56" s="2">
        <f>C12/'Output-Calculation-sheet'!C11*'Output-Calculation-sheet'!C47</f>
        <v>2237.4983343088029</v>
      </c>
      <c r="D56" s="2">
        <f>D12/'Output-Calculation-sheet'!D11*'Output-Calculation-sheet'!D47</f>
        <v>8052.0638228043363</v>
      </c>
      <c r="E56" s="2">
        <f>E12/'Output-Calculation-sheet'!E11*'Output-Calculation-sheet'!E47</f>
        <v>5808.5436394866292</v>
      </c>
      <c r="F56" s="2">
        <f>F12/'Output-Calculation-sheet'!F11*'Output-Calculation-sheet'!F47</f>
        <v>123.83646224527979</v>
      </c>
      <c r="G56" s="2">
        <f>G12/'Output-Calculation-sheet'!G11*'Output-Calculation-sheet'!G47</f>
        <v>2133.007972261184</v>
      </c>
      <c r="H56" s="2">
        <f>H12/'Output-Calculation-sheet'!H11*'Output-Calculation-sheet'!H47</f>
        <v>29832.423049785706</v>
      </c>
      <c r="I56" s="2">
        <f>I12/'Output-Calculation-sheet'!I11*'Output-Calculation-sheet'!I47</f>
        <v>919.28763310599243</v>
      </c>
      <c r="J56" s="2">
        <f>J12/'Output-Calculation-sheet'!J11*'Output-Calculation-sheet'!J47</f>
        <v>3006.2723200260648</v>
      </c>
      <c r="K56" s="2">
        <f>K12/'Output-Calculation-sheet'!K11*'Output-Calculation-sheet'!K47</f>
        <v>4949.6910891308744</v>
      </c>
      <c r="L56" s="2">
        <f>L12/'Output-Calculation-sheet'!L11*'Output-Calculation-sheet'!L47</f>
        <v>5091.4953908753232</v>
      </c>
      <c r="M56" s="2">
        <f>M12/'Output-Calculation-sheet'!M11*'Output-Calculation-sheet'!M47</f>
        <v>22067.938837455553</v>
      </c>
      <c r="N56" s="2">
        <f>N12/'Output-Calculation-sheet'!N11*'Output-Calculation-sheet'!N47</f>
        <v>16914.698074845848</v>
      </c>
      <c r="O56" s="2">
        <f>O12/'Output-Calculation-sheet'!O11*'Output-Calculation-sheet'!O47</f>
        <v>1059.5464731007128</v>
      </c>
      <c r="P56" s="2">
        <f>P12/'Output-Calculation-sheet'!P11*'Output-Calculation-sheet'!P47</f>
        <v>3899.8095053058491</v>
      </c>
      <c r="Q56" s="2">
        <f>Q12/'Output-Calculation-sheet'!Q11*'Output-Calculation-sheet'!Q47</f>
        <v>3009.8774094845876</v>
      </c>
      <c r="R56" s="2">
        <f>R12/'Output-Calculation-sheet'!R11*'Output-Calculation-sheet'!R47</f>
        <v>5362.6202709663157</v>
      </c>
      <c r="S56" s="2">
        <f>S12/'Output-Calculation-sheet'!S11*'Output-Calculation-sheet'!S47</f>
        <v>4589.3583448236041</v>
      </c>
      <c r="T56" s="2">
        <f>T12/'Output-Calculation-sheet'!T11*'Output-Calculation-sheet'!T47</f>
        <v>1871.6802669220406</v>
      </c>
      <c r="U56" s="2">
        <f>U12/'Output-Calculation-sheet'!U11*'Output-Calculation-sheet'!U47</f>
        <v>935.91950934014994</v>
      </c>
      <c r="V56" s="2">
        <f>V12/'Output-Calculation-sheet'!V11*'Output-Calculation-sheet'!V47</f>
        <v>1550.0406065313</v>
      </c>
      <c r="W56" s="2">
        <f>W12/'Output-Calculation-sheet'!W11*'Output-Calculation-sheet'!W47</f>
        <v>97.81350114481161</v>
      </c>
      <c r="X56" s="2">
        <f>X12/'Output-Calculation-sheet'!X11*'Output-Calculation-sheet'!X47</f>
        <v>2141.4468532555584</v>
      </c>
      <c r="Y56" s="2">
        <f>Y12/'Output-Calculation-sheet'!Y11*'Output-Calculation-sheet'!Y47</f>
        <v>37.63039634054153</v>
      </c>
      <c r="AA56" s="2">
        <f t="shared" si="3"/>
        <v>163.40667067844558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8.3766618474367593</v>
      </c>
      <c r="C63" s="2">
        <f>C8*'Output-Calculation-sheet'!C52/10^9</f>
        <v>5.1464275673280095</v>
      </c>
      <c r="D63" s="2">
        <f>D8*'Output-Calculation-sheet'!D52/10^9</f>
        <v>1.8131849786084711</v>
      </c>
      <c r="E63" s="2">
        <f>E8*'Output-Calculation-sheet'!E52/10^9</f>
        <v>2.1683072194668767</v>
      </c>
      <c r="F63" s="2">
        <f>F8*'Output-Calculation-sheet'!F52/10^9</f>
        <v>0.84184502460057808</v>
      </c>
      <c r="G63" s="2">
        <f>G8*'Output-Calculation-sheet'!G52/10^9</f>
        <v>0.59417713520252691</v>
      </c>
      <c r="H63" s="2">
        <f>H8*'Output-Calculation-sheet'!H52/10^9</f>
        <v>1.5831159953419538</v>
      </c>
      <c r="I63" s="2">
        <f>I8*'Output-Calculation-sheet'!I52/10^9</f>
        <v>0.58213260705088987</v>
      </c>
      <c r="J63" s="2">
        <f>J8*'Output-Calculation-sheet'!J52/10^9</f>
        <v>0.60605871587258253</v>
      </c>
      <c r="K63" s="2">
        <f>K8*'Output-Calculation-sheet'!K52/10^9</f>
        <v>0.7310815001741483</v>
      </c>
      <c r="L63" s="2">
        <f>L8*'Output-Calculation-sheet'!L52/10^9</f>
        <v>0.76314225042010675</v>
      </c>
      <c r="M63" s="2">
        <f>M8*'Output-Calculation-sheet'!M52/10^9</f>
        <v>1.1946042995638178</v>
      </c>
      <c r="N63" s="2">
        <f>N8*'Output-Calculation-sheet'!N52/10^9</f>
        <v>1.0272281644469303</v>
      </c>
      <c r="O63" s="2">
        <f>O8*'Output-Calculation-sheet'!O52/10^9</f>
        <v>1.0771599754260781</v>
      </c>
      <c r="P63" s="2">
        <f>P8*'Output-Calculation-sheet'!P52/10^9</f>
        <v>0.65582696667215123</v>
      </c>
      <c r="Q63" s="2">
        <f>Q8*'Output-Calculation-sheet'!Q52/10^9</f>
        <v>0.71402534271164153</v>
      </c>
      <c r="R63" s="2">
        <f>R8*'Output-Calculation-sheet'!R52/10^9</f>
        <v>0.55079267337530358</v>
      </c>
      <c r="S63" s="2">
        <f>S8*'Output-Calculation-sheet'!S52/10^9</f>
        <v>0.52455018190261826</v>
      </c>
      <c r="T63" s="2">
        <f>T8*'Output-Calculation-sheet'!T52/10^9</f>
        <v>0.17069495321737779</v>
      </c>
      <c r="U63" s="2">
        <f>U8*'Output-Calculation-sheet'!U52/10^9</f>
        <v>0.16646140918950775</v>
      </c>
      <c r="V63" s="2">
        <f>V8*'Output-Calculation-sheet'!V52/10^9</f>
        <v>0.14193101878163242</v>
      </c>
      <c r="W63" s="2">
        <f>W8*'Output-Calculation-sheet'!W52/10^9</f>
        <v>7.3113721412101221E-2</v>
      </c>
      <c r="X63" s="2">
        <f>X8*'Output-Calculation-sheet'!X52/10^9</f>
        <v>0.13822715119398407</v>
      </c>
      <c r="Y63" s="2">
        <f>Y8*'Output-Calculation-sheet'!Y52/10^9</f>
        <v>6.6591475879120288E-2</v>
      </c>
      <c r="AA63" s="2">
        <f t="shared" si="4"/>
        <v>29.707342175275173</v>
      </c>
    </row>
    <row r="64" spans="1:27" x14ac:dyDescent="0.25">
      <c r="A64" s="2">
        <v>2032</v>
      </c>
      <c r="B64" s="2">
        <f>B9*'Output-Calculation-sheet'!B53/10^9</f>
        <v>9.3927385021129481</v>
      </c>
      <c r="C64" s="2">
        <f>C9*'Output-Calculation-sheet'!C53/10^9</f>
        <v>5.7690834717961899</v>
      </c>
      <c r="D64" s="2">
        <f>D9*'Output-Calculation-sheet'!D53/10^9</f>
        <v>2.0345293783997929</v>
      </c>
      <c r="E64" s="2">
        <f>E9*'Output-Calculation-sheet'!E53/10^9</f>
        <v>2.4341952536037703</v>
      </c>
      <c r="F64" s="2">
        <f>F9*'Output-Calculation-sheet'!F53/10^9</f>
        <v>0.94509222932732939</v>
      </c>
      <c r="G64" s="2">
        <f>G9*'Output-Calculation-sheet'!G53/10^9</f>
        <v>0.66702094909682941</v>
      </c>
      <c r="H64" s="2">
        <f>H9*'Output-Calculation-sheet'!H53/10^9</f>
        <v>1.7595139444315708</v>
      </c>
      <c r="I64" s="2">
        <f>I9*'Output-Calculation-sheet'!I53/10^9</f>
        <v>0.65372227623152601</v>
      </c>
      <c r="J64" s="2">
        <f>J9*'Output-Calculation-sheet'!J53/10^9</f>
        <v>0.67966062594722543</v>
      </c>
      <c r="K64" s="2">
        <f>K9*'Output-Calculation-sheet'!K53/10^9</f>
        <v>0.81870322457649236</v>
      </c>
      <c r="L64" s="2">
        <f>L9*'Output-Calculation-sheet'!L53/10^9</f>
        <v>0.85093949798951019</v>
      </c>
      <c r="M64" s="2">
        <f>M9*'Output-Calculation-sheet'!M53/10^9</f>
        <v>1.3097617662408254</v>
      </c>
      <c r="N64" s="2">
        <f>N9*'Output-Calculation-sheet'!N53/10^9</f>
        <v>1.1353011986326438</v>
      </c>
      <c r="O64" s="2">
        <f>O9*'Output-Calculation-sheet'!O53/10^9</f>
        <v>1.2074421239181288</v>
      </c>
      <c r="P64" s="2">
        <f>P9*'Output-Calculation-sheet'!P53/10^9</f>
        <v>0.73516863183339753</v>
      </c>
      <c r="Q64" s="2">
        <f>Q9*'Output-Calculation-sheet'!Q53/10^9</f>
        <v>0.80165506368463746</v>
      </c>
      <c r="R64" s="2">
        <f>R9*'Output-Calculation-sheet'!R53/10^9</f>
        <v>0.61541194190984272</v>
      </c>
      <c r="S64" s="2">
        <f>S9*'Output-Calculation-sheet'!S53/10^9</f>
        <v>0.58703211706542202</v>
      </c>
      <c r="T64" s="2">
        <f>T9*'Output-Calculation-sheet'!T53/10^9</f>
        <v>0.19073880727774531</v>
      </c>
      <c r="U64" s="2">
        <f>U9*'Output-Calculation-sheet'!U53/10^9</f>
        <v>0.18675005076116891</v>
      </c>
      <c r="V64" s="2">
        <f>V9*'Output-Calculation-sheet'!V53/10^9</f>
        <v>0.15838326896766486</v>
      </c>
      <c r="W64" s="2">
        <f>W9*'Output-Calculation-sheet'!W53/10^9</f>
        <v>8.2089183191734E-2</v>
      </c>
      <c r="X64" s="2">
        <f>X9*'Output-Calculation-sheet'!X53/10^9</f>
        <v>0.15264377059957415</v>
      </c>
      <c r="Y64" s="2">
        <f>Y9*'Output-Calculation-sheet'!Y53/10^9</f>
        <v>7.4850780336913308E-2</v>
      </c>
      <c r="AA64" s="2">
        <f t="shared" si="4"/>
        <v>33.242428057932891</v>
      </c>
    </row>
    <row r="65" spans="1:27" x14ac:dyDescent="0.25">
      <c r="A65" s="2">
        <v>2033</v>
      </c>
      <c r="B65" s="2">
        <f>B10*'Output-Calculation-sheet'!B54/10^9</f>
        <v>10.055455187117458</v>
      </c>
      <c r="C65" s="2">
        <f>C10*'Output-Calculation-sheet'!C54/10^9</f>
        <v>6.1794549241842605</v>
      </c>
      <c r="D65" s="2">
        <f>D10*'Output-Calculation-sheet'!D54/10^9</f>
        <v>2.1811703956624222</v>
      </c>
      <c r="E65" s="2">
        <f>E10*'Output-Calculation-sheet'!E54/10^9</f>
        <v>2.611409661399831</v>
      </c>
      <c r="F65" s="2">
        <f>F10*'Output-Calculation-sheet'!F54/10^9</f>
        <v>1.0140597645794507</v>
      </c>
      <c r="G65" s="2">
        <f>G10*'Output-Calculation-sheet'!G54/10^9</f>
        <v>0.71551495271006504</v>
      </c>
      <c r="H65" s="2">
        <f>H10*'Output-Calculation-sheet'!H54/10^9</f>
        <v>1.8523284264561819</v>
      </c>
      <c r="I65" s="2">
        <f>I10*'Output-Calculation-sheet'!I54/10^9</f>
        <v>0.70155837361881324</v>
      </c>
      <c r="J65" s="2">
        <f>J10*'Output-Calculation-sheet'!J54/10^9</f>
        <v>0.72837629439359686</v>
      </c>
      <c r="K65" s="2">
        <f>K10*'Output-Calculation-sheet'!K54/10^9</f>
        <v>0.87607237992864773</v>
      </c>
      <c r="L65" s="2">
        <f>L10*'Output-Calculation-sheet'!L54/10^9</f>
        <v>0.90609572197727717</v>
      </c>
      <c r="M65" s="2">
        <f>M10*'Output-Calculation-sheet'!M54/10^9</f>
        <v>1.3714283549753277</v>
      </c>
      <c r="N65" s="2">
        <f>N10*'Output-Calculation-sheet'!N54/10^9</f>
        <v>1.196757839034174</v>
      </c>
      <c r="O65" s="2">
        <f>O10*'Output-Calculation-sheet'!O54/10^9</f>
        <v>1.2933240081185386</v>
      </c>
      <c r="P65" s="2">
        <f>P10*'Output-Calculation-sheet'!P54/10^9</f>
        <v>0.78733763560928904</v>
      </c>
      <c r="Q65" s="2">
        <f>Q10*'Output-Calculation-sheet'!Q54/10^9</f>
        <v>0.85944142904070409</v>
      </c>
      <c r="R65" s="2">
        <f>R10*'Output-Calculation-sheet'!R54/10^9</f>
        <v>0.65714954306292739</v>
      </c>
      <c r="S65" s="2">
        <f>S10*'Output-Calculation-sheet'!S54/10^9</f>
        <v>0.62665058869888035</v>
      </c>
      <c r="T65" s="2">
        <f>T10*'Output-Calculation-sheet'!T54/10^9</f>
        <v>0.20365145932376291</v>
      </c>
      <c r="U65" s="2">
        <f>U10*'Output-Calculation-sheet'!U54/10^9</f>
        <v>0.20019142127960063</v>
      </c>
      <c r="V65" s="2">
        <f>V10*'Output-Calculation-sheet'!V54/10^9</f>
        <v>0.16892272846614256</v>
      </c>
      <c r="W65" s="2">
        <f>W10*'Output-Calculation-sheet'!W54/10^9</f>
        <v>8.8078730882734019E-2</v>
      </c>
      <c r="X65" s="2">
        <f>X10*'Output-Calculation-sheet'!X54/10^9</f>
        <v>0.16047894740514157</v>
      </c>
      <c r="Y65" s="2">
        <f>Y10*'Output-Calculation-sheet'!Y54/10^9</f>
        <v>8.040032171847046E-2</v>
      </c>
      <c r="AA65" s="2">
        <f t="shared" si="4"/>
        <v>35.515309089643708</v>
      </c>
    </row>
    <row r="66" spans="1:27" x14ac:dyDescent="0.25">
      <c r="A66" s="2">
        <v>2034</v>
      </c>
      <c r="B66" s="2">
        <f>B11*'Output-Calculation-sheet'!B55/10^9</f>
        <v>10.414209995667475</v>
      </c>
      <c r="C66" s="2">
        <f>C11*'Output-Calculation-sheet'!C55/10^9</f>
        <v>6.410962044945558</v>
      </c>
      <c r="D66" s="2">
        <f>D11*'Output-Calculation-sheet'!D55/10^9</f>
        <v>2.2651824952191486</v>
      </c>
      <c r="E66" s="2">
        <f>E11*'Output-Calculation-sheet'!E55/10^9</f>
        <v>2.7138980399321873</v>
      </c>
      <c r="F66" s="2">
        <f>F11*'Output-Calculation-sheet'!F55/10^9</f>
        <v>1.0541266438581869</v>
      </c>
      <c r="G66" s="2">
        <f>G11*'Output-Calculation-sheet'!G55/10^9</f>
        <v>0.7434592811580486</v>
      </c>
      <c r="H66" s="2">
        <f>H11*'Output-Calculation-sheet'!H55/10^9</f>
        <v>1.8794117658632745</v>
      </c>
      <c r="I66" s="2">
        <f>I11*'Output-Calculation-sheet'!I55/10^9</f>
        <v>0.72928005222470749</v>
      </c>
      <c r="J66" s="2">
        <f>J11*'Output-Calculation-sheet'!J55/10^9</f>
        <v>0.75592596850449445</v>
      </c>
      <c r="K66" s="2">
        <f>K11*'Output-Calculation-sheet'!K55/10^9</f>
        <v>0.90803969658637307</v>
      </c>
      <c r="L66" s="2">
        <f>L11*'Output-Calculation-sheet'!L55/10^9</f>
        <v>0.93394570699043034</v>
      </c>
      <c r="M66" s="2">
        <f>M11*'Output-Calculation-sheet'!M55/10^9</f>
        <v>1.389708901009836</v>
      </c>
      <c r="N66" s="2">
        <f>N11*'Output-Calculation-sheet'!N55/10^9</f>
        <v>1.2205318216341472</v>
      </c>
      <c r="O66" s="2">
        <f>O11*'Output-Calculation-sheet'!O55/10^9</f>
        <v>1.341823058437603</v>
      </c>
      <c r="P66" s="2">
        <f>P11*'Output-Calculation-sheet'!P55/10^9</f>
        <v>0.81658551271446322</v>
      </c>
      <c r="Q66" s="2">
        <f>Q11*'Output-Calculation-sheet'!Q55/10^9</f>
        <v>0.89134214479545837</v>
      </c>
      <c r="R66" s="2">
        <f>R11*'Output-Calculation-sheet'!R55/10^9</f>
        <v>0.67986729862155459</v>
      </c>
      <c r="S66" s="2">
        <f>S11*'Output-Calculation-sheet'!S55/10^9</f>
        <v>0.64651194625053876</v>
      </c>
      <c r="T66" s="2">
        <f>T11*'Output-Calculation-sheet'!T55/10^9</f>
        <v>0.21060353393319872</v>
      </c>
      <c r="U66" s="2">
        <f>U11*'Output-Calculation-sheet'!U55/10^9</f>
        <v>0.20784971720605425</v>
      </c>
      <c r="V66" s="2">
        <f>V11*'Output-Calculation-sheet'!V55/10^9</f>
        <v>0.17454544774950742</v>
      </c>
      <c r="W66" s="2">
        <f>W11*'Output-Calculation-sheet'!W55/10^9</f>
        <v>9.154533719751444E-2</v>
      </c>
      <c r="X66" s="2">
        <f>X11*'Output-Calculation-sheet'!X55/10^9</f>
        <v>0.16331507357563096</v>
      </c>
      <c r="Y66" s="2">
        <f>Y11*'Output-Calculation-sheet'!Y55/10^9</f>
        <v>8.3668875851177299E-2</v>
      </c>
      <c r="AA66" s="2">
        <f t="shared" si="4"/>
        <v>36.726340359926567</v>
      </c>
    </row>
    <row r="67" spans="1:27" x14ac:dyDescent="0.25">
      <c r="A67" s="2">
        <v>2035</v>
      </c>
      <c r="B67" s="2">
        <f>B12*'Output-Calculation-sheet'!B56/10^9</f>
        <v>10.517693080000001</v>
      </c>
      <c r="C67" s="2">
        <f>C12*'Output-Calculation-sheet'!C56/10^9</f>
        <v>6.4968269441577835</v>
      </c>
      <c r="D67" s="2">
        <f>D12*'Output-Calculation-sheet'!D56/10^9</f>
        <v>2.298074628534081</v>
      </c>
      <c r="E67" s="2">
        <f>E12*'Output-Calculation-sheet'!E56/10^9</f>
        <v>2.7555889884446234</v>
      </c>
      <c r="F67" s="2">
        <f>F12*'Output-Calculation-sheet'!F56/10^9</f>
        <v>1.0706911687707366</v>
      </c>
      <c r="G67" s="2">
        <f>G12*'Output-Calculation-sheet'!G56/10^9</f>
        <v>0.75471301047374373</v>
      </c>
      <c r="H67" s="2">
        <f>H12*'Output-Calculation-sheet'!H56/10^9</f>
        <v>1.861390356764923</v>
      </c>
      <c r="I67" s="2">
        <f>I12*'Output-Calculation-sheet'!I56/10^9</f>
        <v>0.74071498784658241</v>
      </c>
      <c r="J67" s="2">
        <f>J12*'Output-Calculation-sheet'!J56/10^9</f>
        <v>0.7665871733302223</v>
      </c>
      <c r="K67" s="2">
        <f>K12*'Output-Calculation-sheet'!K56/10^9</f>
        <v>0.91941032518798049</v>
      </c>
      <c r="L67" s="2">
        <f>L12*'Output-Calculation-sheet'!L56/10^9</f>
        <v>0.93980301754806284</v>
      </c>
      <c r="M67" s="2">
        <f>M12*'Output-Calculation-sheet'!M56/10^9</f>
        <v>1.3745583894849895</v>
      </c>
      <c r="N67" s="2">
        <f>N12*'Output-Calculation-sheet'!N56/10^9</f>
        <v>1.2145944287187891</v>
      </c>
      <c r="O67" s="2">
        <f>O12*'Output-Calculation-sheet'!O56/10^9</f>
        <v>1.3591367894628714</v>
      </c>
      <c r="P67" s="2">
        <f>P12*'Output-Calculation-sheet'!P56/10^9</f>
        <v>0.82753504781437581</v>
      </c>
      <c r="Q67" s="2">
        <f>Q12*'Output-Calculation-sheet'!Q56/10^9</f>
        <v>0.90171674680348801</v>
      </c>
      <c r="R67" s="2">
        <f>R12*'Output-Calculation-sheet'!R56/10^9</f>
        <v>0.68733582034947815</v>
      </c>
      <c r="S67" s="2">
        <f>S12*'Output-Calculation-sheet'!S56/10^9</f>
        <v>0.65001571932632962</v>
      </c>
      <c r="T67" s="2">
        <f>T12*'Output-Calculation-sheet'!T56/10^9</f>
        <v>0.21277507102231299</v>
      </c>
      <c r="U67" s="2">
        <f>U12*'Output-Calculation-sheet'!U56/10^9</f>
        <v>0.2108461946533581</v>
      </c>
      <c r="V67" s="2">
        <f>V12*'Output-Calculation-sheet'!V56/10^9</f>
        <v>0.1762080377134643</v>
      </c>
      <c r="W67" s="2">
        <f>W12*'Output-Calculation-sheet'!W56/10^9</f>
        <v>9.2965847948408606E-2</v>
      </c>
      <c r="X67" s="2">
        <f>X12*'Output-Calculation-sheet'!X56/10^9</f>
        <v>0.16222849547507354</v>
      </c>
      <c r="Y67" s="2">
        <f>Y12*'Output-Calculation-sheet'!Y56/10^9</f>
        <v>8.5077071220274331E-2</v>
      </c>
      <c r="AA67" s="2">
        <f t="shared" si="4"/>
        <v>37.076487341051951</v>
      </c>
    </row>
    <row r="68" spans="1:27" x14ac:dyDescent="0.25">
      <c r="B68" s="2">
        <f>SUM(B60:B67)</f>
        <v>65.510625904205227</v>
      </c>
      <c r="C68" s="2">
        <f t="shared" ref="C68:Y68" si="5">SUM(C60:C67)</f>
        <v>40.274763643110632</v>
      </c>
      <c r="D68" s="2">
        <f t="shared" si="5"/>
        <v>14.222807562094154</v>
      </c>
      <c r="E68" s="2">
        <f t="shared" si="5"/>
        <v>17.022977082121251</v>
      </c>
      <c r="F68" s="2">
        <f t="shared" si="5"/>
        <v>6.6112455680658879</v>
      </c>
      <c r="G68" s="2">
        <f t="shared" si="5"/>
        <v>4.6632835592056594</v>
      </c>
      <c r="H68" s="2">
        <f t="shared" si="5"/>
        <v>12.117619201887774</v>
      </c>
      <c r="I68" s="2">
        <f t="shared" si="5"/>
        <v>4.5711865933219213</v>
      </c>
      <c r="J68" s="2">
        <f t="shared" si="5"/>
        <v>4.7526475485440605</v>
      </c>
      <c r="K68" s="2">
        <f t="shared" si="5"/>
        <v>5.7278656052349026</v>
      </c>
      <c r="L68" s="2">
        <f t="shared" si="5"/>
        <v>5.9429482268680607</v>
      </c>
      <c r="M68" s="2">
        <f t="shared" si="5"/>
        <v>9.1702124773829929</v>
      </c>
      <c r="N68" s="2">
        <f t="shared" si="5"/>
        <v>7.8958345121268367</v>
      </c>
      <c r="O68" s="2">
        <f t="shared" si="5"/>
        <v>8.4289690163157953</v>
      </c>
      <c r="P68" s="2">
        <f t="shared" si="5"/>
        <v>5.1389416767836176</v>
      </c>
      <c r="Q68" s="2">
        <f t="shared" si="5"/>
        <v>5.5958055359861767</v>
      </c>
      <c r="R68" s="2">
        <f t="shared" si="5"/>
        <v>4.3115891136830626</v>
      </c>
      <c r="S68" s="2">
        <f t="shared" si="5"/>
        <v>4.0841658862497363</v>
      </c>
      <c r="T68" s="2">
        <f t="shared" si="5"/>
        <v>1.3356280890939132</v>
      </c>
      <c r="U68" s="2">
        <f t="shared" si="5"/>
        <v>1.3054032918069549</v>
      </c>
      <c r="V68" s="2">
        <f t="shared" si="5"/>
        <v>1.1105582745129403</v>
      </c>
      <c r="W68" s="2">
        <f t="shared" si="5"/>
        <v>0.57406323356777245</v>
      </c>
      <c r="X68" s="2">
        <f t="shared" si="5"/>
        <v>1.0555887784214995</v>
      </c>
      <c r="Y68" s="2">
        <f t="shared" si="5"/>
        <v>0.52347837600426017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496.71835812881409</v>
      </c>
      <c r="C74" s="2">
        <f>C8/'Output-Calculation-sheet'!C7*'Output-Calculation-sheet'!C61</f>
        <v>0</v>
      </c>
      <c r="D74" s="2">
        <f>D8/'Output-Calculation-sheet'!D7*'Output-Calculation-sheet'!D61</f>
        <v>812.83387341430318</v>
      </c>
      <c r="E74" s="2">
        <f>E8/'Output-Calculation-sheet'!E7*'Output-Calculation-sheet'!E61</f>
        <v>603.24758789239456</v>
      </c>
      <c r="F74" s="2">
        <f>F8/'Output-Calculation-sheet'!F7*'Output-Calculation-sheet'!F61</f>
        <v>0</v>
      </c>
      <c r="G74" s="2">
        <f>G8/'Output-Calculation-sheet'!G7*'Output-Calculation-sheet'!G61</f>
        <v>274.67575379475903</v>
      </c>
      <c r="H74" s="2">
        <f>H8/'Output-Calculation-sheet'!H7*'Output-Calculation-sheet'!H61</f>
        <v>1319.1782665845119</v>
      </c>
      <c r="I74" s="2">
        <f>I8/'Output-Calculation-sheet'!I7*'Output-Calculation-sheet'!I61</f>
        <v>96.841417022296469</v>
      </c>
      <c r="J74" s="2">
        <f>J8/'Output-Calculation-sheet'!J7*'Output-Calculation-sheet'!J61</f>
        <v>403.75270598940119</v>
      </c>
      <c r="K74" s="2">
        <f>K8/'Output-Calculation-sheet'!K7*'Output-Calculation-sheet'!K61</f>
        <v>678.0699458506067</v>
      </c>
      <c r="L74" s="2">
        <f>L8/'Output-Calculation-sheet'!L7*'Output-Calculation-sheet'!L61</f>
        <v>588.28207688089515</v>
      </c>
      <c r="M74" s="2">
        <f>M8/'Output-Calculation-sheet'!M7*'Output-Calculation-sheet'!M61</f>
        <v>2946.1830777443047</v>
      </c>
      <c r="N74" s="2">
        <f>N8/'Output-Calculation-sheet'!N7*'Output-Calculation-sheet'!N61</f>
        <v>1661.7947502047341</v>
      </c>
      <c r="O74" s="2">
        <f>O8/'Output-Calculation-sheet'!O7*'Output-Calculation-sheet'!O61</f>
        <v>0</v>
      </c>
      <c r="P74" s="2">
        <f>P8/'Output-Calculation-sheet'!P7*'Output-Calculation-sheet'!P61</f>
        <v>469.66500510438641</v>
      </c>
      <c r="Q74" s="2">
        <f>Q8/'Output-Calculation-sheet'!Q7*'Output-Calculation-sheet'!Q61</f>
        <v>123.81972175473177</v>
      </c>
      <c r="R74" s="2">
        <f>R8/'Output-Calculation-sheet'!R7*'Output-Calculation-sheet'!R61</f>
        <v>816.79149774507812</v>
      </c>
      <c r="S74" s="2">
        <f>S8/'Output-Calculation-sheet'!S7*'Output-Calculation-sheet'!S61</f>
        <v>144.53667943606158</v>
      </c>
      <c r="T74" s="2">
        <f>T8/'Output-Calculation-sheet'!T7*'Output-Calculation-sheet'!T61</f>
        <v>276.63129145090221</v>
      </c>
      <c r="U74" s="2">
        <f>U8/'Output-Calculation-sheet'!U7*'Output-Calculation-sheet'!U61</f>
        <v>109.60449533654071</v>
      </c>
      <c r="V74" s="2">
        <f>V8/'Output-Calculation-sheet'!V7*'Output-Calculation-sheet'!V61</f>
        <v>192.51843665756579</v>
      </c>
      <c r="W74" s="2">
        <f>W8/'Output-Calculation-sheet'!W7*'Output-Calculation-sheet'!W61</f>
        <v>4.5804897923608801</v>
      </c>
      <c r="X74" s="2">
        <f>X8/'Output-Calculation-sheet'!X7*'Output-Calculation-sheet'!X61</f>
        <v>164.51533568901621</v>
      </c>
      <c r="Y74" s="2">
        <f>Y8/'Output-Calculation-sheet'!Y7*'Output-Calculation-sheet'!Y61</f>
        <v>0</v>
      </c>
      <c r="AA74" s="2">
        <f t="shared" si="6"/>
        <v>12.184240766473664</v>
      </c>
    </row>
    <row r="75" spans="1:27" x14ac:dyDescent="0.25">
      <c r="A75" s="2">
        <v>2032</v>
      </c>
      <c r="B75" s="2">
        <f>B9/'Output-Calculation-sheet'!B8*'Output-Calculation-sheet'!B62</f>
        <v>1375.0265286982376</v>
      </c>
      <c r="C75" s="2">
        <f>C9/'Output-Calculation-sheet'!C8*'Output-Calculation-sheet'!C62</f>
        <v>0</v>
      </c>
      <c r="D75" s="2">
        <f>D9/'Output-Calculation-sheet'!D8*'Output-Calculation-sheet'!D62</f>
        <v>1124.7760992469132</v>
      </c>
      <c r="E75" s="2">
        <f>E9/'Output-Calculation-sheet'!E8*'Output-Calculation-sheet'!E62</f>
        <v>790.95512218689953</v>
      </c>
      <c r="F75" s="2">
        <f>F9/'Output-Calculation-sheet'!F8*'Output-Calculation-sheet'!F62</f>
        <v>0</v>
      </c>
      <c r="G75" s="2">
        <f>G9/'Output-Calculation-sheet'!G8*'Output-Calculation-sheet'!G62</f>
        <v>365.4468548413065</v>
      </c>
      <c r="H75" s="2">
        <f>H9/'Output-Calculation-sheet'!H8*'Output-Calculation-sheet'!H62</f>
        <v>2579.9520608579669</v>
      </c>
      <c r="I75" s="2">
        <f>I9/'Output-Calculation-sheet'!I8*'Output-Calculation-sheet'!I62</f>
        <v>156.26381454125945</v>
      </c>
      <c r="J75" s="2">
        <f>J9/'Output-Calculation-sheet'!J8*'Output-Calculation-sheet'!J62</f>
        <v>512.16419048811213</v>
      </c>
      <c r="K75" s="2">
        <f>K9/'Output-Calculation-sheet'!K8*'Output-Calculation-sheet'!K62</f>
        <v>803.23803135702701</v>
      </c>
      <c r="L75" s="2">
        <f>L9/'Output-Calculation-sheet'!L8*'Output-Calculation-sheet'!L62</f>
        <v>697.49770025845908</v>
      </c>
      <c r="M75" s="2">
        <f>M9/'Output-Calculation-sheet'!M8*'Output-Calculation-sheet'!M62</f>
        <v>3358.2917779467134</v>
      </c>
      <c r="N75" s="2">
        <f>N9/'Output-Calculation-sheet'!N8*'Output-Calculation-sheet'!N62</f>
        <v>2170.8237496734923</v>
      </c>
      <c r="O75" s="2">
        <f>O9/'Output-Calculation-sheet'!O8*'Output-Calculation-sheet'!O62</f>
        <v>0</v>
      </c>
      <c r="P75" s="2">
        <f>P9/'Output-Calculation-sheet'!P8*'Output-Calculation-sheet'!P62</f>
        <v>599.05109452939564</v>
      </c>
      <c r="Q75" s="2">
        <f>Q9/'Output-Calculation-sheet'!Q8*'Output-Calculation-sheet'!Q62</f>
        <v>212.46411814781652</v>
      </c>
      <c r="R75" s="2">
        <f>R9/'Output-Calculation-sheet'!R8*'Output-Calculation-sheet'!R62</f>
        <v>953.69511200830721</v>
      </c>
      <c r="S75" s="2">
        <f>S9/'Output-Calculation-sheet'!S8*'Output-Calculation-sheet'!S62</f>
        <v>276.13544030724796</v>
      </c>
      <c r="T75" s="2">
        <f>T9/'Output-Calculation-sheet'!T8*'Output-Calculation-sheet'!T62</f>
        <v>319.29417462958173</v>
      </c>
      <c r="U75" s="2">
        <f>U9/'Output-Calculation-sheet'!U8*'Output-Calculation-sheet'!U62</f>
        <v>148.53659908061567</v>
      </c>
      <c r="V75" s="2">
        <f>V9/'Output-Calculation-sheet'!V8*'Output-Calculation-sheet'!V62</f>
        <v>221.53545512948341</v>
      </c>
      <c r="W75" s="2">
        <f>W9/'Output-Calculation-sheet'!W8*'Output-Calculation-sheet'!W62</f>
        <v>12.070182218186662</v>
      </c>
      <c r="X75" s="2">
        <f>X9/'Output-Calculation-sheet'!X8*'Output-Calculation-sheet'!X62</f>
        <v>318.19741459575835</v>
      </c>
      <c r="Y75" s="2">
        <f>Y9/'Output-Calculation-sheet'!Y8*'Output-Calculation-sheet'!Y62</f>
        <v>0</v>
      </c>
      <c r="AA75" s="2">
        <f t="shared" si="6"/>
        <v>16.995415520742778</v>
      </c>
    </row>
    <row r="76" spans="1:27" x14ac:dyDescent="0.25">
      <c r="A76" s="2">
        <v>2033</v>
      </c>
      <c r="B76" s="2">
        <f>B10/'Output-Calculation-sheet'!B9*'Output-Calculation-sheet'!B63</f>
        <v>2677.9281696824851</v>
      </c>
      <c r="C76" s="2">
        <f>C10/'Output-Calculation-sheet'!C9*'Output-Calculation-sheet'!C63</f>
        <v>0</v>
      </c>
      <c r="D76" s="2">
        <f>D10/'Output-Calculation-sheet'!D9*'Output-Calculation-sheet'!D63</f>
        <v>1431.8733889551431</v>
      </c>
      <c r="E76" s="2">
        <f>E10/'Output-Calculation-sheet'!E9*'Output-Calculation-sheet'!E63</f>
        <v>1062.3636766114557</v>
      </c>
      <c r="F76" s="2">
        <f>F10/'Output-Calculation-sheet'!F9*'Output-Calculation-sheet'!F63</f>
        <v>0</v>
      </c>
      <c r="G76" s="2">
        <f>G10/'Output-Calculation-sheet'!G9*'Output-Calculation-sheet'!G63</f>
        <v>476.4472805157472</v>
      </c>
      <c r="H76" s="2">
        <f>H10/'Output-Calculation-sheet'!H9*'Output-Calculation-sheet'!H63</f>
        <v>4886.1348990991864</v>
      </c>
      <c r="I76" s="2">
        <f>I10/'Output-Calculation-sheet'!I9*'Output-Calculation-sheet'!I63</f>
        <v>221.07128500175972</v>
      </c>
      <c r="J76" s="2">
        <f>J10/'Output-Calculation-sheet'!J9*'Output-Calculation-sheet'!J63</f>
        <v>665.13176942172663</v>
      </c>
      <c r="K76" s="2">
        <f>K10/'Output-Calculation-sheet'!K9*'Output-Calculation-sheet'!K63</f>
        <v>917.97683008699448</v>
      </c>
      <c r="L76" s="2">
        <f>L10/'Output-Calculation-sheet'!L9*'Output-Calculation-sheet'!L63</f>
        <v>849.67776296819875</v>
      </c>
      <c r="M76" s="2">
        <f>M10/'Output-Calculation-sheet'!M9*'Output-Calculation-sheet'!M63</f>
        <v>3654.4374253682513</v>
      </c>
      <c r="N76" s="2">
        <f>N10/'Output-Calculation-sheet'!N9*'Output-Calculation-sheet'!N63</f>
        <v>2484.5811382001248</v>
      </c>
      <c r="O76" s="2">
        <f>O10/'Output-Calculation-sheet'!O9*'Output-Calculation-sheet'!O63</f>
        <v>0</v>
      </c>
      <c r="P76" s="2">
        <f>P10/'Output-Calculation-sheet'!P9*'Output-Calculation-sheet'!P63</f>
        <v>717.98878016601657</v>
      </c>
      <c r="Q76" s="2">
        <f>Q10/'Output-Calculation-sheet'!Q9*'Output-Calculation-sheet'!Q63</f>
        <v>315.58855892417847</v>
      </c>
      <c r="R76" s="2">
        <f>R10/'Output-Calculation-sheet'!R9*'Output-Calculation-sheet'!R63</f>
        <v>1048.9729933861317</v>
      </c>
      <c r="S76" s="2">
        <f>S10/'Output-Calculation-sheet'!S9*'Output-Calculation-sheet'!S63</f>
        <v>444.62453597146867</v>
      </c>
      <c r="T76" s="2">
        <f>T10/'Output-Calculation-sheet'!T9*'Output-Calculation-sheet'!T63</f>
        <v>368.3901634928099</v>
      </c>
      <c r="U76" s="2">
        <f>U10/'Output-Calculation-sheet'!U9*'Output-Calculation-sheet'!U63</f>
        <v>180.6504433299452</v>
      </c>
      <c r="V76" s="2">
        <f>V10/'Output-Calculation-sheet'!V9*'Output-Calculation-sheet'!V63</f>
        <v>240.38186159382505</v>
      </c>
      <c r="W76" s="2">
        <f>W10/'Output-Calculation-sheet'!W9*'Output-Calculation-sheet'!W63</f>
        <v>16.75608983661337</v>
      </c>
      <c r="X76" s="2">
        <f>X10/'Output-Calculation-sheet'!X9*'Output-Calculation-sheet'!X63</f>
        <v>348.73412298769193</v>
      </c>
      <c r="Y76" s="2">
        <f>Y10/'Output-Calculation-sheet'!Y9*'Output-Calculation-sheet'!Y63</f>
        <v>5.3729209322837015</v>
      </c>
      <c r="AA76" s="2">
        <f t="shared" si="6"/>
        <v>23.015084096532039</v>
      </c>
    </row>
    <row r="77" spans="1:27" x14ac:dyDescent="0.25">
      <c r="A77" s="2">
        <v>2034</v>
      </c>
      <c r="B77" s="2">
        <f>B11/'Output-Calculation-sheet'!B10*'Output-Calculation-sheet'!B64</f>
        <v>4838.0759355832415</v>
      </c>
      <c r="C77" s="2">
        <f>C11/'Output-Calculation-sheet'!C10*'Output-Calculation-sheet'!C64</f>
        <v>0</v>
      </c>
      <c r="D77" s="2">
        <f>D11/'Output-Calculation-sheet'!D10*'Output-Calculation-sheet'!D64</f>
        <v>1718.4101231180719</v>
      </c>
      <c r="E77" s="2">
        <f>E11/'Output-Calculation-sheet'!E10*'Output-Calculation-sheet'!E64</f>
        <v>1202.2393957384377</v>
      </c>
      <c r="F77" s="2">
        <f>F11/'Output-Calculation-sheet'!F10*'Output-Calculation-sheet'!F64</f>
        <v>0</v>
      </c>
      <c r="G77" s="2">
        <f>G11/'Output-Calculation-sheet'!G10*'Output-Calculation-sheet'!G64</f>
        <v>558.43920304973381</v>
      </c>
      <c r="H77" s="2">
        <f>H11/'Output-Calculation-sheet'!H10*'Output-Calculation-sheet'!H64</f>
        <v>5230.6373412078128</v>
      </c>
      <c r="I77" s="2">
        <f>I11/'Output-Calculation-sheet'!I10*'Output-Calculation-sheet'!I64</f>
        <v>296.3413318831586</v>
      </c>
      <c r="J77" s="2">
        <f>J11/'Output-Calculation-sheet'!J10*'Output-Calculation-sheet'!J64</f>
        <v>748.15775127741665</v>
      </c>
      <c r="K77" s="2">
        <f>K11/'Output-Calculation-sheet'!K10*'Output-Calculation-sheet'!K64</f>
        <v>1053.12094134053</v>
      </c>
      <c r="L77" s="2">
        <f>L11/'Output-Calculation-sheet'!L10*'Output-Calculation-sheet'!L64</f>
        <v>924.20450060018743</v>
      </c>
      <c r="M77" s="2">
        <f>M11/'Output-Calculation-sheet'!M10*'Output-Calculation-sheet'!M64</f>
        <v>3914.5534318750497</v>
      </c>
      <c r="N77" s="2">
        <f>N11/'Output-Calculation-sheet'!N10*'Output-Calculation-sheet'!N64</f>
        <v>2752.9646457606</v>
      </c>
      <c r="O77" s="2">
        <f>O11/'Output-Calculation-sheet'!O10*'Output-Calculation-sheet'!O64</f>
        <v>0</v>
      </c>
      <c r="P77" s="2">
        <f>P11/'Output-Calculation-sheet'!P10*'Output-Calculation-sheet'!P64</f>
        <v>805.42264436976711</v>
      </c>
      <c r="Q77" s="2">
        <f>Q11/'Output-Calculation-sheet'!Q10*'Output-Calculation-sheet'!Q64</f>
        <v>492.02412994812943</v>
      </c>
      <c r="R77" s="2">
        <f>R11/'Output-Calculation-sheet'!R10*'Output-Calculation-sheet'!R64</f>
        <v>1133.8432242788992</v>
      </c>
      <c r="S77" s="2">
        <f>S11/'Output-Calculation-sheet'!S10*'Output-Calculation-sheet'!S64</f>
        <v>667.97248093577446</v>
      </c>
      <c r="T77" s="2">
        <f>T11/'Output-Calculation-sheet'!T10*'Output-Calculation-sheet'!T64</f>
        <v>399.6432674475937</v>
      </c>
      <c r="U77" s="2">
        <f>U11/'Output-Calculation-sheet'!U10*'Output-Calculation-sheet'!U64</f>
        <v>208.01926953280906</v>
      </c>
      <c r="V77" s="2">
        <f>V11/'Output-Calculation-sheet'!V10*'Output-Calculation-sheet'!V64</f>
        <v>265.73595325663592</v>
      </c>
      <c r="W77" s="2">
        <f>W11/'Output-Calculation-sheet'!W10*'Output-Calculation-sheet'!W64</f>
        <v>27.260326645647968</v>
      </c>
      <c r="X77" s="2">
        <f>X11/'Output-Calculation-sheet'!X10*'Output-Calculation-sheet'!X64</f>
        <v>367.73982052163859</v>
      </c>
      <c r="Y77" s="2">
        <f>Y11/'Output-Calculation-sheet'!Y10*'Output-Calculation-sheet'!Y64</f>
        <v>8.5773168465647842</v>
      </c>
      <c r="AA77" s="2">
        <f t="shared" si="6"/>
        <v>27.613383035217694</v>
      </c>
    </row>
    <row r="78" spans="1:27" x14ac:dyDescent="0.25">
      <c r="A78" s="2">
        <v>2035</v>
      </c>
      <c r="B78" s="2">
        <f>B12/'Output-Calculation-sheet'!B11*'Output-Calculation-sheet'!B65</f>
        <v>7448.5487556924472</v>
      </c>
      <c r="C78" s="2">
        <f>C12/'Output-Calculation-sheet'!C11*'Output-Calculation-sheet'!C65</f>
        <v>614.75266735134358</v>
      </c>
      <c r="D78" s="2">
        <f>D12/'Output-Calculation-sheet'!D11*'Output-Calculation-sheet'!D65</f>
        <v>1922.0895734558781</v>
      </c>
      <c r="E78" s="2">
        <f>E12/'Output-Calculation-sheet'!E11*'Output-Calculation-sheet'!E65</f>
        <v>1504.9050520880103</v>
      </c>
      <c r="F78" s="2">
        <f>F12/'Output-Calculation-sheet'!F11*'Output-Calculation-sheet'!F65</f>
        <v>68.048136003781238</v>
      </c>
      <c r="G78" s="2">
        <f>G12/'Output-Calculation-sheet'!G11*'Output-Calculation-sheet'!G65</f>
        <v>632.12580011281966</v>
      </c>
      <c r="H78" s="2">
        <f>H12/'Output-Calculation-sheet'!H11*'Output-Calculation-sheet'!H65</f>
        <v>5450.4654828319153</v>
      </c>
      <c r="I78" s="2">
        <f>I12/'Output-Calculation-sheet'!I11*'Output-Calculation-sheet'!I65</f>
        <v>345.13255269001064</v>
      </c>
      <c r="J78" s="2">
        <f>J12/'Output-Calculation-sheet'!J11*'Output-Calculation-sheet'!J65</f>
        <v>825.89420749768703</v>
      </c>
      <c r="K78" s="2">
        <f>K12/'Output-Calculation-sheet'!K11*'Output-Calculation-sheet'!K65</f>
        <v>1111.5984821360028</v>
      </c>
      <c r="L78" s="2">
        <f>L12/'Output-Calculation-sheet'!L11*'Output-Calculation-sheet'!L65</f>
        <v>1004.7113450767163</v>
      </c>
      <c r="M78" s="2">
        <f>M12/'Output-Calculation-sheet'!M11*'Output-Calculation-sheet'!M65</f>
        <v>4084.4940755661019</v>
      </c>
      <c r="N78" s="2">
        <f>N12/'Output-Calculation-sheet'!N11*'Output-Calculation-sheet'!N65</f>
        <v>2963.769523950873</v>
      </c>
      <c r="O78" s="2">
        <f>O12/'Output-Calculation-sheet'!O11*'Output-Calculation-sheet'!O65</f>
        <v>298.87360898925493</v>
      </c>
      <c r="P78" s="2">
        <f>P12/'Output-Calculation-sheet'!P11*'Output-Calculation-sheet'!P65</f>
        <v>847.41515788397714</v>
      </c>
      <c r="Q78" s="2">
        <f>Q12/'Output-Calculation-sheet'!Q11*'Output-Calculation-sheet'!Q65</f>
        <v>629.98264626652826</v>
      </c>
      <c r="R78" s="2">
        <f>R12/'Output-Calculation-sheet'!R11*'Output-Calculation-sheet'!R65</f>
        <v>1180.2064810494121</v>
      </c>
      <c r="S78" s="2">
        <f>S12/'Output-Calculation-sheet'!S11*'Output-Calculation-sheet'!S65</f>
        <v>863.23327179762089</v>
      </c>
      <c r="T78" s="2">
        <f>T12/'Output-Calculation-sheet'!T11*'Output-Calculation-sheet'!T65</f>
        <v>425.97571194878725</v>
      </c>
      <c r="U78" s="2">
        <f>U12/'Output-Calculation-sheet'!U11*'Output-Calculation-sheet'!U65</f>
        <v>229.49560212072078</v>
      </c>
      <c r="V78" s="2">
        <f>V12/'Output-Calculation-sheet'!V11*'Output-Calculation-sheet'!V65</f>
        <v>279.33990898189376</v>
      </c>
      <c r="W78" s="2">
        <f>W12/'Output-Calculation-sheet'!W11*'Output-Calculation-sheet'!W65</f>
        <v>34.827040490949869</v>
      </c>
      <c r="X78" s="2">
        <f>X12/'Output-Calculation-sheet'!X11*'Output-Calculation-sheet'!X65</f>
        <v>386.15583514381041</v>
      </c>
      <c r="Y78" s="2">
        <f>Y12/'Output-Calculation-sheet'!Y11*'Output-Calculation-sheet'!Y65</f>
        <v>12.323954801527352</v>
      </c>
      <c r="AA78" s="2">
        <f t="shared" si="6"/>
        <v>33.164364873928072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13012256028.29932</v>
      </c>
      <c r="C96" s="2">
        <f>C8/'Output-Calculation-sheet'!C7*'Output-Calculation-sheet'!C79</f>
        <v>1266600756.7280321</v>
      </c>
      <c r="D96" s="2">
        <f>D8/'Output-Calculation-sheet'!D7*'Output-Calculation-sheet'!D79</f>
        <v>3334925789.9929738</v>
      </c>
      <c r="E96" s="2">
        <f>E8/'Output-Calculation-sheet'!E7*'Output-Calculation-sheet'!E79</f>
        <v>12004755365.675177</v>
      </c>
      <c r="F96" s="2">
        <f>F8/'Output-Calculation-sheet'!F7*'Output-Calculation-sheet'!F79</f>
        <v>3659399546.8743811</v>
      </c>
      <c r="G96" s="2">
        <f>G8/'Output-Calculation-sheet'!G7*'Output-Calculation-sheet'!G79</f>
        <v>2263908305.7383003</v>
      </c>
      <c r="H96" s="2">
        <f>H8/'Output-Calculation-sheet'!H7*'Output-Calculation-sheet'!H79</f>
        <v>1518868323.6468451</v>
      </c>
      <c r="I96" s="2">
        <f>I8/'Output-Calculation-sheet'!I7*'Output-Calculation-sheet'!I79</f>
        <v>1627112076.3601072</v>
      </c>
      <c r="J96" s="2">
        <f>J8/'Output-Calculation-sheet'!J7*'Output-Calculation-sheet'!J79</f>
        <v>1322642955.8161197</v>
      </c>
      <c r="K96" s="2">
        <f>K8/'Output-Calculation-sheet'!K7*'Output-Calculation-sheet'!K79</f>
        <v>1617677540.9597201</v>
      </c>
      <c r="L96" s="2">
        <f>L8/'Output-Calculation-sheet'!L7*'Output-Calculation-sheet'!L79</f>
        <v>1555733334.5861604</v>
      </c>
      <c r="M96" s="2">
        <f>M8/'Output-Calculation-sheet'!M7*'Output-Calculation-sheet'!M79</f>
        <v>2138946226.4883966</v>
      </c>
      <c r="N96" s="2">
        <f>N8/'Output-Calculation-sheet'!N7*'Output-Calculation-sheet'!N79</f>
        <v>1340979626.5855558</v>
      </c>
      <c r="O96" s="2">
        <f>O8/'Output-Calculation-sheet'!O7*'Output-Calculation-sheet'!O79</f>
        <v>167162497.29025695</v>
      </c>
      <c r="P96" s="2">
        <f>P8/'Output-Calculation-sheet'!P7*'Output-Calculation-sheet'!P79</f>
        <v>2414321127.5436497</v>
      </c>
      <c r="Q96" s="2">
        <f>Q8/'Output-Calculation-sheet'!Q7*'Output-Calculation-sheet'!Q79</f>
        <v>1010338996.8002853</v>
      </c>
      <c r="R96" s="2">
        <f>R8/'Output-Calculation-sheet'!R7*'Output-Calculation-sheet'!R79</f>
        <v>1586285529.4404457</v>
      </c>
      <c r="S96" s="2">
        <f>S8/'Output-Calculation-sheet'!S7*'Output-Calculation-sheet'!S79</f>
        <v>614954803.31104672</v>
      </c>
      <c r="T96" s="2">
        <f>T8/'Output-Calculation-sheet'!T7*'Output-Calculation-sheet'!T79</f>
        <v>559702981.41971183</v>
      </c>
      <c r="U96" s="2">
        <f>U8/'Output-Calculation-sheet'!U7*'Output-Calculation-sheet'!U79</f>
        <v>361550892.49187249</v>
      </c>
      <c r="V96" s="2">
        <f>V8/'Output-Calculation-sheet'!V7*'Output-Calculation-sheet'!V79</f>
        <v>215175187.25056693</v>
      </c>
      <c r="W96" s="2">
        <f>W8/'Output-Calculation-sheet'!W7*'Output-Calculation-sheet'!W79</f>
        <v>593276791.3016808</v>
      </c>
      <c r="X96" s="2">
        <f>X8/'Output-Calculation-sheet'!X7*'Output-Calculation-sheet'!X79</f>
        <v>164856788.25521114</v>
      </c>
      <c r="Y96" s="2">
        <f>Y8/'Output-Calculation-sheet'!Y7*'Output-Calculation-sheet'!Y79</f>
        <v>316685385.69481677</v>
      </c>
      <c r="AA96" s="2">
        <f t="shared" si="8"/>
        <v>54.668116858550619</v>
      </c>
    </row>
    <row r="97" spans="1:27" x14ac:dyDescent="0.25">
      <c r="A97" s="2">
        <v>2032</v>
      </c>
      <c r="B97" s="2">
        <f>B9/'Output-Calculation-sheet'!B8*'Output-Calculation-sheet'!B80</f>
        <v>13703559819.334112</v>
      </c>
      <c r="C97" s="2">
        <f>C9/'Output-Calculation-sheet'!C8*'Output-Calculation-sheet'!C80</f>
        <v>1304725277.0208263</v>
      </c>
      <c r="D97" s="2">
        <f>D9/'Output-Calculation-sheet'!D8*'Output-Calculation-sheet'!D80</f>
        <v>3190908555.5607133</v>
      </c>
      <c r="E97" s="2">
        <f>E9/'Output-Calculation-sheet'!E8*'Output-Calculation-sheet'!E80</f>
        <v>12896491710.928391</v>
      </c>
      <c r="F97" s="2">
        <f>F9/'Output-Calculation-sheet'!F8*'Output-Calculation-sheet'!F80</f>
        <v>3690316440.7503834</v>
      </c>
      <c r="G97" s="2">
        <f>G9/'Output-Calculation-sheet'!G8*'Output-Calculation-sheet'!G80</f>
        <v>2184997621.4361486</v>
      </c>
      <c r="H97" s="2">
        <f>H9/'Output-Calculation-sheet'!H8*'Output-Calculation-sheet'!H80</f>
        <v>1959012297.1351314</v>
      </c>
      <c r="I97" s="2">
        <f>I9/'Output-Calculation-sheet'!I8*'Output-Calculation-sheet'!I80</f>
        <v>1645094748.1044967</v>
      </c>
      <c r="J97" s="2">
        <f>J9/'Output-Calculation-sheet'!J8*'Output-Calculation-sheet'!J80</f>
        <v>1318346812.9472821</v>
      </c>
      <c r="K97" s="2">
        <f>K9/'Output-Calculation-sheet'!K8*'Output-Calculation-sheet'!K80</f>
        <v>1583967837.7452135</v>
      </c>
      <c r="L97" s="2">
        <f>L9/'Output-Calculation-sheet'!L8*'Output-Calculation-sheet'!L80</f>
        <v>1623223488.801054</v>
      </c>
      <c r="M97" s="2">
        <f>M9/'Output-Calculation-sheet'!M8*'Output-Calculation-sheet'!M80</f>
        <v>2249068052.6961641</v>
      </c>
      <c r="N97" s="2">
        <f>N9/'Output-Calculation-sheet'!N8*'Output-Calculation-sheet'!N80</f>
        <v>1413782479.0176325</v>
      </c>
      <c r="O97" s="2">
        <f>O9/'Output-Calculation-sheet'!O8*'Output-Calculation-sheet'!O80</f>
        <v>169919387.9491545</v>
      </c>
      <c r="P97" s="2">
        <f>P9/'Output-Calculation-sheet'!P8*'Output-Calculation-sheet'!P80</f>
        <v>2436046366.8245668</v>
      </c>
      <c r="Q97" s="2">
        <f>Q9/'Output-Calculation-sheet'!Q8*'Output-Calculation-sheet'!Q80</f>
        <v>1035516082.2381107</v>
      </c>
      <c r="R97" s="2">
        <f>R9/'Output-Calculation-sheet'!R8*'Output-Calculation-sheet'!R80</f>
        <v>1632688735.0720098</v>
      </c>
      <c r="S97" s="2">
        <f>S9/'Output-Calculation-sheet'!S8*'Output-Calculation-sheet'!S80</f>
        <v>648053445.87181389</v>
      </c>
      <c r="T97" s="2">
        <f>T9/'Output-Calculation-sheet'!T8*'Output-Calculation-sheet'!T80</f>
        <v>547607426.4135071</v>
      </c>
      <c r="U97" s="2">
        <f>U9/'Output-Calculation-sheet'!U8*'Output-Calculation-sheet'!U80</f>
        <v>360171359.32165581</v>
      </c>
      <c r="V97" s="2">
        <f>V9/'Output-Calculation-sheet'!V8*'Output-Calculation-sheet'!V80</f>
        <v>213379090.49916893</v>
      </c>
      <c r="W97" s="2">
        <f>W9/'Output-Calculation-sheet'!W8*'Output-Calculation-sheet'!W80</f>
        <v>592659598.83513081</v>
      </c>
      <c r="X97" s="2">
        <f>X9/'Output-Calculation-sheet'!X8*'Output-Calculation-sheet'!X80</f>
        <v>235081067.73214439</v>
      </c>
      <c r="Y97" s="2">
        <f>Y9/'Output-Calculation-sheet'!Y8*'Output-Calculation-sheet'!Y80</f>
        <v>323651301.72745681</v>
      </c>
      <c r="AA97" s="2">
        <f t="shared" si="8"/>
        <v>56.958269003962279</v>
      </c>
    </row>
    <row r="98" spans="1:27" x14ac:dyDescent="0.25">
      <c r="A98" s="2">
        <v>2033</v>
      </c>
      <c r="B98" s="2">
        <f>B10/'Output-Calculation-sheet'!B9*'Output-Calculation-sheet'!B81</f>
        <v>13775416269.398947</v>
      </c>
      <c r="C98" s="2">
        <f>C10/'Output-Calculation-sheet'!C9*'Output-Calculation-sheet'!C81</f>
        <v>1285224849.8021171</v>
      </c>
      <c r="D98" s="2">
        <f>D10/'Output-Calculation-sheet'!D9*'Output-Calculation-sheet'!D81</f>
        <v>2913737800.5334964</v>
      </c>
      <c r="E98" s="2">
        <f>E10/'Output-Calculation-sheet'!E9*'Output-Calculation-sheet'!E81</f>
        <v>13220157452.580414</v>
      </c>
      <c r="F98" s="2">
        <f>F10/'Output-Calculation-sheet'!F9*'Output-Calculation-sheet'!F81</f>
        <v>3541339608.1686497</v>
      </c>
      <c r="G98" s="2">
        <f>G10/'Output-Calculation-sheet'!G9*'Output-Calculation-sheet'!G81</f>
        <v>2005259128.754683</v>
      </c>
      <c r="H98" s="2">
        <f>H10/'Output-Calculation-sheet'!H9*'Output-Calculation-sheet'!H81</f>
        <v>2602778137.6664386</v>
      </c>
      <c r="I98" s="2">
        <f>I10/'Output-Calculation-sheet'!I9*'Output-Calculation-sheet'!I81</f>
        <v>1586287024.8008244</v>
      </c>
      <c r="J98" s="2">
        <f>J10/'Output-Calculation-sheet'!J9*'Output-Calculation-sheet'!J81</f>
        <v>1254297418.4827013</v>
      </c>
      <c r="K98" s="2">
        <f>K10/'Output-Calculation-sheet'!K9*'Output-Calculation-sheet'!K81</f>
        <v>1487903182.2483091</v>
      </c>
      <c r="L98" s="2">
        <f>L10/'Output-Calculation-sheet'!L9*'Output-Calculation-sheet'!L81</f>
        <v>1610874813.3838813</v>
      </c>
      <c r="M98" s="2">
        <f>M10/'Output-Calculation-sheet'!M9*'Output-Calculation-sheet'!M81</f>
        <v>2255045505.2857108</v>
      </c>
      <c r="N98" s="2">
        <f>N10/'Output-Calculation-sheet'!N9*'Output-Calculation-sheet'!N81</f>
        <v>1387719337.5113411</v>
      </c>
      <c r="O98" s="2">
        <f>O10/'Output-Calculation-sheet'!O9*'Output-Calculation-sheet'!O81</f>
        <v>165276523.03121799</v>
      </c>
      <c r="P98" s="2">
        <f>P10/'Output-Calculation-sheet'!P9*'Output-Calculation-sheet'!P81</f>
        <v>2325486776.7823281</v>
      </c>
      <c r="Q98" s="2">
        <f>Q10/'Output-Calculation-sheet'!Q9*'Output-Calculation-sheet'!Q81</f>
        <v>1016681102.6601336</v>
      </c>
      <c r="R98" s="2">
        <f>R10/'Output-Calculation-sheet'!R9*'Output-Calculation-sheet'!R81</f>
        <v>1591792150.2513847</v>
      </c>
      <c r="S98" s="2">
        <f>S10/'Output-Calculation-sheet'!S9*'Output-Calculation-sheet'!S81</f>
        <v>654405624.78089762</v>
      </c>
      <c r="T98" s="2">
        <f>T10/'Output-Calculation-sheet'!T9*'Output-Calculation-sheet'!T81</f>
        <v>510960832.78896701</v>
      </c>
      <c r="U98" s="2">
        <f>U10/'Output-Calculation-sheet'!U9*'Output-Calculation-sheet'!U81</f>
        <v>339684866.87704676</v>
      </c>
      <c r="V98" s="2">
        <f>V10/'Output-Calculation-sheet'!V9*'Output-Calculation-sheet'!V81</f>
        <v>201079013.44973457</v>
      </c>
      <c r="W98" s="2">
        <f>W10/'Output-Calculation-sheet'!W9*'Output-Calculation-sheet'!W81</f>
        <v>558898182.17779076</v>
      </c>
      <c r="X98" s="2">
        <f>X10/'Output-Calculation-sheet'!X9*'Output-Calculation-sheet'!X81</f>
        <v>242975762.18754587</v>
      </c>
      <c r="Y98" s="2">
        <f>Y10/'Output-Calculation-sheet'!Y9*'Output-Calculation-sheet'!Y81</f>
        <v>314526450.80657578</v>
      </c>
      <c r="AA98" s="2">
        <f t="shared" si="8"/>
        <v>56.847807814411134</v>
      </c>
    </row>
    <row r="99" spans="1:27" x14ac:dyDescent="0.25">
      <c r="A99" s="2">
        <v>2034</v>
      </c>
      <c r="B99" s="2">
        <f>B11/'Output-Calculation-sheet'!B10*'Output-Calculation-sheet'!B82</f>
        <v>13609483106.560059</v>
      </c>
      <c r="C99" s="2">
        <f>C11/'Output-Calculation-sheet'!C10*'Output-Calculation-sheet'!C82</f>
        <v>1223611447.9933429</v>
      </c>
      <c r="D99" s="2">
        <f>D11/'Output-Calculation-sheet'!D10*'Output-Calculation-sheet'!D82</f>
        <v>2569728433.5619788</v>
      </c>
      <c r="E99" s="2">
        <f>E11/'Output-Calculation-sheet'!E10*'Output-Calculation-sheet'!E82</f>
        <v>13043011703.480618</v>
      </c>
      <c r="F99" s="2">
        <f>F11/'Output-Calculation-sheet'!F10*'Output-Calculation-sheet'!F82</f>
        <v>3277399458.301033</v>
      </c>
      <c r="G99" s="2">
        <f>G11/'Output-Calculation-sheet'!G10*'Output-Calculation-sheet'!G82</f>
        <v>1772612359.6347721</v>
      </c>
      <c r="H99" s="2">
        <f>H11/'Output-Calculation-sheet'!H10*'Output-Calculation-sheet'!H82</f>
        <v>2472099620.7333689</v>
      </c>
      <c r="I99" s="2">
        <f>I11/'Output-Calculation-sheet'!I10*'Output-Calculation-sheet'!I82</f>
        <v>1479294169.6180372</v>
      </c>
      <c r="J99" s="2">
        <f>J11/'Output-Calculation-sheet'!J10*'Output-Calculation-sheet'!J82</f>
        <v>1153761488.5708873</v>
      </c>
      <c r="K99" s="2">
        <f>K11/'Output-Calculation-sheet'!K10*'Output-Calculation-sheet'!K82</f>
        <v>1343667263.3451457</v>
      </c>
      <c r="L99" s="2">
        <f>L11/'Output-Calculation-sheet'!L10*'Output-Calculation-sheet'!L82</f>
        <v>1545256479.8066125</v>
      </c>
      <c r="M99" s="2">
        <f>M11/'Output-Calculation-sheet'!M10*'Output-Calculation-sheet'!M82</f>
        <v>2191875214.3125219</v>
      </c>
      <c r="N99" s="2">
        <f>N11/'Output-Calculation-sheet'!N10*'Output-Calculation-sheet'!N82</f>
        <v>1311952469.314007</v>
      </c>
      <c r="O99" s="2">
        <f>O11/'Output-Calculation-sheet'!O10*'Output-Calculation-sheet'!O82</f>
        <v>155409420.90806544</v>
      </c>
      <c r="P99" s="2">
        <f>P11/'Output-Calculation-sheet'!P10*'Output-Calculation-sheet'!P82</f>
        <v>2121202036.684346</v>
      </c>
      <c r="Q99" s="2">
        <f>Q11/'Output-Calculation-sheet'!Q10*'Output-Calculation-sheet'!Q82</f>
        <v>967409569.87448108</v>
      </c>
      <c r="R99" s="2">
        <f>R11/'Output-Calculation-sheet'!R10*'Output-Calculation-sheet'!R82</f>
        <v>1495582022.7055357</v>
      </c>
      <c r="S99" s="2">
        <f>S11/'Output-Calculation-sheet'!S10*'Output-Calculation-sheet'!S82</f>
        <v>643994693.26009631</v>
      </c>
      <c r="T99" s="2">
        <f>T11/'Output-Calculation-sheet'!T10*'Output-Calculation-sheet'!T82</f>
        <v>458577855.28193474</v>
      </c>
      <c r="U99" s="2">
        <f>U11/'Output-Calculation-sheet'!U10*'Output-Calculation-sheet'!U82</f>
        <v>309175963.96530414</v>
      </c>
      <c r="V99" s="2">
        <f>V11/'Output-Calculation-sheet'!V10*'Output-Calculation-sheet'!V82</f>
        <v>183102053.92799935</v>
      </c>
      <c r="W99" s="2">
        <f>W11/'Output-Calculation-sheet'!W10*'Output-Calculation-sheet'!W82</f>
        <v>507126546.47301465</v>
      </c>
      <c r="X99" s="2">
        <f>X11/'Output-Calculation-sheet'!X10*'Output-Calculation-sheet'!X82</f>
        <v>243159750.75106981</v>
      </c>
      <c r="Y99" s="2">
        <f>Y11/'Output-Calculation-sheet'!Y10*'Output-Calculation-sheet'!Y82</f>
        <v>293376263.04374528</v>
      </c>
      <c r="AA99" s="2">
        <f t="shared" si="8"/>
        <v>54.371869392107968</v>
      </c>
    </row>
    <row r="100" spans="1:27" x14ac:dyDescent="0.25">
      <c r="A100" s="2">
        <v>2035</v>
      </c>
      <c r="B100" s="2">
        <f>B12/'Output-Calculation-sheet'!B11*'Output-Calculation-sheet'!B83</f>
        <v>13044273954.826</v>
      </c>
      <c r="C100" s="2">
        <f>C12/'Output-Calculation-sheet'!C11*'Output-Calculation-sheet'!C83</f>
        <v>1173185900.2785456</v>
      </c>
      <c r="D100" s="2">
        <f>D12/'Output-Calculation-sheet'!D11*'Output-Calculation-sheet'!D83</f>
        <v>2216858287.1020498</v>
      </c>
      <c r="E100" s="2">
        <f>E12/'Output-Calculation-sheet'!E11*'Output-Calculation-sheet'!E83</f>
        <v>12549456983.003057</v>
      </c>
      <c r="F100" s="2">
        <f>F12/'Output-Calculation-sheet'!F11*'Output-Calculation-sheet'!F83</f>
        <v>2955391226.5107198</v>
      </c>
      <c r="G100" s="2">
        <f>G12/'Output-Calculation-sheet'!G11*'Output-Calculation-sheet'!G83</f>
        <v>1525395321.8929152</v>
      </c>
      <c r="H100" s="2">
        <f>H12/'Output-Calculation-sheet'!H11*'Output-Calculation-sheet'!H83</f>
        <v>2277128223.0934219</v>
      </c>
      <c r="I100" s="2">
        <f>I12/'Output-Calculation-sheet'!I11*'Output-Calculation-sheet'!I83</f>
        <v>1343578445.121659</v>
      </c>
      <c r="J100" s="2">
        <f>J12/'Output-Calculation-sheet'!J11*'Output-Calculation-sheet'!J83</f>
        <v>1035209082.2766807</v>
      </c>
      <c r="K100" s="2">
        <f>K12/'Output-Calculation-sheet'!K11*'Output-Calculation-sheet'!K83</f>
        <v>1181268526.876529</v>
      </c>
      <c r="L100" s="2">
        <f>L12/'Output-Calculation-sheet'!L11*'Output-Calculation-sheet'!L83</f>
        <v>1446553813.9903202</v>
      </c>
      <c r="M100" s="2">
        <f>M12/'Output-Calculation-sheet'!M11*'Output-Calculation-sheet'!M83</f>
        <v>2072809207.6822901</v>
      </c>
      <c r="N100" s="2">
        <f>N12/'Output-Calculation-sheet'!N11*'Output-Calculation-sheet'!N83</f>
        <v>1211871156.9842677</v>
      </c>
      <c r="O100" s="2">
        <f>O12/'Output-Calculation-sheet'!O11*'Output-Calculation-sheet'!O83</f>
        <v>155721985.08074096</v>
      </c>
      <c r="P100" s="2">
        <f>P12/'Output-Calculation-sheet'!P11*'Output-Calculation-sheet'!P83</f>
        <v>1861045844.884063</v>
      </c>
      <c r="Q100" s="2">
        <f>Q12/'Output-Calculation-sheet'!Q11*'Output-Calculation-sheet'!Q83</f>
        <v>899812544.39097333</v>
      </c>
      <c r="R100" s="2">
        <f>R12/'Output-Calculation-sheet'!R11*'Output-Calculation-sheet'!R83</f>
        <v>1367316649.7783771</v>
      </c>
      <c r="S100" s="2">
        <f>S12/'Output-Calculation-sheet'!S11*'Output-Calculation-sheet'!S83</f>
        <v>612414658.22177327</v>
      </c>
      <c r="T100" s="2">
        <f>T12/'Output-Calculation-sheet'!T11*'Output-Calculation-sheet'!T83</f>
        <v>401079369.71029699</v>
      </c>
      <c r="U100" s="2">
        <f>U12/'Output-Calculation-sheet'!U11*'Output-Calculation-sheet'!U83</f>
        <v>272985421.5749079</v>
      </c>
      <c r="V100" s="2">
        <f>V12/'Output-Calculation-sheet'!V11*'Output-Calculation-sheet'!V83</f>
        <v>162274504.15392694</v>
      </c>
      <c r="W100" s="2">
        <f>W12/'Output-Calculation-sheet'!W11*'Output-Calculation-sheet'!W83</f>
        <v>445440238.87594348</v>
      </c>
      <c r="X100" s="2">
        <f>X12/'Output-Calculation-sheet'!X11*'Output-Calculation-sheet'!X83</f>
        <v>237621896.85281488</v>
      </c>
      <c r="Y100" s="2">
        <f>Y12/'Output-Calculation-sheet'!Y11*'Output-Calculation-sheet'!Y83</f>
        <v>266002623.69460127</v>
      </c>
      <c r="AA100" s="2">
        <f t="shared" si="8"/>
        <v>50.714695866856871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6204.1654319699801</v>
      </c>
      <c r="C19" s="2">
        <f>C8/'Output-Calculation-sheet'!C7*'Output-Calculation-sheet'!C25</f>
        <v>9370.4261987430691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5029.0030683473315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1022.3705428602473</v>
      </c>
      <c r="M19" s="2">
        <f>M8/'Output-Calculation-sheet'!M7*'Output-Calculation-sheet'!M25</f>
        <v>6632.978052628252</v>
      </c>
      <c r="N19" s="2">
        <f>N8/'Output-Calculation-sheet'!N7*'Output-Calculation-sheet'!N25</f>
        <v>3386.3724172393127</v>
      </c>
      <c r="O19" s="2">
        <f>O8/'Output-Calculation-sheet'!O7*'Output-Calculation-sheet'!O25</f>
        <v>1830.3811723267015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647.50180853178608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461.22953182546615</v>
      </c>
      <c r="Y19" s="2">
        <f>Y8/'Output-Calculation-sheet'!Y7*'Output-Calculation-sheet'!Y25</f>
        <v>0</v>
      </c>
      <c r="AA19" s="2">
        <f t="shared" si="0"/>
        <v>34.584428224472148</v>
      </c>
    </row>
    <row r="20" spans="1:27" x14ac:dyDescent="0.25">
      <c r="A20" s="2">
        <v>2032</v>
      </c>
      <c r="B20" s="2">
        <f>B9/'Output-Calculation-sheet'!B8*'Output-Calculation-sheet'!B26</f>
        <v>8026.8020303645762</v>
      </c>
      <c r="C20" s="2">
        <f>C9/'Output-Calculation-sheet'!C8*'Output-Calculation-sheet'!C26</f>
        <v>9943.0836569086314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6548.6786982109834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1137.9310024584854</v>
      </c>
      <c r="M20" s="2">
        <f>M9/'Output-Calculation-sheet'!M8*'Output-Calculation-sheet'!M26</f>
        <v>6924.9999356860699</v>
      </c>
      <c r="N20" s="2">
        <f>N9/'Output-Calculation-sheet'!N8*'Output-Calculation-sheet'!N26</f>
        <v>3900.2842997546027</v>
      </c>
      <c r="O20" s="2">
        <f>O9/'Output-Calculation-sheet'!O8*'Output-Calculation-sheet'!O26</f>
        <v>1940.5203240731864</v>
      </c>
      <c r="P20" s="2">
        <f>P9/'Output-Calculation-sheet'!P8*'Output-Calculation-sheet'!P26</f>
        <v>0</v>
      </c>
      <c r="Q20" s="2">
        <f>Q9/'Output-Calculation-sheet'!Q8*'Output-Calculation-sheet'!Q26</f>
        <v>117.28041280595077</v>
      </c>
      <c r="R20" s="2">
        <f>R9/'Output-Calculation-sheet'!R8*'Output-Calculation-sheet'!R26</f>
        <v>0</v>
      </c>
      <c r="S20" s="2">
        <f>S9/'Output-Calculation-sheet'!S8*'Output-Calculation-sheet'!S26</f>
        <v>828.09715573304982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640.2559258758713</v>
      </c>
      <c r="Y20" s="2">
        <f>Y9/'Output-Calculation-sheet'!Y8*'Output-Calculation-sheet'!Y26</f>
        <v>0</v>
      </c>
      <c r="AA20" s="2">
        <f t="shared" si="0"/>
        <v>40.007933441871408</v>
      </c>
    </row>
    <row r="21" spans="1:27" x14ac:dyDescent="0.25">
      <c r="A21" s="2">
        <v>2033</v>
      </c>
      <c r="B21" s="2">
        <f>B10/'Output-Calculation-sheet'!B9*'Output-Calculation-sheet'!B27</f>
        <v>9530.9289112827919</v>
      </c>
      <c r="C21" s="2">
        <f>C10/'Output-Calculation-sheet'!C9*'Output-Calculation-sheet'!C27</f>
        <v>9565.6740585033549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8386.1561844405187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1164.2276471282603</v>
      </c>
      <c r="M21" s="2">
        <f>M10/'Output-Calculation-sheet'!M9*'Output-Calculation-sheet'!M27</f>
        <v>6527.2423115464744</v>
      </c>
      <c r="N21" s="2">
        <f>N10/'Output-Calculation-sheet'!N9*'Output-Calculation-sheet'!N27</f>
        <v>3804.290212685391</v>
      </c>
      <c r="O21" s="2">
        <f>O10/'Output-Calculation-sheet'!O9*'Output-Calculation-sheet'!O27</f>
        <v>1861.1608376012912</v>
      </c>
      <c r="P21" s="2">
        <f>P10/'Output-Calculation-sheet'!P9*'Output-Calculation-sheet'!P27</f>
        <v>0</v>
      </c>
      <c r="Q21" s="2">
        <f>Q10/'Output-Calculation-sheet'!Q9*'Output-Calculation-sheet'!Q27</f>
        <v>283.48153402329933</v>
      </c>
      <c r="R21" s="2">
        <f>R10/'Output-Calculation-sheet'!R9*'Output-Calculation-sheet'!R27</f>
        <v>0</v>
      </c>
      <c r="S21" s="2">
        <f>S10/'Output-Calculation-sheet'!S9*'Output-Calculation-sheet'!S27</f>
        <v>966.35982916214869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609.03629569793043</v>
      </c>
      <c r="Y21" s="2">
        <f>Y10/'Output-Calculation-sheet'!Y9*'Output-Calculation-sheet'!Y27</f>
        <v>0</v>
      </c>
      <c r="AA21" s="2">
        <f t="shared" si="0"/>
        <v>42.698557822071443</v>
      </c>
    </row>
    <row r="22" spans="1:27" x14ac:dyDescent="0.25">
      <c r="A22" s="2">
        <v>2034</v>
      </c>
      <c r="B22" s="2">
        <f>B11/'Output-Calculation-sheet'!B10*'Output-Calculation-sheet'!B28</f>
        <v>10232.949957403906</v>
      </c>
      <c r="C22" s="2">
        <f>C11/'Output-Calculation-sheet'!C10*'Output-Calculation-sheet'!C28</f>
        <v>8344.5213271017928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7251.1544846833485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1068.3335365790638</v>
      </c>
      <c r="M22" s="2">
        <f>M11/'Output-Calculation-sheet'!M10*'Output-Calculation-sheet'!M28</f>
        <v>5634.5160379579866</v>
      </c>
      <c r="N22" s="2">
        <f>N11/'Output-Calculation-sheet'!N10*'Output-Calculation-sheet'!N28</f>
        <v>3379.6453017618128</v>
      </c>
      <c r="O22" s="2">
        <f>O11/'Output-Calculation-sheet'!O10*'Output-Calculation-sheet'!O28</f>
        <v>1613.7927441446006</v>
      </c>
      <c r="P22" s="2">
        <f>P11/'Output-Calculation-sheet'!P10*'Output-Calculation-sheet'!P28</f>
        <v>0</v>
      </c>
      <c r="Q22" s="2">
        <f>Q11/'Output-Calculation-sheet'!Q10*'Output-Calculation-sheet'!Q28</f>
        <v>463.27422608081355</v>
      </c>
      <c r="R22" s="2">
        <f>R11/'Output-Calculation-sheet'!R10*'Output-Calculation-sheet'!R28</f>
        <v>0</v>
      </c>
      <c r="S22" s="2">
        <f>S11/'Output-Calculation-sheet'!S10*'Output-Calculation-sheet'!S28</f>
        <v>990.09258146227444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526.91982400088386</v>
      </c>
      <c r="Y22" s="2">
        <f>Y11/'Output-Calculation-sheet'!Y10*'Output-Calculation-sheet'!Y28</f>
        <v>0</v>
      </c>
      <c r="AA22" s="2">
        <f t="shared" si="0"/>
        <v>39.505200021176492</v>
      </c>
    </row>
    <row r="23" spans="1:27" x14ac:dyDescent="0.25">
      <c r="A23" s="2">
        <v>2035</v>
      </c>
      <c r="B23" s="2">
        <f>B12/'Output-Calculation-sheet'!B11*'Output-Calculation-sheet'!B29</f>
        <v>9554.2152361164572</v>
      </c>
      <c r="C23" s="2">
        <f>C12/'Output-Calculation-sheet'!C11*'Output-Calculation-sheet'!C29</f>
        <v>6697.7525270876822</v>
      </c>
      <c r="D23" s="2">
        <f>D12/'Output-Calculation-sheet'!D11*'Output-Calculation-sheet'!D29</f>
        <v>0</v>
      </c>
      <c r="E23" s="2">
        <f>E12/'Output-Calculation-sheet'!E11*'Output-Calculation-sheet'!E29</f>
        <v>87.55635968891329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5593.03793439323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881.68115903509749</v>
      </c>
      <c r="M23" s="2">
        <f>M12/'Output-Calculation-sheet'!M11*'Output-Calculation-sheet'!M29</f>
        <v>4349.8555783290058</v>
      </c>
      <c r="N23" s="2">
        <f>N12/'Output-Calculation-sheet'!N11*'Output-Calculation-sheet'!N29</f>
        <v>2670.0832341233895</v>
      </c>
      <c r="O23" s="2">
        <f>O12/'Output-Calculation-sheet'!O11*'Output-Calculation-sheet'!O29</f>
        <v>1358.3105009573781</v>
      </c>
      <c r="P23" s="2">
        <f>P12/'Output-Calculation-sheet'!P11*'Output-Calculation-sheet'!P29</f>
        <v>0</v>
      </c>
      <c r="Q23" s="2">
        <f>Q12/'Output-Calculation-sheet'!Q11*'Output-Calculation-sheet'!Q29</f>
        <v>525.04425424594444</v>
      </c>
      <c r="R23" s="2">
        <f>R12/'Output-Calculation-sheet'!R11*'Output-Calculation-sheet'!R29</f>
        <v>0</v>
      </c>
      <c r="S23" s="2">
        <f>S12/'Output-Calculation-sheet'!S11*'Output-Calculation-sheet'!S29</f>
        <v>889.85185041772354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411.18216383699348</v>
      </c>
      <c r="Y23" s="2">
        <f>Y12/'Output-Calculation-sheet'!Y11*'Output-Calculation-sheet'!Y29</f>
        <v>0</v>
      </c>
      <c r="AA23" s="2">
        <f t="shared" si="0"/>
        <v>33.018570798231821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29688.81743961867</v>
      </c>
      <c r="C30" s="2">
        <f>C8/'Output-Calculation-sheet'!C7*'Output-Calculation-sheet'!C16</f>
        <v>0</v>
      </c>
      <c r="D30" s="2">
        <f>D8/'Output-Calculation-sheet'!D7*'Output-Calculation-sheet'!D16</f>
        <v>8114.6486932626767</v>
      </c>
      <c r="E30" s="2">
        <f>E8/'Output-Calculation-sheet'!E7*'Output-Calculation-sheet'!E16</f>
        <v>9908.5727512150024</v>
      </c>
      <c r="F30" s="2">
        <f>F8/'Output-Calculation-sheet'!F7*'Output-Calculation-sheet'!F16</f>
        <v>4456.5920595012085</v>
      </c>
      <c r="G30" s="2">
        <f>G8/'Output-Calculation-sheet'!G7*'Output-Calculation-sheet'!G16</f>
        <v>2566.2617604619104</v>
      </c>
      <c r="H30" s="2">
        <f>H8/'Output-Calculation-sheet'!H7*'Output-Calculation-sheet'!H16</f>
        <v>0</v>
      </c>
      <c r="I30" s="2">
        <f>I8/'Output-Calculation-sheet'!I7*'Output-Calculation-sheet'!I16</f>
        <v>2723.0290964811893</v>
      </c>
      <c r="J30" s="2">
        <f>J8/'Output-Calculation-sheet'!J7*'Output-Calculation-sheet'!J16</f>
        <v>2769.3172368675082</v>
      </c>
      <c r="K30" s="2">
        <f>K8/'Output-Calculation-sheet'!K7*'Output-Calculation-sheet'!K16</f>
        <v>3608.3980661122146</v>
      </c>
      <c r="L30" s="2">
        <f>L8/'Output-Calculation-sheet'!L7*'Output-Calculation-sheet'!L16</f>
        <v>3278.9291141985018</v>
      </c>
      <c r="M30" s="2">
        <f>M8/'Output-Calculation-sheet'!M7*'Output-Calculation-sheet'!M16</f>
        <v>0</v>
      </c>
      <c r="N30" s="2">
        <f>N8/'Output-Calculation-sheet'!N7*'Output-Calculation-sheet'!N16</f>
        <v>1936.0081983709163</v>
      </c>
      <c r="O30" s="2">
        <f>O8/'Output-Calculation-sheet'!O7*'Output-Calculation-sheet'!O16</f>
        <v>0</v>
      </c>
      <c r="P30" s="2">
        <f>P8/'Output-Calculation-sheet'!P7*'Output-Calculation-sheet'!P16</f>
        <v>2913.7640373725776</v>
      </c>
      <c r="Q30" s="2">
        <f>Q8/'Output-Calculation-sheet'!Q7*'Output-Calculation-sheet'!Q16</f>
        <v>3249.6332481132722</v>
      </c>
      <c r="R30" s="2">
        <f>R8/'Output-Calculation-sheet'!R7*'Output-Calculation-sheet'!R16</f>
        <v>2651.0127867886654</v>
      </c>
      <c r="S30" s="2">
        <f>S8/'Output-Calculation-sheet'!S7*'Output-Calculation-sheet'!S16</f>
        <v>1426.9957040372501</v>
      </c>
      <c r="T30" s="2">
        <f>T8/'Output-Calculation-sheet'!T7*'Output-Calculation-sheet'!T16</f>
        <v>840.71358418725367</v>
      </c>
      <c r="U30" s="2">
        <f>U8/'Output-Calculation-sheet'!U7*'Output-Calculation-sheet'!U16</f>
        <v>672.97602414640539</v>
      </c>
      <c r="V30" s="2">
        <f>V8/'Output-Calculation-sheet'!V7*'Output-Calculation-sheet'!V16</f>
        <v>792.39402018012095</v>
      </c>
      <c r="W30" s="2">
        <f>W8/'Output-Calculation-sheet'!W7*'Output-Calculation-sheet'!W16</f>
        <v>365.65906692455411</v>
      </c>
      <c r="X30" s="2">
        <f>X8/'Output-Calculation-sheet'!X7*'Output-Calculation-sheet'!X16</f>
        <v>0</v>
      </c>
      <c r="Y30" s="2">
        <f>Y8/'Output-Calculation-sheet'!Y7*'Output-Calculation-sheet'!Y16</f>
        <v>281.18517180458662</v>
      </c>
      <c r="AA30" s="2">
        <f t="shared" si="1"/>
        <v>82.244908059644459</v>
      </c>
    </row>
    <row r="31" spans="1:27" x14ac:dyDescent="0.25">
      <c r="A31" s="2">
        <v>2032</v>
      </c>
      <c r="B31" s="2">
        <f>B9/'Output-Calculation-sheet'!B8*'Output-Calculation-sheet'!B17</f>
        <v>30090.123068547193</v>
      </c>
      <c r="C31" s="2">
        <f>C9/'Output-Calculation-sheet'!C8*'Output-Calculation-sheet'!C17</f>
        <v>0</v>
      </c>
      <c r="D31" s="2">
        <f>D9/'Output-Calculation-sheet'!D8*'Output-Calculation-sheet'!D17</f>
        <v>8370.3444293688208</v>
      </c>
      <c r="E31" s="2">
        <f>E9/'Output-Calculation-sheet'!E8*'Output-Calculation-sheet'!E17</f>
        <v>10269.03585189327</v>
      </c>
      <c r="F31" s="2">
        <f>F9/'Output-Calculation-sheet'!F8*'Output-Calculation-sheet'!F17</f>
        <v>4625.1629120009102</v>
      </c>
      <c r="G31" s="2">
        <f>G9/'Output-Calculation-sheet'!G8*'Output-Calculation-sheet'!G17</f>
        <v>2662.1124999052672</v>
      </c>
      <c r="H31" s="2">
        <f>H9/'Output-Calculation-sheet'!H8*'Output-Calculation-sheet'!H17</f>
        <v>0</v>
      </c>
      <c r="I31" s="2">
        <f>I9/'Output-Calculation-sheet'!I8*'Output-Calculation-sheet'!I17</f>
        <v>2822.1640600704745</v>
      </c>
      <c r="J31" s="2">
        <f>J9/'Output-Calculation-sheet'!J8*'Output-Calculation-sheet'!J17</f>
        <v>2863.3292015937509</v>
      </c>
      <c r="K31" s="2">
        <f>K9/'Output-Calculation-sheet'!K8*'Output-Calculation-sheet'!K17</f>
        <v>3724.0079736615535</v>
      </c>
      <c r="L31" s="2">
        <f>L9/'Output-Calculation-sheet'!L8*'Output-Calculation-sheet'!L17</f>
        <v>3368.7994160947874</v>
      </c>
      <c r="M31" s="2">
        <f>M9/'Output-Calculation-sheet'!M8*'Output-Calculation-sheet'!M17</f>
        <v>0</v>
      </c>
      <c r="N31" s="2">
        <f>N9/'Output-Calculation-sheet'!N8*'Output-Calculation-sheet'!N17</f>
        <v>1881.0490795926055</v>
      </c>
      <c r="O31" s="2">
        <f>O9/'Output-Calculation-sheet'!O8*'Output-Calculation-sheet'!O17</f>
        <v>0</v>
      </c>
      <c r="P31" s="2">
        <f>P9/'Output-Calculation-sheet'!P8*'Output-Calculation-sheet'!P17</f>
        <v>3056.317404749655</v>
      </c>
      <c r="Q31" s="2">
        <f>Q9/'Output-Calculation-sheet'!Q8*'Output-Calculation-sheet'!Q17</f>
        <v>3321.6486454465926</v>
      </c>
      <c r="R31" s="2">
        <f>R9/'Output-Calculation-sheet'!R8*'Output-Calculation-sheet'!R17</f>
        <v>2757.4515503202965</v>
      </c>
      <c r="S31" s="2">
        <f>S9/'Output-Calculation-sheet'!S8*'Output-Calculation-sheet'!S17</f>
        <v>1432.5059146593737</v>
      </c>
      <c r="T31" s="2">
        <f>T9/'Output-Calculation-sheet'!T8*'Output-Calculation-sheet'!T17</f>
        <v>868.70215260118118</v>
      </c>
      <c r="U31" s="2">
        <f>U9/'Output-Calculation-sheet'!U8*'Output-Calculation-sheet'!U17</f>
        <v>697.9217008369543</v>
      </c>
      <c r="V31" s="2">
        <f>V9/'Output-Calculation-sheet'!V8*'Output-Calculation-sheet'!V17</f>
        <v>820.401396723434</v>
      </c>
      <c r="W31" s="2">
        <f>W9/'Output-Calculation-sheet'!W8*'Output-Calculation-sheet'!W17</f>
        <v>379.46382717216676</v>
      </c>
      <c r="X31" s="2">
        <f>X9/'Output-Calculation-sheet'!X8*'Output-Calculation-sheet'!X17</f>
        <v>0</v>
      </c>
      <c r="Y31" s="2">
        <f>Y9/'Output-Calculation-sheet'!Y8*'Output-Calculation-sheet'!Y17</f>
        <v>292.0218922750949</v>
      </c>
      <c r="AA31" s="2">
        <f t="shared" si="1"/>
        <v>84.302562977513389</v>
      </c>
    </row>
    <row r="32" spans="1:27" x14ac:dyDescent="0.25">
      <c r="A32" s="2">
        <v>2033</v>
      </c>
      <c r="B32" s="2">
        <f>B10/'Output-Calculation-sheet'!B9*'Output-Calculation-sheet'!B18</f>
        <v>27227.145427027353</v>
      </c>
      <c r="C32" s="2">
        <f>C10/'Output-Calculation-sheet'!C9*'Output-Calculation-sheet'!C18</f>
        <v>0</v>
      </c>
      <c r="D32" s="2">
        <f>D10/'Output-Calculation-sheet'!D9*'Output-Calculation-sheet'!D18</f>
        <v>7783.7486325852797</v>
      </c>
      <c r="E32" s="2">
        <f>E10/'Output-Calculation-sheet'!E9*'Output-Calculation-sheet'!E18</f>
        <v>9619.64001732012</v>
      </c>
      <c r="F32" s="2">
        <f>F10/'Output-Calculation-sheet'!F9*'Output-Calculation-sheet'!F18</f>
        <v>4327.1633764106437</v>
      </c>
      <c r="G32" s="2">
        <f>G10/'Output-Calculation-sheet'!G9*'Output-Calculation-sheet'!G18</f>
        <v>2489.822469922527</v>
      </c>
      <c r="H32" s="2">
        <f>H10/'Output-Calculation-sheet'!H9*'Output-Calculation-sheet'!H18</f>
        <v>0</v>
      </c>
      <c r="I32" s="2">
        <f>I10/'Output-Calculation-sheet'!I9*'Output-Calculation-sheet'!I18</f>
        <v>2637.4147781690835</v>
      </c>
      <c r="J32" s="2">
        <f>J10/'Output-Calculation-sheet'!J9*'Output-Calculation-sheet'!J18</f>
        <v>2654.9171913076793</v>
      </c>
      <c r="K32" s="2">
        <f>K10/'Output-Calculation-sheet'!K9*'Output-Calculation-sheet'!K18</f>
        <v>3504.9449462743314</v>
      </c>
      <c r="L32" s="2">
        <f>L10/'Output-Calculation-sheet'!L9*'Output-Calculation-sheet'!L18</f>
        <v>3058.2626622243852</v>
      </c>
      <c r="M32" s="2">
        <f>M10/'Output-Calculation-sheet'!M9*'Output-Calculation-sheet'!M18</f>
        <v>0</v>
      </c>
      <c r="N32" s="2">
        <f>N10/'Output-Calculation-sheet'!N9*'Output-Calculation-sheet'!N18</f>
        <v>1715.5825815131202</v>
      </c>
      <c r="O32" s="2">
        <f>O10/'Output-Calculation-sheet'!O9*'Output-Calculation-sheet'!O18</f>
        <v>0</v>
      </c>
      <c r="P32" s="2">
        <f>P10/'Output-Calculation-sheet'!P9*'Output-Calculation-sheet'!P18</f>
        <v>2883.8124420720969</v>
      </c>
      <c r="Q32" s="2">
        <f>Q10/'Output-Calculation-sheet'!Q9*'Output-Calculation-sheet'!Q18</f>
        <v>3039.57725376499</v>
      </c>
      <c r="R32" s="2">
        <f>R10/'Output-Calculation-sheet'!R9*'Output-Calculation-sheet'!R18</f>
        <v>2575.7363387932392</v>
      </c>
      <c r="S32" s="2">
        <f>S10/'Output-Calculation-sheet'!S9*'Output-Calculation-sheet'!S18</f>
        <v>1285.5140674576385</v>
      </c>
      <c r="T32" s="2">
        <f>T10/'Output-Calculation-sheet'!T9*'Output-Calculation-sheet'!T18</f>
        <v>811.31316020617658</v>
      </c>
      <c r="U32" s="2">
        <f>U10/'Output-Calculation-sheet'!U9*'Output-Calculation-sheet'!U18</f>
        <v>650.51395201554044</v>
      </c>
      <c r="V32" s="2">
        <f>V10/'Output-Calculation-sheet'!V9*'Output-Calculation-sheet'!V18</f>
        <v>756.90523101469171</v>
      </c>
      <c r="W32" s="2">
        <f>W10/'Output-Calculation-sheet'!W9*'Output-Calculation-sheet'!W18</f>
        <v>353.2504839916416</v>
      </c>
      <c r="X32" s="2">
        <f>X10/'Output-Calculation-sheet'!X9*'Output-Calculation-sheet'!X18</f>
        <v>0</v>
      </c>
      <c r="Y32" s="2">
        <f>Y10/'Output-Calculation-sheet'!Y9*'Output-Calculation-sheet'!Y18</f>
        <v>273.25633124728955</v>
      </c>
      <c r="AA32" s="2">
        <f t="shared" si="1"/>
        <v>77.64852134331781</v>
      </c>
    </row>
    <row r="33" spans="1:27" x14ac:dyDescent="0.25">
      <c r="A33" s="2">
        <v>2034</v>
      </c>
      <c r="B33" s="2">
        <f>B11/'Output-Calculation-sheet'!B10*'Output-Calculation-sheet'!B19</f>
        <v>22604.294591299698</v>
      </c>
      <c r="C33" s="2">
        <f>C11/'Output-Calculation-sheet'!C10*'Output-Calculation-sheet'!C19</f>
        <v>0</v>
      </c>
      <c r="D33" s="2">
        <f>D11/'Output-Calculation-sheet'!D10*'Output-Calculation-sheet'!D19</f>
        <v>6542.0157867939533</v>
      </c>
      <c r="E33" s="2">
        <f>E11/'Output-Calculation-sheet'!E10*'Output-Calculation-sheet'!E19</f>
        <v>8137.8761123868253</v>
      </c>
      <c r="F33" s="2">
        <f>F11/'Output-Calculation-sheet'!F10*'Output-Calculation-sheet'!F19</f>
        <v>3661.7857849285037</v>
      </c>
      <c r="G33" s="2">
        <f>G11/'Output-Calculation-sheet'!G10*'Output-Calculation-sheet'!G19</f>
        <v>2100.9500396452859</v>
      </c>
      <c r="H33" s="2">
        <f>H11/'Output-Calculation-sheet'!H10*'Output-Calculation-sheet'!H19</f>
        <v>0</v>
      </c>
      <c r="I33" s="2">
        <f>I11/'Output-Calculation-sheet'!I10*'Output-Calculation-sheet'!I19</f>
        <v>2234.2998531273529</v>
      </c>
      <c r="J33" s="2">
        <f>J11/'Output-Calculation-sheet'!J10*'Output-Calculation-sheet'!J19</f>
        <v>2236.1819023022917</v>
      </c>
      <c r="K33" s="2">
        <f>K11/'Output-Calculation-sheet'!K10*'Output-Calculation-sheet'!K19</f>
        <v>2936.4199308846478</v>
      </c>
      <c r="L33" s="2">
        <f>L11/'Output-Calculation-sheet'!L10*'Output-Calculation-sheet'!L19</f>
        <v>2523.0636418997738</v>
      </c>
      <c r="M33" s="2">
        <f>M11/'Output-Calculation-sheet'!M10*'Output-Calculation-sheet'!M19</f>
        <v>0</v>
      </c>
      <c r="N33" s="2">
        <f>N11/'Output-Calculation-sheet'!N10*'Output-Calculation-sheet'!N19</f>
        <v>1377.4039228263755</v>
      </c>
      <c r="O33" s="2">
        <f>O11/'Output-Calculation-sheet'!O10*'Output-Calculation-sheet'!O19</f>
        <v>0</v>
      </c>
      <c r="P33" s="2">
        <f>P11/'Output-Calculation-sheet'!P10*'Output-Calculation-sheet'!P19</f>
        <v>2464.6172600045252</v>
      </c>
      <c r="Q33" s="2">
        <f>Q11/'Output-Calculation-sheet'!Q10*'Output-Calculation-sheet'!Q19</f>
        <v>2458.8616825371441</v>
      </c>
      <c r="R33" s="2">
        <f>R11/'Output-Calculation-sheet'!R10*'Output-Calculation-sheet'!R19</f>
        <v>2172.5125655586007</v>
      </c>
      <c r="S33" s="2">
        <f>S11/'Output-Calculation-sheet'!S10*'Output-Calculation-sheet'!S19</f>
        <v>1058.9127423785114</v>
      </c>
      <c r="T33" s="2">
        <f>T11/'Output-Calculation-sheet'!T10*'Output-Calculation-sheet'!T19</f>
        <v>686.35903826958997</v>
      </c>
      <c r="U33" s="2">
        <f>U11/'Output-Calculation-sheet'!U10*'Output-Calculation-sheet'!U19</f>
        <v>553.74217300560838</v>
      </c>
      <c r="V33" s="2">
        <f>V11/'Output-Calculation-sheet'!V10*'Output-Calculation-sheet'!V19</f>
        <v>635.46177833964668</v>
      </c>
      <c r="W33" s="2">
        <f>W11/'Output-Calculation-sheet'!W10*'Output-Calculation-sheet'!W19</f>
        <v>299.11740919886091</v>
      </c>
      <c r="X33" s="2">
        <f>X11/'Output-Calculation-sheet'!X10*'Output-Calculation-sheet'!X19</f>
        <v>0</v>
      </c>
      <c r="Y33" s="2">
        <f>Y11/'Output-Calculation-sheet'!Y10*'Output-Calculation-sheet'!Y19</f>
        <v>231.29185777908049</v>
      </c>
      <c r="AA33" s="2">
        <f t="shared" si="1"/>
        <v>64.915168073166285</v>
      </c>
    </row>
    <row r="34" spans="1:27" x14ac:dyDescent="0.25">
      <c r="A34" s="2">
        <v>2035</v>
      </c>
      <c r="B34" s="2">
        <f>B12/'Output-Calculation-sheet'!B11*'Output-Calculation-sheet'!B20</f>
        <v>16499.671043025759</v>
      </c>
      <c r="C34" s="2">
        <f>C12/'Output-Calculation-sheet'!C11*'Output-Calculation-sheet'!C20</f>
        <v>0</v>
      </c>
      <c r="D34" s="2">
        <f>D12/'Output-Calculation-sheet'!D11*'Output-Calculation-sheet'!D20</f>
        <v>4973.5991518099263</v>
      </c>
      <c r="E34" s="2">
        <f>E12/'Output-Calculation-sheet'!E11*'Output-Calculation-sheet'!E20</f>
        <v>6122.8667377350621</v>
      </c>
      <c r="F34" s="2">
        <f>F12/'Output-Calculation-sheet'!F11*'Output-Calculation-sheet'!F20</f>
        <v>2780.3888622369614</v>
      </c>
      <c r="G34" s="2">
        <f>G12/'Output-Calculation-sheet'!G11*'Output-Calculation-sheet'!G20</f>
        <v>1593.0701359635141</v>
      </c>
      <c r="H34" s="2">
        <f>H12/'Output-Calculation-sheet'!H11*'Output-Calculation-sheet'!H20</f>
        <v>0</v>
      </c>
      <c r="I34" s="2">
        <f>I12/'Output-Calculation-sheet'!I11*'Output-Calculation-sheet'!I20</f>
        <v>1699.623959872459</v>
      </c>
      <c r="J34" s="2">
        <f>J12/'Output-Calculation-sheet'!J11*'Output-Calculation-sheet'!J20</f>
        <v>1691.7489502555368</v>
      </c>
      <c r="K34" s="2">
        <f>K12/'Output-Calculation-sheet'!K11*'Output-Calculation-sheet'!K20</f>
        <v>2221.38669150639</v>
      </c>
      <c r="L34" s="2">
        <f>L12/'Output-Calculation-sheet'!L11*'Output-Calculation-sheet'!L20</f>
        <v>1881.8557280403963</v>
      </c>
      <c r="M34" s="2">
        <f>M12/'Output-Calculation-sheet'!M11*'Output-Calculation-sheet'!M20</f>
        <v>0</v>
      </c>
      <c r="N34" s="2">
        <f>N12/'Output-Calculation-sheet'!N11*'Output-Calculation-sheet'!N20</f>
        <v>1024.0768789022118</v>
      </c>
      <c r="O34" s="2">
        <f>O12/'Output-Calculation-sheet'!O11*'Output-Calculation-sheet'!O20</f>
        <v>0</v>
      </c>
      <c r="P34" s="2">
        <f>P12/'Output-Calculation-sheet'!P11*'Output-Calculation-sheet'!P20</f>
        <v>1875.5195134831124</v>
      </c>
      <c r="Q34" s="2">
        <f>Q12/'Output-Calculation-sheet'!Q11*'Output-Calculation-sheet'!Q20</f>
        <v>1791.5147775773764</v>
      </c>
      <c r="R34" s="2">
        <f>R12/'Output-Calculation-sheet'!R11*'Output-Calculation-sheet'!R20</f>
        <v>1648.1076452586424</v>
      </c>
      <c r="S34" s="2">
        <f>S12/'Output-Calculation-sheet'!S11*'Output-Calculation-sheet'!S20</f>
        <v>769.76745995080159</v>
      </c>
      <c r="T34" s="2">
        <f>T12/'Output-Calculation-sheet'!T11*'Output-Calculation-sheet'!T20</f>
        <v>520.17845636626043</v>
      </c>
      <c r="U34" s="2">
        <f>U12/'Output-Calculation-sheet'!U11*'Output-Calculation-sheet'!U20</f>
        <v>418.9932717364095</v>
      </c>
      <c r="V34" s="2">
        <f>V12/'Output-Calculation-sheet'!V11*'Output-Calculation-sheet'!V20</f>
        <v>481.0017099395422</v>
      </c>
      <c r="W34" s="2">
        <f>W12/'Output-Calculation-sheet'!W11*'Output-Calculation-sheet'!W20</f>
        <v>227.26984508796266</v>
      </c>
      <c r="X34" s="2">
        <f>X12/'Output-Calculation-sheet'!X11*'Output-Calculation-sheet'!X20</f>
        <v>0</v>
      </c>
      <c r="Y34" s="2">
        <f>Y12/'Output-Calculation-sheet'!Y11*'Output-Calculation-sheet'!Y20</f>
        <v>176.49389162686256</v>
      </c>
      <c r="AA34" s="2">
        <f t="shared" si="1"/>
        <v>48.397134710375184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1311.8940120465156</v>
      </c>
      <c r="C52" s="2">
        <f>C8/'Output-Calculation-sheet'!C7*'Output-Calculation-sheet'!C43</f>
        <v>0</v>
      </c>
      <c r="D52" s="2">
        <f>D8/'Output-Calculation-sheet'!D7*'Output-Calculation-sheet'!D43</f>
        <v>2849.761073626325</v>
      </c>
      <c r="E52" s="2">
        <f>E8/'Output-Calculation-sheet'!E7*'Output-Calculation-sheet'!E43</f>
        <v>2045.6257431025031</v>
      </c>
      <c r="F52" s="2">
        <f>F8/'Output-Calculation-sheet'!F7*'Output-Calculation-sheet'!F43</f>
        <v>0</v>
      </c>
      <c r="G52" s="2">
        <f>G8/'Output-Calculation-sheet'!G7*'Output-Calculation-sheet'!G43</f>
        <v>725.48230850492837</v>
      </c>
      <c r="H52" s="2">
        <f>H8/'Output-Calculation-sheet'!H7*'Output-Calculation-sheet'!H43</f>
        <v>5558.4979126087701</v>
      </c>
      <c r="I52" s="2">
        <f>I8/'Output-Calculation-sheet'!I7*'Output-Calculation-sheet'!I43</f>
        <v>237.28291711797044</v>
      </c>
      <c r="J52" s="2">
        <f>J8/'Output-Calculation-sheet'!J7*'Output-Calculation-sheet'!J43</f>
        <v>1291.5770115343153</v>
      </c>
      <c r="K52" s="2">
        <f>K8/'Output-Calculation-sheet'!K7*'Output-Calculation-sheet'!K43</f>
        <v>2594.480799831857</v>
      </c>
      <c r="L52" s="2">
        <f>L8/'Output-Calculation-sheet'!L7*'Output-Calculation-sheet'!L43</f>
        <v>2410.7045857131843</v>
      </c>
      <c r="M52" s="2">
        <f>M8/'Output-Calculation-sheet'!M7*'Output-Calculation-sheet'!M43</f>
        <v>15738.793067425662</v>
      </c>
      <c r="N52" s="2">
        <f>N8/'Output-Calculation-sheet'!N7*'Output-Calculation-sheet'!N43</f>
        <v>9009.0101629321089</v>
      </c>
      <c r="O52" s="2">
        <f>O8/'Output-Calculation-sheet'!O7*'Output-Calculation-sheet'!O43</f>
        <v>0</v>
      </c>
      <c r="P52" s="2">
        <f>P8/'Output-Calculation-sheet'!P7*'Output-Calculation-sheet'!P43</f>
        <v>1916.0177516954293</v>
      </c>
      <c r="Q52" s="2">
        <f>Q8/'Output-Calculation-sheet'!Q7*'Output-Calculation-sheet'!Q43</f>
        <v>435.35901342399876</v>
      </c>
      <c r="R52" s="2">
        <f>R8/'Output-Calculation-sheet'!R7*'Output-Calculation-sheet'!R43</f>
        <v>3491.459694978239</v>
      </c>
      <c r="S52" s="2">
        <f>S8/'Output-Calculation-sheet'!S7*'Output-Calculation-sheet'!S43</f>
        <v>582.06305946358248</v>
      </c>
      <c r="T52" s="2">
        <f>T8/'Output-Calculation-sheet'!T7*'Output-Calculation-sheet'!T43</f>
        <v>1034.7628743569262</v>
      </c>
      <c r="U52" s="2">
        <f>U8/'Output-Calculation-sheet'!U7*'Output-Calculation-sheet'!U43</f>
        <v>386.52139481266386</v>
      </c>
      <c r="V52" s="2">
        <f>V8/'Output-Calculation-sheet'!V7*'Output-Calculation-sheet'!V43</f>
        <v>1010.5522196309593</v>
      </c>
      <c r="W52" s="2">
        <f>W8/'Output-Calculation-sheet'!W7*'Output-Calculation-sheet'!W43</f>
        <v>12.097634469310435</v>
      </c>
      <c r="X52" s="2">
        <f>X8/'Output-Calculation-sheet'!X7*'Output-Calculation-sheet'!X43</f>
        <v>819.88644635097614</v>
      </c>
      <c r="Y52" s="2">
        <f>Y8/'Output-Calculation-sheet'!Y7*'Output-Calculation-sheet'!Y43</f>
        <v>0</v>
      </c>
      <c r="AA52" s="2">
        <f t="shared" si="3"/>
        <v>53.461829683626227</v>
      </c>
    </row>
    <row r="53" spans="1:27" x14ac:dyDescent="0.25">
      <c r="A53" s="2">
        <v>2032</v>
      </c>
      <c r="B53" s="2">
        <f>B9/'Output-Calculation-sheet'!B8*'Output-Calculation-sheet'!B44</f>
        <v>4289.2687191170817</v>
      </c>
      <c r="C53" s="2">
        <f>C9/'Output-Calculation-sheet'!C8*'Output-Calculation-sheet'!C44</f>
        <v>0</v>
      </c>
      <c r="D53" s="2">
        <f>D9/'Output-Calculation-sheet'!D8*'Output-Calculation-sheet'!D44</f>
        <v>3796.5480635311987</v>
      </c>
      <c r="E53" s="2">
        <f>E9/'Output-Calculation-sheet'!E8*'Output-Calculation-sheet'!E44</f>
        <v>2489.2255146430675</v>
      </c>
      <c r="F53" s="2">
        <f>F9/'Output-Calculation-sheet'!F8*'Output-Calculation-sheet'!F44</f>
        <v>0</v>
      </c>
      <c r="G53" s="2">
        <f>G9/'Output-Calculation-sheet'!G8*'Output-Calculation-sheet'!G44</f>
        <v>919.28476872975659</v>
      </c>
      <c r="H53" s="2">
        <f>H9/'Output-Calculation-sheet'!H8*'Output-Calculation-sheet'!H44</f>
        <v>11544.055283503878</v>
      </c>
      <c r="I53" s="2">
        <f>I9/'Output-Calculation-sheet'!I8*'Output-Calculation-sheet'!I44</f>
        <v>336.86145949016037</v>
      </c>
      <c r="J53" s="2">
        <f>J9/'Output-Calculation-sheet'!J8*'Output-Calculation-sheet'!J44</f>
        <v>1545.6813294517262</v>
      </c>
      <c r="K53" s="2">
        <f>K9/'Output-Calculation-sheet'!K8*'Output-Calculation-sheet'!K44</f>
        <v>2799.146042533012</v>
      </c>
      <c r="L53" s="2">
        <f>L9/'Output-Calculation-sheet'!L8*'Output-Calculation-sheet'!L44</f>
        <v>2728.3347904235247</v>
      </c>
      <c r="M53" s="2">
        <f>M9/'Output-Calculation-sheet'!M8*'Output-Calculation-sheet'!M44</f>
        <v>16408.876836130086</v>
      </c>
      <c r="N53" s="2">
        <f>N9/'Output-Calculation-sheet'!N8*'Output-Calculation-sheet'!N44</f>
        <v>10929.977220177836</v>
      </c>
      <c r="O53" s="2">
        <f>O9/'Output-Calculation-sheet'!O8*'Output-Calculation-sheet'!O44</f>
        <v>0</v>
      </c>
      <c r="P53" s="2">
        <f>P9/'Output-Calculation-sheet'!P8*'Output-Calculation-sheet'!P44</f>
        <v>2266.7474481678446</v>
      </c>
      <c r="Q53" s="2">
        <f>Q9/'Output-Calculation-sheet'!Q8*'Output-Calculation-sheet'!Q44</f>
        <v>684.02173774508867</v>
      </c>
      <c r="R53" s="2">
        <f>R9/'Output-Calculation-sheet'!R8*'Output-Calculation-sheet'!R44</f>
        <v>3837.4385487602872</v>
      </c>
      <c r="S53" s="2">
        <f>S9/'Output-Calculation-sheet'!S8*'Output-Calculation-sheet'!S44</f>
        <v>1112.4322923393809</v>
      </c>
      <c r="T53" s="2">
        <f>T9/'Output-Calculation-sheet'!T8*'Output-Calculation-sheet'!T44</f>
        <v>1140.0761208025208</v>
      </c>
      <c r="U53" s="2">
        <f>U9/'Output-Calculation-sheet'!U8*'Output-Calculation-sheet'!U44</f>
        <v>492.60953099475893</v>
      </c>
      <c r="V53" s="2">
        <f>V9/'Output-Calculation-sheet'!V8*'Output-Calculation-sheet'!V44</f>
        <v>1062.6089146781785</v>
      </c>
      <c r="W53" s="2">
        <f>W9/'Output-Calculation-sheet'!W8*'Output-Calculation-sheet'!W44</f>
        <v>29.144687186802361</v>
      </c>
      <c r="X53" s="2">
        <f>X9/'Output-Calculation-sheet'!X8*'Output-Calculation-sheet'!X44</f>
        <v>1578.5058758314112</v>
      </c>
      <c r="Y53" s="2">
        <f>Y9/'Output-Calculation-sheet'!Y8*'Output-Calculation-sheet'!Y44</f>
        <v>0</v>
      </c>
      <c r="AA53" s="2">
        <f t="shared" si="3"/>
        <v>69.9908451842376</v>
      </c>
    </row>
    <row r="54" spans="1:27" x14ac:dyDescent="0.25">
      <c r="A54" s="2">
        <v>2033</v>
      </c>
      <c r="B54" s="2">
        <f>B10/'Output-Calculation-sheet'!B9*'Output-Calculation-sheet'!B45</f>
        <v>7770.0643322124779</v>
      </c>
      <c r="C54" s="2">
        <f>C10/'Output-Calculation-sheet'!C9*'Output-Calculation-sheet'!C45</f>
        <v>0</v>
      </c>
      <c r="D54" s="2">
        <f>D10/'Output-Calculation-sheet'!D9*'Output-Calculation-sheet'!D45</f>
        <v>4414.6080562309453</v>
      </c>
      <c r="E54" s="2">
        <f>E10/'Output-Calculation-sheet'!E9*'Output-Calculation-sheet'!E45</f>
        <v>2947.0861439128553</v>
      </c>
      <c r="F54" s="2">
        <f>F10/'Output-Calculation-sheet'!F9*'Output-Calculation-sheet'!F45</f>
        <v>0</v>
      </c>
      <c r="G54" s="2">
        <f>G10/'Output-Calculation-sheet'!G9*'Output-Calculation-sheet'!G45</f>
        <v>1045.1857414573271</v>
      </c>
      <c r="H54" s="2">
        <f>H10/'Output-Calculation-sheet'!H9*'Output-Calculation-sheet'!H45</f>
        <v>20741.028375310678</v>
      </c>
      <c r="I54" s="2">
        <f>I10/'Output-Calculation-sheet'!I9*'Output-Calculation-sheet'!I45</f>
        <v>427.31007833635323</v>
      </c>
      <c r="J54" s="2">
        <f>J10/'Output-Calculation-sheet'!J9*'Output-Calculation-sheet'!J45</f>
        <v>1747.972962026528</v>
      </c>
      <c r="K54" s="2">
        <f>K10/'Output-Calculation-sheet'!K9*'Output-Calculation-sheet'!K45</f>
        <v>2967.8483844058624</v>
      </c>
      <c r="L54" s="2">
        <f>L10/'Output-Calculation-sheet'!L9*'Output-Calculation-sheet'!L45</f>
        <v>2827.4163610603332</v>
      </c>
      <c r="M54" s="2">
        <f>M10/'Output-Calculation-sheet'!M9*'Output-Calculation-sheet'!M45</f>
        <v>15433.02895743258</v>
      </c>
      <c r="N54" s="2">
        <f>N10/'Output-Calculation-sheet'!N9*'Output-Calculation-sheet'!N45</f>
        <v>10810.707978668532</v>
      </c>
      <c r="O54" s="2">
        <f>O10/'Output-Calculation-sheet'!O9*'Output-Calculation-sheet'!O45</f>
        <v>0</v>
      </c>
      <c r="P54" s="2">
        <f>P10/'Output-Calculation-sheet'!P9*'Output-Calculation-sheet'!P45</f>
        <v>2453.6558932812313</v>
      </c>
      <c r="Q54" s="2">
        <f>Q10/'Output-Calculation-sheet'!Q9*'Output-Calculation-sheet'!Q45</f>
        <v>945.36264793250598</v>
      </c>
      <c r="R54" s="2">
        <f>R10/'Output-Calculation-sheet'!R9*'Output-Calculation-sheet'!R45</f>
        <v>3641.8398961008093</v>
      </c>
      <c r="S54" s="2">
        <f>S10/'Output-Calculation-sheet'!S9*'Output-Calculation-sheet'!S45</f>
        <v>1617.657141032596</v>
      </c>
      <c r="T54" s="2">
        <f>T10/'Output-Calculation-sheet'!T9*'Output-Calculation-sheet'!T45</f>
        <v>1173.9311562978341</v>
      </c>
      <c r="U54" s="2">
        <f>U10/'Output-Calculation-sheet'!U9*'Output-Calculation-sheet'!U45</f>
        <v>527.84978317221305</v>
      </c>
      <c r="V54" s="2">
        <f>V10/'Output-Calculation-sheet'!V9*'Output-Calculation-sheet'!V45</f>
        <v>1024.2592621840874</v>
      </c>
      <c r="W54" s="2">
        <f>W10/'Output-Calculation-sheet'!W9*'Output-Calculation-sheet'!W45</f>
        <v>34.857569659398671</v>
      </c>
      <c r="X54" s="2">
        <f>X10/'Output-Calculation-sheet'!X9*'Output-Calculation-sheet'!X45</f>
        <v>1486.9118041316667</v>
      </c>
      <c r="Y54" s="2">
        <f>Y10/'Output-Calculation-sheet'!Y9*'Output-Calculation-sheet'!Y45</f>
        <v>11.175213939444198</v>
      </c>
      <c r="AA54" s="2">
        <f t="shared" si="3"/>
        <v>84.049757738786283</v>
      </c>
    </row>
    <row r="55" spans="1:27" x14ac:dyDescent="0.25">
      <c r="A55" s="2">
        <v>2034</v>
      </c>
      <c r="B55" s="2">
        <f>B11/'Output-Calculation-sheet'!B10*'Output-Calculation-sheet'!B46</f>
        <v>13266.572978483886</v>
      </c>
      <c r="C55" s="2">
        <f>C11/'Output-Calculation-sheet'!C10*'Output-Calculation-sheet'!C46</f>
        <v>0</v>
      </c>
      <c r="D55" s="2">
        <f>D11/'Output-Calculation-sheet'!D10*'Output-Calculation-sheet'!D46</f>
        <v>4239.0798700322321</v>
      </c>
      <c r="E55" s="2">
        <f>E11/'Output-Calculation-sheet'!E10*'Output-Calculation-sheet'!E46</f>
        <v>2777.8960779316913</v>
      </c>
      <c r="F55" s="2">
        <f>F11/'Output-Calculation-sheet'!F10*'Output-Calculation-sheet'!F46</f>
        <v>0</v>
      </c>
      <c r="G55" s="2">
        <f>G11/'Output-Calculation-sheet'!G10*'Output-Calculation-sheet'!G46</f>
        <v>1067.1221249722093</v>
      </c>
      <c r="H55" s="2">
        <f>H11/'Output-Calculation-sheet'!H10*'Output-Calculation-sheet'!H46</f>
        <v>17651.389158117177</v>
      </c>
      <c r="I55" s="2">
        <f>I11/'Output-Calculation-sheet'!I10*'Output-Calculation-sheet'!I46</f>
        <v>479.90631980740875</v>
      </c>
      <c r="J55" s="2">
        <f>J11/'Output-Calculation-sheet'!J10*'Output-Calculation-sheet'!J46</f>
        <v>1662.3239331084842</v>
      </c>
      <c r="K55" s="2">
        <f>K11/'Output-Calculation-sheet'!K10*'Output-Calculation-sheet'!K46</f>
        <v>2830.0342275474272</v>
      </c>
      <c r="L55" s="2">
        <f>L11/'Output-Calculation-sheet'!L10*'Output-Calculation-sheet'!L46</f>
        <v>2700.3691287938418</v>
      </c>
      <c r="M55" s="2">
        <f>M11/'Output-Calculation-sheet'!M10*'Output-Calculation-sheet'!M46</f>
        <v>13106.172462253069</v>
      </c>
      <c r="N55" s="2">
        <f>N11/'Output-Calculation-sheet'!N10*'Output-Calculation-sheet'!N46</f>
        <v>9647.8398817399157</v>
      </c>
      <c r="O55" s="2">
        <f>O11/'Output-Calculation-sheet'!O10*'Output-Calculation-sheet'!O46</f>
        <v>0</v>
      </c>
      <c r="P55" s="2">
        <f>P11/'Output-Calculation-sheet'!P10*'Output-Calculation-sheet'!P46</f>
        <v>2244.362911279597</v>
      </c>
      <c r="Q55" s="2">
        <f>Q11/'Output-Calculation-sheet'!Q10*'Output-Calculation-sheet'!Q46</f>
        <v>1255.6932052565601</v>
      </c>
      <c r="R55" s="2">
        <f>R11/'Output-Calculation-sheet'!R10*'Output-Calculation-sheet'!R46</f>
        <v>3143.5069276571389</v>
      </c>
      <c r="S55" s="2">
        <f>S11/'Output-Calculation-sheet'!S10*'Output-Calculation-sheet'!S46</f>
        <v>2023.8277049177252</v>
      </c>
      <c r="T55" s="2">
        <f>T11/'Output-Calculation-sheet'!T10*'Output-Calculation-sheet'!T46</f>
        <v>1039.3846198164297</v>
      </c>
      <c r="U55" s="2">
        <f>U11/'Output-Calculation-sheet'!U10*'Output-Calculation-sheet'!U46</f>
        <v>493.47473837355136</v>
      </c>
      <c r="V55" s="2">
        <f>V11/'Output-Calculation-sheet'!V10*'Output-Calculation-sheet'!V46</f>
        <v>907.95862110175949</v>
      </c>
      <c r="W55" s="2">
        <f>W11/'Output-Calculation-sheet'!W10*'Output-Calculation-sheet'!W46</f>
        <v>45.672756836053274</v>
      </c>
      <c r="X55" s="2">
        <f>X11/'Output-Calculation-sheet'!X10*'Output-Calculation-sheet'!X46</f>
        <v>1270.0059809052873</v>
      </c>
      <c r="Y55" s="2">
        <f>Y11/'Output-Calculation-sheet'!Y10*'Output-Calculation-sheet'!Y46</f>
        <v>15.060882670361835</v>
      </c>
      <c r="AA55" s="2">
        <f t="shared" si="3"/>
        <v>81.867654511601813</v>
      </c>
    </row>
    <row r="56" spans="1:27" x14ac:dyDescent="0.25">
      <c r="A56" s="2">
        <v>2035</v>
      </c>
      <c r="B56" s="2">
        <f>B12/'Output-Calculation-sheet'!B11*'Output-Calculation-sheet'!B47</f>
        <v>17121.530376788978</v>
      </c>
      <c r="C56" s="2">
        <f>C12/'Output-Calculation-sheet'!C11*'Output-Calculation-sheet'!C47</f>
        <v>1015.782523373709</v>
      </c>
      <c r="D56" s="2">
        <f>D12/'Output-Calculation-sheet'!D11*'Output-Calculation-sheet'!D47</f>
        <v>3655.4868367403742</v>
      </c>
      <c r="E56" s="2">
        <f>E12/'Output-Calculation-sheet'!E11*'Output-Calculation-sheet'!E47</f>
        <v>2636.970506200043</v>
      </c>
      <c r="F56" s="2">
        <f>F12/'Output-Calculation-sheet'!F11*'Output-Calculation-sheet'!F47</f>
        <v>56.219444804209019</v>
      </c>
      <c r="G56" s="2">
        <f>G12/'Output-Calculation-sheet'!G11*'Output-Calculation-sheet'!G47</f>
        <v>968.34584733178008</v>
      </c>
      <c r="H56" s="2">
        <f>H12/'Output-Calculation-sheet'!H11*'Output-Calculation-sheet'!H47</f>
        <v>13543.363809128581</v>
      </c>
      <c r="I56" s="2">
        <f>I12/'Output-Calculation-sheet'!I11*'Output-Calculation-sheet'!I47</f>
        <v>417.3394443894025</v>
      </c>
      <c r="J56" s="2">
        <f>J12/'Output-Calculation-sheet'!J11*'Output-Calculation-sheet'!J47</f>
        <v>1364.7915783266722</v>
      </c>
      <c r="K56" s="2">
        <f>K12/'Output-Calculation-sheet'!K11*'Output-Calculation-sheet'!K47</f>
        <v>2247.0674625064639</v>
      </c>
      <c r="L56" s="2">
        <f>L12/'Output-Calculation-sheet'!L11*'Output-Calculation-sheet'!L47</f>
        <v>2311.4439714148921</v>
      </c>
      <c r="M56" s="2">
        <f>M12/'Output-Calculation-sheet'!M11*'Output-Calculation-sheet'!M47</f>
        <v>10018.432753332971</v>
      </c>
      <c r="N56" s="2">
        <f>N12/'Output-Calculation-sheet'!N11*'Output-Calculation-sheet'!N47</f>
        <v>7678.9575344551058</v>
      </c>
      <c r="O56" s="2">
        <f>O12/'Output-Calculation-sheet'!O11*'Output-Calculation-sheet'!O47</f>
        <v>481.01434248013936</v>
      </c>
      <c r="P56" s="2">
        <f>P12/'Output-Calculation-sheet'!P11*'Output-Calculation-sheet'!P47</f>
        <v>1770.4407995459246</v>
      </c>
      <c r="Q56" s="2">
        <f>Q12/'Output-Calculation-sheet'!Q11*'Output-Calculation-sheet'!Q47</f>
        <v>1366.4282217203292</v>
      </c>
      <c r="R56" s="2">
        <f>R12/'Output-Calculation-sheet'!R11*'Output-Calculation-sheet'!R47</f>
        <v>2434.5296115806532</v>
      </c>
      <c r="S56" s="2">
        <f>S12/'Output-Calculation-sheet'!S11*'Output-Calculation-sheet'!S47</f>
        <v>2083.4831153566902</v>
      </c>
      <c r="T56" s="2">
        <f>T12/'Output-Calculation-sheet'!T11*'Output-Calculation-sheet'!T47</f>
        <v>849.70794182520069</v>
      </c>
      <c r="U56" s="2">
        <f>U12/'Output-Calculation-sheet'!U11*'Output-Calculation-sheet'!U47</f>
        <v>424.89000608168226</v>
      </c>
      <c r="V56" s="2">
        <f>V12/'Output-Calculation-sheet'!V11*'Output-Calculation-sheet'!V47</f>
        <v>703.6895333021406</v>
      </c>
      <c r="W56" s="2">
        <f>W12/'Output-Calculation-sheet'!W11*'Output-Calculation-sheet'!W47</f>
        <v>44.405505688828526</v>
      </c>
      <c r="X56" s="2">
        <f>X12/'Output-Calculation-sheet'!X11*'Output-Calculation-sheet'!X47</f>
        <v>972.17694195181866</v>
      </c>
      <c r="Y56" s="2">
        <f>Y12/'Output-Calculation-sheet'!Y11*'Output-Calculation-sheet'!Y47</f>
        <v>17.083498282091963</v>
      </c>
      <c r="AA56" s="2">
        <f t="shared" si="3"/>
        <v>74.183581606608698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8.1046816438913023</v>
      </c>
      <c r="C63" s="2">
        <f>C8*'Output-Calculation-sheet'!C52/10^9</f>
        <v>4.9793292120658661</v>
      </c>
      <c r="D63" s="2">
        <f>D8*'Output-Calculation-sheet'!D52/10^9</f>
        <v>1.7543130283579786</v>
      </c>
      <c r="E63" s="2">
        <f>E8*'Output-Calculation-sheet'!E52/10^9</f>
        <v>2.0979048742796773</v>
      </c>
      <c r="F63" s="2">
        <f>F8*'Output-Calculation-sheet'!F52/10^9</f>
        <v>0.81451132230786116</v>
      </c>
      <c r="G63" s="2">
        <f>G8*'Output-Calculation-sheet'!G52/10^9</f>
        <v>0.57488491341803527</v>
      </c>
      <c r="H63" s="2">
        <f>H8*'Output-Calculation-sheet'!H52/10^9</f>
        <v>1.5317141101409977</v>
      </c>
      <c r="I63" s="2">
        <f>I8*'Output-Calculation-sheet'!I52/10^9</f>
        <v>0.56323145670726027</v>
      </c>
      <c r="J63" s="2">
        <f>J8*'Output-Calculation-sheet'!J52/10^9</f>
        <v>0.58638071335730102</v>
      </c>
      <c r="K63" s="2">
        <f>K8*'Output-Calculation-sheet'!K52/10^9</f>
        <v>0.70734415720303057</v>
      </c>
      <c r="L63" s="2">
        <f>L8*'Output-Calculation-sheet'!L52/10^9</f>
        <v>0.73836393318781801</v>
      </c>
      <c r="M63" s="2">
        <f>M8*'Output-Calculation-sheet'!M52/10^9</f>
        <v>1.1558169250142449</v>
      </c>
      <c r="N63" s="2">
        <f>N8*'Output-Calculation-sheet'!N52/10^9</f>
        <v>0.99387529305945832</v>
      </c>
      <c r="O63" s="2">
        <f>O8*'Output-Calculation-sheet'!O52/10^9</f>
        <v>1.0421858777839423</v>
      </c>
      <c r="P63" s="2">
        <f>P8*'Output-Calculation-sheet'!P52/10^9</f>
        <v>0.63453304850585068</v>
      </c>
      <c r="Q63" s="2">
        <f>Q8*'Output-Calculation-sheet'!Q52/10^9</f>
        <v>0.69084179279828906</v>
      </c>
      <c r="R63" s="2">
        <f>R8*'Output-Calculation-sheet'!R52/10^9</f>
        <v>0.53290909323988245</v>
      </c>
      <c r="S63" s="2">
        <f>S8*'Output-Calculation-sheet'!S52/10^9</f>
        <v>0.50751866411640889</v>
      </c>
      <c r="T63" s="2">
        <f>T8*'Output-Calculation-sheet'!T52/10^9</f>
        <v>0.165152691996167</v>
      </c>
      <c r="U63" s="2">
        <f>U8*'Output-Calculation-sheet'!U52/10^9</f>
        <v>0.16105660608555061</v>
      </c>
      <c r="V63" s="2">
        <f>V8*'Output-Calculation-sheet'!V52/10^9</f>
        <v>0.13732268815056431</v>
      </c>
      <c r="W63" s="2">
        <f>W8*'Output-Calculation-sheet'!W52/10^9</f>
        <v>7.0739806218459503E-2</v>
      </c>
      <c r="X63" s="2">
        <f>X8*'Output-Calculation-sheet'!X52/10^9</f>
        <v>0.13373908071889945</v>
      </c>
      <c r="Y63" s="2">
        <f>Y8*'Output-Calculation-sheet'!Y52/10^9</f>
        <v>6.4429330206552921E-2</v>
      </c>
      <c r="AA63" s="2">
        <f t="shared" si="4"/>
        <v>28.742780262811397</v>
      </c>
    </row>
    <row r="64" spans="1:27" x14ac:dyDescent="0.25">
      <c r="A64" s="2">
        <v>2032</v>
      </c>
      <c r="B64" s="2">
        <f>B9*'Output-Calculation-sheet'!B53/10^9</f>
        <v>8.3072596375009731</v>
      </c>
      <c r="C64" s="2">
        <f>C9*'Output-Calculation-sheet'!C53/10^9</f>
        <v>5.1023750165987707</v>
      </c>
      <c r="D64" s="2">
        <f>D9*'Output-Calculation-sheet'!D53/10^9</f>
        <v>1.7994074659577168</v>
      </c>
      <c r="E64" s="2">
        <f>E9*'Output-Calculation-sheet'!E53/10^9</f>
        <v>2.1528856547544799</v>
      </c>
      <c r="F64" s="2">
        <f>F9*'Output-Calculation-sheet'!F53/10^9</f>
        <v>0.83587193752286226</v>
      </c>
      <c r="G64" s="2">
        <f>G9*'Output-Calculation-sheet'!G53/10^9</f>
        <v>0.58993617319945357</v>
      </c>
      <c r="H64" s="2">
        <f>H9*'Output-Calculation-sheet'!H53/10^9</f>
        <v>1.5561743967330082</v>
      </c>
      <c r="I64" s="2">
        <f>I9*'Output-Calculation-sheet'!I53/10^9</f>
        <v>0.57817437143084149</v>
      </c>
      <c r="J64" s="2">
        <f>J9*'Output-Calculation-sheet'!J53/10^9</f>
        <v>0.60111513632152191</v>
      </c>
      <c r="K64" s="2">
        <f>K9*'Output-Calculation-sheet'!K53/10^9</f>
        <v>0.72408917283135532</v>
      </c>
      <c r="L64" s="2">
        <f>L9*'Output-Calculation-sheet'!L53/10^9</f>
        <v>0.75260003714714219</v>
      </c>
      <c r="M64" s="2">
        <f>M9*'Output-Calculation-sheet'!M53/10^9</f>
        <v>1.158398166092536</v>
      </c>
      <c r="N64" s="2">
        <f>N9*'Output-Calculation-sheet'!N53/10^9</f>
        <v>1.0040992647336902</v>
      </c>
      <c r="O64" s="2">
        <f>O9*'Output-Calculation-sheet'!O53/10^9</f>
        <v>1.067903169920795</v>
      </c>
      <c r="P64" s="2">
        <f>P9*'Output-Calculation-sheet'!P53/10^9</f>
        <v>0.65020831790563938</v>
      </c>
      <c r="Q64" s="2">
        <f>Q9*'Output-Calculation-sheet'!Q53/10^9</f>
        <v>0.70901119543012481</v>
      </c>
      <c r="R64" s="2">
        <f>R9*'Output-Calculation-sheet'!R53/10^9</f>
        <v>0.54429139960765116</v>
      </c>
      <c r="S64" s="2">
        <f>S9*'Output-Calculation-sheet'!S53/10^9</f>
        <v>0.51919131049132283</v>
      </c>
      <c r="T64" s="2">
        <f>T9*'Output-Calculation-sheet'!T53/10^9</f>
        <v>0.1686959340608753</v>
      </c>
      <c r="U64" s="2">
        <f>U9*'Output-Calculation-sheet'!U53/10^9</f>
        <v>0.16516814118060716</v>
      </c>
      <c r="V64" s="2">
        <f>V9*'Output-Calculation-sheet'!V53/10^9</f>
        <v>0.14007958778524085</v>
      </c>
      <c r="W64" s="2">
        <f>W9*'Output-Calculation-sheet'!W53/10^9</f>
        <v>7.2602485212455325E-2</v>
      </c>
      <c r="X64" s="2">
        <f>X9*'Output-Calculation-sheet'!X53/10^9</f>
        <v>0.13500337884766458</v>
      </c>
      <c r="Y64" s="2">
        <f>Y9*'Output-Calculation-sheet'!Y53/10^9</f>
        <v>6.6200593808548272E-2</v>
      </c>
      <c r="AA64" s="2">
        <f t="shared" si="4"/>
        <v>29.400741945075286</v>
      </c>
    </row>
    <row r="65" spans="1:27" x14ac:dyDescent="0.25">
      <c r="A65" s="2">
        <v>2033</v>
      </c>
      <c r="B65" s="2">
        <f>B10*'Output-Calculation-sheet'!B54/10^9</f>
        <v>7.6630665354623346</v>
      </c>
      <c r="C65" s="2">
        <f>C10*'Output-Calculation-sheet'!C54/10^9</f>
        <v>4.7092422327714569</v>
      </c>
      <c r="D65" s="2">
        <f>D10*'Output-Calculation-sheet'!D54/10^9</f>
        <v>1.662227473158606</v>
      </c>
      <c r="E65" s="2">
        <f>E10*'Output-Calculation-sheet'!E54/10^9</f>
        <v>1.9901044372703958</v>
      </c>
      <c r="F65" s="2">
        <f>F10*'Output-Calculation-sheet'!F54/10^9</f>
        <v>0.77279519447942735</v>
      </c>
      <c r="G65" s="2">
        <f>G10*'Output-Calculation-sheet'!G54/10^9</f>
        <v>0.54528000848335612</v>
      </c>
      <c r="H65" s="2">
        <f>H10*'Output-Calculation-sheet'!H54/10^9</f>
        <v>1.4116234136916317</v>
      </c>
      <c r="I65" s="2">
        <f>I10*'Output-Calculation-sheet'!I54/10^9</f>
        <v>0.534643971407608</v>
      </c>
      <c r="J65" s="2">
        <f>J10*'Output-Calculation-sheet'!J54/10^9</f>
        <v>0.55508138646398564</v>
      </c>
      <c r="K65" s="2">
        <f>K10*'Output-Calculation-sheet'!K54/10^9</f>
        <v>0.66763769638941217</v>
      </c>
      <c r="L65" s="2">
        <f>L10*'Output-Calculation-sheet'!L54/10^9</f>
        <v>0.69051790056260021</v>
      </c>
      <c r="M65" s="2">
        <f>M10*'Output-Calculation-sheet'!M54/10^9</f>
        <v>1.0451388363064495</v>
      </c>
      <c r="N65" s="2">
        <f>N10*'Output-Calculation-sheet'!N54/10^9</f>
        <v>0.91202583838315066</v>
      </c>
      <c r="O65" s="2">
        <f>O10*'Output-Calculation-sheet'!O54/10^9</f>
        <v>0.98561703490265096</v>
      </c>
      <c r="P65" s="2">
        <f>P10*'Output-Calculation-sheet'!P54/10^9</f>
        <v>0.60001467614089665</v>
      </c>
      <c r="Q65" s="2">
        <f>Q10*'Output-Calculation-sheet'!Q54/10^9</f>
        <v>0.65496357265947969</v>
      </c>
      <c r="R65" s="2">
        <f>R10*'Output-Calculation-sheet'!R54/10^9</f>
        <v>0.50080086664713808</v>
      </c>
      <c r="S65" s="2">
        <f>S10*'Output-Calculation-sheet'!S54/10^9</f>
        <v>0.47755820759246437</v>
      </c>
      <c r="T65" s="2">
        <f>T10*'Output-Calculation-sheet'!T54/10^9</f>
        <v>0.15519881037721217</v>
      </c>
      <c r="U65" s="2">
        <f>U10*'Output-Calculation-sheet'!U54/10^9</f>
        <v>0.15256198277923172</v>
      </c>
      <c r="V65" s="2">
        <f>V10*'Output-Calculation-sheet'!V54/10^9</f>
        <v>0.12873272104541747</v>
      </c>
      <c r="W65" s="2">
        <f>W10*'Output-Calculation-sheet'!W54/10^9</f>
        <v>6.7123085186455614E-2</v>
      </c>
      <c r="X65" s="2">
        <f>X10*'Output-Calculation-sheet'!X54/10^9</f>
        <v>0.12229787996888176</v>
      </c>
      <c r="Y65" s="2">
        <f>Y10*'Output-Calculation-sheet'!Y54/10^9</f>
        <v>6.1271519124320648E-2</v>
      </c>
      <c r="AA65" s="2">
        <f t="shared" si="4"/>
        <v>27.065525281254569</v>
      </c>
    </row>
    <row r="66" spans="1:27" x14ac:dyDescent="0.25">
      <c r="A66" s="2">
        <v>2034</v>
      </c>
      <c r="B66" s="2">
        <f>B11*'Output-Calculation-sheet'!B55/10^9</f>
        <v>6.3910539368462373</v>
      </c>
      <c r="C66" s="2">
        <f>C11*'Output-Calculation-sheet'!C55/10^9</f>
        <v>3.93431707574234</v>
      </c>
      <c r="D66" s="2">
        <f>D11*'Output-Calculation-sheet'!D55/10^9</f>
        <v>1.3901105806170813</v>
      </c>
      <c r="E66" s="2">
        <f>E11*'Output-Calculation-sheet'!E55/10^9</f>
        <v>1.6654809879504666</v>
      </c>
      <c r="F66" s="2">
        <f>F11*'Output-Calculation-sheet'!F55/10^9</f>
        <v>0.64690266856219514</v>
      </c>
      <c r="G66" s="2">
        <f>G11*'Output-Calculation-sheet'!G55/10^9</f>
        <v>0.45625048541432678</v>
      </c>
      <c r="H66" s="2">
        <f>H11*'Output-Calculation-sheet'!H55/10^9</f>
        <v>1.1533685195682264</v>
      </c>
      <c r="I66" s="2">
        <f>I11*'Output-Calculation-sheet'!I55/10^9</f>
        <v>0.44754889240500856</v>
      </c>
      <c r="J66" s="2">
        <f>J11*'Output-Calculation-sheet'!J55/10^9</f>
        <v>0.46390111578168847</v>
      </c>
      <c r="K66" s="2">
        <f>K11*'Output-Calculation-sheet'!K55/10^9</f>
        <v>0.55725116740447023</v>
      </c>
      <c r="L66" s="2">
        <f>L11*'Output-Calculation-sheet'!L55/10^9</f>
        <v>0.57314932097057925</v>
      </c>
      <c r="M66" s="2">
        <f>M11*'Output-Calculation-sheet'!M55/10^9</f>
        <v>0.85284477138103998</v>
      </c>
      <c r="N66" s="2">
        <f>N11*'Output-Calculation-sheet'!N55/10^9</f>
        <v>0.74902318149395763</v>
      </c>
      <c r="O66" s="2">
        <f>O11*'Output-Calculation-sheet'!O55/10^9</f>
        <v>0.82345790451184997</v>
      </c>
      <c r="P66" s="2">
        <f>P11*'Output-Calculation-sheet'!P55/10^9</f>
        <v>0.5011270233629358</v>
      </c>
      <c r="Q66" s="2">
        <f>Q11*'Output-Calculation-sheet'!Q55/10^9</f>
        <v>0.5470041151409365</v>
      </c>
      <c r="R66" s="2">
        <f>R11*'Output-Calculation-sheet'!R55/10^9</f>
        <v>0.41722498175050632</v>
      </c>
      <c r="S66" s="2">
        <f>S11*'Output-Calculation-sheet'!S55/10^9</f>
        <v>0.39675527198141591</v>
      </c>
      <c r="T66" s="2">
        <f>T11*'Output-Calculation-sheet'!T55/10^9</f>
        <v>0.1292444213452057</v>
      </c>
      <c r="U66" s="2">
        <f>U11*'Output-Calculation-sheet'!U55/10^9</f>
        <v>0.12755444282137227</v>
      </c>
      <c r="V66" s="2">
        <f>V11*'Output-Calculation-sheet'!V55/10^9</f>
        <v>0.10711608191712686</v>
      </c>
      <c r="W66" s="2">
        <f>W11*'Output-Calculation-sheet'!W55/10^9</f>
        <v>5.6180083553096456E-2</v>
      </c>
      <c r="X66" s="2">
        <f>X11*'Output-Calculation-sheet'!X55/10^9</f>
        <v>0.10022415952396704</v>
      </c>
      <c r="Y66" s="2">
        <f>Y11*'Output-Calculation-sheet'!Y55/10^9</f>
        <v>5.1346410205154826E-2</v>
      </c>
      <c r="AA66" s="2">
        <f t="shared" si="4"/>
        <v>22.538437600251189</v>
      </c>
    </row>
    <row r="67" spans="1:27" x14ac:dyDescent="0.25">
      <c r="A67" s="2">
        <v>2035</v>
      </c>
      <c r="B67" s="2">
        <f>B12*'Output-Calculation-sheet'!B56/10^9</f>
        <v>4.7748365453746597</v>
      </c>
      <c r="C67" s="2">
        <f>C12*'Output-Calculation-sheet'!C56/10^9</f>
        <v>2.9494382927876188</v>
      </c>
      <c r="D67" s="2">
        <f>D12*'Output-Calculation-sheet'!D56/10^9</f>
        <v>1.0432830314461718</v>
      </c>
      <c r="E67" s="2">
        <f>E12*'Output-Calculation-sheet'!E56/10^9</f>
        <v>1.2509860200310559</v>
      </c>
      <c r="F67" s="2">
        <f>F12*'Output-Calculation-sheet'!F56/10^9</f>
        <v>0.48607382651029213</v>
      </c>
      <c r="G67" s="2">
        <f>G12*'Output-Calculation-sheet'!G56/10^9</f>
        <v>0.34262563437340371</v>
      </c>
      <c r="H67" s="2">
        <f>H12*'Output-Calculation-sheet'!H56/10^9</f>
        <v>0.8450365144795734</v>
      </c>
      <c r="I67" s="2">
        <f>I12*'Output-Calculation-sheet'!I56/10^9</f>
        <v>0.3362707931078559</v>
      </c>
      <c r="J67" s="2">
        <f>J12*'Output-Calculation-sheet'!J56/10^9</f>
        <v>0.34801628290455905</v>
      </c>
      <c r="K67" s="2">
        <f>K12*'Output-Calculation-sheet'!K56/10^9</f>
        <v>0.41739514430690811</v>
      </c>
      <c r="L67" s="2">
        <f>L12*'Output-Calculation-sheet'!L56/10^9</f>
        <v>0.42665304639616586</v>
      </c>
      <c r="M67" s="2">
        <f>M12*'Output-Calculation-sheet'!M56/10^9</f>
        <v>0.62402387880520482</v>
      </c>
      <c r="N67" s="2">
        <f>N12*'Output-Calculation-sheet'!N56/10^9</f>
        <v>0.55140322330597324</v>
      </c>
      <c r="O67" s="2">
        <f>O12*'Output-Calculation-sheet'!O56/10^9</f>
        <v>0.61702275994637612</v>
      </c>
      <c r="P67" s="2">
        <f>P12*'Output-Calculation-sheet'!P56/10^9</f>
        <v>0.3756854814860644</v>
      </c>
      <c r="Q67" s="2">
        <f>Q12*'Output-Calculation-sheet'!Q56/10^9</f>
        <v>0.40936258963487859</v>
      </c>
      <c r="R67" s="2">
        <f>R12*'Output-Calculation-sheet'!R56/10^9</f>
        <v>0.31203764637233167</v>
      </c>
      <c r="S67" s="2">
        <f>S12*'Output-Calculation-sheet'!S56/10^9</f>
        <v>0.29509501637856839</v>
      </c>
      <c r="T67" s="2">
        <f>T12*'Output-Calculation-sheet'!T56/10^9</f>
        <v>9.6595914839343142E-2</v>
      </c>
      <c r="U67" s="2">
        <f>U12*'Output-Calculation-sheet'!U56/10^9</f>
        <v>9.5720240933673748E-2</v>
      </c>
      <c r="V67" s="2">
        <f>V12*'Output-Calculation-sheet'!V56/10^9</f>
        <v>7.9995163546168563E-2</v>
      </c>
      <c r="W67" s="2">
        <f>W12*'Output-Calculation-sheet'!W56/10^9</f>
        <v>4.2204761527021573E-2</v>
      </c>
      <c r="X67" s="2">
        <f>X12*'Output-Calculation-sheet'!X56/10^9</f>
        <v>7.3648712032537145E-2</v>
      </c>
      <c r="Y67" s="2">
        <f>Y12*'Output-Calculation-sheet'!Y56/10^9</f>
        <v>3.8623403986609628E-2</v>
      </c>
      <c r="AA67" s="2">
        <f t="shared" si="4"/>
        <v>16.832033924513013</v>
      </c>
    </row>
    <row r="68" spans="1:27" x14ac:dyDescent="0.25">
      <c r="B68" s="2">
        <f>SUM(B60:B67)</f>
        <v>51.994765590946095</v>
      </c>
      <c r="C68" s="2">
        <f t="shared" ref="C68:Y68" si="5">SUM(C60:C67)</f>
        <v>31.946710520664883</v>
      </c>
      <c r="D68" s="2">
        <f t="shared" si="5"/>
        <v>11.280007265207793</v>
      </c>
      <c r="E68" s="2">
        <f t="shared" si="5"/>
        <v>13.496939893560038</v>
      </c>
      <c r="F68" s="2">
        <f t="shared" si="5"/>
        <v>5.241585686312245</v>
      </c>
      <c r="G68" s="2">
        <f t="shared" si="5"/>
        <v>3.6973754454530217</v>
      </c>
      <c r="H68" s="2">
        <f t="shared" si="5"/>
        <v>9.6797756676433071</v>
      </c>
      <c r="I68" s="2">
        <f t="shared" si="5"/>
        <v>3.6236477814079766</v>
      </c>
      <c r="J68" s="2">
        <f t="shared" si="5"/>
        <v>3.7705334053249953</v>
      </c>
      <c r="K68" s="2">
        <f t="shared" si="5"/>
        <v>4.5482758169164361</v>
      </c>
      <c r="L68" s="2">
        <f t="shared" si="5"/>
        <v>4.7303062702069782</v>
      </c>
      <c r="M68" s="2">
        <f t="shared" si="5"/>
        <v>7.3663733437076733</v>
      </c>
      <c r="N68" s="2">
        <f t="shared" si="5"/>
        <v>6.3118478606363837</v>
      </c>
      <c r="O68" s="2">
        <f t="shared" si="5"/>
        <v>6.6862698080181904</v>
      </c>
      <c r="P68" s="2">
        <f t="shared" si="5"/>
        <v>4.0780564295413271</v>
      </c>
      <c r="Q68" s="2">
        <f t="shared" si="5"/>
        <v>4.4388080746139558</v>
      </c>
      <c r="R68" s="2">
        <f t="shared" si="5"/>
        <v>3.4282958239814656</v>
      </c>
      <c r="S68" s="2">
        <f t="shared" si="5"/>
        <v>3.2455238035661278</v>
      </c>
      <c r="T68" s="2">
        <f t="shared" si="5"/>
        <v>1.0620520369383188</v>
      </c>
      <c r="U68" s="2">
        <f t="shared" si="5"/>
        <v>1.0353659125177008</v>
      </c>
      <c r="V68" s="2">
        <f t="shared" si="5"/>
        <v>0.88381401527904679</v>
      </c>
      <c r="W68" s="2">
        <f t="shared" si="5"/>
        <v>0.45512063463276869</v>
      </c>
      <c r="X68" s="2">
        <f t="shared" si="5"/>
        <v>0.84360855126404521</v>
      </c>
      <c r="Y68" s="2">
        <f t="shared" si="5"/>
        <v>0.41476110832949087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480.59050641304026</v>
      </c>
      <c r="C74" s="2">
        <f>C8/'Output-Calculation-sheet'!C7*'Output-Calculation-sheet'!C61</f>
        <v>0</v>
      </c>
      <c r="D74" s="2">
        <f>D8/'Output-Calculation-sheet'!D7*'Output-Calculation-sheet'!D61</f>
        <v>786.44212854429702</v>
      </c>
      <c r="E74" s="2">
        <f>E8/'Output-Calculation-sheet'!E7*'Output-Calculation-sheet'!E61</f>
        <v>583.66085934449632</v>
      </c>
      <c r="F74" s="2">
        <f>F8/'Output-Calculation-sheet'!F7*'Output-Calculation-sheet'!F61</f>
        <v>0</v>
      </c>
      <c r="G74" s="2">
        <f>G8/'Output-Calculation-sheet'!G7*'Output-Calculation-sheet'!G61</f>
        <v>265.75736019278258</v>
      </c>
      <c r="H74" s="2">
        <f>H8/'Output-Calculation-sheet'!H7*'Output-Calculation-sheet'!H61</f>
        <v>1276.3461241400621</v>
      </c>
      <c r="I74" s="2">
        <f>I8/'Output-Calculation-sheet'!I7*'Output-Calculation-sheet'!I61</f>
        <v>93.697091896958568</v>
      </c>
      <c r="J74" s="2">
        <f>J8/'Output-Calculation-sheet'!J7*'Output-Calculation-sheet'!J61</f>
        <v>390.64333794315149</v>
      </c>
      <c r="K74" s="2">
        <f>K8/'Output-Calculation-sheet'!K7*'Output-Calculation-sheet'!K61</f>
        <v>656.05382472152735</v>
      </c>
      <c r="L74" s="2">
        <f>L8/'Output-Calculation-sheet'!L7*'Output-Calculation-sheet'!L61</f>
        <v>569.18126059795429</v>
      </c>
      <c r="M74" s="2">
        <f>M8/'Output-Calculation-sheet'!M7*'Output-Calculation-sheet'!M61</f>
        <v>2850.5240326782473</v>
      </c>
      <c r="N74" s="2">
        <f>N8/'Output-Calculation-sheet'!N7*'Output-Calculation-sheet'!N61</f>
        <v>1607.8382598219025</v>
      </c>
      <c r="O74" s="2">
        <f>O8/'Output-Calculation-sheet'!O7*'Output-Calculation-sheet'!O61</f>
        <v>0</v>
      </c>
      <c r="P74" s="2">
        <f>P8/'Output-Calculation-sheet'!P7*'Output-Calculation-sheet'!P61</f>
        <v>454.41554344376601</v>
      </c>
      <c r="Q74" s="2">
        <f>Q8/'Output-Calculation-sheet'!Q7*'Output-Calculation-sheet'!Q61</f>
        <v>119.79944330262992</v>
      </c>
      <c r="R74" s="2">
        <f>R8/'Output-Calculation-sheet'!R7*'Output-Calculation-sheet'!R61</f>
        <v>790.2712535407735</v>
      </c>
      <c r="S74" s="2">
        <f>S8/'Output-Calculation-sheet'!S7*'Output-Calculation-sheet'!S61</f>
        <v>139.8437461162292</v>
      </c>
      <c r="T74" s="2">
        <f>T8/'Output-Calculation-sheet'!T7*'Output-Calculation-sheet'!T61</f>
        <v>267.64940387728819</v>
      </c>
      <c r="U74" s="2">
        <f>U8/'Output-Calculation-sheet'!U7*'Output-Calculation-sheet'!U61</f>
        <v>106.0457683049307</v>
      </c>
      <c r="V74" s="2">
        <f>V8/'Output-Calculation-sheet'!V7*'Output-Calculation-sheet'!V61</f>
        <v>186.26759299907422</v>
      </c>
      <c r="W74" s="2">
        <f>W8/'Output-Calculation-sheet'!W7*'Output-Calculation-sheet'!W61</f>
        <v>4.4317667605907225</v>
      </c>
      <c r="X74" s="2">
        <f>X8/'Output-Calculation-sheet'!X7*'Output-Calculation-sheet'!X61</f>
        <v>159.17371926686832</v>
      </c>
      <c r="Y74" s="2">
        <f>Y8/'Output-Calculation-sheet'!Y7*'Output-Calculation-sheet'!Y61</f>
        <v>0</v>
      </c>
      <c r="AA74" s="2">
        <f t="shared" si="6"/>
        <v>11.78863302390657</v>
      </c>
    </row>
    <row r="75" spans="1:27" x14ac:dyDescent="0.25">
      <c r="A75" s="2">
        <v>2032</v>
      </c>
      <c r="B75" s="2">
        <f>B9/'Output-Calculation-sheet'!B8*'Output-Calculation-sheet'!B62</f>
        <v>1216.120557362301</v>
      </c>
      <c r="C75" s="2">
        <f>C9/'Output-Calculation-sheet'!C8*'Output-Calculation-sheet'!C62</f>
        <v>0</v>
      </c>
      <c r="D75" s="2">
        <f>D9/'Output-Calculation-sheet'!D8*'Output-Calculation-sheet'!D62</f>
        <v>994.7905063467623</v>
      </c>
      <c r="E75" s="2">
        <f>E9/'Output-Calculation-sheet'!E8*'Output-Calculation-sheet'!E62</f>
        <v>699.54780069090316</v>
      </c>
      <c r="F75" s="2">
        <f>F9/'Output-Calculation-sheet'!F8*'Output-Calculation-sheet'!F62</f>
        <v>0</v>
      </c>
      <c r="G75" s="2">
        <f>G9/'Output-Calculation-sheet'!G8*'Output-Calculation-sheet'!G62</f>
        <v>323.21371516857704</v>
      </c>
      <c r="H75" s="2">
        <f>H9/'Output-Calculation-sheet'!H8*'Output-Calculation-sheet'!H62</f>
        <v>2281.7979673373761</v>
      </c>
      <c r="I75" s="2">
        <f>I9/'Output-Calculation-sheet'!I8*'Output-Calculation-sheet'!I62</f>
        <v>138.20506969809941</v>
      </c>
      <c r="J75" s="2">
        <f>J9/'Output-Calculation-sheet'!J8*'Output-Calculation-sheet'!J62</f>
        <v>452.97555196050001</v>
      </c>
      <c r="K75" s="2">
        <f>K9/'Output-Calculation-sheet'!K8*'Output-Calculation-sheet'!K62</f>
        <v>710.41122625706112</v>
      </c>
      <c r="L75" s="2">
        <f>L9/'Output-Calculation-sheet'!L8*'Output-Calculation-sheet'!L62</f>
        <v>616.8908557715506</v>
      </c>
      <c r="M75" s="2">
        <f>M9/'Output-Calculation-sheet'!M8*'Output-Calculation-sheet'!M62</f>
        <v>2970.1882716752152</v>
      </c>
      <c r="N75" s="2">
        <f>N9/'Output-Calculation-sheet'!N8*'Output-Calculation-sheet'!N62</f>
        <v>1919.9508760660547</v>
      </c>
      <c r="O75" s="2">
        <f>O9/'Output-Calculation-sheet'!O8*'Output-Calculation-sheet'!O62</f>
        <v>0</v>
      </c>
      <c r="P75" s="2">
        <f>P9/'Output-Calculation-sheet'!P8*'Output-Calculation-sheet'!P62</f>
        <v>529.82130581675858</v>
      </c>
      <c r="Q75" s="2">
        <f>Q9/'Output-Calculation-sheet'!Q8*'Output-Calculation-sheet'!Q62</f>
        <v>187.91054309768649</v>
      </c>
      <c r="R75" s="2">
        <f>R9/'Output-Calculation-sheet'!R8*'Output-Calculation-sheet'!R62</f>
        <v>843.48062161917403</v>
      </c>
      <c r="S75" s="2">
        <f>S9/'Output-Calculation-sheet'!S8*'Output-Calculation-sheet'!S62</f>
        <v>244.22364119174915</v>
      </c>
      <c r="T75" s="2">
        <f>T9/'Output-Calculation-sheet'!T8*'Output-Calculation-sheet'!T62</f>
        <v>282.39470403576405</v>
      </c>
      <c r="U75" s="2">
        <f>U9/'Output-Calculation-sheet'!U8*'Output-Calculation-sheet'!U62</f>
        <v>131.3708556835137</v>
      </c>
      <c r="V75" s="2">
        <f>V9/'Output-Calculation-sheet'!V8*'Output-Calculation-sheet'!V62</f>
        <v>195.93354422233384</v>
      </c>
      <c r="W75" s="2">
        <f>W9/'Output-Calculation-sheet'!W8*'Output-Calculation-sheet'!W62</f>
        <v>10.675282563851608</v>
      </c>
      <c r="X75" s="2">
        <f>X9/'Output-Calculation-sheet'!X8*'Output-Calculation-sheet'!X62</f>
        <v>281.42469189724278</v>
      </c>
      <c r="Y75" s="2">
        <f>Y9/'Output-Calculation-sheet'!Y8*'Output-Calculation-sheet'!Y62</f>
        <v>0</v>
      </c>
      <c r="AA75" s="2">
        <f t="shared" si="6"/>
        <v>15.031327588462474</v>
      </c>
    </row>
    <row r="76" spans="1:27" x14ac:dyDescent="0.25">
      <c r="A76" s="2">
        <v>2033</v>
      </c>
      <c r="B76" s="2">
        <f>B10/'Output-Calculation-sheet'!B9*'Output-Calculation-sheet'!B63</f>
        <v>2040.7968967686718</v>
      </c>
      <c r="C76" s="2">
        <f>C10/'Output-Calculation-sheet'!C9*'Output-Calculation-sheet'!C63</f>
        <v>0</v>
      </c>
      <c r="D76" s="2">
        <f>D10/'Output-Calculation-sheet'!D9*'Output-Calculation-sheet'!D63</f>
        <v>1091.2028193391652</v>
      </c>
      <c r="E76" s="2">
        <f>E10/'Output-Calculation-sheet'!E9*'Output-Calculation-sheet'!E63</f>
        <v>809.60666496348858</v>
      </c>
      <c r="F76" s="2">
        <f>F10/'Output-Calculation-sheet'!F9*'Output-Calculation-sheet'!F63</f>
        <v>0</v>
      </c>
      <c r="G76" s="2">
        <f>G10/'Output-Calculation-sheet'!G9*'Output-Calculation-sheet'!G63</f>
        <v>363.09119212323634</v>
      </c>
      <c r="H76" s="2">
        <f>H10/'Output-Calculation-sheet'!H9*'Output-Calculation-sheet'!H63</f>
        <v>3723.6282332610272</v>
      </c>
      <c r="I76" s="2">
        <f>I10/'Output-Calculation-sheet'!I9*'Output-Calculation-sheet'!I63</f>
        <v>168.47412021874618</v>
      </c>
      <c r="J76" s="2">
        <f>J10/'Output-Calculation-sheet'!J9*'Output-Calculation-sheet'!J63</f>
        <v>506.88396587540234</v>
      </c>
      <c r="K76" s="2">
        <f>K10/'Output-Calculation-sheet'!K9*'Output-Calculation-sheet'!K63</f>
        <v>699.57226162985739</v>
      </c>
      <c r="L76" s="2">
        <f>L10/'Output-Calculation-sheet'!L9*'Output-Calculation-sheet'!L63</f>
        <v>647.52287292472283</v>
      </c>
      <c r="M76" s="2">
        <f>M10/'Output-Calculation-sheet'!M9*'Output-Calculation-sheet'!M63</f>
        <v>2784.9755798383094</v>
      </c>
      <c r="N76" s="2">
        <f>N10/'Output-Calculation-sheet'!N9*'Output-Calculation-sheet'!N63</f>
        <v>1893.4508901372021</v>
      </c>
      <c r="O76" s="2">
        <f>O10/'Output-Calculation-sheet'!O9*'Output-Calculation-sheet'!O63</f>
        <v>0</v>
      </c>
      <c r="P76" s="2">
        <f>P10/'Output-Calculation-sheet'!P9*'Output-Calculation-sheet'!P63</f>
        <v>547.16526420171465</v>
      </c>
      <c r="Q76" s="2">
        <f>Q10/'Output-Calculation-sheet'!Q9*'Output-Calculation-sheet'!Q63</f>
        <v>240.50389364421386</v>
      </c>
      <c r="R76" s="2">
        <f>R10/'Output-Calculation-sheet'!R9*'Output-Calculation-sheet'!R63</f>
        <v>799.40188610450446</v>
      </c>
      <c r="S76" s="2">
        <f>S10/'Output-Calculation-sheet'!S9*'Output-Calculation-sheet'!S63</f>
        <v>338.83969835732029</v>
      </c>
      <c r="T76" s="2">
        <f>T10/'Output-Calculation-sheet'!T9*'Output-Calculation-sheet'!T63</f>
        <v>280.74296800327187</v>
      </c>
      <c r="U76" s="2">
        <f>U10/'Output-Calculation-sheet'!U9*'Output-Calculation-sheet'!U63</f>
        <v>137.67018410779457</v>
      </c>
      <c r="V76" s="2">
        <f>V10/'Output-Calculation-sheet'!V9*'Output-Calculation-sheet'!V63</f>
        <v>183.19033450337849</v>
      </c>
      <c r="W76" s="2">
        <f>W10/'Output-Calculation-sheet'!W9*'Output-Calculation-sheet'!W63</f>
        <v>12.769489685226381</v>
      </c>
      <c r="X76" s="2">
        <f>X10/'Output-Calculation-sheet'!X9*'Output-Calculation-sheet'!X63</f>
        <v>265.76348239953347</v>
      </c>
      <c r="Y76" s="2">
        <f>Y10/'Output-Calculation-sheet'!Y9*'Output-Calculation-sheet'!Y63</f>
        <v>4.0945983874123542</v>
      </c>
      <c r="AA76" s="2">
        <f t="shared" si="6"/>
        <v>17.539347296474205</v>
      </c>
    </row>
    <row r="77" spans="1:27" x14ac:dyDescent="0.25">
      <c r="A77" s="2">
        <v>2034</v>
      </c>
      <c r="B77" s="2">
        <f>B11/'Output-Calculation-sheet'!B10*'Output-Calculation-sheet'!B64</f>
        <v>2969.0590325846938</v>
      </c>
      <c r="C77" s="2">
        <f>C11/'Output-Calculation-sheet'!C10*'Output-Calculation-sheet'!C64</f>
        <v>0</v>
      </c>
      <c r="D77" s="2">
        <f>D11/'Output-Calculation-sheet'!D10*'Output-Calculation-sheet'!D64</f>
        <v>1054.5640799483692</v>
      </c>
      <c r="E77" s="2">
        <f>E11/'Output-Calculation-sheet'!E10*'Output-Calculation-sheet'!E64</f>
        <v>737.79737746428304</v>
      </c>
      <c r="F77" s="2">
        <f>F11/'Output-Calculation-sheet'!F10*'Output-Calculation-sheet'!F64</f>
        <v>0</v>
      </c>
      <c r="G77" s="2">
        <f>G11/'Output-Calculation-sheet'!G10*'Output-Calculation-sheet'!G64</f>
        <v>342.70627043482506</v>
      </c>
      <c r="H77" s="2">
        <f>H11/'Output-Calculation-sheet'!H10*'Output-Calculation-sheet'!H64</f>
        <v>3209.9684359781877</v>
      </c>
      <c r="I77" s="2">
        <f>I11/'Output-Calculation-sheet'!I10*'Output-Calculation-sheet'!I64</f>
        <v>181.86049989101753</v>
      </c>
      <c r="J77" s="2">
        <f>J11/'Output-Calculation-sheet'!J10*'Output-Calculation-sheet'!J64</f>
        <v>459.13387032456336</v>
      </c>
      <c r="K77" s="2">
        <f>K11/'Output-Calculation-sheet'!K10*'Output-Calculation-sheet'!K64</f>
        <v>646.28548309758082</v>
      </c>
      <c r="L77" s="2">
        <f>L11/'Output-Calculation-sheet'!L10*'Output-Calculation-sheet'!L64</f>
        <v>567.17127986367882</v>
      </c>
      <c r="M77" s="2">
        <f>M11/'Output-Calculation-sheet'!M10*'Output-Calculation-sheet'!M64</f>
        <v>2402.306284604213</v>
      </c>
      <c r="N77" s="2">
        <f>N11/'Output-Calculation-sheet'!N10*'Output-Calculation-sheet'!N64</f>
        <v>1689.455613494101</v>
      </c>
      <c r="O77" s="2">
        <f>O11/'Output-Calculation-sheet'!O10*'Output-Calculation-sheet'!O64</f>
        <v>0</v>
      </c>
      <c r="P77" s="2">
        <f>P11/'Output-Calculation-sheet'!P10*'Output-Calculation-sheet'!P64</f>
        <v>494.27652834597859</v>
      </c>
      <c r="Q77" s="2">
        <f>Q11/'Output-Calculation-sheet'!Q10*'Output-Calculation-sheet'!Q64</f>
        <v>301.9482758688884</v>
      </c>
      <c r="R77" s="2">
        <f>R11/'Output-Calculation-sheet'!R10*'Output-Calculation-sheet'!R64</f>
        <v>695.82361075000051</v>
      </c>
      <c r="S77" s="2">
        <f>S11/'Output-Calculation-sheet'!S10*'Output-Calculation-sheet'!S64</f>
        <v>409.92529973618178</v>
      </c>
      <c r="T77" s="2">
        <f>T11/'Output-Calculation-sheet'!T10*'Output-Calculation-sheet'!T64</f>
        <v>245.25544220998162</v>
      </c>
      <c r="U77" s="2">
        <f>U11/'Output-Calculation-sheet'!U10*'Output-Calculation-sheet'!U64</f>
        <v>127.65849469528862</v>
      </c>
      <c r="V77" s="2">
        <f>V11/'Output-Calculation-sheet'!V10*'Output-Calculation-sheet'!V64</f>
        <v>163.07841026145545</v>
      </c>
      <c r="W77" s="2">
        <f>W11/'Output-Calculation-sheet'!W10*'Output-Calculation-sheet'!W64</f>
        <v>16.729278361091513</v>
      </c>
      <c r="X77" s="2">
        <f>X11/'Output-Calculation-sheet'!X10*'Output-Calculation-sheet'!X64</f>
        <v>225.6767463549993</v>
      </c>
      <c r="Y77" s="2">
        <f>Y11/'Output-Calculation-sheet'!Y10*'Output-Calculation-sheet'!Y64</f>
        <v>5.2637784932914613</v>
      </c>
      <c r="AA77" s="2">
        <f t="shared" si="6"/>
        <v>16.945944092762669</v>
      </c>
    </row>
    <row r="78" spans="1:27" x14ac:dyDescent="0.25">
      <c r="A78" s="2">
        <v>2035</v>
      </c>
      <c r="B78" s="2">
        <f>B12/'Output-Calculation-sheet'!B11*'Output-Calculation-sheet'!B65</f>
        <v>3381.5022494158234</v>
      </c>
      <c r="C78" s="2">
        <f>C12/'Output-Calculation-sheet'!C11*'Output-Calculation-sheet'!C65</f>
        <v>279.08624829692656</v>
      </c>
      <c r="D78" s="2">
        <f>D12/'Output-Calculation-sheet'!D11*'Output-Calculation-sheet'!D65</f>
        <v>872.59282705944076</v>
      </c>
      <c r="E78" s="2">
        <f>E12/'Output-Calculation-sheet'!E11*'Output-Calculation-sheet'!E65</f>
        <v>683.1988331826077</v>
      </c>
      <c r="F78" s="2">
        <f>F12/'Output-Calculation-sheet'!F11*'Output-Calculation-sheet'!F65</f>
        <v>30.892584919912856</v>
      </c>
      <c r="G78" s="2">
        <f>G12/'Output-Calculation-sheet'!G11*'Output-Calculation-sheet'!G65</f>
        <v>286.9733266311369</v>
      </c>
      <c r="H78" s="2">
        <f>H12/'Output-Calculation-sheet'!H11*'Output-Calculation-sheet'!H65</f>
        <v>2474.4096998054792</v>
      </c>
      <c r="I78" s="2">
        <f>I12/'Output-Calculation-sheet'!I11*'Output-Calculation-sheet'!I65</f>
        <v>156.68374357836916</v>
      </c>
      <c r="J78" s="2">
        <f>J12/'Output-Calculation-sheet'!J11*'Output-Calculation-sheet'!J65</f>
        <v>374.94057057740247</v>
      </c>
      <c r="K78" s="2">
        <f>K12/'Output-Calculation-sheet'!K11*'Output-Calculation-sheet'!K65</f>
        <v>504.64498402020172</v>
      </c>
      <c r="L78" s="2">
        <f>L12/'Output-Calculation-sheet'!L11*'Output-Calculation-sheet'!L65</f>
        <v>456.12021681325149</v>
      </c>
      <c r="M78" s="2">
        <f>M12/'Output-Calculation-sheet'!M11*'Output-Calculation-sheet'!M65</f>
        <v>1854.2841508148767</v>
      </c>
      <c r="N78" s="2">
        <f>N12/'Output-Calculation-sheet'!N11*'Output-Calculation-sheet'!N65</f>
        <v>1345.4961014158328</v>
      </c>
      <c r="O78" s="2">
        <f>O12/'Output-Calculation-sheet'!O11*'Output-Calculation-sheet'!O65</f>
        <v>135.683045682667</v>
      </c>
      <c r="P78" s="2">
        <f>P12/'Output-Calculation-sheet'!P11*'Output-Calculation-sheet'!P65</f>
        <v>384.71068077305512</v>
      </c>
      <c r="Q78" s="2">
        <f>Q12/'Output-Calculation-sheet'!Q11*'Output-Calculation-sheet'!Q65</f>
        <v>286.00037474617534</v>
      </c>
      <c r="R78" s="2">
        <f>R12/'Output-Calculation-sheet'!R11*'Output-Calculation-sheet'!R65</f>
        <v>535.79173626187981</v>
      </c>
      <c r="S78" s="2">
        <f>S12/'Output-Calculation-sheet'!S11*'Output-Calculation-sheet'!S65</f>
        <v>391.89180954523692</v>
      </c>
      <c r="T78" s="2">
        <f>T12/'Output-Calculation-sheet'!T11*'Output-Calculation-sheet'!T65</f>
        <v>193.38503047999743</v>
      </c>
      <c r="U78" s="2">
        <f>U12/'Output-Calculation-sheet'!U11*'Output-Calculation-sheet'!U65</f>
        <v>104.18672418693355</v>
      </c>
      <c r="V78" s="2">
        <f>V12/'Output-Calculation-sheet'!V11*'Output-Calculation-sheet'!V65</f>
        <v>126.81511010476997</v>
      </c>
      <c r="W78" s="2">
        <f>W12/'Output-Calculation-sheet'!W11*'Output-Calculation-sheet'!W65</f>
        <v>15.810826997761223</v>
      </c>
      <c r="X78" s="2">
        <f>X12/'Output-Calculation-sheet'!X11*'Output-Calculation-sheet'!X65</f>
        <v>175.30754889211295</v>
      </c>
      <c r="Y78" s="2">
        <f>Y12/'Output-Calculation-sheet'!Y11*'Output-Calculation-sheet'!Y65</f>
        <v>5.594845687385118</v>
      </c>
      <c r="AA78" s="2">
        <f t="shared" si="6"/>
        <v>15.056003269889235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12589763619.315973</v>
      </c>
      <c r="C96" s="2">
        <f>C8/'Output-Calculation-sheet'!C7*'Output-Calculation-sheet'!C79</f>
        <v>1225475743.2202785</v>
      </c>
      <c r="D96" s="2">
        <f>D8/'Output-Calculation-sheet'!D7*'Output-Calculation-sheet'!D79</f>
        <v>3226644733.4467034</v>
      </c>
      <c r="E96" s="2">
        <f>E8/'Output-Calculation-sheet'!E7*'Output-Calculation-sheet'!E79</f>
        <v>11614975299.661308</v>
      </c>
      <c r="F96" s="2">
        <f>F8/'Output-Calculation-sheet'!F7*'Output-Calculation-sheet'!F79</f>
        <v>3540583215.0538955</v>
      </c>
      <c r="G96" s="2">
        <f>G8/'Output-Calculation-sheet'!G7*'Output-Calculation-sheet'!G79</f>
        <v>2190401907.4835629</v>
      </c>
      <c r="H96" s="2">
        <f>H8/'Output-Calculation-sheet'!H7*'Output-Calculation-sheet'!H79</f>
        <v>1469552483.5964763</v>
      </c>
      <c r="I96" s="2">
        <f>I8/'Output-Calculation-sheet'!I7*'Output-Calculation-sheet'!I79</f>
        <v>1574281690.9655826</v>
      </c>
      <c r="J96" s="2">
        <f>J8/'Output-Calculation-sheet'!J7*'Output-Calculation-sheet'!J79</f>
        <v>1279698319.0511882</v>
      </c>
      <c r="K96" s="2">
        <f>K8/'Output-Calculation-sheet'!K7*'Output-Calculation-sheet'!K79</f>
        <v>1565153483.6592846</v>
      </c>
      <c r="L96" s="2">
        <f>L8/'Output-Calculation-sheet'!L7*'Output-Calculation-sheet'!L79</f>
        <v>1505220531.6690087</v>
      </c>
      <c r="M96" s="2">
        <f>M8/'Output-Calculation-sheet'!M7*'Output-Calculation-sheet'!M79</f>
        <v>2069497197.6689849</v>
      </c>
      <c r="N96" s="2">
        <f>N8/'Output-Calculation-sheet'!N7*'Output-Calculation-sheet'!N79</f>
        <v>1297439620.0254662</v>
      </c>
      <c r="O96" s="2">
        <f>O8/'Output-Calculation-sheet'!O7*'Output-Calculation-sheet'!O79</f>
        <v>161734930.69317824</v>
      </c>
      <c r="P96" s="2">
        <f>P8/'Output-Calculation-sheet'!P7*'Output-Calculation-sheet'!P79</f>
        <v>2335931004.6459045</v>
      </c>
      <c r="Q96" s="2">
        <f>Q8/'Output-Calculation-sheet'!Q7*'Output-Calculation-sheet'!Q79</f>
        <v>977534496.51074111</v>
      </c>
      <c r="R96" s="2">
        <f>R8/'Output-Calculation-sheet'!R7*'Output-Calculation-sheet'!R79</f>
        <v>1534780733.2535918</v>
      </c>
      <c r="S96" s="2">
        <f>S8/'Output-Calculation-sheet'!S7*'Output-Calculation-sheet'!S79</f>
        <v>594987955.46377754</v>
      </c>
      <c r="T96" s="2">
        <f>T8/'Output-Calculation-sheet'!T7*'Output-Calculation-sheet'!T79</f>
        <v>541530094.2262156</v>
      </c>
      <c r="U96" s="2">
        <f>U8/'Output-Calculation-sheet'!U7*'Output-Calculation-sheet'!U79</f>
        <v>349811766.91620284</v>
      </c>
      <c r="V96" s="2">
        <f>V8/'Output-Calculation-sheet'!V7*'Output-Calculation-sheet'!V79</f>
        <v>208188705.96575189</v>
      </c>
      <c r="W96" s="2">
        <f>W8/'Output-Calculation-sheet'!W7*'Output-Calculation-sheet'!W79</f>
        <v>574013802.60811162</v>
      </c>
      <c r="X96" s="2">
        <f>X8/'Output-Calculation-sheet'!X7*'Output-Calculation-sheet'!X79</f>
        <v>159504085.27613327</v>
      </c>
      <c r="Y96" s="2">
        <f>Y8/'Output-Calculation-sheet'!Y7*'Output-Calculation-sheet'!Y79</f>
        <v>306402989.52915269</v>
      </c>
      <c r="AA96" s="2">
        <f t="shared" si="8"/>
        <v>52.893108409906475</v>
      </c>
    </row>
    <row r="97" spans="1:27" x14ac:dyDescent="0.25">
      <c r="A97" s="2">
        <v>2032</v>
      </c>
      <c r="B97" s="2">
        <f>B9/'Output-Calculation-sheet'!B8*'Output-Calculation-sheet'!B80</f>
        <v>12119897658.348061</v>
      </c>
      <c r="C97" s="2">
        <f>C9/'Output-Calculation-sheet'!C8*'Output-Calculation-sheet'!C80</f>
        <v>1153943722.5239651</v>
      </c>
      <c r="D97" s="2">
        <f>D9/'Output-Calculation-sheet'!D8*'Output-Calculation-sheet'!D80</f>
        <v>2822148816.8336625</v>
      </c>
      <c r="E97" s="2">
        <f>E9/'Output-Calculation-sheet'!E8*'Output-Calculation-sheet'!E80</f>
        <v>11406098980.766983</v>
      </c>
      <c r="F97" s="2">
        <f>F9/'Output-Calculation-sheet'!F8*'Output-Calculation-sheet'!F80</f>
        <v>3263842255.4780564</v>
      </c>
      <c r="G97" s="2">
        <f>G9/'Output-Calculation-sheet'!G8*'Output-Calculation-sheet'!G80</f>
        <v>1932486733.7155075</v>
      </c>
      <c r="H97" s="2">
        <f>H9/'Output-Calculation-sheet'!H8*'Output-Calculation-sheet'!H80</f>
        <v>1732617572.7875109</v>
      </c>
      <c r="I97" s="2">
        <f>I9/'Output-Calculation-sheet'!I8*'Output-Calculation-sheet'!I80</f>
        <v>1454978140.5837095</v>
      </c>
      <c r="J97" s="2">
        <f>J9/'Output-Calculation-sheet'!J8*'Output-Calculation-sheet'!J80</f>
        <v>1165991075.4420898</v>
      </c>
      <c r="K97" s="2">
        <f>K9/'Output-Calculation-sheet'!K8*'Output-Calculation-sheet'!K80</f>
        <v>1400915407.43314</v>
      </c>
      <c r="L97" s="2">
        <f>L9/'Output-Calculation-sheet'!L8*'Output-Calculation-sheet'!L80</f>
        <v>1435634449.7536142</v>
      </c>
      <c r="M97" s="2">
        <f>M9/'Output-Calculation-sheet'!M8*'Output-Calculation-sheet'!M80</f>
        <v>1989152817.5678239</v>
      </c>
      <c r="N97" s="2">
        <f>N9/'Output-Calculation-sheet'!N8*'Output-Calculation-sheet'!N80</f>
        <v>1250397647.2364495</v>
      </c>
      <c r="O97" s="2">
        <f>O9/'Output-Calculation-sheet'!O8*'Output-Calculation-sheet'!O80</f>
        <v>150282526.53061095</v>
      </c>
      <c r="P97" s="2">
        <f>P9/'Output-Calculation-sheet'!P8*'Output-Calculation-sheet'!P80</f>
        <v>2154522842.6885529</v>
      </c>
      <c r="Q97" s="2">
        <f>Q9/'Output-Calculation-sheet'!Q8*'Output-Calculation-sheet'!Q80</f>
        <v>915845890.10166323</v>
      </c>
      <c r="R97" s="2">
        <f>R9/'Output-Calculation-sheet'!R8*'Output-Calculation-sheet'!R80</f>
        <v>1444005837.7453089</v>
      </c>
      <c r="S97" s="2">
        <f>S9/'Output-Calculation-sheet'!S8*'Output-Calculation-sheet'!S80</f>
        <v>573160663.70029163</v>
      </c>
      <c r="T97" s="2">
        <f>T9/'Output-Calculation-sheet'!T8*'Output-Calculation-sheet'!T80</f>
        <v>484322763.76238549</v>
      </c>
      <c r="U97" s="2">
        <f>U9/'Output-Calculation-sheet'!U8*'Output-Calculation-sheet'!U80</f>
        <v>318547886.24250275</v>
      </c>
      <c r="V97" s="2">
        <f>V9/'Output-Calculation-sheet'!V8*'Output-Calculation-sheet'!V80</f>
        <v>188719775.98350662</v>
      </c>
      <c r="W97" s="2">
        <f>W9/'Output-Calculation-sheet'!W8*'Output-Calculation-sheet'!W80</f>
        <v>524168448.11266273</v>
      </c>
      <c r="X97" s="2">
        <f>X9/'Output-Calculation-sheet'!X8*'Output-Calculation-sheet'!X80</f>
        <v>207913747.952481</v>
      </c>
      <c r="Y97" s="2">
        <f>Y9/'Output-Calculation-sheet'!Y8*'Output-Calculation-sheet'!Y80</f>
        <v>286248296.47501874</v>
      </c>
      <c r="AA97" s="2">
        <f t="shared" si="8"/>
        <v>50.375843957765575</v>
      </c>
    </row>
    <row r="98" spans="1:27" x14ac:dyDescent="0.25">
      <c r="A98" s="2">
        <v>2033</v>
      </c>
      <c r="B98" s="2">
        <f>B10/'Output-Calculation-sheet'!B9*'Output-Calculation-sheet'!B81</f>
        <v>10497976417.948248</v>
      </c>
      <c r="C98" s="2">
        <f>C10/'Output-Calculation-sheet'!C9*'Output-Calculation-sheet'!C81</f>
        <v>979444824.10711217</v>
      </c>
      <c r="D98" s="2">
        <f>D10/'Output-Calculation-sheet'!D9*'Output-Calculation-sheet'!D81</f>
        <v>2220502823.281992</v>
      </c>
      <c r="E98" s="2">
        <f>E10/'Output-Calculation-sheet'!E9*'Output-Calculation-sheet'!E81</f>
        <v>10074824489.119232</v>
      </c>
      <c r="F98" s="2">
        <f>F10/'Output-Calculation-sheet'!F9*'Output-Calculation-sheet'!F81</f>
        <v>2698785936.2977128</v>
      </c>
      <c r="G98" s="2">
        <f>G10/'Output-Calculation-sheet'!G9*'Output-Calculation-sheet'!G81</f>
        <v>1528168923.0913255</v>
      </c>
      <c r="H98" s="2">
        <f>H10/'Output-Calculation-sheet'!H9*'Output-Calculation-sheet'!H81</f>
        <v>1983526521.1601291</v>
      </c>
      <c r="I98" s="2">
        <f>I10/'Output-Calculation-sheet'!I9*'Output-Calculation-sheet'!I81</f>
        <v>1208878443.5102189</v>
      </c>
      <c r="J98" s="2">
        <f>J10/'Output-Calculation-sheet'!J9*'Output-Calculation-sheet'!J81</f>
        <v>955875631.11073196</v>
      </c>
      <c r="K98" s="2">
        <f>K10/'Output-Calculation-sheet'!K9*'Output-Calculation-sheet'!K81</f>
        <v>1133902033.4457333</v>
      </c>
      <c r="L98" s="2">
        <f>L10/'Output-Calculation-sheet'!L9*'Output-Calculation-sheet'!L81</f>
        <v>1227616318.2623472</v>
      </c>
      <c r="M98" s="2">
        <f>M10/'Output-Calculation-sheet'!M9*'Output-Calculation-sheet'!M81</f>
        <v>1718526255.2448812</v>
      </c>
      <c r="N98" s="2">
        <f>N10/'Output-Calculation-sheet'!N9*'Output-Calculation-sheet'!N81</f>
        <v>1057553876.7773638</v>
      </c>
      <c r="O98" s="2">
        <f>O10/'Output-Calculation-sheet'!O9*'Output-Calculation-sheet'!O81</f>
        <v>125954018.90515153</v>
      </c>
      <c r="P98" s="2">
        <f>P10/'Output-Calculation-sheet'!P9*'Output-Calculation-sheet'!P81</f>
        <v>1772208176.1799681</v>
      </c>
      <c r="Q98" s="2">
        <f>Q10/'Output-Calculation-sheet'!Q9*'Output-Calculation-sheet'!Q81</f>
        <v>774792865.17164528</v>
      </c>
      <c r="R98" s="2">
        <f>R10/'Output-Calculation-sheet'!R9*'Output-Calculation-sheet'!R81</f>
        <v>1213073792.3858974</v>
      </c>
      <c r="S98" s="2">
        <f>S10/'Output-Calculation-sheet'!S9*'Output-Calculation-sheet'!S81</f>
        <v>498709779.97112131</v>
      </c>
      <c r="T98" s="2">
        <f>T10/'Output-Calculation-sheet'!T9*'Output-Calculation-sheet'!T81</f>
        <v>389393298.04716098</v>
      </c>
      <c r="U98" s="2">
        <f>U10/'Output-Calculation-sheet'!U9*'Output-Calculation-sheet'!U81</f>
        <v>258867220.58125654</v>
      </c>
      <c r="V98" s="2">
        <f>V10/'Output-Calculation-sheet'!V9*'Output-Calculation-sheet'!V81</f>
        <v>153238399.48335129</v>
      </c>
      <c r="W98" s="2">
        <f>W10/'Output-Calculation-sheet'!W9*'Output-Calculation-sheet'!W81</f>
        <v>425925418.28085148</v>
      </c>
      <c r="X98" s="2">
        <f>X10/'Output-Calculation-sheet'!X9*'Output-Calculation-sheet'!X81</f>
        <v>185167095.62121662</v>
      </c>
      <c r="Y98" s="2">
        <f>Y10/'Output-Calculation-sheet'!Y9*'Output-Calculation-sheet'!Y81</f>
        <v>239694481.73579311</v>
      </c>
      <c r="AA98" s="2">
        <f t="shared" si="8"/>
        <v>43.322607039720445</v>
      </c>
    </row>
    <row r="99" spans="1:27" x14ac:dyDescent="0.25">
      <c r="A99" s="2">
        <v>2034</v>
      </c>
      <c r="B99" s="2">
        <f>B11/'Output-Calculation-sheet'!B10*'Output-Calculation-sheet'!B82</f>
        <v>8351948023.2113686</v>
      </c>
      <c r="C99" s="2">
        <f>C11/'Output-Calculation-sheet'!C10*'Output-Calculation-sheet'!C82</f>
        <v>750913104.79828322</v>
      </c>
      <c r="D99" s="2">
        <f>D11/'Output-Calculation-sheet'!D10*'Output-Calculation-sheet'!D82</f>
        <v>1577006131.8884892</v>
      </c>
      <c r="E99" s="2">
        <f>E11/'Output-Calculation-sheet'!E10*'Output-Calculation-sheet'!E82</f>
        <v>8004312504.7929935</v>
      </c>
      <c r="F99" s="2">
        <f>F11/'Output-Calculation-sheet'!F10*'Output-Calculation-sheet'!F82</f>
        <v>2011293868.5993965</v>
      </c>
      <c r="G99" s="2">
        <f>G11/'Output-Calculation-sheet'!G10*'Output-Calculation-sheet'!G82</f>
        <v>1087827228.7825141</v>
      </c>
      <c r="H99" s="2">
        <f>H11/'Output-Calculation-sheet'!H10*'Output-Calculation-sheet'!H82</f>
        <v>1517092705.0575061</v>
      </c>
      <c r="I99" s="2">
        <f>I11/'Output-Calculation-sheet'!I10*'Output-Calculation-sheet'!I82</f>
        <v>907821988.45848179</v>
      </c>
      <c r="J99" s="2">
        <f>J11/'Output-Calculation-sheet'!J10*'Output-Calculation-sheet'!J82</f>
        <v>708047168.89520919</v>
      </c>
      <c r="K99" s="2">
        <f>K11/'Output-Calculation-sheet'!K10*'Output-Calculation-sheet'!K82</f>
        <v>824589667.0785358</v>
      </c>
      <c r="L99" s="2">
        <f>L11/'Output-Calculation-sheet'!L10*'Output-Calculation-sheet'!L82</f>
        <v>948302128.8041774</v>
      </c>
      <c r="M99" s="2">
        <f>M11/'Output-Calculation-sheet'!M10*'Output-Calculation-sheet'!M82</f>
        <v>1345122935.2332544</v>
      </c>
      <c r="N99" s="2">
        <f>N11/'Output-Calculation-sheet'!N10*'Output-Calculation-sheet'!N82</f>
        <v>805126744.84696019</v>
      </c>
      <c r="O99" s="2">
        <f>O11/'Output-Calculation-sheet'!O10*'Output-Calculation-sheet'!O82</f>
        <v>95372571.87349683</v>
      </c>
      <c r="P99" s="2">
        <f>P11/'Output-Calculation-sheet'!P10*'Output-Calculation-sheet'!P82</f>
        <v>1301751801.9165757</v>
      </c>
      <c r="Q99" s="2">
        <f>Q11/'Output-Calculation-sheet'!Q10*'Output-Calculation-sheet'!Q82</f>
        <v>593685622.11259305</v>
      </c>
      <c r="R99" s="2">
        <f>R11/'Output-Calculation-sheet'!R10*'Output-Calculation-sheet'!R82</f>
        <v>917817614.40043354</v>
      </c>
      <c r="S99" s="2">
        <f>S11/'Output-Calculation-sheet'!S10*'Output-Calculation-sheet'!S82</f>
        <v>395210469.28958446</v>
      </c>
      <c r="T99" s="2">
        <f>T11/'Output-Calculation-sheet'!T10*'Output-Calculation-sheet'!T82</f>
        <v>281422768.36835289</v>
      </c>
      <c r="U99" s="2">
        <f>U11/'Output-Calculation-sheet'!U10*'Output-Calculation-sheet'!U82</f>
        <v>189736932.75829157</v>
      </c>
      <c r="V99" s="2">
        <f>V11/'Output-Calculation-sheet'!V10*'Output-Calculation-sheet'!V82</f>
        <v>112367150.56523786</v>
      </c>
      <c r="W99" s="2">
        <f>W11/'Output-Calculation-sheet'!W10*'Output-Calculation-sheet'!W82</f>
        <v>311216416.09531111</v>
      </c>
      <c r="X99" s="2">
        <f>X11/'Output-Calculation-sheet'!X10*'Output-Calculation-sheet'!X82</f>
        <v>149223712.88524911</v>
      </c>
      <c r="Y99" s="2">
        <f>Y11/'Output-Calculation-sheet'!Y10*'Output-Calculation-sheet'!Y82</f>
        <v>180040878.92245281</v>
      </c>
      <c r="AA99" s="2">
        <f t="shared" si="8"/>
        <v>33.367250139634749</v>
      </c>
    </row>
    <row r="100" spans="1:27" x14ac:dyDescent="0.25">
      <c r="A100" s="2">
        <v>2035</v>
      </c>
      <c r="B100" s="2">
        <f>B12/'Output-Calculation-sheet'!B11*'Output-Calculation-sheet'!B83</f>
        <v>5921857151.9090214</v>
      </c>
      <c r="C100" s="2">
        <f>C12/'Output-Calculation-sheet'!C11*'Output-Calculation-sheet'!C83</f>
        <v>532604523.49768215</v>
      </c>
      <c r="D100" s="2">
        <f>D12/'Output-Calculation-sheet'!D11*'Output-Calculation-sheet'!D83</f>
        <v>1006412326.7962421</v>
      </c>
      <c r="E100" s="2">
        <f>E12/'Output-Calculation-sheet'!E11*'Output-Calculation-sheet'!E83</f>
        <v>5697219473.0605516</v>
      </c>
      <c r="F100" s="2">
        <f>F12/'Output-Calculation-sheet'!F11*'Output-Calculation-sheet'!F83</f>
        <v>1341692510.5997694</v>
      </c>
      <c r="G100" s="2">
        <f>G12/'Output-Calculation-sheet'!G11*'Output-Calculation-sheet'!G83</f>
        <v>692501033.61238551</v>
      </c>
      <c r="H100" s="2">
        <f>H12/'Output-Calculation-sheet'!H11*'Output-Calculation-sheet'!H83</f>
        <v>1033773753.9428685</v>
      </c>
      <c r="I100" s="2">
        <f>I12/'Output-Calculation-sheet'!I11*'Output-Calculation-sheet'!I83</f>
        <v>609959561.71641374</v>
      </c>
      <c r="J100" s="2">
        <f>J12/'Output-Calculation-sheet'!J11*'Output-Calculation-sheet'!J83</f>
        <v>469965620.841111</v>
      </c>
      <c r="K100" s="2">
        <f>K12/'Output-Calculation-sheet'!K11*'Output-Calculation-sheet'!K83</f>
        <v>536273885.26448017</v>
      </c>
      <c r="L100" s="2">
        <f>L12/'Output-Calculation-sheet'!L11*'Output-Calculation-sheet'!L83</f>
        <v>656708459.10366476</v>
      </c>
      <c r="M100" s="2">
        <f>M12/'Output-Calculation-sheet'!M11*'Output-Calculation-sheet'!M83</f>
        <v>941016730.67935634</v>
      </c>
      <c r="N100" s="2">
        <f>N12/'Output-Calculation-sheet'!N11*'Output-Calculation-sheet'!N83</f>
        <v>550166908.7166357</v>
      </c>
      <c r="O100" s="2">
        <f>O12/'Output-Calculation-sheet'!O11*'Output-Calculation-sheet'!O83</f>
        <v>70694877.633927822</v>
      </c>
      <c r="P100" s="2">
        <f>P12/'Output-Calculation-sheet'!P11*'Output-Calculation-sheet'!P83</f>
        <v>844880112.50943279</v>
      </c>
      <c r="Q100" s="2">
        <f>Q12/'Output-Calculation-sheet'!Q11*'Output-Calculation-sheet'!Q83</f>
        <v>408498117.24536234</v>
      </c>
      <c r="R100" s="2">
        <f>R12/'Output-Calculation-sheet'!R11*'Output-Calculation-sheet'!R83</f>
        <v>620736264.00790918</v>
      </c>
      <c r="S100" s="2">
        <f>S12/'Output-Calculation-sheet'!S11*'Output-Calculation-sheet'!S83</f>
        <v>278024835.74662882</v>
      </c>
      <c r="T100" s="2">
        <f>T12/'Output-Calculation-sheet'!T11*'Output-Calculation-sheet'!T83</f>
        <v>182082555.32101533</v>
      </c>
      <c r="U100" s="2">
        <f>U12/'Output-Calculation-sheet'!U11*'Output-Calculation-sheet'!U83</f>
        <v>123930291.30779485</v>
      </c>
      <c r="V100" s="2">
        <f>V12/'Output-Calculation-sheet'!V11*'Output-Calculation-sheet'!V83</f>
        <v>73669599.114858583</v>
      </c>
      <c r="W100" s="2">
        <f>W12/'Output-Calculation-sheet'!W11*'Output-Calculation-sheet'!W83</f>
        <v>202221562.76928288</v>
      </c>
      <c r="X100" s="2">
        <f>X12/'Output-Calculation-sheet'!X11*'Output-Calculation-sheet'!X83</f>
        <v>107875910.47238167</v>
      </c>
      <c r="Y100" s="2">
        <f>Y12/'Output-Calculation-sheet'!Y11*'Output-Calculation-sheet'!Y83</f>
        <v>120760231.27141158</v>
      </c>
      <c r="AA100" s="2">
        <f t="shared" si="8"/>
        <v>23.023526297140183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6274.7141264381989</v>
      </c>
      <c r="C19" s="2">
        <f>C8/'Output-Calculation-sheet'!C7*'Output-Calculation-sheet'!C25</f>
        <v>9476.9790207432106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5086.1887776645499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1033.9961044047357</v>
      </c>
      <c r="M19" s="2">
        <f>M8/'Output-Calculation-sheet'!M7*'Output-Calculation-sheet'!M25</f>
        <v>6708.402853462534</v>
      </c>
      <c r="N19" s="2">
        <f>N8/'Output-Calculation-sheet'!N7*'Output-Calculation-sheet'!N25</f>
        <v>3424.8794744155048</v>
      </c>
      <c r="O19" s="2">
        <f>O8/'Output-Calculation-sheet'!O7*'Output-Calculation-sheet'!O25</f>
        <v>1851.194769820645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654.86466946104781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466.47425678924628</v>
      </c>
      <c r="Y19" s="2">
        <f>Y8/'Output-Calculation-sheet'!Y7*'Output-Calculation-sheet'!Y25</f>
        <v>0</v>
      </c>
      <c r="AA19" s="2">
        <f t="shared" si="0"/>
        <v>34.97769405319967</v>
      </c>
    </row>
    <row r="20" spans="1:27" x14ac:dyDescent="0.25">
      <c r="A20" s="2">
        <v>2032</v>
      </c>
      <c r="B20" s="2">
        <f>B9/'Output-Calculation-sheet'!B8*'Output-Calculation-sheet'!B26</f>
        <v>8409.5564580998835</v>
      </c>
      <c r="C20" s="2">
        <f>C9/'Output-Calculation-sheet'!C8*'Output-Calculation-sheet'!C26</f>
        <v>10417.215108092745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6860.9494827742719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1192.1927281121923</v>
      </c>
      <c r="M20" s="2">
        <f>M9/'Output-Calculation-sheet'!M8*'Output-Calculation-sheet'!M26</f>
        <v>7255.2154284095359</v>
      </c>
      <c r="N20" s="2">
        <f>N9/'Output-Calculation-sheet'!N8*'Output-Calculation-sheet'!N26</f>
        <v>4086.2675941613006</v>
      </c>
      <c r="O20" s="2">
        <f>O9/'Output-Calculation-sheet'!O8*'Output-Calculation-sheet'!O26</f>
        <v>2033.0531588608947</v>
      </c>
      <c r="P20" s="2">
        <f>P9/'Output-Calculation-sheet'!P8*'Output-Calculation-sheet'!P26</f>
        <v>0</v>
      </c>
      <c r="Q20" s="2">
        <f>Q9/'Output-Calculation-sheet'!Q8*'Output-Calculation-sheet'!Q26</f>
        <v>122.87287629493301</v>
      </c>
      <c r="R20" s="2">
        <f>R9/'Output-Calculation-sheet'!R8*'Output-Calculation-sheet'!R26</f>
        <v>0</v>
      </c>
      <c r="S20" s="2">
        <f>S9/'Output-Calculation-sheet'!S8*'Output-Calculation-sheet'!S26</f>
        <v>867.5845944107225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670.78624038789224</v>
      </c>
      <c r="Y20" s="2">
        <f>Y9/'Output-Calculation-sheet'!Y8*'Output-Calculation-sheet'!Y26</f>
        <v>0</v>
      </c>
      <c r="AA20" s="2">
        <f t="shared" si="0"/>
        <v>41.915693669604366</v>
      </c>
    </row>
    <row r="21" spans="1:27" x14ac:dyDescent="0.25">
      <c r="A21" s="2">
        <v>2033</v>
      </c>
      <c r="B21" s="2">
        <f>B10/'Output-Calculation-sheet'!B9*'Output-Calculation-sheet'!B27</f>
        <v>10645.20936201909</v>
      </c>
      <c r="C21" s="2">
        <f>C10/'Output-Calculation-sheet'!C9*'Output-Calculation-sheet'!C27</f>
        <v>10684.016635677299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9366.5989072984394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1300.3398896470362</v>
      </c>
      <c r="M21" s="2">
        <f>M10/'Output-Calculation-sheet'!M9*'Output-Calculation-sheet'!M27</f>
        <v>7290.3556001541565</v>
      </c>
      <c r="N21" s="2">
        <f>N10/'Output-Calculation-sheet'!N9*'Output-Calculation-sheet'!N27</f>
        <v>4249.0575855596708</v>
      </c>
      <c r="O21" s="2">
        <f>O10/'Output-Calculation-sheet'!O9*'Output-Calculation-sheet'!O27</f>
        <v>2078.7529691048708</v>
      </c>
      <c r="P21" s="2">
        <f>P10/'Output-Calculation-sheet'!P9*'Output-Calculation-sheet'!P27</f>
        <v>0</v>
      </c>
      <c r="Q21" s="2">
        <f>Q10/'Output-Calculation-sheet'!Q9*'Output-Calculation-sheet'!Q27</f>
        <v>316.62394169910937</v>
      </c>
      <c r="R21" s="2">
        <f>R10/'Output-Calculation-sheet'!R9*'Output-Calculation-sheet'!R27</f>
        <v>0</v>
      </c>
      <c r="S21" s="2">
        <f>S10/'Output-Calculation-sheet'!S9*'Output-Calculation-sheet'!S27</f>
        <v>1079.3389391770741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680.23997840315758</v>
      </c>
      <c r="Y21" s="2">
        <f>Y10/'Output-Calculation-sheet'!Y9*'Output-Calculation-sheet'!Y27</f>
        <v>0</v>
      </c>
      <c r="AA21" s="2">
        <f t="shared" si="0"/>
        <v>47.6905338087399</v>
      </c>
    </row>
    <row r="22" spans="1:27" x14ac:dyDescent="0.25">
      <c r="A22" s="2">
        <v>2034</v>
      </c>
      <c r="B22" s="2">
        <f>B11/'Output-Calculation-sheet'!B10*'Output-Calculation-sheet'!B28</f>
        <v>12606.93589521683</v>
      </c>
      <c r="C22" s="2">
        <f>C11/'Output-Calculation-sheet'!C10*'Output-Calculation-sheet'!C28</f>
        <v>10280.402609701698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8933.3809053346431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1316.1808145673244</v>
      </c>
      <c r="M22" s="2">
        <f>M11/'Output-Calculation-sheet'!M10*'Output-Calculation-sheet'!M28</f>
        <v>6941.6915734755294</v>
      </c>
      <c r="N22" s="2">
        <f>N11/'Output-Calculation-sheet'!N10*'Output-Calculation-sheet'!N28</f>
        <v>4163.7037066769035</v>
      </c>
      <c r="O22" s="2">
        <f>O11/'Output-Calculation-sheet'!O10*'Output-Calculation-sheet'!O28</f>
        <v>1988.1834425347422</v>
      </c>
      <c r="P22" s="2">
        <f>P11/'Output-Calculation-sheet'!P10*'Output-Calculation-sheet'!P28</f>
        <v>0</v>
      </c>
      <c r="Q22" s="2">
        <f>Q11/'Output-Calculation-sheet'!Q10*'Output-Calculation-sheet'!Q28</f>
        <v>570.75120023246245</v>
      </c>
      <c r="R22" s="2">
        <f>R11/'Output-Calculation-sheet'!R10*'Output-Calculation-sheet'!R28</f>
        <v>0</v>
      </c>
      <c r="S22" s="2">
        <f>S11/'Output-Calculation-sheet'!S10*'Output-Calculation-sheet'!S28</f>
        <v>1219.7884047887328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649.16221331579391</v>
      </c>
      <c r="Y22" s="2">
        <f>Y11/'Output-Calculation-sheet'!Y10*'Output-Calculation-sheet'!Y28</f>
        <v>0</v>
      </c>
      <c r="AA22" s="2">
        <f t="shared" si="0"/>
        <v>48.67018076584467</v>
      </c>
    </row>
    <row r="23" spans="1:27" x14ac:dyDescent="0.25">
      <c r="A23" s="2">
        <v>2035</v>
      </c>
      <c r="B23" s="2">
        <f>B12/'Output-Calculation-sheet'!B11*'Output-Calculation-sheet'!B29</f>
        <v>13611.904106298402</v>
      </c>
      <c r="C23" s="2">
        <f>C12/'Output-Calculation-sheet'!C11*'Output-Calculation-sheet'!C29</f>
        <v>9542.297600937578</v>
      </c>
      <c r="D23" s="2">
        <f>D12/'Output-Calculation-sheet'!D11*'Output-Calculation-sheet'!D29</f>
        <v>0</v>
      </c>
      <c r="E23" s="2">
        <f>E12/'Output-Calculation-sheet'!E11*'Output-Calculation-sheet'!E29</f>
        <v>124.74167082575568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7968.4091413451961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1256.1324077930258</v>
      </c>
      <c r="M23" s="2">
        <f>M12/'Output-Calculation-sheet'!M11*'Output-Calculation-sheet'!M29</f>
        <v>6197.2454613162854</v>
      </c>
      <c r="N23" s="2">
        <f>N12/'Output-Calculation-sheet'!N11*'Output-Calculation-sheet'!N29</f>
        <v>3804.0714010014249</v>
      </c>
      <c r="O23" s="2">
        <f>O12/'Output-Calculation-sheet'!O11*'Output-Calculation-sheet'!O29</f>
        <v>1935.1869126537863</v>
      </c>
      <c r="P23" s="2">
        <f>P12/'Output-Calculation-sheet'!P11*'Output-Calculation-sheet'!P29</f>
        <v>0</v>
      </c>
      <c r="Q23" s="2">
        <f>Q12/'Output-Calculation-sheet'!Q11*'Output-Calculation-sheet'!Q29</f>
        <v>748.03129966577615</v>
      </c>
      <c r="R23" s="2">
        <f>R12/'Output-Calculation-sheet'!R11*'Output-Calculation-sheet'!R29</f>
        <v>0</v>
      </c>
      <c r="S23" s="2">
        <f>S12/'Output-Calculation-sheet'!S11*'Output-Calculation-sheet'!S29</f>
        <v>1267.7732034872697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585.81181667459043</v>
      </c>
      <c r="Y23" s="2">
        <f>Y12/'Output-Calculation-sheet'!Y11*'Output-Calculation-sheet'!Y29</f>
        <v>0</v>
      </c>
      <c r="AA23" s="2">
        <f t="shared" si="0"/>
        <v>47.041605021999096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30026.41438696592</v>
      </c>
      <c r="C30" s="2">
        <f>C8/'Output-Calculation-sheet'!C7*'Output-Calculation-sheet'!C16</f>
        <v>0</v>
      </c>
      <c r="D30" s="2">
        <f>D8/'Output-Calculation-sheet'!D7*'Output-Calculation-sheet'!D16</f>
        <v>8206.9218406594155</v>
      </c>
      <c r="E30" s="2">
        <f>E8/'Output-Calculation-sheet'!E7*'Output-Calculation-sheet'!E16</f>
        <v>10021.244935621862</v>
      </c>
      <c r="F30" s="2">
        <f>F8/'Output-Calculation-sheet'!F7*'Output-Calculation-sheet'!F16</f>
        <v>4507.2687790411337</v>
      </c>
      <c r="G30" s="2">
        <f>G8/'Output-Calculation-sheet'!G7*'Output-Calculation-sheet'!G16</f>
        <v>2595.443190075533</v>
      </c>
      <c r="H30" s="2">
        <f>H8/'Output-Calculation-sheet'!H7*'Output-Calculation-sheet'!H16</f>
        <v>0</v>
      </c>
      <c r="I30" s="2">
        <f>I8/'Output-Calculation-sheet'!I7*'Output-Calculation-sheet'!I16</f>
        <v>2753.9931560089708</v>
      </c>
      <c r="J30" s="2">
        <f>J8/'Output-Calculation-sheet'!J7*'Output-Calculation-sheet'!J16</f>
        <v>2800.8076472654307</v>
      </c>
      <c r="K30" s="2">
        <f>K8/'Output-Calculation-sheet'!K7*'Output-Calculation-sheet'!K16</f>
        <v>3649.4298173569632</v>
      </c>
      <c r="L30" s="2">
        <f>L8/'Output-Calculation-sheet'!L7*'Output-Calculation-sheet'!L16</f>
        <v>3316.214414017963</v>
      </c>
      <c r="M30" s="2">
        <f>M8/'Output-Calculation-sheet'!M7*'Output-Calculation-sheet'!M16</f>
        <v>0</v>
      </c>
      <c r="N30" s="2">
        <f>N8/'Output-Calculation-sheet'!N7*'Output-Calculation-sheet'!N16</f>
        <v>1958.0229000052454</v>
      </c>
      <c r="O30" s="2">
        <f>O8/'Output-Calculation-sheet'!O7*'Output-Calculation-sheet'!O16</f>
        <v>0</v>
      </c>
      <c r="P30" s="2">
        <f>P8/'Output-Calculation-sheet'!P7*'Output-Calculation-sheet'!P16</f>
        <v>2946.8969786326256</v>
      </c>
      <c r="Q30" s="2">
        <f>Q8/'Output-Calculation-sheet'!Q7*'Output-Calculation-sheet'!Q16</f>
        <v>3286.5854193067662</v>
      </c>
      <c r="R30" s="2">
        <f>R8/'Output-Calculation-sheet'!R7*'Output-Calculation-sheet'!R16</f>
        <v>2681.1579357498385</v>
      </c>
      <c r="S30" s="2">
        <f>S8/'Output-Calculation-sheet'!S7*'Output-Calculation-sheet'!S16</f>
        <v>1443.2223319432082</v>
      </c>
      <c r="T30" s="2">
        <f>T8/'Output-Calculation-sheet'!T7*'Output-Calculation-sheet'!T16</f>
        <v>850.2734913877415</v>
      </c>
      <c r="U30" s="2">
        <f>U8/'Output-Calculation-sheet'!U7*'Output-Calculation-sheet'!U16</f>
        <v>680.62855701848036</v>
      </c>
      <c r="V30" s="2">
        <f>V8/'Output-Calculation-sheet'!V7*'Output-Calculation-sheet'!V16</f>
        <v>801.40447682269667</v>
      </c>
      <c r="W30" s="2">
        <f>W8/'Output-Calculation-sheet'!W7*'Output-Calculation-sheet'!W16</f>
        <v>369.81704273529959</v>
      </c>
      <c r="X30" s="2">
        <f>X8/'Output-Calculation-sheet'!X7*'Output-Calculation-sheet'!X16</f>
        <v>0</v>
      </c>
      <c r="Y30" s="2">
        <f>Y8/'Output-Calculation-sheet'!Y7*'Output-Calculation-sheet'!Y16</f>
        <v>284.38257957717991</v>
      </c>
      <c r="AA30" s="2">
        <f t="shared" si="1"/>
        <v>83.180129880192283</v>
      </c>
    </row>
    <row r="31" spans="1:27" x14ac:dyDescent="0.25">
      <c r="A31" s="2">
        <v>2032</v>
      </c>
      <c r="B31" s="2">
        <f>B9/'Output-Calculation-sheet'!B8*'Output-Calculation-sheet'!B17</f>
        <v>31524.956990203489</v>
      </c>
      <c r="C31" s="2">
        <f>C9/'Output-Calculation-sheet'!C8*'Output-Calculation-sheet'!C17</f>
        <v>0</v>
      </c>
      <c r="D31" s="2">
        <f>D9/'Output-Calculation-sheet'!D8*'Output-Calculation-sheet'!D17</f>
        <v>8769.4805211636449</v>
      </c>
      <c r="E31" s="2">
        <f>E9/'Output-Calculation-sheet'!E8*'Output-Calculation-sheet'!E17</f>
        <v>10758.710186206737</v>
      </c>
      <c r="F31" s="2">
        <f>F9/'Output-Calculation-sheet'!F8*'Output-Calculation-sheet'!F17</f>
        <v>4845.7117154806283</v>
      </c>
      <c r="G31" s="2">
        <f>G9/'Output-Calculation-sheet'!G8*'Output-Calculation-sheet'!G17</f>
        <v>2789.0541315306295</v>
      </c>
      <c r="H31" s="2">
        <f>H9/'Output-Calculation-sheet'!H8*'Output-Calculation-sheet'!H17</f>
        <v>0</v>
      </c>
      <c r="I31" s="2">
        <f>I9/'Output-Calculation-sheet'!I8*'Output-Calculation-sheet'!I17</f>
        <v>2956.7376780195846</v>
      </c>
      <c r="J31" s="2">
        <f>J9/'Output-Calculation-sheet'!J8*'Output-Calculation-sheet'!J17</f>
        <v>2999.8657607150462</v>
      </c>
      <c r="K31" s="2">
        <f>K9/'Output-Calculation-sheet'!K8*'Output-Calculation-sheet'!K17</f>
        <v>3901.5856111127423</v>
      </c>
      <c r="L31" s="2">
        <f>L9/'Output-Calculation-sheet'!L8*'Output-Calculation-sheet'!L17</f>
        <v>3529.4390939870086</v>
      </c>
      <c r="M31" s="2">
        <f>M9/'Output-Calculation-sheet'!M8*'Output-Calculation-sheet'!M17</f>
        <v>0</v>
      </c>
      <c r="N31" s="2">
        <f>N9/'Output-Calculation-sheet'!N8*'Output-Calculation-sheet'!N17</f>
        <v>1970.7460549606142</v>
      </c>
      <c r="O31" s="2">
        <f>O9/'Output-Calculation-sheet'!O8*'Output-Calculation-sheet'!O17</f>
        <v>0</v>
      </c>
      <c r="P31" s="2">
        <f>P9/'Output-Calculation-sheet'!P8*'Output-Calculation-sheet'!P17</f>
        <v>3202.0565191325813</v>
      </c>
      <c r="Q31" s="2">
        <f>Q9/'Output-Calculation-sheet'!Q8*'Output-Calculation-sheet'!Q17</f>
        <v>3480.0399601465429</v>
      </c>
      <c r="R31" s="2">
        <f>R9/'Output-Calculation-sheet'!R8*'Output-Calculation-sheet'!R17</f>
        <v>2888.9393814837049</v>
      </c>
      <c r="S31" s="2">
        <f>S9/'Output-Calculation-sheet'!S8*'Output-Calculation-sheet'!S17</f>
        <v>1500.8143118913893</v>
      </c>
      <c r="T31" s="2">
        <f>T9/'Output-Calculation-sheet'!T8*'Output-Calculation-sheet'!T17</f>
        <v>910.12582220627212</v>
      </c>
      <c r="U31" s="2">
        <f>U9/'Output-Calculation-sheet'!U8*'Output-Calculation-sheet'!U17</f>
        <v>731.2017817704774</v>
      </c>
      <c r="V31" s="2">
        <f>V9/'Output-Calculation-sheet'!V8*'Output-Calculation-sheet'!V17</f>
        <v>859.52186661022677</v>
      </c>
      <c r="W31" s="2">
        <f>W9/'Output-Calculation-sheet'!W8*'Output-Calculation-sheet'!W17</f>
        <v>397.55838830200372</v>
      </c>
      <c r="X31" s="2">
        <f>X9/'Output-Calculation-sheet'!X8*'Output-Calculation-sheet'!X17</f>
        <v>0</v>
      </c>
      <c r="Y31" s="2">
        <f>Y9/'Output-Calculation-sheet'!Y8*'Output-Calculation-sheet'!Y17</f>
        <v>305.94682425187847</v>
      </c>
      <c r="AA31" s="2">
        <f t="shared" si="1"/>
        <v>88.322492599175206</v>
      </c>
    </row>
    <row r="32" spans="1:27" x14ac:dyDescent="0.25">
      <c r="A32" s="2">
        <v>2033</v>
      </c>
      <c r="B32" s="2">
        <f>B10/'Output-Calculation-sheet'!B9*'Output-Calculation-sheet'!B18</f>
        <v>30410.326852583428</v>
      </c>
      <c r="C32" s="2">
        <f>C10/'Output-Calculation-sheet'!C9*'Output-Calculation-sheet'!C18</f>
        <v>0</v>
      </c>
      <c r="D32" s="2">
        <f>D10/'Output-Calculation-sheet'!D9*'Output-Calculation-sheet'!D18</f>
        <v>8693.762652778807</v>
      </c>
      <c r="E32" s="2">
        <f>E10/'Output-Calculation-sheet'!E9*'Output-Calculation-sheet'!E18</f>
        <v>10744.291865444931</v>
      </c>
      <c r="F32" s="2">
        <f>F10/'Output-Calculation-sheet'!F9*'Output-Calculation-sheet'!F18</f>
        <v>4833.0609234764397</v>
      </c>
      <c r="G32" s="2">
        <f>G10/'Output-Calculation-sheet'!G9*'Output-Calculation-sheet'!G18</f>
        <v>2780.9127224953199</v>
      </c>
      <c r="H32" s="2">
        <f>H10/'Output-Calculation-sheet'!H9*'Output-Calculation-sheet'!H18</f>
        <v>0</v>
      </c>
      <c r="I32" s="2">
        <f>I10/'Output-Calculation-sheet'!I9*'Output-Calculation-sheet'!I18</f>
        <v>2945.7603502693873</v>
      </c>
      <c r="J32" s="2">
        <f>J10/'Output-Calculation-sheet'!J9*'Output-Calculation-sheet'!J18</f>
        <v>2965.3090064324124</v>
      </c>
      <c r="K32" s="2">
        <f>K10/'Output-Calculation-sheet'!K9*'Output-Calculation-sheet'!K18</f>
        <v>3914.7152499765361</v>
      </c>
      <c r="L32" s="2">
        <f>L10/'Output-Calculation-sheet'!L9*'Output-Calculation-sheet'!L18</f>
        <v>3415.8104237756479</v>
      </c>
      <c r="M32" s="2">
        <f>M10/'Output-Calculation-sheet'!M9*'Output-Calculation-sheet'!M18</f>
        <v>0</v>
      </c>
      <c r="N32" s="2">
        <f>N10/'Output-Calculation-sheet'!N9*'Output-Calculation-sheet'!N18</f>
        <v>1916.1548604586453</v>
      </c>
      <c r="O32" s="2">
        <f>O10/'Output-Calculation-sheet'!O9*'Output-Calculation-sheet'!O18</f>
        <v>0</v>
      </c>
      <c r="P32" s="2">
        <f>P10/'Output-Calculation-sheet'!P9*'Output-Calculation-sheet'!P18</f>
        <v>3220.9648705187115</v>
      </c>
      <c r="Q32" s="2">
        <f>Q10/'Output-Calculation-sheet'!Q9*'Output-Calculation-sheet'!Q18</f>
        <v>3394.9404658820754</v>
      </c>
      <c r="R32" s="2">
        <f>R10/'Output-Calculation-sheet'!R9*'Output-Calculation-sheet'!R18</f>
        <v>2876.8709580191521</v>
      </c>
      <c r="S32" s="2">
        <f>S10/'Output-Calculation-sheet'!S9*'Output-Calculation-sheet'!S18</f>
        <v>1435.8061541837112</v>
      </c>
      <c r="T32" s="2">
        <f>T10/'Output-Calculation-sheet'!T9*'Output-Calculation-sheet'!T18</f>
        <v>906.16544609119944</v>
      </c>
      <c r="U32" s="2">
        <f>U10/'Output-Calculation-sheet'!U9*'Output-Calculation-sheet'!U18</f>
        <v>726.56687260799572</v>
      </c>
      <c r="V32" s="2">
        <f>V10/'Output-Calculation-sheet'!V9*'Output-Calculation-sheet'!V18</f>
        <v>845.39657428567989</v>
      </c>
      <c r="W32" s="2">
        <f>W10/'Output-Calculation-sheet'!W9*'Output-Calculation-sheet'!W18</f>
        <v>394.54972273205976</v>
      </c>
      <c r="X32" s="2">
        <f>X10/'Output-Calculation-sheet'!X9*'Output-Calculation-sheet'!X18</f>
        <v>0</v>
      </c>
      <c r="Y32" s="2">
        <f>Y10/'Output-Calculation-sheet'!Y9*'Output-Calculation-sheet'!Y18</f>
        <v>305.20328949060678</v>
      </c>
      <c r="AA32" s="2">
        <f t="shared" si="1"/>
        <v>86.726569261502732</v>
      </c>
    </row>
    <row r="33" spans="1:27" x14ac:dyDescent="0.25">
      <c r="A33" s="2">
        <v>2034</v>
      </c>
      <c r="B33" s="2">
        <f>B11/'Output-Calculation-sheet'!B10*'Output-Calculation-sheet'!B19</f>
        <v>27848.361817007146</v>
      </c>
      <c r="C33" s="2">
        <f>C11/'Output-Calculation-sheet'!C10*'Output-Calculation-sheet'!C19</f>
        <v>0</v>
      </c>
      <c r="D33" s="2">
        <f>D11/'Output-Calculation-sheet'!D10*'Output-Calculation-sheet'!D19</f>
        <v>8059.7260802525871</v>
      </c>
      <c r="E33" s="2">
        <f>E11/'Output-Calculation-sheet'!E10*'Output-Calculation-sheet'!E19</f>
        <v>10025.816885564547</v>
      </c>
      <c r="F33" s="2">
        <f>F11/'Output-Calculation-sheet'!F10*'Output-Calculation-sheet'!F19</f>
        <v>4511.2991703051048</v>
      </c>
      <c r="G33" s="2">
        <f>G11/'Output-Calculation-sheet'!G10*'Output-Calculation-sheet'!G19</f>
        <v>2588.3584478684393</v>
      </c>
      <c r="H33" s="2">
        <f>H11/'Output-Calculation-sheet'!H10*'Output-Calculation-sheet'!H19</f>
        <v>0</v>
      </c>
      <c r="I33" s="2">
        <f>I11/'Output-Calculation-sheet'!I10*'Output-Calculation-sheet'!I19</f>
        <v>2752.6446563621271</v>
      </c>
      <c r="J33" s="2">
        <f>J11/'Output-Calculation-sheet'!J10*'Output-Calculation-sheet'!J19</f>
        <v>2754.9633301950757</v>
      </c>
      <c r="K33" s="2">
        <f>K11/'Output-Calculation-sheet'!K10*'Output-Calculation-sheet'!K19</f>
        <v>3617.652581532956</v>
      </c>
      <c r="L33" s="2">
        <f>L11/'Output-Calculation-sheet'!L10*'Output-Calculation-sheet'!L19</f>
        <v>3108.3999946631679</v>
      </c>
      <c r="M33" s="2">
        <f>M11/'Output-Calculation-sheet'!M10*'Output-Calculation-sheet'!M19</f>
        <v>0</v>
      </c>
      <c r="N33" s="2">
        <f>N11/'Output-Calculation-sheet'!N10*'Output-Calculation-sheet'!N19</f>
        <v>1696.9537649627828</v>
      </c>
      <c r="O33" s="2">
        <f>O11/'Output-Calculation-sheet'!O10*'Output-Calculation-sheet'!O19</f>
        <v>0</v>
      </c>
      <c r="P33" s="2">
        <f>P11/'Output-Calculation-sheet'!P10*'Output-Calculation-sheet'!P19</f>
        <v>3036.3943860236332</v>
      </c>
      <c r="Q33" s="2">
        <f>Q11/'Output-Calculation-sheet'!Q10*'Output-Calculation-sheet'!Q19</f>
        <v>3029.3035474606322</v>
      </c>
      <c r="R33" s="2">
        <f>R11/'Output-Calculation-sheet'!R10*'Output-Calculation-sheet'!R19</f>
        <v>2676.5230710166434</v>
      </c>
      <c r="S33" s="2">
        <f>S11/'Output-Calculation-sheet'!S10*'Output-Calculation-sheet'!S19</f>
        <v>1304.5744499253806</v>
      </c>
      <c r="T33" s="2">
        <f>T11/'Output-Calculation-sheet'!T10*'Output-Calculation-sheet'!T19</f>
        <v>845.5904145516439</v>
      </c>
      <c r="U33" s="2">
        <f>U11/'Output-Calculation-sheet'!U10*'Output-Calculation-sheet'!U19</f>
        <v>682.20719407591503</v>
      </c>
      <c r="V33" s="2">
        <f>V11/'Output-Calculation-sheet'!V10*'Output-Calculation-sheet'!V19</f>
        <v>782.88528105153148</v>
      </c>
      <c r="W33" s="2">
        <f>W11/'Output-Calculation-sheet'!W10*'Output-Calculation-sheet'!W19</f>
        <v>368.51093952482012</v>
      </c>
      <c r="X33" s="2">
        <f>X11/'Output-Calculation-sheet'!X10*'Output-Calculation-sheet'!X19</f>
        <v>0</v>
      </c>
      <c r="Y33" s="2">
        <f>Y11/'Output-Calculation-sheet'!Y10*'Output-Calculation-sheet'!Y19</f>
        <v>284.95024760643253</v>
      </c>
      <c r="AA33" s="2">
        <f t="shared" si="1"/>
        <v>79.975116259950568</v>
      </c>
    </row>
    <row r="34" spans="1:27" x14ac:dyDescent="0.25">
      <c r="A34" s="2">
        <v>2035</v>
      </c>
      <c r="B34" s="2">
        <f>B12/'Output-Calculation-sheet'!B11*'Output-Calculation-sheet'!B20</f>
        <v>23507.104924132527</v>
      </c>
      <c r="C34" s="2">
        <f>C12/'Output-Calculation-sheet'!C11*'Output-Calculation-sheet'!C20</f>
        <v>0</v>
      </c>
      <c r="D34" s="2">
        <f>D12/'Output-Calculation-sheet'!D11*'Output-Calculation-sheet'!D20</f>
        <v>7085.8938222038805</v>
      </c>
      <c r="E34" s="2">
        <f>E12/'Output-Calculation-sheet'!E11*'Output-Calculation-sheet'!E20</f>
        <v>8723.2569949482258</v>
      </c>
      <c r="F34" s="2">
        <f>F12/'Output-Calculation-sheet'!F11*'Output-Calculation-sheet'!F20</f>
        <v>3961.2239870758044</v>
      </c>
      <c r="G34" s="2">
        <f>G12/'Output-Calculation-sheet'!G11*'Output-Calculation-sheet'!G20</f>
        <v>2269.6493002765333</v>
      </c>
      <c r="H34" s="2">
        <f>H12/'Output-Calculation-sheet'!H11*'Output-Calculation-sheet'!H20</f>
        <v>0</v>
      </c>
      <c r="I34" s="2">
        <f>I12/'Output-Calculation-sheet'!I11*'Output-Calculation-sheet'!I20</f>
        <v>2421.4566855367289</v>
      </c>
      <c r="J34" s="2">
        <f>J12/'Output-Calculation-sheet'!J11*'Output-Calculation-sheet'!J20</f>
        <v>2410.2371480768115</v>
      </c>
      <c r="K34" s="2">
        <f>K12/'Output-Calculation-sheet'!K11*'Output-Calculation-sheet'!K20</f>
        <v>3164.8127952456653</v>
      </c>
      <c r="L34" s="2">
        <f>L12/'Output-Calculation-sheet'!L11*'Output-Calculation-sheet'!L20</f>
        <v>2681.082546177423</v>
      </c>
      <c r="M34" s="2">
        <f>M12/'Output-Calculation-sheet'!M11*'Output-Calculation-sheet'!M20</f>
        <v>0</v>
      </c>
      <c r="N34" s="2">
        <f>N12/'Output-Calculation-sheet'!N11*'Output-Calculation-sheet'!N20</f>
        <v>1459.0037934670156</v>
      </c>
      <c r="O34" s="2">
        <f>O12/'Output-Calculation-sheet'!O11*'Output-Calculation-sheet'!O20</f>
        <v>0</v>
      </c>
      <c r="P34" s="2">
        <f>P12/'Output-Calculation-sheet'!P11*'Output-Calculation-sheet'!P20</f>
        <v>2672.0553322389455</v>
      </c>
      <c r="Q34" s="2">
        <f>Q12/'Output-Calculation-sheet'!Q11*'Output-Calculation-sheet'!Q20</f>
        <v>2552.3736648947433</v>
      </c>
      <c r="R34" s="2">
        <f>R12/'Output-Calculation-sheet'!R11*'Output-Calculation-sheet'!R20</f>
        <v>2348.061318454942</v>
      </c>
      <c r="S34" s="2">
        <f>S12/'Output-Calculation-sheet'!S11*'Output-Calculation-sheet'!S20</f>
        <v>1096.6888007076386</v>
      </c>
      <c r="T34" s="2">
        <f>T12/'Output-Calculation-sheet'!T11*'Output-Calculation-sheet'!T20</f>
        <v>741.0989904700906</v>
      </c>
      <c r="U34" s="2">
        <f>U12/'Output-Calculation-sheet'!U11*'Output-Calculation-sheet'!U20</f>
        <v>596.94031326621825</v>
      </c>
      <c r="V34" s="2">
        <f>V12/'Output-Calculation-sheet'!V11*'Output-Calculation-sheet'!V20</f>
        <v>685.28382382600944</v>
      </c>
      <c r="W34" s="2">
        <f>W12/'Output-Calculation-sheet'!W11*'Output-Calculation-sheet'!W20</f>
        <v>323.79167321837514</v>
      </c>
      <c r="X34" s="2">
        <f>X12/'Output-Calculation-sheet'!X11*'Output-Calculation-sheet'!X20</f>
        <v>0</v>
      </c>
      <c r="Y34" s="2">
        <f>Y12/'Output-Calculation-sheet'!Y11*'Output-Calculation-sheet'!Y20</f>
        <v>251.45109972933759</v>
      </c>
      <c r="AA34" s="2">
        <f t="shared" si="1"/>
        <v>68.951467013946925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1326.8117976609408</v>
      </c>
      <c r="C52" s="2">
        <f>C8/'Output-Calculation-sheet'!C7*'Output-Calculation-sheet'!C43</f>
        <v>0</v>
      </c>
      <c r="D52" s="2">
        <f>D8/'Output-Calculation-sheet'!D7*'Output-Calculation-sheet'!D43</f>
        <v>2882.1662255351853</v>
      </c>
      <c r="E52" s="2">
        <f>E8/'Output-Calculation-sheet'!E7*'Output-Calculation-sheet'!E43</f>
        <v>2068.8869257916044</v>
      </c>
      <c r="F52" s="2">
        <f>F8/'Output-Calculation-sheet'!F7*'Output-Calculation-sheet'!F43</f>
        <v>0</v>
      </c>
      <c r="G52" s="2">
        <f>G8/'Output-Calculation-sheet'!G7*'Output-Calculation-sheet'!G43</f>
        <v>733.73189989413811</v>
      </c>
      <c r="H52" s="2">
        <f>H8/'Output-Calculation-sheet'!H7*'Output-Calculation-sheet'!H43</f>
        <v>5621.7046041837802</v>
      </c>
      <c r="I52" s="2">
        <f>I8/'Output-Calculation-sheet'!I7*'Output-Calculation-sheet'!I43</f>
        <v>239.98110436101567</v>
      </c>
      <c r="J52" s="2">
        <f>J8/'Output-Calculation-sheet'!J7*'Output-Calculation-sheet'!J43</f>
        <v>1306.2637688376221</v>
      </c>
      <c r="K52" s="2">
        <f>K8/'Output-Calculation-sheet'!K7*'Output-Calculation-sheet'!K43</f>
        <v>2623.9831132788531</v>
      </c>
      <c r="L52" s="2">
        <f>L8/'Output-Calculation-sheet'!L7*'Output-Calculation-sheet'!L43</f>
        <v>2438.1171463767405</v>
      </c>
      <c r="M52" s="2">
        <f>M8/'Output-Calculation-sheet'!M7*'Output-Calculation-sheet'!M43</f>
        <v>15917.76174832039</v>
      </c>
      <c r="N52" s="2">
        <f>N8/'Output-Calculation-sheet'!N7*'Output-Calculation-sheet'!N43</f>
        <v>9111.4532574006535</v>
      </c>
      <c r="O52" s="2">
        <f>O8/'Output-Calculation-sheet'!O7*'Output-Calculation-sheet'!O43</f>
        <v>0</v>
      </c>
      <c r="P52" s="2">
        <f>P8/'Output-Calculation-sheet'!P7*'Output-Calculation-sheet'!P43</f>
        <v>1937.8051383217598</v>
      </c>
      <c r="Q52" s="2">
        <f>Q8/'Output-Calculation-sheet'!Q7*'Output-Calculation-sheet'!Q43</f>
        <v>440.30956001383765</v>
      </c>
      <c r="R52" s="2">
        <f>R8/'Output-Calculation-sheet'!R7*'Output-Calculation-sheet'!R43</f>
        <v>3531.1617187185875</v>
      </c>
      <c r="S52" s="2">
        <f>S8/'Output-Calculation-sheet'!S7*'Output-Calculation-sheet'!S43</f>
        <v>588.68180446540532</v>
      </c>
      <c r="T52" s="2">
        <f>T8/'Output-Calculation-sheet'!T7*'Output-Calculation-sheet'!T43</f>
        <v>1046.5293513586337</v>
      </c>
      <c r="U52" s="2">
        <f>U8/'Output-Calculation-sheet'!U7*'Output-Calculation-sheet'!U43</f>
        <v>390.91659995138468</v>
      </c>
      <c r="V52" s="2">
        <f>V8/'Output-Calculation-sheet'!V7*'Output-Calculation-sheet'!V43</f>
        <v>1022.0433928707241</v>
      </c>
      <c r="W52" s="2">
        <f>W8/'Output-Calculation-sheet'!W7*'Output-Calculation-sheet'!W43</f>
        <v>12.235198872987624</v>
      </c>
      <c r="X52" s="2">
        <f>X8/'Output-Calculation-sheet'!X7*'Output-Calculation-sheet'!X43</f>
        <v>829.20952437597373</v>
      </c>
      <c r="Y52" s="2">
        <f>Y8/'Output-Calculation-sheet'!Y7*'Output-Calculation-sheet'!Y43</f>
        <v>0</v>
      </c>
      <c r="AA52" s="2">
        <f t="shared" si="3"/>
        <v>54.06975388059022</v>
      </c>
    </row>
    <row r="53" spans="1:27" x14ac:dyDescent="0.25">
      <c r="A53" s="2">
        <v>2032</v>
      </c>
      <c r="B53" s="2">
        <f>B9/'Output-Calculation-sheet'!B8*'Output-Calculation-sheet'!B44</f>
        <v>4493.8005597901274</v>
      </c>
      <c r="C53" s="2">
        <f>C9/'Output-Calculation-sheet'!C8*'Output-Calculation-sheet'!C44</f>
        <v>0</v>
      </c>
      <c r="D53" s="2">
        <f>D9/'Output-Calculation-sheet'!D8*'Output-Calculation-sheet'!D44</f>
        <v>3977.5847423890264</v>
      </c>
      <c r="E53" s="2">
        <f>E9/'Output-Calculation-sheet'!E8*'Output-Calculation-sheet'!E44</f>
        <v>2607.9231084988933</v>
      </c>
      <c r="F53" s="2">
        <f>F9/'Output-Calculation-sheet'!F8*'Output-Calculation-sheet'!F44</f>
        <v>0</v>
      </c>
      <c r="G53" s="2">
        <f>G9/'Output-Calculation-sheet'!G8*'Output-Calculation-sheet'!G44</f>
        <v>963.12044752809891</v>
      </c>
      <c r="H53" s="2">
        <f>H9/'Output-Calculation-sheet'!H8*'Output-Calculation-sheet'!H44</f>
        <v>12094.528343268825</v>
      </c>
      <c r="I53" s="2">
        <f>I9/'Output-Calculation-sheet'!I8*'Output-Calculation-sheet'!I44</f>
        <v>352.92454596787434</v>
      </c>
      <c r="J53" s="2">
        <f>J9/'Output-Calculation-sheet'!J8*'Output-Calculation-sheet'!J44</f>
        <v>1619.3864451973768</v>
      </c>
      <c r="K53" s="2">
        <f>K9/'Output-Calculation-sheet'!K8*'Output-Calculation-sheet'!K44</f>
        <v>2932.622056717033</v>
      </c>
      <c r="L53" s="2">
        <f>L9/'Output-Calculation-sheet'!L8*'Output-Calculation-sheet'!L44</f>
        <v>2858.4342020482873</v>
      </c>
      <c r="M53" s="2">
        <f>M9/'Output-Calculation-sheet'!M8*'Output-Calculation-sheet'!M44</f>
        <v>17191.32671335807</v>
      </c>
      <c r="N53" s="2">
        <f>N9/'Output-Calculation-sheet'!N8*'Output-Calculation-sheet'!N44</f>
        <v>11451.168244977422</v>
      </c>
      <c r="O53" s="2">
        <f>O9/'Output-Calculation-sheet'!O8*'Output-Calculation-sheet'!O44</f>
        <v>0</v>
      </c>
      <c r="P53" s="2">
        <f>P9/'Output-Calculation-sheet'!P8*'Output-Calculation-sheet'!P44</f>
        <v>2374.8362759552842</v>
      </c>
      <c r="Q53" s="2">
        <f>Q9/'Output-Calculation-sheet'!Q8*'Output-Calculation-sheet'!Q44</f>
        <v>716.6390052195726</v>
      </c>
      <c r="R53" s="2">
        <f>R9/'Output-Calculation-sheet'!R8*'Output-Calculation-sheet'!R44</f>
        <v>4020.4250719290221</v>
      </c>
      <c r="S53" s="2">
        <f>S9/'Output-Calculation-sheet'!S8*'Output-Calculation-sheet'!S44</f>
        <v>1165.4781235231976</v>
      </c>
      <c r="T53" s="2">
        <f>T9/'Output-Calculation-sheet'!T8*'Output-Calculation-sheet'!T44</f>
        <v>1194.4401354551455</v>
      </c>
      <c r="U53" s="2">
        <f>U9/'Output-Calculation-sheet'!U8*'Output-Calculation-sheet'!U44</f>
        <v>516.09939388406372</v>
      </c>
      <c r="V53" s="2">
        <f>V9/'Output-Calculation-sheet'!V8*'Output-Calculation-sheet'!V44</f>
        <v>1113.2789406119825</v>
      </c>
      <c r="W53" s="2">
        <f>W9/'Output-Calculation-sheet'!W8*'Output-Calculation-sheet'!W44</f>
        <v>30.534438425653128</v>
      </c>
      <c r="X53" s="2">
        <f>X9/'Output-Calculation-sheet'!X8*'Output-Calculation-sheet'!X44</f>
        <v>1653.776215238702</v>
      </c>
      <c r="Y53" s="2">
        <f>Y9/'Output-Calculation-sheet'!Y8*'Output-Calculation-sheet'!Y44</f>
        <v>0</v>
      </c>
      <c r="AA53" s="2">
        <f t="shared" si="3"/>
        <v>73.328327009983653</v>
      </c>
    </row>
    <row r="54" spans="1:27" x14ac:dyDescent="0.25">
      <c r="A54" s="2">
        <v>2033</v>
      </c>
      <c r="B54" s="2">
        <f>B10/'Output-Calculation-sheet'!B9*'Output-Calculation-sheet'!B45</f>
        <v>8678.478492777489</v>
      </c>
      <c r="C54" s="2">
        <f>C10/'Output-Calculation-sheet'!C9*'Output-Calculation-sheet'!C45</f>
        <v>0</v>
      </c>
      <c r="D54" s="2">
        <f>D10/'Output-Calculation-sheet'!D9*'Output-Calculation-sheet'!D45</f>
        <v>4930.7289401982816</v>
      </c>
      <c r="E54" s="2">
        <f>E10/'Output-Calculation-sheet'!E9*'Output-Calculation-sheet'!E45</f>
        <v>3291.6360306411498</v>
      </c>
      <c r="F54" s="2">
        <f>F10/'Output-Calculation-sheet'!F9*'Output-Calculation-sheet'!F45</f>
        <v>0</v>
      </c>
      <c r="G54" s="2">
        <f>G10/'Output-Calculation-sheet'!G9*'Output-Calculation-sheet'!G45</f>
        <v>1167.3805505819157</v>
      </c>
      <c r="H54" s="2">
        <f>H10/'Output-Calculation-sheet'!H9*'Output-Calculation-sheet'!H45</f>
        <v>23165.904550750005</v>
      </c>
      <c r="I54" s="2">
        <f>I10/'Output-Calculation-sheet'!I9*'Output-Calculation-sheet'!I45</f>
        <v>477.26777617723548</v>
      </c>
      <c r="J54" s="2">
        <f>J10/'Output-Calculation-sheet'!J9*'Output-Calculation-sheet'!J45</f>
        <v>1952.3320668034021</v>
      </c>
      <c r="K54" s="2">
        <f>K10/'Output-Calculation-sheet'!K9*'Output-Calculation-sheet'!K45</f>
        <v>3314.8256272617909</v>
      </c>
      <c r="L54" s="2">
        <f>L10/'Output-Calculation-sheet'!L9*'Output-Calculation-sheet'!L45</f>
        <v>3157.975407985115</v>
      </c>
      <c r="M54" s="2">
        <f>M10/'Output-Calculation-sheet'!M9*'Output-Calculation-sheet'!M45</f>
        <v>17237.336032114115</v>
      </c>
      <c r="N54" s="2">
        <f>N10/'Output-Calculation-sheet'!N9*'Output-Calculation-sheet'!N45</f>
        <v>12074.610025507736</v>
      </c>
      <c r="O54" s="2">
        <f>O10/'Output-Calculation-sheet'!O9*'Output-Calculation-sheet'!O45</f>
        <v>0</v>
      </c>
      <c r="P54" s="2">
        <f>P10/'Output-Calculation-sheet'!P9*'Output-Calculation-sheet'!P45</f>
        <v>2740.5178371868856</v>
      </c>
      <c r="Q54" s="2">
        <f>Q10/'Output-Calculation-sheet'!Q9*'Output-Calculation-sheet'!Q45</f>
        <v>1055.8869344163206</v>
      </c>
      <c r="R54" s="2">
        <f>R10/'Output-Calculation-sheet'!R9*'Output-Calculation-sheet'!R45</f>
        <v>4067.6148692131055</v>
      </c>
      <c r="S54" s="2">
        <f>S10/'Output-Calculation-sheet'!S9*'Output-Calculation-sheet'!S45</f>
        <v>1806.7807558475956</v>
      </c>
      <c r="T54" s="2">
        <f>T10/'Output-Calculation-sheet'!T9*'Output-Calculation-sheet'!T45</f>
        <v>1311.1778559793736</v>
      </c>
      <c r="U54" s="2">
        <f>U10/'Output-Calculation-sheet'!U9*'Output-Calculation-sheet'!U45</f>
        <v>589.56178415229658</v>
      </c>
      <c r="V54" s="2">
        <f>V10/'Output-Calculation-sheet'!V9*'Output-Calculation-sheet'!V45</f>
        <v>1144.0075136883263</v>
      </c>
      <c r="W54" s="2">
        <f>W10/'Output-Calculation-sheet'!W9*'Output-Calculation-sheet'!W45</f>
        <v>38.932839634990053</v>
      </c>
      <c r="X54" s="2">
        <f>X10/'Output-Calculation-sheet'!X9*'Output-Calculation-sheet'!X45</f>
        <v>1660.7497133989975</v>
      </c>
      <c r="Y54" s="2">
        <f>Y10/'Output-Calculation-sheet'!Y9*'Output-Calculation-sheet'!Y45</f>
        <v>12.481731125904087</v>
      </c>
      <c r="AA54" s="2">
        <f t="shared" si="3"/>
        <v>93.876187335442012</v>
      </c>
    </row>
    <row r="55" spans="1:27" x14ac:dyDescent="0.25">
      <c r="A55" s="2">
        <v>2034</v>
      </c>
      <c r="B55" s="2">
        <f>B11/'Output-Calculation-sheet'!B10*'Output-Calculation-sheet'!B46</f>
        <v>16344.342128630289</v>
      </c>
      <c r="C55" s="2">
        <f>C11/'Output-Calculation-sheet'!C10*'Output-Calculation-sheet'!C46</f>
        <v>0</v>
      </c>
      <c r="D55" s="2">
        <f>D11/'Output-Calculation-sheet'!D10*'Output-Calculation-sheet'!D46</f>
        <v>5222.522185553481</v>
      </c>
      <c r="E55" s="2">
        <f>E11/'Output-Calculation-sheet'!E10*'Output-Calculation-sheet'!E46</f>
        <v>3422.3521002094144</v>
      </c>
      <c r="F55" s="2">
        <f>F11/'Output-Calculation-sheet'!F10*'Output-Calculation-sheet'!F46</f>
        <v>0</v>
      </c>
      <c r="G55" s="2">
        <f>G11/'Output-Calculation-sheet'!G10*'Output-Calculation-sheet'!G46</f>
        <v>1314.6883623874642</v>
      </c>
      <c r="H55" s="2">
        <f>H11/'Output-Calculation-sheet'!H10*'Output-Calculation-sheet'!H46</f>
        <v>21746.410615142337</v>
      </c>
      <c r="I55" s="2">
        <f>I11/'Output-Calculation-sheet'!I10*'Output-Calculation-sheet'!I46</f>
        <v>591.24184469835404</v>
      </c>
      <c r="J55" s="2">
        <f>J11/'Output-Calculation-sheet'!J10*'Output-Calculation-sheet'!J46</f>
        <v>2047.9735901200581</v>
      </c>
      <c r="K55" s="2">
        <f>K11/'Output-Calculation-sheet'!K10*'Output-Calculation-sheet'!K46</f>
        <v>3486.5860027142558</v>
      </c>
      <c r="L55" s="2">
        <f>L11/'Output-Calculation-sheet'!L10*'Output-Calculation-sheet'!L46</f>
        <v>3326.8393417183561</v>
      </c>
      <c r="M55" s="2">
        <f>M11/'Output-Calculation-sheet'!M10*'Output-Calculation-sheet'!M46</f>
        <v>16146.729608868236</v>
      </c>
      <c r="N55" s="2">
        <f>N11/'Output-Calculation-sheet'!N10*'Output-Calculation-sheet'!N46</f>
        <v>11886.083624244442</v>
      </c>
      <c r="O55" s="2">
        <f>O11/'Output-Calculation-sheet'!O10*'Output-Calculation-sheet'!O46</f>
        <v>0</v>
      </c>
      <c r="P55" s="2">
        <f>P11/'Output-Calculation-sheet'!P10*'Output-Calculation-sheet'!P46</f>
        <v>2765.0422865238374</v>
      </c>
      <c r="Q55" s="2">
        <f>Q11/'Output-Calculation-sheet'!Q10*'Output-Calculation-sheet'!Q46</f>
        <v>1547.0068561485448</v>
      </c>
      <c r="R55" s="2">
        <f>R11/'Output-Calculation-sheet'!R10*'Output-Calculation-sheet'!R46</f>
        <v>3872.7825786414455</v>
      </c>
      <c r="S55" s="2">
        <f>S11/'Output-Calculation-sheet'!S10*'Output-Calculation-sheet'!S46</f>
        <v>2493.3441720196315</v>
      </c>
      <c r="T55" s="2">
        <f>T11/'Output-Calculation-sheet'!T10*'Output-Calculation-sheet'!T46</f>
        <v>1280.5159144767661</v>
      </c>
      <c r="U55" s="2">
        <f>U11/'Output-Calculation-sheet'!U10*'Output-Calculation-sheet'!U46</f>
        <v>607.95805886678806</v>
      </c>
      <c r="V55" s="2">
        <f>V11/'Output-Calculation-sheet'!V10*'Output-Calculation-sheet'!V46</f>
        <v>1118.5998347873617</v>
      </c>
      <c r="W55" s="2">
        <f>W11/'Output-Calculation-sheet'!W10*'Output-Calculation-sheet'!W46</f>
        <v>56.268575531666976</v>
      </c>
      <c r="X55" s="2">
        <f>X11/'Output-Calculation-sheet'!X10*'Output-Calculation-sheet'!X46</f>
        <v>1564.6401139908323</v>
      </c>
      <c r="Y55" s="2">
        <f>Y11/'Output-Calculation-sheet'!Y10*'Output-Calculation-sheet'!Y46</f>
        <v>18.554921419629814</v>
      </c>
      <c r="AA55" s="2">
        <f t="shared" si="3"/>
        <v>100.8604827166932</v>
      </c>
    </row>
    <row r="56" spans="1:27" x14ac:dyDescent="0.25">
      <c r="A56" s="2">
        <v>2035</v>
      </c>
      <c r="B56" s="2">
        <f>B12/'Output-Calculation-sheet'!B11*'Output-Calculation-sheet'!B47</f>
        <v>24393.068806000465</v>
      </c>
      <c r="C56" s="2">
        <f>C12/'Output-Calculation-sheet'!C11*'Output-Calculation-sheet'!C47</f>
        <v>1447.1868132873417</v>
      </c>
      <c r="D56" s="2">
        <f>D12/'Output-Calculation-sheet'!D11*'Output-Calculation-sheet'!D47</f>
        <v>5207.9773224547389</v>
      </c>
      <c r="E56" s="2">
        <f>E12/'Output-Calculation-sheet'!E11*'Output-Calculation-sheet'!E47</f>
        <v>3756.8956501886601</v>
      </c>
      <c r="F56" s="2">
        <f>F12/'Output-Calculation-sheet'!F11*'Output-Calculation-sheet'!F47</f>
        <v>80.09592338797728</v>
      </c>
      <c r="G56" s="2">
        <f>G12/'Output-Calculation-sheet'!G11*'Output-Calculation-sheet'!G47</f>
        <v>1379.6037131114717</v>
      </c>
      <c r="H56" s="2">
        <f>H12/'Output-Calculation-sheet'!H11*'Output-Calculation-sheet'!H47</f>
        <v>19295.249781446662</v>
      </c>
      <c r="I56" s="2">
        <f>I12/'Output-Calculation-sheet'!I11*'Output-Calculation-sheet'!I47</f>
        <v>594.5841030805052</v>
      </c>
      <c r="J56" s="2">
        <f>J12/'Output-Calculation-sheet'!J11*'Output-Calculation-sheet'!J47</f>
        <v>1944.4205128476406</v>
      </c>
      <c r="K56" s="2">
        <f>K12/'Output-Calculation-sheet'!K11*'Output-Calculation-sheet'!K47</f>
        <v>3201.4002264045748</v>
      </c>
      <c r="L56" s="2">
        <f>L12/'Output-Calculation-sheet'!L11*'Output-Calculation-sheet'!L47</f>
        <v>3293.1175306837672</v>
      </c>
      <c r="M56" s="2">
        <f>M12/'Output-Calculation-sheet'!M11*'Output-Calculation-sheet'!M47</f>
        <v>14273.275466756008</v>
      </c>
      <c r="N56" s="2">
        <f>N12/'Output-Calculation-sheet'!N11*'Output-Calculation-sheet'!N47</f>
        <v>10940.221777736226</v>
      </c>
      <c r="O56" s="2">
        <f>O12/'Output-Calculation-sheet'!O11*'Output-Calculation-sheet'!O47</f>
        <v>685.30182142465878</v>
      </c>
      <c r="P56" s="2">
        <f>P12/'Output-Calculation-sheet'!P11*'Output-Calculation-sheet'!P47</f>
        <v>2522.3495382644369</v>
      </c>
      <c r="Q56" s="2">
        <f>Q12/'Output-Calculation-sheet'!Q11*'Output-Calculation-sheet'!Q47</f>
        <v>1946.7522410304487</v>
      </c>
      <c r="R56" s="2">
        <f>R12/'Output-Calculation-sheet'!R11*'Output-Calculation-sheet'!R47</f>
        <v>3468.4778182001401</v>
      </c>
      <c r="S56" s="2">
        <f>S12/'Output-Calculation-sheet'!S11*'Output-Calculation-sheet'!S47</f>
        <v>2968.3413731481728</v>
      </c>
      <c r="T56" s="2">
        <f>T12/'Output-Calculation-sheet'!T11*'Output-Calculation-sheet'!T47</f>
        <v>1210.5801195228412</v>
      </c>
      <c r="U56" s="2">
        <f>U12/'Output-Calculation-sheet'!U11*'Output-Calculation-sheet'!U47</f>
        <v>605.34139911833006</v>
      </c>
      <c r="V56" s="2">
        <f>V12/'Output-Calculation-sheet'!V11*'Output-Calculation-sheet'!V47</f>
        <v>1002.5474841414656</v>
      </c>
      <c r="W56" s="2">
        <f>W12/'Output-Calculation-sheet'!W11*'Output-Calculation-sheet'!W47</f>
        <v>63.26458744022527</v>
      </c>
      <c r="X56" s="2">
        <f>X12/'Output-Calculation-sheet'!X11*'Output-Calculation-sheet'!X47</f>
        <v>1385.0618790938531</v>
      </c>
      <c r="Y56" s="2">
        <f>Y12/'Output-Calculation-sheet'!Y11*'Output-Calculation-sheet'!Y47</f>
        <v>24.33888442631217</v>
      </c>
      <c r="AA56" s="2">
        <f t="shared" si="3"/>
        <v>105.6894547731969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8.1968414541553436</v>
      </c>
      <c r="C63" s="2">
        <f>C8*'Output-Calculation-sheet'!C52/10^9</f>
        <v>5.0359500709212002</v>
      </c>
      <c r="D63" s="2">
        <f>D8*'Output-Calculation-sheet'!D52/10^9</f>
        <v>1.774261641140205</v>
      </c>
      <c r="E63" s="2">
        <f>E8*'Output-Calculation-sheet'!E52/10^9</f>
        <v>2.1217605324857396</v>
      </c>
      <c r="F63" s="2">
        <f>F8*'Output-Calculation-sheet'!F52/10^9</f>
        <v>0.82377327881893336</v>
      </c>
      <c r="G63" s="2">
        <f>G8*'Output-Calculation-sheet'!G52/10^9</f>
        <v>0.58142203441453955</v>
      </c>
      <c r="H63" s="2">
        <f>H8*'Output-Calculation-sheet'!H52/10^9</f>
        <v>1.5491315101046033</v>
      </c>
      <c r="I63" s="2">
        <f>I8*'Output-Calculation-sheet'!I52/10^9</f>
        <v>0.56963606412623313</v>
      </c>
      <c r="J63" s="2">
        <f>J8*'Output-Calculation-sheet'!J52/10^9</f>
        <v>0.59304855518748978</v>
      </c>
      <c r="K63" s="2">
        <f>K8*'Output-Calculation-sheet'!K52/10^9</f>
        <v>0.71538749637210741</v>
      </c>
      <c r="L63" s="2">
        <f>L8*'Output-Calculation-sheet'!L52/10^9</f>
        <v>0.74676000387613284</v>
      </c>
      <c r="M63" s="2">
        <f>M8*'Output-Calculation-sheet'!M52/10^9</f>
        <v>1.1689599296613882</v>
      </c>
      <c r="N63" s="2">
        <f>N8*'Output-Calculation-sheet'!N52/10^9</f>
        <v>1.0051768299314854</v>
      </c>
      <c r="O63" s="2">
        <f>O8*'Output-Calculation-sheet'!O52/10^9</f>
        <v>1.0540367631088243</v>
      </c>
      <c r="P63" s="2">
        <f>P8*'Output-Calculation-sheet'!P52/10^9</f>
        <v>0.64174843930416026</v>
      </c>
      <c r="Q63" s="2">
        <f>Q8*'Output-Calculation-sheet'!Q52/10^9</f>
        <v>0.69869748057780201</v>
      </c>
      <c r="R63" s="2">
        <f>R8*'Output-Calculation-sheet'!R52/10^9</f>
        <v>0.53896889954430249</v>
      </c>
      <c r="S63" s="2">
        <f>S8*'Output-Calculation-sheet'!S52/10^9</f>
        <v>0.51328975122945808</v>
      </c>
      <c r="T63" s="2">
        <f>T8*'Output-Calculation-sheet'!T52/10^9</f>
        <v>0.16703067331952151</v>
      </c>
      <c r="U63" s="2">
        <f>U8*'Output-Calculation-sheet'!U52/10^9</f>
        <v>0.16288801007040693</v>
      </c>
      <c r="V63" s="2">
        <f>V8*'Output-Calculation-sheet'!V52/10^9</f>
        <v>0.13888420943430815</v>
      </c>
      <c r="W63" s="2">
        <f>W8*'Output-Calculation-sheet'!W52/10^9</f>
        <v>7.1544201431702953E-2</v>
      </c>
      <c r="X63" s="2">
        <f>X8*'Output-Calculation-sheet'!X52/10^9</f>
        <v>0.13525985215021544</v>
      </c>
      <c r="Y63" s="2">
        <f>Y8*'Output-Calculation-sheet'!Y52/10^9</f>
        <v>6.5161967848372027E-2</v>
      </c>
      <c r="AA63" s="2">
        <f t="shared" si="4"/>
        <v>29.069619649214477</v>
      </c>
    </row>
    <row r="64" spans="1:27" x14ac:dyDescent="0.25">
      <c r="A64" s="2">
        <v>2032</v>
      </c>
      <c r="B64" s="2">
        <f>B9*'Output-Calculation-sheet'!B53/10^9</f>
        <v>8.7033875595017953</v>
      </c>
      <c r="C64" s="2">
        <f>C9*'Output-Calculation-sheet'!C53/10^9</f>
        <v>5.3456794636477145</v>
      </c>
      <c r="D64" s="2">
        <f>D9*'Output-Calculation-sheet'!D53/10^9</f>
        <v>1.8852113978710598</v>
      </c>
      <c r="E64" s="2">
        <f>E9*'Output-Calculation-sheet'!E53/10^9</f>
        <v>2.2555450343738972</v>
      </c>
      <c r="F64" s="2">
        <f>F9*'Output-Calculation-sheet'!F53/10^9</f>
        <v>0.87573011315698013</v>
      </c>
      <c r="G64" s="2">
        <f>G9*'Output-Calculation-sheet'!G53/10^9</f>
        <v>0.61806701304315881</v>
      </c>
      <c r="H64" s="2">
        <f>H9*'Output-Calculation-sheet'!H53/10^9</f>
        <v>1.630379869650449</v>
      </c>
      <c r="I64" s="2">
        <f>I9*'Output-Calculation-sheet'!I53/10^9</f>
        <v>0.60574435507203284</v>
      </c>
      <c r="J64" s="2">
        <f>J9*'Output-Calculation-sheet'!J53/10^9</f>
        <v>0.62977903997024864</v>
      </c>
      <c r="K64" s="2">
        <f>K9*'Output-Calculation-sheet'!K53/10^9</f>
        <v>0.75861703784259815</v>
      </c>
      <c r="L64" s="2">
        <f>L9*'Output-Calculation-sheet'!L53/10^9</f>
        <v>0.78848742984003772</v>
      </c>
      <c r="M64" s="2">
        <f>M9*'Output-Calculation-sheet'!M53/10^9</f>
        <v>1.213635859195606</v>
      </c>
      <c r="N64" s="2">
        <f>N9*'Output-Calculation-sheet'!N53/10^9</f>
        <v>1.0519792844487312</v>
      </c>
      <c r="O64" s="2">
        <f>O9*'Output-Calculation-sheet'!O53/10^9</f>
        <v>1.1188256500235203</v>
      </c>
      <c r="P64" s="2">
        <f>P9*'Output-Calculation-sheet'!P53/10^9</f>
        <v>0.68121320773439797</v>
      </c>
      <c r="Q64" s="2">
        <f>Q9*'Output-Calculation-sheet'!Q53/10^9</f>
        <v>0.74282007390229743</v>
      </c>
      <c r="R64" s="2">
        <f>R9*'Output-Calculation-sheet'!R53/10^9</f>
        <v>0.57024568904820105</v>
      </c>
      <c r="S64" s="2">
        <f>S9*'Output-Calculation-sheet'!S53/10^9</f>
        <v>0.54394871352437424</v>
      </c>
      <c r="T64" s="2">
        <f>T9*'Output-Calculation-sheet'!T53/10^9</f>
        <v>0.17674012344769272</v>
      </c>
      <c r="U64" s="2">
        <f>U9*'Output-Calculation-sheet'!U53/10^9</f>
        <v>0.17304410935803785</v>
      </c>
      <c r="V64" s="2">
        <f>V9*'Output-Calculation-sheet'!V53/10^9</f>
        <v>0.1467592196308144</v>
      </c>
      <c r="W64" s="2">
        <f>W9*'Output-Calculation-sheet'!W53/10^9</f>
        <v>7.6064501912821381E-2</v>
      </c>
      <c r="X64" s="2">
        <f>X9*'Output-Calculation-sheet'!X53/10^9</f>
        <v>0.14144095396384368</v>
      </c>
      <c r="Y64" s="2">
        <f>Y9*'Output-Calculation-sheet'!Y53/10^9</f>
        <v>6.9357339210150942E-2</v>
      </c>
      <c r="AA64" s="2">
        <f t="shared" si="4"/>
        <v>30.802703039370467</v>
      </c>
    </row>
    <row r="65" spans="1:27" x14ac:dyDescent="0.25">
      <c r="A65" s="2">
        <v>2033</v>
      </c>
      <c r="B65" s="2">
        <f>B10*'Output-Calculation-sheet'!B54/10^9</f>
        <v>8.5589713641143366</v>
      </c>
      <c r="C65" s="2">
        <f>C10*'Output-Calculation-sheet'!C54/10^9</f>
        <v>5.259809402729787</v>
      </c>
      <c r="D65" s="2">
        <f>D10*'Output-Calculation-sheet'!D54/10^9</f>
        <v>1.8565618969338999</v>
      </c>
      <c r="E65" s="2">
        <f>E10*'Output-Calculation-sheet'!E54/10^9</f>
        <v>2.2227716295257935</v>
      </c>
      <c r="F65" s="2">
        <f>F10*'Output-Calculation-sheet'!F54/10^9</f>
        <v>0.86314426597569993</v>
      </c>
      <c r="G65" s="2">
        <f>G10*'Output-Calculation-sheet'!G54/10^9</f>
        <v>0.6090298128608761</v>
      </c>
      <c r="H65" s="2">
        <f>H10*'Output-Calculation-sheet'!H54/10^9</f>
        <v>1.5766592027862456</v>
      </c>
      <c r="I65" s="2">
        <f>I10*'Output-Calculation-sheet'!I54/10^9</f>
        <v>0.59715029487186844</v>
      </c>
      <c r="J65" s="2">
        <f>J10*'Output-Calculation-sheet'!J54/10^9</f>
        <v>0.61997709004773738</v>
      </c>
      <c r="K65" s="2">
        <f>K10*'Output-Calculation-sheet'!K54/10^9</f>
        <v>0.74569258906421332</v>
      </c>
      <c r="L65" s="2">
        <f>L10*'Output-Calculation-sheet'!L54/10^9</f>
        <v>0.7712477648436693</v>
      </c>
      <c r="M65" s="2">
        <f>M10*'Output-Calculation-sheet'!M54/10^9</f>
        <v>1.167328161653628</v>
      </c>
      <c r="N65" s="2">
        <f>N10*'Output-Calculation-sheet'!N54/10^9</f>
        <v>1.018652650075522</v>
      </c>
      <c r="O65" s="2">
        <f>O10*'Output-Calculation-sheet'!O54/10^9</f>
        <v>1.1008475443448711</v>
      </c>
      <c r="P65" s="2">
        <f>P10*'Output-Calculation-sheet'!P54/10^9</f>
        <v>0.67016362279678832</v>
      </c>
      <c r="Q65" s="2">
        <f>Q10*'Output-Calculation-sheet'!Q54/10^9</f>
        <v>0.73153670752935596</v>
      </c>
      <c r="R65" s="2">
        <f>R10*'Output-Calculation-sheet'!R54/10^9</f>
        <v>0.55935052330821111</v>
      </c>
      <c r="S65" s="2">
        <f>S10*'Output-Calculation-sheet'!S54/10^9</f>
        <v>0.53339051730353626</v>
      </c>
      <c r="T65" s="2">
        <f>T10*'Output-Calculation-sheet'!T54/10^9</f>
        <v>0.17334342167277381</v>
      </c>
      <c r="U65" s="2">
        <f>U10*'Output-Calculation-sheet'!U54/10^9</f>
        <v>0.17039831715113349</v>
      </c>
      <c r="V65" s="2">
        <f>V10*'Output-Calculation-sheet'!V54/10^9</f>
        <v>0.14378312754474484</v>
      </c>
      <c r="W65" s="2">
        <f>W10*'Output-Calculation-sheet'!W54/10^9</f>
        <v>7.4970582771694438E-2</v>
      </c>
      <c r="X65" s="2">
        <f>X10*'Output-Calculation-sheet'!X54/10^9</f>
        <v>0.1365959759975382</v>
      </c>
      <c r="Y65" s="2">
        <f>Y10*'Output-Calculation-sheet'!Y54/10^9</f>
        <v>6.8434898117350665E-2</v>
      </c>
      <c r="AA65" s="2">
        <f t="shared" si="4"/>
        <v>30.22981136402127</v>
      </c>
    </row>
    <row r="66" spans="1:27" x14ac:dyDescent="0.25">
      <c r="A66" s="2">
        <v>2034</v>
      </c>
      <c r="B66" s="2">
        <f>B11*'Output-Calculation-sheet'!B55/10^9</f>
        <v>7.8737419434360891</v>
      </c>
      <c r="C66" s="2">
        <f>C11*'Output-Calculation-sheet'!C55/10^9</f>
        <v>4.8470561638438854</v>
      </c>
      <c r="D66" s="2">
        <f>D11*'Output-Calculation-sheet'!D55/10^9</f>
        <v>1.7126082947783987</v>
      </c>
      <c r="E66" s="2">
        <f>E11*'Output-Calculation-sheet'!E55/10^9</f>
        <v>2.0518630636517607</v>
      </c>
      <c r="F66" s="2">
        <f>F11*'Output-Calculation-sheet'!F55/10^9</f>
        <v>0.79698039245345165</v>
      </c>
      <c r="G66" s="2">
        <f>G11*'Output-Calculation-sheet'!G55/10^9</f>
        <v>0.56209799185212073</v>
      </c>
      <c r="H66" s="2">
        <f>H11*'Output-Calculation-sheet'!H55/10^9</f>
        <v>1.420943427876068</v>
      </c>
      <c r="I66" s="2">
        <f>I11*'Output-Calculation-sheet'!I55/10^9</f>
        <v>0.5513776789695809</v>
      </c>
      <c r="J66" s="2">
        <f>J11*'Output-Calculation-sheet'!J55/10^9</f>
        <v>0.57152352476304269</v>
      </c>
      <c r="K66" s="2">
        <f>K11*'Output-Calculation-sheet'!K55/10^9</f>
        <v>0.68653025513135568</v>
      </c>
      <c r="L66" s="2">
        <f>L11*'Output-Calculation-sheet'!L55/10^9</f>
        <v>0.70611668951191608</v>
      </c>
      <c r="M66" s="2">
        <f>M11*'Output-Calculation-sheet'!M55/10^9</f>
        <v>1.0506998867508723</v>
      </c>
      <c r="N66" s="2">
        <f>N11*'Output-Calculation-sheet'!N55/10^9</f>
        <v>0.92279228105610123</v>
      </c>
      <c r="O66" s="2">
        <f>O11*'Output-Calculation-sheet'!O55/10^9</f>
        <v>1.0144954346306803</v>
      </c>
      <c r="P66" s="2">
        <f>P11*'Output-Calculation-sheet'!P55/10^9</f>
        <v>0.61738563026259041</v>
      </c>
      <c r="Q66" s="2">
        <f>Q11*'Output-Calculation-sheet'!Q55/10^9</f>
        <v>0.67390594527554171</v>
      </c>
      <c r="R66" s="2">
        <f>R11*'Output-Calculation-sheet'!R55/10^9</f>
        <v>0.51401879425843378</v>
      </c>
      <c r="S66" s="2">
        <f>S11*'Output-Calculation-sheet'!S55/10^9</f>
        <v>0.4888002287492863</v>
      </c>
      <c r="T66" s="2">
        <f>T11*'Output-Calculation-sheet'!T55/10^9</f>
        <v>0.15922838883175519</v>
      </c>
      <c r="U66" s="2">
        <f>U11*'Output-Calculation-sheet'!U55/10^9</f>
        <v>0.15714634494382959</v>
      </c>
      <c r="V66" s="2">
        <f>V11*'Output-Calculation-sheet'!V55/10^9</f>
        <v>0.13196640105710145</v>
      </c>
      <c r="W66" s="2">
        <f>W11*'Output-Calculation-sheet'!W55/10^9</f>
        <v>6.9213542027473901E-2</v>
      </c>
      <c r="X66" s="2">
        <f>X11*'Output-Calculation-sheet'!X55/10^9</f>
        <v>0.12347559203653063</v>
      </c>
      <c r="Y66" s="2">
        <f>Y11*'Output-Calculation-sheet'!Y55/10^9</f>
        <v>6.3258484073552446E-2</v>
      </c>
      <c r="AA66" s="2">
        <f t="shared" si="4"/>
        <v>27.767226380221423</v>
      </c>
    </row>
    <row r="67" spans="1:27" x14ac:dyDescent="0.25">
      <c r="A67" s="2">
        <v>2035</v>
      </c>
      <c r="B67" s="2">
        <f>B12*'Output-Calculation-sheet'!B56/10^9</f>
        <v>6.8027164526500279</v>
      </c>
      <c r="C67" s="2">
        <f>C12*'Output-Calculation-sheet'!C56/10^9</f>
        <v>4.2020689524667283</v>
      </c>
      <c r="D67" s="2">
        <f>D12*'Output-Calculation-sheet'!D56/10^9</f>
        <v>1.4863668264549124</v>
      </c>
      <c r="E67" s="2">
        <f>E12*'Output-Calculation-sheet'!E56/10^9</f>
        <v>1.7822815712391458</v>
      </c>
      <c r="F67" s="2">
        <f>F12*'Output-Calculation-sheet'!F56/10^9</f>
        <v>0.692510075555825</v>
      </c>
      <c r="G67" s="2">
        <f>G12*'Output-Calculation-sheet'!G56/10^9</f>
        <v>0.48813923113439706</v>
      </c>
      <c r="H67" s="2">
        <f>H12*'Output-Calculation-sheet'!H56/10^9</f>
        <v>1.2039247303049125</v>
      </c>
      <c r="I67" s="2">
        <f>I12*'Output-Calculation-sheet'!I56/10^9</f>
        <v>0.47908547969802617</v>
      </c>
      <c r="J67" s="2">
        <f>J12*'Output-Calculation-sheet'!J56/10^9</f>
        <v>0.49581929580359857</v>
      </c>
      <c r="K67" s="2">
        <f>K12*'Output-Calculation-sheet'!K56/10^9</f>
        <v>0.59466345883260807</v>
      </c>
      <c r="L67" s="2">
        <f>L12*'Output-Calculation-sheet'!L56/10^9</f>
        <v>0.6078532051749459</v>
      </c>
      <c r="M67" s="2">
        <f>M12*'Output-Calculation-sheet'!M56/10^9</f>
        <v>0.88904771228384849</v>
      </c>
      <c r="N67" s="2">
        <f>N12*'Output-Calculation-sheet'!N56/10^9</f>
        <v>0.78558496057030491</v>
      </c>
      <c r="O67" s="2">
        <f>O12*'Output-Calculation-sheet'!O56/10^9</f>
        <v>0.87907320823636459</v>
      </c>
      <c r="P67" s="2">
        <f>P12*'Output-Calculation-sheet'!P56/10^9</f>
        <v>0.53523964258057444</v>
      </c>
      <c r="Q67" s="2">
        <f>Q12*'Output-Calculation-sheet'!Q56/10^9</f>
        <v>0.58321946670744129</v>
      </c>
      <c r="R67" s="2">
        <f>R12*'Output-Calculation-sheet'!R56/10^9</f>
        <v>0.44456048089844991</v>
      </c>
      <c r="S67" s="2">
        <f>S12*'Output-Calculation-sheet'!S56/10^9</f>
        <v>0.42042229172391526</v>
      </c>
      <c r="T67" s="2">
        <f>T12*'Output-Calculation-sheet'!T56/10^9</f>
        <v>0.13762033797218076</v>
      </c>
      <c r="U67" s="2">
        <f>U12*'Output-Calculation-sheet'!U56/10^9</f>
        <v>0.13637276410684623</v>
      </c>
      <c r="V67" s="2">
        <f>V12*'Output-Calculation-sheet'!V56/10^9</f>
        <v>0.11396922387114951</v>
      </c>
      <c r="W67" s="2">
        <f>W12*'Output-Calculation-sheet'!W56/10^9</f>
        <v>6.0129184086554453E-2</v>
      </c>
      <c r="X67" s="2">
        <f>X12*'Output-Calculation-sheet'!X56/10^9</f>
        <v>0.10492742532632864</v>
      </c>
      <c r="Y67" s="2">
        <f>Y12*'Output-Calculation-sheet'!Y56/10^9</f>
        <v>5.5026818878559473E-2</v>
      </c>
      <c r="AA67" s="2">
        <f t="shared" si="4"/>
        <v>23.98062279655764</v>
      </c>
    </row>
    <row r="68" spans="1:27" x14ac:dyDescent="0.25">
      <c r="B68" s="2">
        <f>SUM(B60:B67)</f>
        <v>56.889526065728177</v>
      </c>
      <c r="C68" s="2">
        <f t="shared" ref="C68:Y68" si="5">SUM(C60:C67)</f>
        <v>34.962572744308147</v>
      </c>
      <c r="D68" s="2">
        <f t="shared" si="5"/>
        <v>12.345675742848712</v>
      </c>
      <c r="E68" s="2">
        <f t="shared" si="5"/>
        <v>14.773799750550298</v>
      </c>
      <c r="F68" s="2">
        <f t="shared" si="5"/>
        <v>5.7375688628904973</v>
      </c>
      <c r="G68" s="2">
        <f t="shared" si="5"/>
        <v>4.0471543138695383</v>
      </c>
      <c r="H68" s="2">
        <f t="shared" si="5"/>
        <v>10.562897453752147</v>
      </c>
      <c r="I68" s="2">
        <f t="shared" si="5"/>
        <v>3.9667721690871436</v>
      </c>
      <c r="J68" s="2">
        <f t="shared" si="5"/>
        <v>4.1261862762680561</v>
      </c>
      <c r="K68" s="2">
        <f t="shared" si="5"/>
        <v>4.9754493160241431</v>
      </c>
      <c r="L68" s="2">
        <f t="shared" si="5"/>
        <v>5.1694871251893746</v>
      </c>
      <c r="M68" s="2">
        <f t="shared" si="5"/>
        <v>8.019822315653542</v>
      </c>
      <c r="N68" s="2">
        <f t="shared" si="5"/>
        <v>6.8856070657422981</v>
      </c>
      <c r="O68" s="2">
        <f t="shared" si="5"/>
        <v>7.317361661296836</v>
      </c>
      <c r="P68" s="2">
        <f t="shared" si="5"/>
        <v>4.4622384248184526</v>
      </c>
      <c r="Q68" s="2">
        <f t="shared" si="5"/>
        <v>4.8578044829426865</v>
      </c>
      <c r="R68" s="2">
        <f t="shared" si="5"/>
        <v>3.7481762234215545</v>
      </c>
      <c r="S68" s="2">
        <f t="shared" si="5"/>
        <v>3.5492568355365175</v>
      </c>
      <c r="T68" s="2">
        <f t="shared" si="5"/>
        <v>1.1611272095634395</v>
      </c>
      <c r="U68" s="2">
        <f t="shared" si="5"/>
        <v>1.1331540443475194</v>
      </c>
      <c r="V68" s="2">
        <f t="shared" si="5"/>
        <v>0.96592995437264717</v>
      </c>
      <c r="W68" s="2">
        <f t="shared" si="5"/>
        <v>0.49819242516552731</v>
      </c>
      <c r="X68" s="2">
        <f t="shared" si="5"/>
        <v>0.92039513964655195</v>
      </c>
      <c r="Y68" s="2">
        <f t="shared" si="5"/>
        <v>0.4541293591262901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486.05538854312465</v>
      </c>
      <c r="C74" s="2">
        <f>C8/'Output-Calculation-sheet'!C7*'Output-Calculation-sheet'!C61</f>
        <v>0</v>
      </c>
      <c r="D74" s="2">
        <f>D8/'Output-Calculation-sheet'!D7*'Output-Calculation-sheet'!D61</f>
        <v>795.38490514366163</v>
      </c>
      <c r="E74" s="2">
        <f>E8/'Output-Calculation-sheet'!E7*'Output-Calculation-sheet'!E61</f>
        <v>590.29777321961171</v>
      </c>
      <c r="F74" s="2">
        <f>F8/'Output-Calculation-sheet'!F7*'Output-Calculation-sheet'!F61</f>
        <v>0</v>
      </c>
      <c r="G74" s="2">
        <f>G8/'Output-Calculation-sheet'!G7*'Output-Calculation-sheet'!G61</f>
        <v>268.77933551122084</v>
      </c>
      <c r="H74" s="2">
        <f>H8/'Output-Calculation-sheet'!H7*'Output-Calculation-sheet'!H61</f>
        <v>1290.8596882503377</v>
      </c>
      <c r="I74" s="2">
        <f>I8/'Output-Calculation-sheet'!I7*'Output-Calculation-sheet'!I61</f>
        <v>94.762538584556054</v>
      </c>
      <c r="J74" s="2">
        <f>J8/'Output-Calculation-sheet'!J7*'Output-Calculation-sheet'!J61</f>
        <v>395.08541444752444</v>
      </c>
      <c r="K74" s="2">
        <f>K8/'Output-Calculation-sheet'!K7*'Output-Calculation-sheet'!K61</f>
        <v>663.51393218360204</v>
      </c>
      <c r="L74" s="2">
        <f>L8/'Output-Calculation-sheet'!L7*'Output-Calculation-sheet'!L61</f>
        <v>575.65352432000827</v>
      </c>
      <c r="M74" s="2">
        <f>M8/'Output-Calculation-sheet'!M7*'Output-Calculation-sheet'!M61</f>
        <v>2882.937860333368</v>
      </c>
      <c r="N74" s="2">
        <f>N8/'Output-Calculation-sheet'!N7*'Output-Calculation-sheet'!N61</f>
        <v>1626.1212813483728</v>
      </c>
      <c r="O74" s="2">
        <f>O8/'Output-Calculation-sheet'!O7*'Output-Calculation-sheet'!O61</f>
        <v>0</v>
      </c>
      <c r="P74" s="2">
        <f>P8/'Output-Calculation-sheet'!P7*'Output-Calculation-sheet'!P61</f>
        <v>459.58278530531072</v>
      </c>
      <c r="Q74" s="2">
        <f>Q8/'Output-Calculation-sheet'!Q7*'Output-Calculation-sheet'!Q61</f>
        <v>121.16170457945994</v>
      </c>
      <c r="R74" s="2">
        <f>R8/'Output-Calculation-sheet'!R7*'Output-Calculation-sheet'!R61</f>
        <v>799.25757181748679</v>
      </c>
      <c r="S74" s="2">
        <f>S8/'Output-Calculation-sheet'!S7*'Output-Calculation-sheet'!S61</f>
        <v>141.43393480900758</v>
      </c>
      <c r="T74" s="2">
        <f>T8/'Output-Calculation-sheet'!T7*'Output-Calculation-sheet'!T61</f>
        <v>270.69289396887075</v>
      </c>
      <c r="U74" s="2">
        <f>U8/'Output-Calculation-sheet'!U7*'Output-Calculation-sheet'!U61</f>
        <v>107.25163403978694</v>
      </c>
      <c r="V74" s="2">
        <f>V8/'Output-Calculation-sheet'!V7*'Output-Calculation-sheet'!V61</f>
        <v>188.38567570526828</v>
      </c>
      <c r="W74" s="2">
        <f>W8/'Output-Calculation-sheet'!W7*'Output-Calculation-sheet'!W61</f>
        <v>4.4821611871377991</v>
      </c>
      <c r="X74" s="2">
        <f>X8/'Output-Calculation-sheet'!X7*'Output-Calculation-sheet'!X61</f>
        <v>160.98371260296844</v>
      </c>
      <c r="Y74" s="2">
        <f>Y8/'Output-Calculation-sheet'!Y7*'Output-Calculation-sheet'!Y61</f>
        <v>0</v>
      </c>
      <c r="AA74" s="2">
        <f t="shared" si="6"/>
        <v>11.922683715900684</v>
      </c>
    </row>
    <row r="75" spans="1:27" x14ac:dyDescent="0.25">
      <c r="A75" s="2">
        <v>2032</v>
      </c>
      <c r="B75" s="2">
        <f>B9/'Output-Calculation-sheet'!B8*'Output-Calculation-sheet'!B62</f>
        <v>1274.1107166099694</v>
      </c>
      <c r="C75" s="2">
        <f>C9/'Output-Calculation-sheet'!C8*'Output-Calculation-sheet'!C62</f>
        <v>0</v>
      </c>
      <c r="D75" s="2">
        <f>D9/'Output-Calculation-sheet'!D8*'Output-Calculation-sheet'!D62</f>
        <v>1042.2266421244847</v>
      </c>
      <c r="E75" s="2">
        <f>E9/'Output-Calculation-sheet'!E8*'Output-Calculation-sheet'!E62</f>
        <v>732.90542146117377</v>
      </c>
      <c r="F75" s="2">
        <f>F9/'Output-Calculation-sheet'!F8*'Output-Calculation-sheet'!F62</f>
        <v>0</v>
      </c>
      <c r="G75" s="2">
        <f>G9/'Output-Calculation-sheet'!G8*'Output-Calculation-sheet'!G62</f>
        <v>338.62601512534235</v>
      </c>
      <c r="H75" s="2">
        <f>H9/'Output-Calculation-sheet'!H8*'Output-Calculation-sheet'!H62</f>
        <v>2390.6044723305158</v>
      </c>
      <c r="I75" s="2">
        <f>I9/'Output-Calculation-sheet'!I8*'Output-Calculation-sheet'!I62</f>
        <v>144.7953159957288</v>
      </c>
      <c r="J75" s="2">
        <f>J9/'Output-Calculation-sheet'!J8*'Output-Calculation-sheet'!J62</f>
        <v>474.57548646901944</v>
      </c>
      <c r="K75" s="2">
        <f>K9/'Output-Calculation-sheet'!K8*'Output-Calculation-sheet'!K62</f>
        <v>744.28686456658215</v>
      </c>
      <c r="L75" s="2">
        <f>L9/'Output-Calculation-sheet'!L8*'Output-Calculation-sheet'!L62</f>
        <v>646.30701747365492</v>
      </c>
      <c r="M75" s="2">
        <f>M9/'Output-Calculation-sheet'!M8*'Output-Calculation-sheet'!M62</f>
        <v>3111.820357266783</v>
      </c>
      <c r="N75" s="2">
        <f>N9/'Output-Calculation-sheet'!N8*'Output-Calculation-sheet'!N62</f>
        <v>2011.502866020289</v>
      </c>
      <c r="O75" s="2">
        <f>O9/'Output-Calculation-sheet'!O8*'Output-Calculation-sheet'!O62</f>
        <v>0</v>
      </c>
      <c r="P75" s="2">
        <f>P9/'Output-Calculation-sheet'!P8*'Output-Calculation-sheet'!P62</f>
        <v>555.08559537351198</v>
      </c>
      <c r="Q75" s="2">
        <f>Q9/'Output-Calculation-sheet'!Q8*'Output-Calculation-sheet'!Q62</f>
        <v>196.87097243389115</v>
      </c>
      <c r="R75" s="2">
        <f>R9/'Output-Calculation-sheet'!R8*'Output-Calculation-sheet'!R62</f>
        <v>883.70161391627767</v>
      </c>
      <c r="S75" s="2">
        <f>S9/'Output-Calculation-sheet'!S8*'Output-Calculation-sheet'!S62</f>
        <v>255.86933516428823</v>
      </c>
      <c r="T75" s="2">
        <f>T9/'Output-Calculation-sheet'!T8*'Output-Calculation-sheet'!T62</f>
        <v>295.86056789160665</v>
      </c>
      <c r="U75" s="2">
        <f>U9/'Output-Calculation-sheet'!U8*'Output-Calculation-sheet'!U62</f>
        <v>137.63521557404374</v>
      </c>
      <c r="V75" s="2">
        <f>V9/'Output-Calculation-sheet'!V8*'Output-Calculation-sheet'!V62</f>
        <v>205.27654674180221</v>
      </c>
      <c r="W75" s="2">
        <f>W9/'Output-Calculation-sheet'!W8*'Output-Calculation-sheet'!W62</f>
        <v>11.184328589053518</v>
      </c>
      <c r="X75" s="2">
        <f>X9/'Output-Calculation-sheet'!X8*'Output-Calculation-sheet'!X62</f>
        <v>294.84430116258073</v>
      </c>
      <c r="Y75" s="2">
        <f>Y9/'Output-Calculation-sheet'!Y8*'Output-Calculation-sheet'!Y62</f>
        <v>0</v>
      </c>
      <c r="AA75" s="2">
        <f t="shared" si="6"/>
        <v>15.7480896522906</v>
      </c>
    </row>
    <row r="76" spans="1:27" x14ac:dyDescent="0.25">
      <c r="A76" s="2">
        <v>2033</v>
      </c>
      <c r="B76" s="2">
        <f>B10/'Output-Calculation-sheet'!B9*'Output-Calculation-sheet'!B63</f>
        <v>2279.3906484543686</v>
      </c>
      <c r="C76" s="2">
        <f>C10/'Output-Calculation-sheet'!C9*'Output-Calculation-sheet'!C63</f>
        <v>0</v>
      </c>
      <c r="D76" s="2">
        <f>D10/'Output-Calculation-sheet'!D9*'Output-Calculation-sheet'!D63</f>
        <v>1218.7775794382112</v>
      </c>
      <c r="E76" s="2">
        <f>E10/'Output-Calculation-sheet'!E9*'Output-Calculation-sheet'!E63</f>
        <v>904.25944098899015</v>
      </c>
      <c r="F76" s="2">
        <f>F10/'Output-Calculation-sheet'!F9*'Output-Calculation-sheet'!F63</f>
        <v>0</v>
      </c>
      <c r="G76" s="2">
        <f>G10/'Output-Calculation-sheet'!G9*'Output-Calculation-sheet'!G63</f>
        <v>405.54092823851767</v>
      </c>
      <c r="H76" s="2">
        <f>H10/'Output-Calculation-sheet'!H9*'Output-Calculation-sheet'!H63</f>
        <v>4158.9652486510677</v>
      </c>
      <c r="I76" s="2">
        <f>I10/'Output-Calculation-sheet'!I9*'Output-Calculation-sheet'!I63</f>
        <v>188.17077522081135</v>
      </c>
      <c r="J76" s="2">
        <f>J10/'Output-Calculation-sheet'!J9*'Output-Calculation-sheet'!J63</f>
        <v>566.14481014610271</v>
      </c>
      <c r="K76" s="2">
        <f>K10/'Output-Calculation-sheet'!K9*'Output-Calculation-sheet'!K63</f>
        <v>781.36068983738789</v>
      </c>
      <c r="L76" s="2">
        <f>L10/'Output-Calculation-sheet'!L9*'Output-Calculation-sheet'!L63</f>
        <v>723.22610032478008</v>
      </c>
      <c r="M76" s="2">
        <f>M10/'Output-Calculation-sheet'!M9*'Output-Calculation-sheet'!M63</f>
        <v>3110.5727879675369</v>
      </c>
      <c r="N76" s="2">
        <f>N10/'Output-Calculation-sheet'!N9*'Output-Calculation-sheet'!N63</f>
        <v>2114.8181179224694</v>
      </c>
      <c r="O76" s="2">
        <f>O10/'Output-Calculation-sheet'!O9*'Output-Calculation-sheet'!O63</f>
        <v>0</v>
      </c>
      <c r="P76" s="2">
        <f>P10/'Output-Calculation-sheet'!P9*'Output-Calculation-sheet'!P63</f>
        <v>611.13547769267552</v>
      </c>
      <c r="Q76" s="2">
        <f>Q10/'Output-Calculation-sheet'!Q9*'Output-Calculation-sheet'!Q63</f>
        <v>268.62169721910584</v>
      </c>
      <c r="R76" s="2">
        <f>R10/'Output-Calculation-sheet'!R9*'Output-Calculation-sheet'!R63</f>
        <v>892.86160049955004</v>
      </c>
      <c r="S76" s="2">
        <f>S10/'Output-Calculation-sheet'!S9*'Output-Calculation-sheet'!S63</f>
        <v>378.45414258698867</v>
      </c>
      <c r="T76" s="2">
        <f>T10/'Output-Calculation-sheet'!T9*'Output-Calculation-sheet'!T63</f>
        <v>313.56520430779455</v>
      </c>
      <c r="U76" s="2">
        <f>U10/'Output-Calculation-sheet'!U9*'Output-Calculation-sheet'!U63</f>
        <v>153.76548774802865</v>
      </c>
      <c r="V76" s="2">
        <f>V10/'Output-Calculation-sheet'!V9*'Output-Calculation-sheet'!V63</f>
        <v>204.60749230625669</v>
      </c>
      <c r="W76" s="2">
        <f>W10/'Output-Calculation-sheet'!W9*'Output-Calculation-sheet'!W63</f>
        <v>14.262396919618023</v>
      </c>
      <c r="X76" s="2">
        <f>X10/'Output-Calculation-sheet'!X9*'Output-Calculation-sheet'!X63</f>
        <v>296.83443631325258</v>
      </c>
      <c r="Y76" s="2">
        <f>Y10/'Output-Calculation-sheet'!Y9*'Output-Calculation-sheet'!Y63</f>
        <v>4.5733062845312578</v>
      </c>
      <c r="AA76" s="2">
        <f t="shared" si="6"/>
        <v>19.589908369068045</v>
      </c>
    </row>
    <row r="77" spans="1:27" x14ac:dyDescent="0.25">
      <c r="A77" s="2">
        <v>2034</v>
      </c>
      <c r="B77" s="2">
        <f>B11/'Output-Calculation-sheet'!B10*'Output-Calculation-sheet'!B64</f>
        <v>3657.863768387459</v>
      </c>
      <c r="C77" s="2">
        <f>C11/'Output-Calculation-sheet'!C10*'Output-Calculation-sheet'!C64</f>
        <v>0</v>
      </c>
      <c r="D77" s="2">
        <f>D11/'Output-Calculation-sheet'!D10*'Output-Calculation-sheet'!D64</f>
        <v>1299.2169226517256</v>
      </c>
      <c r="E77" s="2">
        <f>E11/'Output-Calculation-sheet'!E10*'Output-Calculation-sheet'!E64</f>
        <v>908.96215461519409</v>
      </c>
      <c r="F77" s="2">
        <f>F11/'Output-Calculation-sheet'!F10*'Output-Calculation-sheet'!F64</f>
        <v>0</v>
      </c>
      <c r="G77" s="2">
        <f>G11/'Output-Calculation-sheet'!G10*'Output-Calculation-sheet'!G64</f>
        <v>422.2121675807341</v>
      </c>
      <c r="H77" s="2">
        <f>H11/'Output-Calculation-sheet'!H10*'Output-Calculation-sheet'!H64</f>
        <v>3954.6627772538345</v>
      </c>
      <c r="I77" s="2">
        <f>I11/'Output-Calculation-sheet'!I10*'Output-Calculation-sheet'!I64</f>
        <v>224.05109704844125</v>
      </c>
      <c r="J77" s="2">
        <f>J11/'Output-Calculation-sheet'!J10*'Output-Calculation-sheet'!J64</f>
        <v>565.65030559116008</v>
      </c>
      <c r="K77" s="2">
        <f>K11/'Output-Calculation-sheet'!K10*'Output-Calculation-sheet'!K64</f>
        <v>796.22002348651222</v>
      </c>
      <c r="L77" s="2">
        <f>L11/'Output-Calculation-sheet'!L10*'Output-Calculation-sheet'!L64</f>
        <v>698.75177701577559</v>
      </c>
      <c r="M77" s="2">
        <f>M11/'Output-Calculation-sheet'!M10*'Output-Calculation-sheet'!M64</f>
        <v>2959.6276202610597</v>
      </c>
      <c r="N77" s="2">
        <f>N11/'Output-Calculation-sheet'!N10*'Output-Calculation-sheet'!N64</f>
        <v>2081.3996653744862</v>
      </c>
      <c r="O77" s="2">
        <f>O11/'Output-Calculation-sheet'!O10*'Output-Calculation-sheet'!O64</f>
        <v>0</v>
      </c>
      <c r="P77" s="2">
        <f>P11/'Output-Calculation-sheet'!P10*'Output-Calculation-sheet'!P64</f>
        <v>608.94585953286116</v>
      </c>
      <c r="Q77" s="2">
        <f>Q11/'Output-Calculation-sheet'!Q10*'Output-Calculation-sheet'!Q64</f>
        <v>371.99855109191469</v>
      </c>
      <c r="R77" s="2">
        <f>R11/'Output-Calculation-sheet'!R10*'Output-Calculation-sheet'!R64</f>
        <v>857.25071378430459</v>
      </c>
      <c r="S77" s="2">
        <f>S11/'Output-Calculation-sheet'!S10*'Output-Calculation-sheet'!S64</f>
        <v>505.02562771377831</v>
      </c>
      <c r="T77" s="2">
        <f>T11/'Output-Calculation-sheet'!T10*'Output-Calculation-sheet'!T64</f>
        <v>302.15330386299604</v>
      </c>
      <c r="U77" s="2">
        <f>U11/'Output-Calculation-sheet'!U10*'Output-Calculation-sheet'!U64</f>
        <v>157.27453625813305</v>
      </c>
      <c r="V77" s="2">
        <f>V11/'Output-Calculation-sheet'!V10*'Output-Calculation-sheet'!V64</f>
        <v>200.91166991122714</v>
      </c>
      <c r="W77" s="2">
        <f>W11/'Output-Calculation-sheet'!W10*'Output-Calculation-sheet'!W64</f>
        <v>20.610375380456304</v>
      </c>
      <c r="X77" s="2">
        <f>X11/'Output-Calculation-sheet'!X10*'Output-Calculation-sheet'!X64</f>
        <v>278.0324624064109</v>
      </c>
      <c r="Y77" s="2">
        <f>Y11/'Output-Calculation-sheet'!Y10*'Output-Calculation-sheet'!Y64</f>
        <v>6.4849450361606191</v>
      </c>
      <c r="AA77" s="2">
        <f t="shared" si="6"/>
        <v>20.877306324244628</v>
      </c>
    </row>
    <row r="78" spans="1:27" x14ac:dyDescent="0.25">
      <c r="A78" s="2">
        <v>2035</v>
      </c>
      <c r="B78" s="2">
        <f>B12/'Output-Calculation-sheet'!B11*'Output-Calculation-sheet'!B65</f>
        <v>4817.6310891850917</v>
      </c>
      <c r="C78" s="2">
        <f>C12/'Output-Calculation-sheet'!C11*'Output-Calculation-sheet'!C65</f>
        <v>397.61457695069714</v>
      </c>
      <c r="D78" s="2">
        <f>D12/'Output-Calculation-sheet'!D11*'Output-Calculation-sheet'!D65</f>
        <v>1243.184248233965</v>
      </c>
      <c r="E78" s="2">
        <f>E12/'Output-Calculation-sheet'!E11*'Output-Calculation-sheet'!E65</f>
        <v>973.35435438616707</v>
      </c>
      <c r="F78" s="2">
        <f>F12/'Output-Calculation-sheet'!F11*'Output-Calculation-sheet'!F65</f>
        <v>44.012709901693512</v>
      </c>
      <c r="G78" s="2">
        <f>G12/'Output-Calculation-sheet'!G11*'Output-Calculation-sheet'!G65</f>
        <v>408.85130872938925</v>
      </c>
      <c r="H78" s="2">
        <f>H12/'Output-Calculation-sheet'!H11*'Output-Calculation-sheet'!H65</f>
        <v>3525.2950369095333</v>
      </c>
      <c r="I78" s="2">
        <f>I12/'Output-Calculation-sheet'!I11*'Output-Calculation-sheet'!I65</f>
        <v>223.22755348261575</v>
      </c>
      <c r="J78" s="2">
        <f>J12/'Output-Calculation-sheet'!J11*'Output-Calculation-sheet'!J65</f>
        <v>534.1783669440249</v>
      </c>
      <c r="K78" s="2">
        <f>K12/'Output-Calculation-sheet'!K11*'Output-Calculation-sheet'!K65</f>
        <v>718.968430210875</v>
      </c>
      <c r="L78" s="2">
        <f>L12/'Output-Calculation-sheet'!L11*'Output-Calculation-sheet'!L65</f>
        <v>649.83512499658514</v>
      </c>
      <c r="M78" s="2">
        <f>M12/'Output-Calculation-sheet'!M11*'Output-Calculation-sheet'!M65</f>
        <v>2641.8012806858869</v>
      </c>
      <c r="N78" s="2">
        <f>N12/'Output-Calculation-sheet'!N11*'Output-Calculation-sheet'!N65</f>
        <v>1916.9302193065462</v>
      </c>
      <c r="O78" s="2">
        <f>O12/'Output-Calculation-sheet'!O11*'Output-Calculation-sheet'!O65</f>
        <v>193.30782916647874</v>
      </c>
      <c r="P78" s="2">
        <f>P12/'Output-Calculation-sheet'!P11*'Output-Calculation-sheet'!P65</f>
        <v>548.0978569078336</v>
      </c>
      <c r="Q78" s="2">
        <f>Q12/'Output-Calculation-sheet'!Q11*'Output-Calculation-sheet'!Q65</f>
        <v>407.46514278788158</v>
      </c>
      <c r="R78" s="2">
        <f>R12/'Output-Calculation-sheet'!R11*'Output-Calculation-sheet'!R65</f>
        <v>763.34325265926373</v>
      </c>
      <c r="S78" s="2">
        <f>S12/'Output-Calculation-sheet'!S11*'Output-Calculation-sheet'!S65</f>
        <v>558.32882133622684</v>
      </c>
      <c r="T78" s="2">
        <f>T12/'Output-Calculation-sheet'!T11*'Output-Calculation-sheet'!T65</f>
        <v>275.51592940220343</v>
      </c>
      <c r="U78" s="2">
        <f>U12/'Output-Calculation-sheet'!U11*'Output-Calculation-sheet'!U65</f>
        <v>148.43497490206775</v>
      </c>
      <c r="V78" s="2">
        <f>V12/'Output-Calculation-sheet'!V11*'Output-Calculation-sheet'!V65</f>
        <v>180.67366867040104</v>
      </c>
      <c r="W78" s="2">
        <f>W12/'Output-Calculation-sheet'!W11*'Output-Calculation-sheet'!W65</f>
        <v>22.52570782802243</v>
      </c>
      <c r="X78" s="2">
        <f>X12/'Output-Calculation-sheet'!X11*'Output-Calculation-sheet'!X65</f>
        <v>249.76091553905761</v>
      </c>
      <c r="Y78" s="2">
        <f>Y12/'Output-Calculation-sheet'!Y11*'Output-Calculation-sheet'!Y65</f>
        <v>7.9709846496172352</v>
      </c>
      <c r="AA78" s="2">
        <f t="shared" si="6"/>
        <v>21.450309383772129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12732924113.139912</v>
      </c>
      <c r="C96" s="2">
        <f>C8/'Output-Calculation-sheet'!C7*'Output-Calculation-sheet'!C79</f>
        <v>1239410850.9692042</v>
      </c>
      <c r="D96" s="2">
        <f>D8/'Output-Calculation-sheet'!D7*'Output-Calculation-sheet'!D79</f>
        <v>3263335498.055335</v>
      </c>
      <c r="E96" s="2">
        <f>E8/'Output-Calculation-sheet'!E7*'Output-Calculation-sheet'!E79</f>
        <v>11747051298.062195</v>
      </c>
      <c r="F96" s="2">
        <f>F8/'Output-Calculation-sheet'!F7*'Output-Calculation-sheet'!F79</f>
        <v>3580843831.2829556</v>
      </c>
      <c r="G96" s="2">
        <f>G8/'Output-Calculation-sheet'!G7*'Output-Calculation-sheet'!G79</f>
        <v>2215309366.291378</v>
      </c>
      <c r="H96" s="2">
        <f>H8/'Output-Calculation-sheet'!H7*'Output-Calculation-sheet'!H79</f>
        <v>1486263032.3893929</v>
      </c>
      <c r="I96" s="2">
        <f>I8/'Output-Calculation-sheet'!I7*'Output-Calculation-sheet'!I79</f>
        <v>1592183134.6393013</v>
      </c>
      <c r="J96" s="2">
        <f>J8/'Output-Calculation-sheet'!J7*'Output-Calculation-sheet'!J79</f>
        <v>1294250001.5799966</v>
      </c>
      <c r="K96" s="2">
        <f>K8/'Output-Calculation-sheet'!K7*'Output-Calculation-sheet'!K79</f>
        <v>1582951128.8261199</v>
      </c>
      <c r="L96" s="2">
        <f>L8/'Output-Calculation-sheet'!L7*'Output-Calculation-sheet'!L79</f>
        <v>1522336668.329196</v>
      </c>
      <c r="M96" s="2">
        <f>M8/'Output-Calculation-sheet'!M7*'Output-Calculation-sheet'!M79</f>
        <v>2093029827.0132713</v>
      </c>
      <c r="N96" s="2">
        <f>N8/'Output-Calculation-sheet'!N7*'Output-Calculation-sheet'!N79</f>
        <v>1312193042.1170938</v>
      </c>
      <c r="O96" s="2">
        <f>O8/'Output-Calculation-sheet'!O7*'Output-Calculation-sheet'!O79</f>
        <v>163574048.03062308</v>
      </c>
      <c r="P96" s="2">
        <f>P8/'Output-Calculation-sheet'!P7*'Output-Calculation-sheet'!P79</f>
        <v>2362493301.308145</v>
      </c>
      <c r="Q96" s="2">
        <f>Q8/'Output-Calculation-sheet'!Q7*'Output-Calculation-sheet'!Q79</f>
        <v>988650219.21070516</v>
      </c>
      <c r="R96" s="2">
        <f>R8/'Output-Calculation-sheet'!R7*'Output-Calculation-sheet'!R79</f>
        <v>1552233004.3468268</v>
      </c>
      <c r="S96" s="2">
        <f>S8/'Output-Calculation-sheet'!S7*'Output-Calculation-sheet'!S79</f>
        <v>601753671.81073129</v>
      </c>
      <c r="T96" s="2">
        <f>T8/'Output-Calculation-sheet'!T7*'Output-Calculation-sheet'!T79</f>
        <v>547687931.50212777</v>
      </c>
      <c r="U96" s="2">
        <f>U8/'Output-Calculation-sheet'!U7*'Output-Calculation-sheet'!U79</f>
        <v>353789540.19387686</v>
      </c>
      <c r="V96" s="2">
        <f>V8/'Output-Calculation-sheet'!V7*'Output-Calculation-sheet'!V79</f>
        <v>210556057.63777983</v>
      </c>
      <c r="W96" s="2">
        <f>W8/'Output-Calculation-sheet'!W7*'Output-Calculation-sheet'!W79</f>
        <v>580541018.04502845</v>
      </c>
      <c r="X96" s="2">
        <f>X8/'Output-Calculation-sheet'!X7*'Output-Calculation-sheet'!X79</f>
        <v>161317835.26426113</v>
      </c>
      <c r="Y96" s="2">
        <f>Y8/'Output-Calculation-sheet'!Y7*'Output-Calculation-sheet'!Y79</f>
        <v>309887153.69747937</v>
      </c>
      <c r="AA96" s="2">
        <f t="shared" si="8"/>
        <v>53.494565573742925</v>
      </c>
    </row>
    <row r="97" spans="1:27" x14ac:dyDescent="0.25">
      <c r="A97" s="2">
        <v>2032</v>
      </c>
      <c r="B97" s="2">
        <f>B9/'Output-Calculation-sheet'!B8*'Output-Calculation-sheet'!B80</f>
        <v>12697829501.550726</v>
      </c>
      <c r="C97" s="2">
        <f>C9/'Output-Calculation-sheet'!C8*'Output-Calculation-sheet'!C80</f>
        <v>1208969007.4983037</v>
      </c>
      <c r="D97" s="2">
        <f>D9/'Output-Calculation-sheet'!D8*'Output-Calculation-sheet'!D80</f>
        <v>2956721707.9159131</v>
      </c>
      <c r="E97" s="2">
        <f>E9/'Output-Calculation-sheet'!E8*'Output-Calculation-sheet'!E80</f>
        <v>11949993656.574436</v>
      </c>
      <c r="F97" s="2">
        <f>F9/'Output-Calculation-sheet'!F8*'Output-Calculation-sheet'!F80</f>
        <v>3419477098.5934134</v>
      </c>
      <c r="G97" s="2">
        <f>G9/'Output-Calculation-sheet'!G8*'Output-Calculation-sheet'!G80</f>
        <v>2024636490.3771603</v>
      </c>
      <c r="H97" s="2">
        <f>H9/'Output-Calculation-sheet'!H8*'Output-Calculation-sheet'!H80</f>
        <v>1815236658.8254781</v>
      </c>
      <c r="I97" s="2">
        <f>I9/'Output-Calculation-sheet'!I8*'Output-Calculation-sheet'!I80</f>
        <v>1524358115.7543695</v>
      </c>
      <c r="J97" s="2">
        <f>J9/'Output-Calculation-sheet'!J8*'Output-Calculation-sheet'!J80</f>
        <v>1221590832.9964743</v>
      </c>
      <c r="K97" s="2">
        <f>K9/'Output-Calculation-sheet'!K8*'Output-Calculation-sheet'!K80</f>
        <v>1467717425.6029205</v>
      </c>
      <c r="L97" s="2">
        <f>L9/'Output-Calculation-sheet'!L8*'Output-Calculation-sheet'!L80</f>
        <v>1504092029.7679026</v>
      </c>
      <c r="M97" s="2">
        <f>M9/'Output-Calculation-sheet'!M8*'Output-Calculation-sheet'!M80</f>
        <v>2084004670.8321886</v>
      </c>
      <c r="N97" s="2">
        <f>N9/'Output-Calculation-sheet'!N8*'Output-Calculation-sheet'!N80</f>
        <v>1310022294.0259285</v>
      </c>
      <c r="O97" s="2">
        <f>O9/'Output-Calculation-sheet'!O8*'Output-Calculation-sheet'!O80</f>
        <v>157448680.89984083</v>
      </c>
      <c r="P97" s="2">
        <f>P9/'Output-Calculation-sheet'!P8*'Output-Calculation-sheet'!P80</f>
        <v>2257260290.8748074</v>
      </c>
      <c r="Q97" s="2">
        <f>Q9/'Output-Calculation-sheet'!Q8*'Output-Calculation-sheet'!Q80</f>
        <v>959517587.5265559</v>
      </c>
      <c r="R97" s="2">
        <f>R9/'Output-Calculation-sheet'!R8*'Output-Calculation-sheet'!R80</f>
        <v>1512862603.6131904</v>
      </c>
      <c r="S97" s="2">
        <f>S9/'Output-Calculation-sheet'!S8*'Output-Calculation-sheet'!S80</f>
        <v>600491570.95390308</v>
      </c>
      <c r="T97" s="2">
        <f>T9/'Output-Calculation-sheet'!T8*'Output-Calculation-sheet'!T80</f>
        <v>507417475.90076798</v>
      </c>
      <c r="U97" s="2">
        <f>U9/'Output-Calculation-sheet'!U8*'Output-Calculation-sheet'!U80</f>
        <v>333737698.255283</v>
      </c>
      <c r="V97" s="2">
        <f>V9/'Output-Calculation-sheet'!V8*'Output-Calculation-sheet'!V80</f>
        <v>197718793.22420236</v>
      </c>
      <c r="W97" s="2">
        <f>W9/'Output-Calculation-sheet'!W8*'Output-Calculation-sheet'!W80</f>
        <v>549163183.70416117</v>
      </c>
      <c r="X97" s="2">
        <f>X9/'Output-Calculation-sheet'!X8*'Output-Calculation-sheet'!X80</f>
        <v>217828021.07330945</v>
      </c>
      <c r="Y97" s="2">
        <f>Y9/'Output-Calculation-sheet'!Y8*'Output-Calculation-sheet'!Y80</f>
        <v>299897917.14499879</v>
      </c>
      <c r="AA97" s="2">
        <f t="shared" si="8"/>
        <v>52.777993313486249</v>
      </c>
    </row>
    <row r="98" spans="1:27" x14ac:dyDescent="0.25">
      <c r="A98" s="2">
        <v>2033</v>
      </c>
      <c r="B98" s="2">
        <f>B10/'Output-Calculation-sheet'!B9*'Output-Calculation-sheet'!B81</f>
        <v>11725316376.487082</v>
      </c>
      <c r="C98" s="2">
        <f>C10/'Output-Calculation-sheet'!C9*'Output-Calculation-sheet'!C81</f>
        <v>1093953727.7235715</v>
      </c>
      <c r="D98" s="2">
        <f>D10/'Output-Calculation-sheet'!D9*'Output-Calculation-sheet'!D81</f>
        <v>2480106363.4845457</v>
      </c>
      <c r="E98" s="2">
        <f>E10/'Output-Calculation-sheet'!E9*'Output-Calculation-sheet'!E81</f>
        <v>11252692887.606102</v>
      </c>
      <c r="F98" s="2">
        <f>F10/'Output-Calculation-sheet'!F9*'Output-Calculation-sheet'!F81</f>
        <v>3014306536.391439</v>
      </c>
      <c r="G98" s="2">
        <f>G10/'Output-Calculation-sheet'!G9*'Output-Calculation-sheet'!G81</f>
        <v>1706830286.770957</v>
      </c>
      <c r="H98" s="2">
        <f>H10/'Output-Calculation-sheet'!H9*'Output-Calculation-sheet'!H81</f>
        <v>2215424675.7491584</v>
      </c>
      <c r="I98" s="2">
        <f>I10/'Output-Calculation-sheet'!I9*'Output-Calculation-sheet'!I81</f>
        <v>1350210902.230516</v>
      </c>
      <c r="J98" s="2">
        <f>J10/'Output-Calculation-sheet'!J9*'Output-Calculation-sheet'!J81</f>
        <v>1067629012.0242144</v>
      </c>
      <c r="K98" s="2">
        <f>K10/'Output-Calculation-sheet'!K9*'Output-Calculation-sheet'!K81</f>
        <v>1266468846.2590146</v>
      </c>
      <c r="L98" s="2">
        <f>L10/'Output-Calculation-sheet'!L9*'Output-Calculation-sheet'!L81</f>
        <v>1371139460.3587341</v>
      </c>
      <c r="M98" s="2">
        <f>M10/'Output-Calculation-sheet'!M9*'Output-Calculation-sheet'!M81</f>
        <v>1919442685.1250298</v>
      </c>
      <c r="N98" s="2">
        <f>N10/'Output-Calculation-sheet'!N9*'Output-Calculation-sheet'!N81</f>
        <v>1181194669.9741726</v>
      </c>
      <c r="O98" s="2">
        <f>O10/'Output-Calculation-sheet'!O9*'Output-Calculation-sheet'!O81</f>
        <v>140679561.63703942</v>
      </c>
      <c r="P98" s="2">
        <f>P10/'Output-Calculation-sheet'!P9*'Output-Calculation-sheet'!P81</f>
        <v>1979400669.5595648</v>
      </c>
      <c r="Q98" s="2">
        <f>Q10/'Output-Calculation-sheet'!Q9*'Output-Calculation-sheet'!Q81</f>
        <v>865375488.4465605</v>
      </c>
      <c r="R98" s="2">
        <f>R10/'Output-Calculation-sheet'!R9*'Output-Calculation-sheet'!R81</f>
        <v>1354896737.9495757</v>
      </c>
      <c r="S98" s="2">
        <f>S10/'Output-Calculation-sheet'!S9*'Output-Calculation-sheet'!S81</f>
        <v>557014963.39925241</v>
      </c>
      <c r="T98" s="2">
        <f>T10/'Output-Calculation-sheet'!T9*'Output-Calculation-sheet'!T81</f>
        <v>434918067.32206732</v>
      </c>
      <c r="U98" s="2">
        <f>U10/'Output-Calculation-sheet'!U9*'Output-Calculation-sheet'!U81</f>
        <v>289131918.37883055</v>
      </c>
      <c r="V98" s="2">
        <f>V10/'Output-Calculation-sheet'!V9*'Output-Calculation-sheet'!V81</f>
        <v>171153815.1197308</v>
      </c>
      <c r="W98" s="2">
        <f>W10/'Output-Calculation-sheet'!W9*'Output-Calculation-sheet'!W81</f>
        <v>475721232.67415762</v>
      </c>
      <c r="X98" s="2">
        <f>X10/'Output-Calculation-sheet'!X9*'Output-Calculation-sheet'!X81</f>
        <v>206815360.621503</v>
      </c>
      <c r="Y98" s="2">
        <f>Y10/'Output-Calculation-sheet'!Y9*'Output-Calculation-sheet'!Y81</f>
        <v>267717655.30404654</v>
      </c>
      <c r="AA98" s="2">
        <f t="shared" si="8"/>
        <v>48.387541900596872</v>
      </c>
    </row>
    <row r="99" spans="1:27" x14ac:dyDescent="0.25">
      <c r="A99" s="2">
        <v>2034</v>
      </c>
      <c r="B99" s="2">
        <f>B11/'Output-Calculation-sheet'!B10*'Output-Calculation-sheet'!B82</f>
        <v>10289552256.886175</v>
      </c>
      <c r="C99" s="2">
        <f>C11/'Output-Calculation-sheet'!C10*'Output-Calculation-sheet'!C82</f>
        <v>925120655.77147579</v>
      </c>
      <c r="D99" s="2">
        <f>D11/'Output-Calculation-sheet'!D10*'Output-Calculation-sheet'!D82</f>
        <v>1942862546.3664336</v>
      </c>
      <c r="E99" s="2">
        <f>E11/'Output-Calculation-sheet'!E10*'Output-Calculation-sheet'!E82</f>
        <v>9861267283.9463921</v>
      </c>
      <c r="F99" s="2">
        <f>F11/'Output-Calculation-sheet'!F10*'Output-Calculation-sheet'!F82</f>
        <v>2477902557.2707996</v>
      </c>
      <c r="G99" s="2">
        <f>G11/'Output-Calculation-sheet'!G10*'Output-Calculation-sheet'!G82</f>
        <v>1340196932.0107775</v>
      </c>
      <c r="H99" s="2">
        <f>H11/'Output-Calculation-sheet'!H10*'Output-Calculation-sheet'!H82</f>
        <v>1869049546.7460785</v>
      </c>
      <c r="I99" s="2">
        <f>I11/'Output-Calculation-sheet'!I10*'Output-Calculation-sheet'!I82</f>
        <v>1118431504.1513119</v>
      </c>
      <c r="J99" s="2">
        <f>J11/'Output-Calculation-sheet'!J10*'Output-Calculation-sheet'!J82</f>
        <v>872310067.5962131</v>
      </c>
      <c r="K99" s="2">
        <f>K11/'Output-Calculation-sheet'!K10*'Output-Calculation-sheet'!K82</f>
        <v>1015889759.6480219</v>
      </c>
      <c r="L99" s="2">
        <f>L11/'Output-Calculation-sheet'!L10*'Output-Calculation-sheet'!L82</f>
        <v>1168302805.8279436</v>
      </c>
      <c r="M99" s="2">
        <f>M11/'Output-Calculation-sheet'!M10*'Output-Calculation-sheet'!M82</f>
        <v>1657183772.642405</v>
      </c>
      <c r="N99" s="2">
        <f>N11/'Output-Calculation-sheet'!N10*'Output-Calculation-sheet'!N82</f>
        <v>991911550.63415539</v>
      </c>
      <c r="O99" s="2">
        <f>O11/'Output-Calculation-sheet'!O10*'Output-Calculation-sheet'!O82</f>
        <v>117498463.76422343</v>
      </c>
      <c r="P99" s="2">
        <f>P11/'Output-Calculation-sheet'!P10*'Output-Calculation-sheet'!P82</f>
        <v>1603750784.1393523</v>
      </c>
      <c r="Q99" s="2">
        <f>Q11/'Output-Calculation-sheet'!Q10*'Output-Calculation-sheet'!Q82</f>
        <v>731417295.21212387</v>
      </c>
      <c r="R99" s="2">
        <f>R11/'Output-Calculation-sheet'!R10*'Output-Calculation-sheet'!R82</f>
        <v>1130746058.215126</v>
      </c>
      <c r="S99" s="2">
        <f>S11/'Output-Calculation-sheet'!S10*'Output-Calculation-sheet'!S82</f>
        <v>486897040.65711874</v>
      </c>
      <c r="T99" s="2">
        <f>T11/'Output-Calculation-sheet'!T10*'Output-Calculation-sheet'!T82</f>
        <v>346711243.09635293</v>
      </c>
      <c r="U99" s="2">
        <f>U11/'Output-Calculation-sheet'!U10*'Output-Calculation-sheet'!U82</f>
        <v>233754817.34943396</v>
      </c>
      <c r="V99" s="2">
        <f>V11/'Output-Calculation-sheet'!V10*'Output-Calculation-sheet'!V82</f>
        <v>138435687.63660049</v>
      </c>
      <c r="W99" s="2">
        <f>W11/'Output-Calculation-sheet'!W10*'Output-Calculation-sheet'!W82</f>
        <v>383416846.90971565</v>
      </c>
      <c r="X99" s="2">
        <f>X11/'Output-Calculation-sheet'!X10*'Output-Calculation-sheet'!X82</f>
        <v>183842761.88406679</v>
      </c>
      <c r="Y99" s="2">
        <f>Y11/'Output-Calculation-sheet'!Y10*'Output-Calculation-sheet'!Y82</f>
        <v>221809334.40914583</v>
      </c>
      <c r="AA99" s="2">
        <f t="shared" si="8"/>
        <v>41.10826157277144</v>
      </c>
    </row>
    <row r="100" spans="1:27" x14ac:dyDescent="0.25">
      <c r="A100" s="2">
        <v>2035</v>
      </c>
      <c r="B100" s="2">
        <f>B12/'Output-Calculation-sheet'!B11*'Output-Calculation-sheet'!B83</f>
        <v>8436878350.6438923</v>
      </c>
      <c r="C100" s="2">
        <f>C12/'Output-Calculation-sheet'!C11*'Output-Calculation-sheet'!C83</f>
        <v>758802426.07743955</v>
      </c>
      <c r="D100" s="2">
        <f>D12/'Output-Calculation-sheet'!D11*'Output-Calculation-sheet'!D83</f>
        <v>1433837080.8271077</v>
      </c>
      <c r="E100" s="2">
        <f>E12/'Output-Calculation-sheet'!E11*'Output-Calculation-sheet'!E83</f>
        <v>8116836728.4300604</v>
      </c>
      <c r="F100" s="2">
        <f>F12/'Output-Calculation-sheet'!F11*'Output-Calculation-sheet'!F83</f>
        <v>1911511238.0330095</v>
      </c>
      <c r="G100" s="2">
        <f>G12/'Output-Calculation-sheet'!G11*'Output-Calculation-sheet'!G83</f>
        <v>986607212.63757586</v>
      </c>
      <c r="H100" s="2">
        <f>H12/'Output-Calculation-sheet'!H11*'Output-Calculation-sheet'!H83</f>
        <v>1472818945.2007987</v>
      </c>
      <c r="I100" s="2">
        <f>I12/'Output-Calculation-sheet'!I11*'Output-Calculation-sheet'!I83</f>
        <v>869010259.62007356</v>
      </c>
      <c r="J100" s="2">
        <f>J12/'Output-Calculation-sheet'!J11*'Output-Calculation-sheet'!J83</f>
        <v>669560691.9094764</v>
      </c>
      <c r="K100" s="2">
        <f>K12/'Output-Calculation-sheet'!K11*'Output-Calculation-sheet'!K83</f>
        <v>764030171.03258371</v>
      </c>
      <c r="L100" s="2">
        <f>L12/'Output-Calculation-sheet'!L11*'Output-Calculation-sheet'!L83</f>
        <v>935613480.56332517</v>
      </c>
      <c r="M100" s="2">
        <f>M12/'Output-Calculation-sheet'!M11*'Output-Calculation-sheet'!M83</f>
        <v>1340667881.5450644</v>
      </c>
      <c r="N100" s="2">
        <f>N12/'Output-Calculation-sheet'!N11*'Output-Calculation-sheet'!N83</f>
        <v>783823581.40735006</v>
      </c>
      <c r="O100" s="2">
        <f>O12/'Output-Calculation-sheet'!O11*'Output-Calculation-sheet'!O83</f>
        <v>100719093.23561272</v>
      </c>
      <c r="P100" s="2">
        <f>P12/'Output-Calculation-sheet'!P11*'Output-Calculation-sheet'!P83</f>
        <v>1203701904.1944497</v>
      </c>
      <c r="Q100" s="2">
        <f>Q12/'Output-Calculation-sheet'!Q11*'Output-Calculation-sheet'!Q83</f>
        <v>581987851.65818477</v>
      </c>
      <c r="R100" s="2">
        <f>R12/'Output-Calculation-sheet'!R11*'Output-Calculation-sheet'!R83</f>
        <v>884363842.78192711</v>
      </c>
      <c r="S100" s="2">
        <f>S12/'Output-Calculation-sheet'!S11*'Output-Calculation-sheet'!S83</f>
        <v>396102380.9728151</v>
      </c>
      <c r="T100" s="2">
        <f>T12/'Output-Calculation-sheet'!T11*'Output-Calculation-sheet'!T83</f>
        <v>259413276.88435841</v>
      </c>
      <c r="U100" s="2">
        <f>U12/'Output-Calculation-sheet'!U11*'Output-Calculation-sheet'!U83</f>
        <v>176563663.2060031</v>
      </c>
      <c r="V100" s="2">
        <f>V12/'Output-Calculation-sheet'!V11*'Output-Calculation-sheet'!V83</f>
        <v>104957183.18237366</v>
      </c>
      <c r="W100" s="2">
        <f>W12/'Output-Calculation-sheet'!W11*'Output-Calculation-sheet'!W83</f>
        <v>288105349.58809984</v>
      </c>
      <c r="X100" s="2">
        <f>X12/'Output-Calculation-sheet'!X11*'Output-Calculation-sheet'!X83</f>
        <v>153690963.87727559</v>
      </c>
      <c r="Y100" s="2">
        <f>Y12/'Output-Calculation-sheet'!Y11*'Output-Calculation-sheet'!Y83</f>
        <v>172047274.14001873</v>
      </c>
      <c r="AA100" s="2">
        <f t="shared" si="8"/>
        <v>32.801650831648871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00"/>
  <sheetViews>
    <sheetView workbookViewId="0">
      <selection activeCell="B7" sqref="B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 t="shared" ref="AA16:AA23" si="0"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si="0"/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6319.6421363672325</v>
      </c>
      <c r="C19" s="2">
        <f>C8/'Output-Calculation-sheet'!C7*'Output-Calculation-sheet'!C25</f>
        <v>9544.8357866390743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5122.6067459256092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1041.3996906573013</v>
      </c>
      <c r="M19" s="2">
        <f>M8/'Output-Calculation-sheet'!M7*'Output-Calculation-sheet'!M25</f>
        <v>6756.4361477186667</v>
      </c>
      <c r="N19" s="2">
        <f>N8/'Output-Calculation-sheet'!N7*'Output-Calculation-sheet'!N25</f>
        <v>3449.4021882685456</v>
      </c>
      <c r="O19" s="2">
        <f>O8/'Output-Calculation-sheet'!O7*'Output-Calculation-sheet'!O25</f>
        <v>1864.4496361497161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659.55361078631915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469.81429103118262</v>
      </c>
      <c r="Y19" s="2">
        <f>Y8/'Output-Calculation-sheet'!Y7*'Output-Calculation-sheet'!Y25</f>
        <v>0</v>
      </c>
      <c r="AA19" s="2">
        <f t="shared" si="0"/>
        <v>35.228140233543648</v>
      </c>
    </row>
    <row r="20" spans="1:27" x14ac:dyDescent="0.25">
      <c r="A20" s="2">
        <v>2032</v>
      </c>
      <c r="B20" s="2">
        <f>B9/'Output-Calculation-sheet'!B8*'Output-Calculation-sheet'!B26</f>
        <v>8626.6764139806583</v>
      </c>
      <c r="C20" s="2">
        <f>C9/'Output-Calculation-sheet'!C8*'Output-Calculation-sheet'!C26</f>
        <v>10686.16927897427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7038.0871304519196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1222.9730473619411</v>
      </c>
      <c r="M20" s="2">
        <f>M9/'Output-Calculation-sheet'!M8*'Output-Calculation-sheet'!M26</f>
        <v>7442.5323293151187</v>
      </c>
      <c r="N20" s="2">
        <f>N9/'Output-Calculation-sheet'!N8*'Output-Calculation-sheet'!N26</f>
        <v>4191.7678359614265</v>
      </c>
      <c r="O20" s="2">
        <f>O9/'Output-Calculation-sheet'!O8*'Output-Calculation-sheet'!O26</f>
        <v>2085.543015413316</v>
      </c>
      <c r="P20" s="2">
        <f>P9/'Output-Calculation-sheet'!P8*'Output-Calculation-sheet'!P26</f>
        <v>0</v>
      </c>
      <c r="Q20" s="2">
        <f>Q9/'Output-Calculation-sheet'!Q8*'Output-Calculation-sheet'!Q26</f>
        <v>126.04523783540449</v>
      </c>
      <c r="R20" s="2">
        <f>R9/'Output-Calculation-sheet'!R8*'Output-Calculation-sheet'!R26</f>
        <v>0</v>
      </c>
      <c r="S20" s="2">
        <f>S9/'Output-Calculation-sheet'!S8*'Output-Calculation-sheet'!S26</f>
        <v>889.9841026130681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688.10476124497882</v>
      </c>
      <c r="Y20" s="2">
        <f>Y9/'Output-Calculation-sheet'!Y8*'Output-Calculation-sheet'!Y26</f>
        <v>0</v>
      </c>
      <c r="AA20" s="2">
        <f t="shared" si="0"/>
        <v>42.997883153152102</v>
      </c>
    </row>
    <row r="21" spans="1:27" x14ac:dyDescent="0.25">
      <c r="A21" s="2">
        <v>2033</v>
      </c>
      <c r="B21" s="2">
        <f>B10/'Output-Calculation-sheet'!B9*'Output-Calculation-sheet'!B27</f>
        <v>11248.260891537548</v>
      </c>
      <c r="C21" s="2">
        <f>C10/'Output-Calculation-sheet'!C9*'Output-Calculation-sheet'!C27</f>
        <v>11289.266598776547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9897.2171042110876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1374.0041955970298</v>
      </c>
      <c r="M21" s="2">
        <f>M10/'Output-Calculation-sheet'!M9*'Output-Calculation-sheet'!M27</f>
        <v>7703.3545319640371</v>
      </c>
      <c r="N21" s="2">
        <f>N10/'Output-Calculation-sheet'!N9*'Output-Calculation-sheet'!N27</f>
        <v>4489.7668650902478</v>
      </c>
      <c r="O21" s="2">
        <f>O10/'Output-Calculation-sheet'!O9*'Output-Calculation-sheet'!O27</f>
        <v>2196.5144066565276</v>
      </c>
      <c r="P21" s="2">
        <f>P10/'Output-Calculation-sheet'!P9*'Output-Calculation-sheet'!P27</f>
        <v>0</v>
      </c>
      <c r="Q21" s="2">
        <f>Q10/'Output-Calculation-sheet'!Q9*'Output-Calculation-sheet'!Q27</f>
        <v>334.56070046357917</v>
      </c>
      <c r="R21" s="2">
        <f>R10/'Output-Calculation-sheet'!R9*'Output-Calculation-sheet'!R27</f>
        <v>0</v>
      </c>
      <c r="S21" s="2">
        <f>S10/'Output-Calculation-sheet'!S9*'Output-Calculation-sheet'!S27</f>
        <v>1140.4835325809288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718.77559996446234</v>
      </c>
      <c r="Y21" s="2">
        <f>Y10/'Output-Calculation-sheet'!Y9*'Output-Calculation-sheet'!Y27</f>
        <v>0</v>
      </c>
      <c r="AA21" s="2">
        <f t="shared" si="0"/>
        <v>50.392204426842</v>
      </c>
    </row>
    <row r="22" spans="1:27" x14ac:dyDescent="0.25">
      <c r="A22" s="2">
        <v>2034</v>
      </c>
      <c r="B22" s="2">
        <f>B11/'Output-Calculation-sheet'!B10*'Output-Calculation-sheet'!B28</f>
        <v>13904.033153202327</v>
      </c>
      <c r="C22" s="2">
        <f>C11/'Output-Calculation-sheet'!C10*'Output-Calculation-sheet'!C28</f>
        <v>11338.128463696901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9852.5149418015008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1451.5994872549618</v>
      </c>
      <c r="M22" s="2">
        <f>M11/'Output-Calculation-sheet'!M10*'Output-Calculation-sheet'!M28</f>
        <v>7655.9054935409386</v>
      </c>
      <c r="N22" s="2">
        <f>N11/'Output-Calculation-sheet'!N10*'Output-Calculation-sheet'!N28</f>
        <v>4592.0971486586095</v>
      </c>
      <c r="O22" s="2">
        <f>O11/'Output-Calculation-sheet'!O10*'Output-Calculation-sheet'!O28</f>
        <v>2192.7428464310074</v>
      </c>
      <c r="P22" s="2">
        <f>P11/'Output-Calculation-sheet'!P10*'Output-Calculation-sheet'!P28</f>
        <v>0</v>
      </c>
      <c r="Q22" s="2">
        <f>Q11/'Output-Calculation-sheet'!Q10*'Output-Calculation-sheet'!Q28</f>
        <v>629.47441600564173</v>
      </c>
      <c r="R22" s="2">
        <f>R11/'Output-Calculation-sheet'!R10*'Output-Calculation-sheet'!R28</f>
        <v>0</v>
      </c>
      <c r="S22" s="2">
        <f>S11/'Output-Calculation-sheet'!S10*'Output-Calculation-sheet'!S28</f>
        <v>1345.2894946907018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715.95294929464353</v>
      </c>
      <c r="Y22" s="2">
        <f>Y11/'Output-Calculation-sheet'!Y10*'Output-Calculation-sheet'!Y28</f>
        <v>0</v>
      </c>
      <c r="AA22" s="2">
        <f t="shared" si="0"/>
        <v>53.677738394577233</v>
      </c>
    </row>
    <row r="23" spans="1:27" x14ac:dyDescent="0.25">
      <c r="A23" s="2">
        <v>2035</v>
      </c>
      <c r="B23" s="2">
        <f>B12/'Output-Calculation-sheet'!B11*'Output-Calculation-sheet'!B29</f>
        <v>15925.895060842697</v>
      </c>
      <c r="C23" s="2">
        <f>C12/'Output-Calculation-sheet'!C11*'Output-Calculation-sheet'!C29</f>
        <v>11164.465239036221</v>
      </c>
      <c r="D23" s="2">
        <f>D12/'Output-Calculation-sheet'!D11*'Output-Calculation-sheet'!D29</f>
        <v>0</v>
      </c>
      <c r="E23" s="2">
        <f>E12/'Output-Calculation-sheet'!E11*'Output-Calculation-sheet'!E29</f>
        <v>145.94745479921008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9323.0195273123609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1469.6718954829259</v>
      </c>
      <c r="M23" s="2">
        <f>M12/'Output-Calculation-sheet'!M11*'Output-Calculation-sheet'!M29</f>
        <v>7250.7622822246194</v>
      </c>
      <c r="N23" s="2">
        <f>N12/'Output-Calculation-sheet'!N11*'Output-Calculation-sheet'!N29</f>
        <v>4450.7543884524512</v>
      </c>
      <c r="O23" s="2">
        <f>O12/'Output-Calculation-sheet'!O11*'Output-Calculation-sheet'!O29</f>
        <v>2264.1640326998595</v>
      </c>
      <c r="P23" s="2">
        <f>P12/'Output-Calculation-sheet'!P11*'Output-Calculation-sheet'!P29</f>
        <v>0</v>
      </c>
      <c r="Q23" s="2">
        <f>Q12/'Output-Calculation-sheet'!Q11*'Output-Calculation-sheet'!Q29</f>
        <v>875.19482121466035</v>
      </c>
      <c r="R23" s="2">
        <f>R12/'Output-Calculation-sheet'!R11*'Output-Calculation-sheet'!R29</f>
        <v>0</v>
      </c>
      <c r="S23" s="2">
        <f>S12/'Output-Calculation-sheet'!S11*'Output-Calculation-sheet'!S29</f>
        <v>1483.2915984431793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685.3984163350251</v>
      </c>
      <c r="Y23" s="2">
        <f>Y12/'Output-Calculation-sheet'!Y11*'Output-Calculation-sheet'!Y29</f>
        <v>0</v>
      </c>
      <c r="AA23" s="2">
        <f t="shared" si="0"/>
        <v>55.038564716843211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 t="shared" ref="AA27:AA34" si="1"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si="1"/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30241.408571007996</v>
      </c>
      <c r="C30" s="2">
        <f>C8/'Output-Calculation-sheet'!C7*'Output-Calculation-sheet'!C16</f>
        <v>0</v>
      </c>
      <c r="D30" s="2">
        <f>D8/'Output-Calculation-sheet'!D7*'Output-Calculation-sheet'!D16</f>
        <v>8265.6847832435815</v>
      </c>
      <c r="E30" s="2">
        <f>E8/'Output-Calculation-sheet'!E7*'Output-Calculation-sheet'!E16</f>
        <v>10092.998737133212</v>
      </c>
      <c r="F30" s="2">
        <f>F8/'Output-Calculation-sheet'!F7*'Output-Calculation-sheet'!F16</f>
        <v>4539.5415826106764</v>
      </c>
      <c r="G30" s="2">
        <f>G8/'Output-Calculation-sheet'!G7*'Output-Calculation-sheet'!G16</f>
        <v>2614.0270004395197</v>
      </c>
      <c r="H30" s="2">
        <f>H8/'Output-Calculation-sheet'!H7*'Output-Calculation-sheet'!H16</f>
        <v>0</v>
      </c>
      <c r="I30" s="2">
        <f>I8/'Output-Calculation-sheet'!I7*'Output-Calculation-sheet'!I16</f>
        <v>2773.712210831934</v>
      </c>
      <c r="J30" s="2">
        <f>J8/'Output-Calculation-sheet'!J7*'Output-Calculation-sheet'!J16</f>
        <v>2820.8619017302603</v>
      </c>
      <c r="K30" s="2">
        <f>K8/'Output-Calculation-sheet'!K7*'Output-Calculation-sheet'!K16</f>
        <v>3675.5603494841052</v>
      </c>
      <c r="L30" s="2">
        <f>L8/'Output-Calculation-sheet'!L7*'Output-Calculation-sheet'!L16</f>
        <v>3339.9590677372512</v>
      </c>
      <c r="M30" s="2">
        <f>M8/'Output-Calculation-sheet'!M7*'Output-Calculation-sheet'!M16</f>
        <v>0</v>
      </c>
      <c r="N30" s="2">
        <f>N8/'Output-Calculation-sheet'!N7*'Output-Calculation-sheet'!N16</f>
        <v>1972.0426737383705</v>
      </c>
      <c r="O30" s="2">
        <f>O8/'Output-Calculation-sheet'!O7*'Output-Calculation-sheet'!O16</f>
        <v>0</v>
      </c>
      <c r="P30" s="2">
        <f>P8/'Output-Calculation-sheet'!P7*'Output-Calculation-sheet'!P16</f>
        <v>2967.9972573143245</v>
      </c>
      <c r="Q30" s="2">
        <f>Q8/'Output-Calculation-sheet'!Q7*'Output-Calculation-sheet'!Q16</f>
        <v>3310.1179244338232</v>
      </c>
      <c r="R30" s="2">
        <f>R8/'Output-Calculation-sheet'!R7*'Output-Calculation-sheet'!R16</f>
        <v>2700.3554781288813</v>
      </c>
      <c r="S30" s="2">
        <f>S8/'Output-Calculation-sheet'!S7*'Output-Calculation-sheet'!S16</f>
        <v>1453.5560469065949</v>
      </c>
      <c r="T30" s="2">
        <f>T8/'Output-Calculation-sheet'!T7*'Output-Calculation-sheet'!T16</f>
        <v>856.36159278864886</v>
      </c>
      <c r="U30" s="2">
        <f>U8/'Output-Calculation-sheet'!U7*'Output-Calculation-sheet'!U16</f>
        <v>685.50197211780176</v>
      </c>
      <c r="V30" s="2">
        <f>V8/'Output-Calculation-sheet'!V7*'Output-Calculation-sheet'!V16</f>
        <v>807.14266784882682</v>
      </c>
      <c r="W30" s="2">
        <f>W8/'Output-Calculation-sheet'!W7*'Output-Calculation-sheet'!W16</f>
        <v>372.46499504565753</v>
      </c>
      <c r="X30" s="2">
        <f>X8/'Output-Calculation-sheet'!X7*'Output-Calculation-sheet'!X16</f>
        <v>0</v>
      </c>
      <c r="Y30" s="2">
        <f>Y8/'Output-Calculation-sheet'!Y7*'Output-Calculation-sheet'!Y16</f>
        <v>286.41880674250262</v>
      </c>
      <c r="AA30" s="2">
        <f t="shared" si="1"/>
        <v>83.775713619283948</v>
      </c>
    </row>
    <row r="31" spans="1:27" x14ac:dyDescent="0.25">
      <c r="A31" s="2">
        <v>2032</v>
      </c>
      <c r="B31" s="2">
        <f>B9/'Output-Calculation-sheet'!B8*'Output-Calculation-sheet'!B17</f>
        <v>32338.875929324666</v>
      </c>
      <c r="C31" s="2">
        <f>C9/'Output-Calculation-sheet'!C8*'Output-Calculation-sheet'!C17</f>
        <v>0</v>
      </c>
      <c r="D31" s="2">
        <f>D9/'Output-Calculation-sheet'!D8*'Output-Calculation-sheet'!D17</f>
        <v>8995.893083269515</v>
      </c>
      <c r="E31" s="2">
        <f>E9/'Output-Calculation-sheet'!E8*'Output-Calculation-sheet'!E17</f>
        <v>11036.481159337352</v>
      </c>
      <c r="F31" s="2">
        <f>F9/'Output-Calculation-sheet'!F8*'Output-Calculation-sheet'!F17</f>
        <v>4970.8194686799952</v>
      </c>
      <c r="G31" s="2">
        <f>G9/'Output-Calculation-sheet'!G8*'Output-Calculation-sheet'!G17</f>
        <v>2861.0626034404372</v>
      </c>
      <c r="H31" s="2">
        <f>H9/'Output-Calculation-sheet'!H8*'Output-Calculation-sheet'!H17</f>
        <v>0</v>
      </c>
      <c r="I31" s="2">
        <f>I9/'Output-Calculation-sheet'!I8*'Output-Calculation-sheet'!I17</f>
        <v>3033.0754441551944</v>
      </c>
      <c r="J31" s="2">
        <f>J9/'Output-Calculation-sheet'!J8*'Output-Calculation-sheet'!J17</f>
        <v>3077.3170180863376</v>
      </c>
      <c r="K31" s="2">
        <f>K9/'Output-Calculation-sheet'!K8*'Output-Calculation-sheet'!K17</f>
        <v>4002.3176889542492</v>
      </c>
      <c r="L31" s="2">
        <f>L9/'Output-Calculation-sheet'!L8*'Output-Calculation-sheet'!L17</f>
        <v>3620.5630033380485</v>
      </c>
      <c r="M31" s="2">
        <f>M9/'Output-Calculation-sheet'!M8*'Output-Calculation-sheet'!M17</f>
        <v>0</v>
      </c>
      <c r="N31" s="2">
        <f>N9/'Output-Calculation-sheet'!N8*'Output-Calculation-sheet'!N17</f>
        <v>2021.6272516845067</v>
      </c>
      <c r="O31" s="2">
        <f>O9/'Output-Calculation-sheet'!O8*'Output-Calculation-sheet'!O17</f>
        <v>0</v>
      </c>
      <c r="P31" s="2">
        <f>P9/'Output-Calculation-sheet'!P8*'Output-Calculation-sheet'!P17</f>
        <v>3284.7279862457112</v>
      </c>
      <c r="Q31" s="2">
        <f>Q9/'Output-Calculation-sheet'!Q8*'Output-Calculation-sheet'!Q17</f>
        <v>3569.8884707517104</v>
      </c>
      <c r="R31" s="2">
        <f>R9/'Output-Calculation-sheet'!R8*'Output-Calculation-sheet'!R17</f>
        <v>2963.5267148555886</v>
      </c>
      <c r="S31" s="2">
        <f>S9/'Output-Calculation-sheet'!S8*'Output-Calculation-sheet'!S17</f>
        <v>1539.5626975888583</v>
      </c>
      <c r="T31" s="2">
        <f>T9/'Output-Calculation-sheet'!T8*'Output-Calculation-sheet'!T17</f>
        <v>933.62367008302317</v>
      </c>
      <c r="U31" s="2">
        <f>U9/'Output-Calculation-sheet'!U8*'Output-Calculation-sheet'!U17</f>
        <v>750.08012563902207</v>
      </c>
      <c r="V31" s="2">
        <f>V9/'Output-Calculation-sheet'!V8*'Output-Calculation-sheet'!V17</f>
        <v>881.71320936258144</v>
      </c>
      <c r="W31" s="2">
        <f>W9/'Output-Calculation-sheet'!W8*'Output-Calculation-sheet'!W17</f>
        <v>407.82264660840036</v>
      </c>
      <c r="X31" s="2">
        <f>X9/'Output-Calculation-sheet'!X8*'Output-Calculation-sheet'!X17</f>
        <v>0</v>
      </c>
      <c r="Y31" s="2">
        <f>Y9/'Output-Calculation-sheet'!Y8*'Output-Calculation-sheet'!Y17</f>
        <v>313.84583311333279</v>
      </c>
      <c r="AA31" s="2">
        <f t="shared" si="1"/>
        <v>90.602824004518524</v>
      </c>
    </row>
    <row r="32" spans="1:27" x14ac:dyDescent="0.25">
      <c r="A32" s="2">
        <v>2033</v>
      </c>
      <c r="B32" s="2">
        <f>B10/'Output-Calculation-sheet'!B9*'Output-Calculation-sheet'!B18</f>
        <v>32133.073066203062</v>
      </c>
      <c r="C32" s="2">
        <f>C10/'Output-Calculation-sheet'!C9*'Output-Calculation-sheet'!C18</f>
        <v>0</v>
      </c>
      <c r="D32" s="2">
        <f>D10/'Output-Calculation-sheet'!D9*'Output-Calculation-sheet'!D18</f>
        <v>9186.2646493796783</v>
      </c>
      <c r="E32" s="2">
        <f>E10/'Output-Calculation-sheet'!E9*'Output-Calculation-sheet'!E18</f>
        <v>11352.956422683885</v>
      </c>
      <c r="F32" s="2">
        <f>F10/'Output-Calculation-sheet'!F9*'Output-Calculation-sheet'!F18</f>
        <v>5106.8540150954059</v>
      </c>
      <c r="G32" s="2">
        <f>G10/'Output-Calculation-sheet'!G9*'Output-Calculation-sheet'!G18</f>
        <v>2938.4515377244129</v>
      </c>
      <c r="H32" s="2">
        <f>H10/'Output-Calculation-sheet'!H9*'Output-Calculation-sheet'!H18</f>
        <v>0</v>
      </c>
      <c r="I32" s="2">
        <f>I10/'Output-Calculation-sheet'!I9*'Output-Calculation-sheet'!I18</f>
        <v>3112.6377901028336</v>
      </c>
      <c r="J32" s="2">
        <f>J10/'Output-Calculation-sheet'!J9*'Output-Calculation-sheet'!J18</f>
        <v>3133.2938784072317</v>
      </c>
      <c r="K32" s="2">
        <f>K10/'Output-Calculation-sheet'!K9*'Output-Calculation-sheet'!K18</f>
        <v>4136.484023031443</v>
      </c>
      <c r="L32" s="2">
        <f>L10/'Output-Calculation-sheet'!L9*'Output-Calculation-sheet'!L18</f>
        <v>3609.3162187816652</v>
      </c>
      <c r="M32" s="2">
        <f>M10/'Output-Calculation-sheet'!M9*'Output-Calculation-sheet'!M18</f>
        <v>0</v>
      </c>
      <c r="N32" s="2">
        <f>N10/'Output-Calculation-sheet'!N9*'Output-Calculation-sheet'!N18</f>
        <v>2024.7051087531177</v>
      </c>
      <c r="O32" s="2">
        <f>O10/'Output-Calculation-sheet'!O9*'Output-Calculation-sheet'!O18</f>
        <v>0</v>
      </c>
      <c r="P32" s="2">
        <f>P10/'Output-Calculation-sheet'!P9*'Output-Calculation-sheet'!P18</f>
        <v>3403.4326572605887</v>
      </c>
      <c r="Q32" s="2">
        <f>Q10/'Output-Calculation-sheet'!Q9*'Output-Calculation-sheet'!Q18</f>
        <v>3587.2639769516577</v>
      </c>
      <c r="R32" s="2">
        <f>R10/'Output-Calculation-sheet'!R9*'Output-Calculation-sheet'!R18</f>
        <v>3039.8458110690713</v>
      </c>
      <c r="S32" s="2">
        <f>S10/'Output-Calculation-sheet'!S9*'Output-Calculation-sheet'!S18</f>
        <v>1517.1446293537547</v>
      </c>
      <c r="T32" s="2">
        <f>T10/'Output-Calculation-sheet'!T9*'Output-Calculation-sheet'!T18</f>
        <v>957.49975429295262</v>
      </c>
      <c r="U32" s="2">
        <f>U10/'Output-Calculation-sheet'!U9*'Output-Calculation-sheet'!U18</f>
        <v>767.72691455014774</v>
      </c>
      <c r="V32" s="2">
        <f>V10/'Output-Calculation-sheet'!V9*'Output-Calculation-sheet'!V18</f>
        <v>893.28832350684752</v>
      </c>
      <c r="W32" s="2">
        <f>W10/'Output-Calculation-sheet'!W9*'Output-Calculation-sheet'!W18</f>
        <v>416.90098006041006</v>
      </c>
      <c r="X32" s="2">
        <f>X10/'Output-Calculation-sheet'!X9*'Output-Calculation-sheet'!X18</f>
        <v>0</v>
      </c>
      <c r="Y32" s="2">
        <f>Y10/'Output-Calculation-sheet'!Y9*'Output-Calculation-sheet'!Y18</f>
        <v>322.49306785777122</v>
      </c>
      <c r="AA32" s="2">
        <f t="shared" si="1"/>
        <v>91.639632825065917</v>
      </c>
    </row>
    <row r="33" spans="1:27" x14ac:dyDescent="0.25">
      <c r="A33" s="2">
        <v>2034</v>
      </c>
      <c r="B33" s="2">
        <f>B11/'Output-Calculation-sheet'!B10*'Output-Calculation-sheet'!B19</f>
        <v>30713.612664037544</v>
      </c>
      <c r="C33" s="2">
        <f>C11/'Output-Calculation-sheet'!C10*'Output-Calculation-sheet'!C19</f>
        <v>0</v>
      </c>
      <c r="D33" s="2">
        <f>D11/'Output-Calculation-sheet'!D10*'Output-Calculation-sheet'!D19</f>
        <v>8888.971876828442</v>
      </c>
      <c r="E33" s="2">
        <f>E11/'Output-Calculation-sheet'!E10*'Output-Calculation-sheet'!E19</f>
        <v>11057.349027824777</v>
      </c>
      <c r="F33" s="2">
        <f>F11/'Output-Calculation-sheet'!F10*'Output-Calculation-sheet'!F19</f>
        <v>4975.4558720120694</v>
      </c>
      <c r="G33" s="2">
        <f>G11/'Output-Calculation-sheet'!G10*'Output-Calculation-sheet'!G19</f>
        <v>2854.6684119484139</v>
      </c>
      <c r="H33" s="2">
        <f>H11/'Output-Calculation-sheet'!H10*'Output-Calculation-sheet'!H19</f>
        <v>0</v>
      </c>
      <c r="I33" s="2">
        <f>I11/'Output-Calculation-sheet'!I10*'Output-Calculation-sheet'!I19</f>
        <v>3035.8576325882059</v>
      </c>
      <c r="J33" s="2">
        <f>J11/'Output-Calculation-sheet'!J10*'Output-Calculation-sheet'!J19</f>
        <v>3038.4148691850073</v>
      </c>
      <c r="K33" s="2">
        <f>K11/'Output-Calculation-sheet'!K10*'Output-Calculation-sheet'!K19</f>
        <v>3989.8641389527797</v>
      </c>
      <c r="L33" s="2">
        <f>L11/'Output-Calculation-sheet'!L10*'Output-Calculation-sheet'!L19</f>
        <v>3428.2157804584663</v>
      </c>
      <c r="M33" s="2">
        <f>M11/'Output-Calculation-sheet'!M10*'Output-Calculation-sheet'!M19</f>
        <v>0</v>
      </c>
      <c r="N33" s="2">
        <f>N11/'Output-Calculation-sheet'!N10*'Output-Calculation-sheet'!N19</f>
        <v>1871.5492490483732</v>
      </c>
      <c r="O33" s="2">
        <f>O11/'Output-Calculation-sheet'!O10*'Output-Calculation-sheet'!O19</f>
        <v>0</v>
      </c>
      <c r="P33" s="2">
        <f>P11/'Output-Calculation-sheet'!P10*'Output-Calculation-sheet'!P19</f>
        <v>3348.8016882427319</v>
      </c>
      <c r="Q33" s="2">
        <f>Q11/'Output-Calculation-sheet'!Q10*'Output-Calculation-sheet'!Q19</f>
        <v>3340.9812903852808</v>
      </c>
      <c r="R33" s="2">
        <f>R11/'Output-Calculation-sheet'!R10*'Output-Calculation-sheet'!R19</f>
        <v>2951.9040807406477</v>
      </c>
      <c r="S33" s="2">
        <f>S11/'Output-Calculation-sheet'!S10*'Output-Calculation-sheet'!S19</f>
        <v>1438.7989717204159</v>
      </c>
      <c r="T33" s="2">
        <f>T11/'Output-Calculation-sheet'!T10*'Output-Calculation-sheet'!T19</f>
        <v>932.59117486406012</v>
      </c>
      <c r="U33" s="2">
        <f>U11/'Output-Calculation-sheet'!U10*'Output-Calculation-sheet'!U19</f>
        <v>752.39784850365595</v>
      </c>
      <c r="V33" s="2">
        <f>V11/'Output-Calculation-sheet'!V10*'Output-Calculation-sheet'!V19</f>
        <v>863.43446126545064</v>
      </c>
      <c r="W33" s="2">
        <f>W11/'Output-Calculation-sheet'!W10*'Output-Calculation-sheet'!W19</f>
        <v>406.42614216947368</v>
      </c>
      <c r="X33" s="2">
        <f>X11/'Output-Calculation-sheet'!X10*'Output-Calculation-sheet'!X19</f>
        <v>0</v>
      </c>
      <c r="Y33" s="2">
        <f>Y11/'Output-Calculation-sheet'!Y10*'Output-Calculation-sheet'!Y19</f>
        <v>314.26809199817126</v>
      </c>
      <c r="AA33" s="2">
        <f t="shared" si="1"/>
        <v>88.203563272773977</v>
      </c>
    </row>
    <row r="34" spans="1:27" x14ac:dyDescent="0.25">
      <c r="A34" s="2">
        <v>2035</v>
      </c>
      <c r="B34" s="2">
        <f>B12/'Output-Calculation-sheet'!B11*'Output-Calculation-sheet'!B20</f>
        <v>27503.256214736826</v>
      </c>
      <c r="C34" s="2">
        <f>C12/'Output-Calculation-sheet'!C11*'Output-Calculation-sheet'!C20</f>
        <v>0</v>
      </c>
      <c r="D34" s="2">
        <f>D12/'Output-Calculation-sheet'!D11*'Output-Calculation-sheet'!D20</f>
        <v>8290.4787268135224</v>
      </c>
      <c r="E34" s="2">
        <f>E12/'Output-Calculation-sheet'!E11*'Output-Calculation-sheet'!E20</f>
        <v>10206.189700236338</v>
      </c>
      <c r="F34" s="2">
        <f>F12/'Output-Calculation-sheet'!F11*'Output-Calculation-sheet'!F20</f>
        <v>4634.6225361278775</v>
      </c>
      <c r="G34" s="2">
        <f>G12/'Output-Calculation-sheet'!G11*'Output-Calculation-sheet'!G20</f>
        <v>2655.4842216669613</v>
      </c>
      <c r="H34" s="2">
        <f>H12/'Output-Calculation-sheet'!H11*'Output-Calculation-sheet'!H20</f>
        <v>0</v>
      </c>
      <c r="I34" s="2">
        <f>I12/'Output-Calculation-sheet'!I11*'Output-Calculation-sheet'!I20</f>
        <v>2833.098497247709</v>
      </c>
      <c r="J34" s="2">
        <f>J12/'Output-Calculation-sheet'!J11*'Output-Calculation-sheet'!J20</f>
        <v>2819.9716654082777</v>
      </c>
      <c r="K34" s="2">
        <f>K12/'Output-Calculation-sheet'!K11*'Output-Calculation-sheet'!K20</f>
        <v>3702.8233574590677</v>
      </c>
      <c r="L34" s="2">
        <f>L12/'Output-Calculation-sheet'!L11*'Output-Calculation-sheet'!L20</f>
        <v>3136.8601296655756</v>
      </c>
      <c r="M34" s="2">
        <f>M12/'Output-Calculation-sheet'!M11*'Output-Calculation-sheet'!M20</f>
        <v>0</v>
      </c>
      <c r="N34" s="2">
        <f>N12/'Output-Calculation-sheet'!N11*'Output-Calculation-sheet'!N20</f>
        <v>1707.0309287130181</v>
      </c>
      <c r="O34" s="2">
        <f>O12/'Output-Calculation-sheet'!O11*'Output-Calculation-sheet'!O20</f>
        <v>0</v>
      </c>
      <c r="P34" s="2">
        <f>P12/'Output-Calculation-sheet'!P11*'Output-Calculation-sheet'!P20</f>
        <v>3126.2983110725809</v>
      </c>
      <c r="Q34" s="2">
        <f>Q12/'Output-Calculation-sheet'!Q11*'Output-Calculation-sheet'!Q20</f>
        <v>2986.2710481749164</v>
      </c>
      <c r="R34" s="2">
        <f>R12/'Output-Calculation-sheet'!R11*'Output-Calculation-sheet'!R20</f>
        <v>2747.226094315065</v>
      </c>
      <c r="S34" s="2">
        <f>S12/'Output-Calculation-sheet'!S11*'Output-Calculation-sheet'!S20</f>
        <v>1283.1232587356872</v>
      </c>
      <c r="T34" s="2">
        <f>T12/'Output-Calculation-sheet'!T11*'Output-Calculation-sheet'!T20</f>
        <v>867.08403613142423</v>
      </c>
      <c r="U34" s="2">
        <f>U12/'Output-Calculation-sheet'!U11*'Output-Calculation-sheet'!U20</f>
        <v>698.41873057755652</v>
      </c>
      <c r="V34" s="2">
        <f>V12/'Output-Calculation-sheet'!V11*'Output-Calculation-sheet'!V20</f>
        <v>801.78042542160642</v>
      </c>
      <c r="W34" s="2">
        <f>W12/'Output-Calculation-sheet'!W11*'Output-Calculation-sheet'!W20</f>
        <v>378.83547878246191</v>
      </c>
      <c r="X34" s="2">
        <f>X12/'Output-Calculation-sheet'!X11*'Output-Calculation-sheet'!X20</f>
        <v>0</v>
      </c>
      <c r="Y34" s="2">
        <f>Y12/'Output-Calculation-sheet'!Y11*'Output-Calculation-sheet'!Y20</f>
        <v>294.19718181602161</v>
      </c>
      <c r="AA34" s="2">
        <f t="shared" si="1"/>
        <v>80.673050543102505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si="3"/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1336.3119935930713</v>
      </c>
      <c r="C52" s="2">
        <f>C8/'Output-Calculation-sheet'!C7*'Output-Calculation-sheet'!C43</f>
        <v>0</v>
      </c>
      <c r="D52" s="2">
        <f>D8/'Output-Calculation-sheet'!D7*'Output-Calculation-sheet'!D43</f>
        <v>2902.8030211227906</v>
      </c>
      <c r="E52" s="2">
        <f>E8/'Output-Calculation-sheet'!E7*'Output-Calculation-sheet'!E43</f>
        <v>2083.7005046210161</v>
      </c>
      <c r="F52" s="2">
        <f>F8/'Output-Calculation-sheet'!F7*'Output-Calculation-sheet'!F43</f>
        <v>0</v>
      </c>
      <c r="G52" s="2">
        <f>G8/'Output-Calculation-sheet'!G7*'Output-Calculation-sheet'!G43</f>
        <v>738.98554387208378</v>
      </c>
      <c r="H52" s="2">
        <f>H8/'Output-Calculation-sheet'!H7*'Output-Calculation-sheet'!H43</f>
        <v>5661.9569559539841</v>
      </c>
      <c r="I52" s="2">
        <f>I8/'Output-Calculation-sheet'!I7*'Output-Calculation-sheet'!I43</f>
        <v>241.69940948571974</v>
      </c>
      <c r="J52" s="2">
        <f>J8/'Output-Calculation-sheet'!J7*'Output-Calculation-sheet'!J43</f>
        <v>1315.6168374226904</v>
      </c>
      <c r="K52" s="2">
        <f>K8/'Output-Calculation-sheet'!K7*'Output-Calculation-sheet'!K43</f>
        <v>2642.7712742996528</v>
      </c>
      <c r="L52" s="2">
        <f>L8/'Output-Calculation-sheet'!L7*'Output-Calculation-sheet'!L43</f>
        <v>2455.5744757710818</v>
      </c>
      <c r="M52" s="2">
        <f>M8/'Output-Calculation-sheet'!M7*'Output-Calculation-sheet'!M43</f>
        <v>16031.735603298621</v>
      </c>
      <c r="N52" s="2">
        <f>N8/'Output-Calculation-sheet'!N7*'Output-Calculation-sheet'!N43</f>
        <v>9176.6927972693447</v>
      </c>
      <c r="O52" s="2">
        <f>O8/'Output-Calculation-sheet'!O7*'Output-Calculation-sheet'!O43</f>
        <v>0</v>
      </c>
      <c r="P52" s="2">
        <f>P8/'Output-Calculation-sheet'!P7*'Output-Calculation-sheet'!P43</f>
        <v>1951.6801494761673</v>
      </c>
      <c r="Q52" s="2">
        <f>Q8/'Output-Calculation-sheet'!Q7*'Output-Calculation-sheet'!Q43</f>
        <v>443.46225062021887</v>
      </c>
      <c r="R52" s="2">
        <f>R8/'Output-Calculation-sheet'!R7*'Output-Calculation-sheet'!R43</f>
        <v>3556.4454313408332</v>
      </c>
      <c r="S52" s="2">
        <f>S8/'Output-Calculation-sheet'!S7*'Output-Calculation-sheet'!S43</f>
        <v>592.89686533082784</v>
      </c>
      <c r="T52" s="2">
        <f>T8/'Output-Calculation-sheet'!T7*'Output-Calculation-sheet'!T43</f>
        <v>1054.0226777702314</v>
      </c>
      <c r="U52" s="2">
        <f>U8/'Output-Calculation-sheet'!U7*'Output-Calculation-sheet'!U43</f>
        <v>393.71562864498492</v>
      </c>
      <c r="V52" s="2">
        <f>V8/'Output-Calculation-sheet'!V7*'Output-Calculation-sheet'!V43</f>
        <v>1029.3613956956372</v>
      </c>
      <c r="W52" s="2">
        <f>W8/'Output-Calculation-sheet'!W7*'Output-Calculation-sheet'!W43</f>
        <v>12.322804957563356</v>
      </c>
      <c r="X52" s="2">
        <f>X8/'Output-Calculation-sheet'!X7*'Output-Calculation-sheet'!X43</f>
        <v>835.14680422549566</v>
      </c>
      <c r="Y52" s="2">
        <f>Y8/'Output-Calculation-sheet'!Y7*'Output-Calculation-sheet'!Y43</f>
        <v>0</v>
      </c>
      <c r="AA52" s="2">
        <f t="shared" si="3"/>
        <v>54.456902424772025</v>
      </c>
    </row>
    <row r="53" spans="1:27" x14ac:dyDescent="0.25">
      <c r="A53" s="2">
        <v>2032</v>
      </c>
      <c r="B53" s="2">
        <f>B9/'Output-Calculation-sheet'!B8*'Output-Calculation-sheet'!B44</f>
        <v>4609.8225859385902</v>
      </c>
      <c r="C53" s="2">
        <f>C9/'Output-Calculation-sheet'!C8*'Output-Calculation-sheet'!C44</f>
        <v>0</v>
      </c>
      <c r="D53" s="2">
        <f>D9/'Output-Calculation-sheet'!D8*'Output-Calculation-sheet'!D44</f>
        <v>4080.2789841225172</v>
      </c>
      <c r="E53" s="2">
        <f>E9/'Output-Calculation-sheet'!E8*'Output-Calculation-sheet'!E44</f>
        <v>2675.2550959918071</v>
      </c>
      <c r="F53" s="2">
        <f>F9/'Output-Calculation-sheet'!F8*'Output-Calculation-sheet'!F44</f>
        <v>0</v>
      </c>
      <c r="G53" s="2">
        <f>G9/'Output-Calculation-sheet'!G8*'Output-Calculation-sheet'!G44</f>
        <v>987.98652341653201</v>
      </c>
      <c r="H53" s="2">
        <f>H9/'Output-Calculation-sheet'!H8*'Output-Calculation-sheet'!H44</f>
        <v>12406.787791596811</v>
      </c>
      <c r="I53" s="2">
        <f>I9/'Output-Calculation-sheet'!I8*'Output-Calculation-sheet'!I44</f>
        <v>362.03643697325339</v>
      </c>
      <c r="J53" s="2">
        <f>J9/'Output-Calculation-sheet'!J8*'Output-Calculation-sheet'!J44</f>
        <v>1661.1961548160721</v>
      </c>
      <c r="K53" s="2">
        <f>K9/'Output-Calculation-sheet'!K8*'Output-Calculation-sheet'!K44</f>
        <v>3008.3371999284332</v>
      </c>
      <c r="L53" s="2">
        <f>L9/'Output-Calculation-sheet'!L8*'Output-Calculation-sheet'!L44</f>
        <v>2932.2339453437921</v>
      </c>
      <c r="M53" s="2">
        <f>M9/'Output-Calculation-sheet'!M8*'Output-Calculation-sheet'!M44</f>
        <v>17635.176530662189</v>
      </c>
      <c r="N53" s="2">
        <f>N9/'Output-Calculation-sheet'!N8*'Output-Calculation-sheet'!N44</f>
        <v>11746.817267196437</v>
      </c>
      <c r="O53" s="2">
        <f>O9/'Output-Calculation-sheet'!O8*'Output-Calculation-sheet'!O44</f>
        <v>0</v>
      </c>
      <c r="P53" s="2">
        <f>P9/'Output-Calculation-sheet'!P8*'Output-Calculation-sheet'!P44</f>
        <v>2436.1503714166256</v>
      </c>
      <c r="Q53" s="2">
        <f>Q9/'Output-Calculation-sheet'!Q8*'Output-Calculation-sheet'!Q44</f>
        <v>735.14136381255742</v>
      </c>
      <c r="R53" s="2">
        <f>R9/'Output-Calculation-sheet'!R8*'Output-Calculation-sheet'!R44</f>
        <v>4124.2253756178588</v>
      </c>
      <c r="S53" s="2">
        <f>S9/'Output-Calculation-sheet'!S8*'Output-Calculation-sheet'!S44</f>
        <v>1195.5687186717248</v>
      </c>
      <c r="T53" s="2">
        <f>T9/'Output-Calculation-sheet'!T8*'Output-Calculation-sheet'!T44</f>
        <v>1225.2784788094448</v>
      </c>
      <c r="U53" s="2">
        <f>U9/'Output-Calculation-sheet'!U8*'Output-Calculation-sheet'!U44</f>
        <v>529.42417244860667</v>
      </c>
      <c r="V53" s="2">
        <f>V9/'Output-Calculation-sheet'!V8*'Output-Calculation-sheet'!V44</f>
        <v>1142.0218446727374</v>
      </c>
      <c r="W53" s="2">
        <f>W9/'Output-Calculation-sheet'!W8*'Output-Calculation-sheet'!W44</f>
        <v>31.32278391769588</v>
      </c>
      <c r="X53" s="2">
        <f>X9/'Output-Calculation-sheet'!X8*'Output-Calculation-sheet'!X44</f>
        <v>1696.4738082304771</v>
      </c>
      <c r="Y53" s="2">
        <f>Y9/'Output-Calculation-sheet'!Y8*'Output-Calculation-sheet'!Y44</f>
        <v>0</v>
      </c>
      <c r="AA53" s="2">
        <f t="shared" si="3"/>
        <v>75.221535433584165</v>
      </c>
    </row>
    <row r="54" spans="1:27" x14ac:dyDescent="0.25">
      <c r="A54" s="2">
        <v>2033</v>
      </c>
      <c r="B54" s="2">
        <f>B10/'Output-Calculation-sheet'!B9*'Output-Calculation-sheet'!B45</f>
        <v>9170.1146411124664</v>
      </c>
      <c r="C54" s="2">
        <f>C10/'Output-Calculation-sheet'!C9*'Output-Calculation-sheet'!C45</f>
        <v>0</v>
      </c>
      <c r="D54" s="2">
        <f>D10/'Output-Calculation-sheet'!D9*'Output-Calculation-sheet'!D45</f>
        <v>5210.054928810262</v>
      </c>
      <c r="E54" s="2">
        <f>E10/'Output-Calculation-sheet'!E9*'Output-Calculation-sheet'!E45</f>
        <v>3478.1073413866734</v>
      </c>
      <c r="F54" s="2">
        <f>F10/'Output-Calculation-sheet'!F9*'Output-Calculation-sheet'!F45</f>
        <v>0</v>
      </c>
      <c r="G54" s="2">
        <f>G10/'Output-Calculation-sheet'!G9*'Output-Calculation-sheet'!G45</f>
        <v>1233.512704738534</v>
      </c>
      <c r="H54" s="2">
        <f>H10/'Output-Calculation-sheet'!H9*'Output-Calculation-sheet'!H45</f>
        <v>24478.253955718268</v>
      </c>
      <c r="I54" s="2">
        <f>I10/'Output-Calculation-sheet'!I9*'Output-Calculation-sheet'!I45</f>
        <v>504.30501449031681</v>
      </c>
      <c r="J54" s="2">
        <f>J10/'Output-Calculation-sheet'!J9*'Output-Calculation-sheet'!J45</f>
        <v>2062.9317552617995</v>
      </c>
      <c r="K54" s="2">
        <f>K10/'Output-Calculation-sheet'!K9*'Output-Calculation-sheet'!K45</f>
        <v>3502.6106295689747</v>
      </c>
      <c r="L54" s="2">
        <f>L10/'Output-Calculation-sheet'!L9*'Output-Calculation-sheet'!L45</f>
        <v>3336.8748391942249</v>
      </c>
      <c r="M54" s="2">
        <f>M10/'Output-Calculation-sheet'!M9*'Output-Calculation-sheet'!M45</f>
        <v>18213.831797061517</v>
      </c>
      <c r="N54" s="2">
        <f>N10/'Output-Calculation-sheet'!N9*'Output-Calculation-sheet'!N45</f>
        <v>12758.637158896145</v>
      </c>
      <c r="O54" s="2">
        <f>O10/'Output-Calculation-sheet'!O9*'Output-Calculation-sheet'!O45</f>
        <v>0</v>
      </c>
      <c r="P54" s="2">
        <f>P10/'Output-Calculation-sheet'!P9*'Output-Calculation-sheet'!P45</f>
        <v>2895.768280572689</v>
      </c>
      <c r="Q54" s="2">
        <f>Q10/'Output-Calculation-sheet'!Q9*'Output-Calculation-sheet'!Q45</f>
        <v>1115.7029708270452</v>
      </c>
      <c r="R54" s="2">
        <f>R10/'Output-Calculation-sheet'!R9*'Output-Calculation-sheet'!R45</f>
        <v>4298.0454117182589</v>
      </c>
      <c r="S54" s="2">
        <f>S10/'Output-Calculation-sheet'!S9*'Output-Calculation-sheet'!S45</f>
        <v>1909.1349568091957</v>
      </c>
      <c r="T54" s="2">
        <f>T10/'Output-Calculation-sheet'!T9*'Output-Calculation-sheet'!T45</f>
        <v>1385.4561331488442</v>
      </c>
      <c r="U54" s="2">
        <f>U10/'Output-Calculation-sheet'!U9*'Output-Calculation-sheet'!U45</f>
        <v>622.96048243879409</v>
      </c>
      <c r="V54" s="2">
        <f>V10/'Output-Calculation-sheet'!V9*'Output-Calculation-sheet'!V45</f>
        <v>1208.8155843845987</v>
      </c>
      <c r="W54" s="2">
        <f>W10/'Output-Calculation-sheet'!W9*'Output-Calculation-sheet'!W45</f>
        <v>41.138386533310943</v>
      </c>
      <c r="X54" s="2">
        <f>X10/'Output-Calculation-sheet'!X9*'Output-Calculation-sheet'!X45</f>
        <v>1754.8312500558441</v>
      </c>
      <c r="Y54" s="2">
        <f>Y10/'Output-Calculation-sheet'!Y9*'Output-Calculation-sheet'!Y45</f>
        <v>13.188821685660528</v>
      </c>
      <c r="AA54" s="2">
        <f t="shared" si="3"/>
        <v>99.19427704441344</v>
      </c>
    </row>
    <row r="55" spans="1:27" x14ac:dyDescent="0.25">
      <c r="A55" s="2">
        <v>2034</v>
      </c>
      <c r="B55" s="2">
        <f>B11/'Output-Calculation-sheet'!B10*'Output-Calculation-sheet'!B46</f>
        <v>18025.972108732487</v>
      </c>
      <c r="C55" s="2">
        <f>C11/'Output-Calculation-sheet'!C10*'Output-Calculation-sheet'!C46</f>
        <v>0</v>
      </c>
      <c r="D55" s="2">
        <f>D11/'Output-Calculation-sheet'!D10*'Output-Calculation-sheet'!D46</f>
        <v>5759.8549096153192</v>
      </c>
      <c r="E55" s="2">
        <f>E11/'Output-Calculation-sheet'!E10*'Output-Calculation-sheet'!E46</f>
        <v>3774.4696616802203</v>
      </c>
      <c r="F55" s="2">
        <f>F11/'Output-Calculation-sheet'!F10*'Output-Calculation-sheet'!F46</f>
        <v>0</v>
      </c>
      <c r="G55" s="2">
        <f>G11/'Output-Calculation-sheet'!G10*'Output-Calculation-sheet'!G46</f>
        <v>1449.9534802663625</v>
      </c>
      <c r="H55" s="2">
        <f>H11/'Output-Calculation-sheet'!H10*'Output-Calculation-sheet'!H46</f>
        <v>23983.846405597167</v>
      </c>
      <c r="I55" s="2">
        <f>I11/'Output-Calculation-sheet'!I10*'Output-Calculation-sheet'!I46</f>
        <v>652.07329350864654</v>
      </c>
      <c r="J55" s="2">
        <f>J11/'Output-Calculation-sheet'!J10*'Output-Calculation-sheet'!J46</f>
        <v>2258.6846582376734</v>
      </c>
      <c r="K55" s="2">
        <f>K11/'Output-Calculation-sheet'!K10*'Output-Calculation-sheet'!K46</f>
        <v>3845.3124356429039</v>
      </c>
      <c r="L55" s="2">
        <f>L11/'Output-Calculation-sheet'!L10*'Output-Calculation-sheet'!L46</f>
        <v>3669.129825604959</v>
      </c>
      <c r="M55" s="2">
        <f>M11/'Output-Calculation-sheet'!M10*'Output-Calculation-sheet'!M46</f>
        <v>17808.027712957308</v>
      </c>
      <c r="N55" s="2">
        <f>N11/'Output-Calculation-sheet'!N10*'Output-Calculation-sheet'!N46</f>
        <v>13109.014128955207</v>
      </c>
      <c r="O55" s="2">
        <f>O11/'Output-Calculation-sheet'!O10*'Output-Calculation-sheet'!O46</f>
        <v>0</v>
      </c>
      <c r="P55" s="2">
        <f>P11/'Output-Calculation-sheet'!P10*'Output-Calculation-sheet'!P46</f>
        <v>3049.5308250453008</v>
      </c>
      <c r="Q55" s="2">
        <f>Q11/'Output-Calculation-sheet'!Q10*'Output-Calculation-sheet'!Q46</f>
        <v>1706.1746640816655</v>
      </c>
      <c r="R55" s="2">
        <f>R11/'Output-Calculation-sheet'!R10*'Output-Calculation-sheet'!R46</f>
        <v>4271.2438467308411</v>
      </c>
      <c r="S55" s="2">
        <f>S11/'Output-Calculation-sheet'!S10*'Output-Calculation-sheet'!S46</f>
        <v>2749.8783461933754</v>
      </c>
      <c r="T55" s="2">
        <f>T11/'Output-Calculation-sheet'!T10*'Output-Calculation-sheet'!T46</f>
        <v>1412.2651115282702</v>
      </c>
      <c r="U55" s="2">
        <f>U11/'Output-Calculation-sheet'!U10*'Output-Calculation-sheet'!U46</f>
        <v>670.50939867533646</v>
      </c>
      <c r="V55" s="2">
        <f>V11/'Output-Calculation-sheet'!V10*'Output-Calculation-sheet'!V46</f>
        <v>1233.6898765346361</v>
      </c>
      <c r="W55" s="2">
        <f>W11/'Output-Calculation-sheet'!W10*'Output-Calculation-sheet'!W46</f>
        <v>62.057913689606394</v>
      </c>
      <c r="X55" s="2">
        <f>X11/'Output-Calculation-sheet'!X10*'Output-Calculation-sheet'!X46</f>
        <v>1725.6221653362049</v>
      </c>
      <c r="Y55" s="2">
        <f>Y11/'Output-Calculation-sheet'!Y10*'Output-Calculation-sheet'!Y46</f>
        <v>20.463992576616473</v>
      </c>
      <c r="AA55" s="2">
        <f t="shared" si="3"/>
        <v>111.2377747611901</v>
      </c>
    </row>
    <row r="56" spans="1:27" x14ac:dyDescent="0.25">
      <c r="A56" s="2">
        <v>2035</v>
      </c>
      <c r="B56" s="2">
        <f>B12/'Output-Calculation-sheet'!B11*'Output-Calculation-sheet'!B47</f>
        <v>28539.831825330268</v>
      </c>
      <c r="C56" s="2">
        <f>C12/'Output-Calculation-sheet'!C11*'Output-Calculation-sheet'!C47</f>
        <v>1693.2050903286245</v>
      </c>
      <c r="D56" s="2">
        <f>D12/'Output-Calculation-sheet'!D11*'Output-Calculation-sheet'!D47</f>
        <v>6093.3209394477371</v>
      </c>
      <c r="E56" s="2">
        <f>E12/'Output-Calculation-sheet'!E11*'Output-Calculation-sheet'!E47</f>
        <v>4395.5588734831008</v>
      </c>
      <c r="F56" s="2">
        <f>F12/'Output-Calculation-sheet'!F11*'Output-Calculation-sheet'!F47</f>
        <v>93.712037692653624</v>
      </c>
      <c r="G56" s="2">
        <f>G12/'Output-Calculation-sheet'!G11*'Output-Calculation-sheet'!G47</f>
        <v>1614.1330256944566</v>
      </c>
      <c r="H56" s="2">
        <f>H12/'Output-Calculation-sheet'!H11*'Output-Calculation-sheet'!H47</f>
        <v>22575.395829440113</v>
      </c>
      <c r="I56" s="2">
        <f>I12/'Output-Calculation-sheet'!I11*'Output-Calculation-sheet'!I47</f>
        <v>695.6619703281516</v>
      </c>
      <c r="J56" s="2">
        <f>J12/'Output-Calculation-sheet'!J11*'Output-Calculation-sheet'!J47</f>
        <v>2274.9673227151816</v>
      </c>
      <c r="K56" s="2">
        <f>K12/'Output-Calculation-sheet'!K11*'Output-Calculation-sheet'!K47</f>
        <v>3745.6305639036809</v>
      </c>
      <c r="L56" s="2">
        <f>L12/'Output-Calculation-sheet'!L11*'Output-Calculation-sheet'!L47</f>
        <v>3852.9395892837465</v>
      </c>
      <c r="M56" s="2">
        <f>M12/'Output-Calculation-sheet'!M11*'Output-Calculation-sheet'!M47</f>
        <v>16699.697961644866</v>
      </c>
      <c r="N56" s="2">
        <f>N12/'Output-Calculation-sheet'!N11*'Output-Calculation-sheet'!N47</f>
        <v>12800.033163174676</v>
      </c>
      <c r="O56" s="2">
        <f>O12/'Output-Calculation-sheet'!O11*'Output-Calculation-sheet'!O47</f>
        <v>801.80148256873258</v>
      </c>
      <c r="P56" s="2">
        <f>P12/'Output-Calculation-sheet'!P11*'Output-Calculation-sheet'!P47</f>
        <v>2951.1428922406953</v>
      </c>
      <c r="Q56" s="2">
        <f>Q12/'Output-Calculation-sheet'!Q11*'Output-Calculation-sheet'!Q47</f>
        <v>2277.6954390800802</v>
      </c>
      <c r="R56" s="2">
        <f>R12/'Output-Calculation-sheet'!R11*'Output-Calculation-sheet'!R47</f>
        <v>4058.1107038475575</v>
      </c>
      <c r="S56" s="2">
        <f>S12/'Output-Calculation-sheet'!S11*'Output-Calculation-sheet'!S47</f>
        <v>3472.9522662183217</v>
      </c>
      <c r="T56" s="2">
        <f>T12/'Output-Calculation-sheet'!T11*'Output-Calculation-sheet'!T47</f>
        <v>1416.3758277831444</v>
      </c>
      <c r="U56" s="2">
        <f>U12/'Output-Calculation-sheet'!U11*'Output-Calculation-sheet'!U47</f>
        <v>708.24798081565905</v>
      </c>
      <c r="V56" s="2">
        <f>V12/'Output-Calculation-sheet'!V11*'Output-Calculation-sheet'!V47</f>
        <v>1172.9781448108317</v>
      </c>
      <c r="W56" s="2">
        <f>W12/'Output-Calculation-sheet'!W11*'Output-Calculation-sheet'!W47</f>
        <v>74.019415121675053</v>
      </c>
      <c r="X56" s="2">
        <f>X12/'Output-Calculation-sheet'!X11*'Output-Calculation-sheet'!X47</f>
        <v>1620.5190667641882</v>
      </c>
      <c r="Y56" s="2">
        <f>Y12/'Output-Calculation-sheet'!Y11*'Output-Calculation-sheet'!Y47</f>
        <v>28.476436231435851</v>
      </c>
      <c r="AA56" s="2">
        <f t="shared" si="3"/>
        <v>123.65640784794958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 t="shared" ref="AA60:AA67" si="4"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si="4"/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8.2555322194744072</v>
      </c>
      <c r="C63" s="2">
        <f>C8*'Output-Calculation-sheet'!C52/10^9</f>
        <v>5.0720083215808032</v>
      </c>
      <c r="D63" s="2">
        <f>D8*'Output-Calculation-sheet'!D52/10^9</f>
        <v>1.7869656533108911</v>
      </c>
      <c r="E63" s="2">
        <f>E8*'Output-Calculation-sheet'!E52/10^9</f>
        <v>2.1369526952440236</v>
      </c>
      <c r="F63" s="2">
        <f>F8*'Output-Calculation-sheet'!F52/10^9</f>
        <v>0.82967163423469747</v>
      </c>
      <c r="G63" s="2">
        <f>G8*'Output-Calculation-sheet'!G52/10^9</f>
        <v>0.58558511410371161</v>
      </c>
      <c r="H63" s="2">
        <f>H8*'Output-Calculation-sheet'!H52/10^9</f>
        <v>1.5602235526207879</v>
      </c>
      <c r="I63" s="2">
        <f>I8*'Output-Calculation-sheet'!I52/10^9</f>
        <v>0.57371475428315433</v>
      </c>
      <c r="J63" s="2">
        <f>J8*'Output-Calculation-sheet'!J52/10^9</f>
        <v>0.59729488272352804</v>
      </c>
      <c r="K63" s="2">
        <f>K8*'Output-Calculation-sheet'!K52/10^9</f>
        <v>0.72050979133128146</v>
      </c>
      <c r="L63" s="2">
        <f>L8*'Output-Calculation-sheet'!L52/10^9</f>
        <v>0.75210693127277528</v>
      </c>
      <c r="M63" s="2">
        <f>M8*'Output-Calculation-sheet'!M52/10^9</f>
        <v>1.1773298796333211</v>
      </c>
      <c r="N63" s="2">
        <f>N8*'Output-Calculation-sheet'!N52/10^9</f>
        <v>1.0123740653250968</v>
      </c>
      <c r="O63" s="2">
        <f>O8*'Output-Calculation-sheet'!O52/10^9</f>
        <v>1.0615838438529472</v>
      </c>
      <c r="P63" s="2">
        <f>P8*'Output-Calculation-sheet'!P52/10^9</f>
        <v>0.64634346621248007</v>
      </c>
      <c r="Q63" s="2">
        <f>Q8*'Output-Calculation-sheet'!Q52/10^9</f>
        <v>0.70370027221296583</v>
      </c>
      <c r="R63" s="2">
        <f>R8*'Output-Calculation-sheet'!R52/10^9</f>
        <v>0.54282800763787076</v>
      </c>
      <c r="S63" s="2">
        <f>S8*'Output-Calculation-sheet'!S52/10^9</f>
        <v>0.51696499229622506</v>
      </c>
      <c r="T63" s="2">
        <f>T8*'Output-Calculation-sheet'!T52/10^9</f>
        <v>0.16822664107169899</v>
      </c>
      <c r="U63" s="2">
        <f>U8*'Output-Calculation-sheet'!U52/10^9</f>
        <v>0.16405431565601578</v>
      </c>
      <c r="V63" s="2">
        <f>V8*'Output-Calculation-sheet'!V52/10^9</f>
        <v>0.13987864376465622</v>
      </c>
      <c r="W63" s="2">
        <f>W8*'Output-Calculation-sheet'!W52/10^9</f>
        <v>7.2056469963387104E-2</v>
      </c>
      <c r="X63" s="2">
        <f>X8*'Output-Calculation-sheet'!X52/10^9</f>
        <v>0.13622833547199728</v>
      </c>
      <c r="Y63" s="2">
        <f>Y8*'Output-Calculation-sheet'!Y52/10^9</f>
        <v>6.5628538512707418E-2</v>
      </c>
      <c r="AA63" s="2">
        <f t="shared" si="4"/>
        <v>29.277763021791429</v>
      </c>
    </row>
    <row r="64" spans="1:27" x14ac:dyDescent="0.25">
      <c r="A64" s="2">
        <v>2032</v>
      </c>
      <c r="B64" s="2">
        <f>B9*'Output-Calculation-sheet'!B53/10^9</f>
        <v>8.9280937175908122</v>
      </c>
      <c r="C64" s="2">
        <f>C9*'Output-Calculation-sheet'!C53/10^9</f>
        <v>5.4836955046937375</v>
      </c>
      <c r="D64" s="2">
        <f>D9*'Output-Calculation-sheet'!D53/10^9</f>
        <v>1.9338842401988441</v>
      </c>
      <c r="E64" s="2">
        <f>E9*'Output-Calculation-sheet'!E53/10^9</f>
        <v>2.313779239803206</v>
      </c>
      <c r="F64" s="2">
        <f>F9*'Output-Calculation-sheet'!F53/10^9</f>
        <v>0.89833992432591203</v>
      </c>
      <c r="G64" s="2">
        <f>G9*'Output-Calculation-sheet'!G53/10^9</f>
        <v>0.63402441617992489</v>
      </c>
      <c r="H64" s="2">
        <f>H9*'Output-Calculation-sheet'!H53/10^9</f>
        <v>1.6724734101517984</v>
      </c>
      <c r="I64" s="2">
        <f>I9*'Output-Calculation-sheet'!I53/10^9</f>
        <v>0.62138360885474475</v>
      </c>
      <c r="J64" s="2">
        <f>J9*'Output-Calculation-sheet'!J53/10^9</f>
        <v>0.64603882704157212</v>
      </c>
      <c r="K64" s="2">
        <f>K9*'Output-Calculation-sheet'!K53/10^9</f>
        <v>0.77820319540125782</v>
      </c>
      <c r="L64" s="2">
        <f>L9*'Output-Calculation-sheet'!L53/10^9</f>
        <v>0.80884478837997864</v>
      </c>
      <c r="M64" s="2">
        <f>M9*'Output-Calculation-sheet'!M53/10^9</f>
        <v>1.2449698023728439</v>
      </c>
      <c r="N64" s="2">
        <f>N9*'Output-Calculation-sheet'!N53/10^9</f>
        <v>1.0791395392094925</v>
      </c>
      <c r="O64" s="2">
        <f>O9*'Output-Calculation-sheet'!O53/10^9</f>
        <v>1.1477117603649774</v>
      </c>
      <c r="P64" s="2">
        <f>P9*'Output-Calculation-sheet'!P53/10^9</f>
        <v>0.6988009345480084</v>
      </c>
      <c r="Q64" s="2">
        <f>Q9*'Output-Calculation-sheet'!Q53/10^9</f>
        <v>0.76199838163785893</v>
      </c>
      <c r="R64" s="2">
        <f>R9*'Output-Calculation-sheet'!R53/10^9</f>
        <v>0.58496842971404139</v>
      </c>
      <c r="S64" s="2">
        <f>S9*'Output-Calculation-sheet'!S53/10^9</f>
        <v>0.5579925125368731</v>
      </c>
      <c r="T64" s="2">
        <f>T9*'Output-Calculation-sheet'!T53/10^9</f>
        <v>0.18130324256063537</v>
      </c>
      <c r="U64" s="2">
        <f>U9*'Output-Calculation-sheet'!U53/10^9</f>
        <v>0.17751180388823598</v>
      </c>
      <c r="V64" s="2">
        <f>V9*'Output-Calculation-sheet'!V53/10^9</f>
        <v>0.15054828454168118</v>
      </c>
      <c r="W64" s="2">
        <f>W9*'Output-Calculation-sheet'!W53/10^9</f>
        <v>7.8028353559658009E-2</v>
      </c>
      <c r="X64" s="2">
        <f>X9*'Output-Calculation-sheet'!X53/10^9</f>
        <v>0.14509271060967552</v>
      </c>
      <c r="Y64" s="2">
        <f>Y9*'Output-Calculation-sheet'!Y53/10^9</f>
        <v>7.1148023713471162E-2</v>
      </c>
      <c r="AA64" s="2">
        <f t="shared" si="4"/>
        <v>31.597974651879245</v>
      </c>
    </row>
    <row r="65" spans="1:27" x14ac:dyDescent="0.25">
      <c r="A65" s="2">
        <v>2033</v>
      </c>
      <c r="B65" s="2">
        <f>B10*'Output-Calculation-sheet'!B54/10^9</f>
        <v>9.0438374289048955</v>
      </c>
      <c r="C65" s="2">
        <f>C10*'Output-Calculation-sheet'!C54/10^9</f>
        <v>5.5577778125018726</v>
      </c>
      <c r="D65" s="2">
        <f>D10*'Output-Calculation-sheet'!D54/10^9</f>
        <v>1.9617362014981947</v>
      </c>
      <c r="E65" s="2">
        <f>E10*'Output-Calculation-sheet'!E54/10^9</f>
        <v>2.3486917298610988</v>
      </c>
      <c r="F65" s="2">
        <f>F10*'Output-Calculation-sheet'!F54/10^9</f>
        <v>0.91204142262993082</v>
      </c>
      <c r="G65" s="2">
        <f>G10*'Output-Calculation-sheet'!G54/10^9</f>
        <v>0.64353137574027719</v>
      </c>
      <c r="H65" s="2">
        <f>H10*'Output-Calculation-sheet'!H54/10^9</f>
        <v>1.6659770087057764</v>
      </c>
      <c r="I65" s="2">
        <f>I10*'Output-Calculation-sheet'!I54/10^9</f>
        <v>0.6309788825894308</v>
      </c>
      <c r="J65" s="2">
        <f>J10*'Output-Calculation-sheet'!J54/10^9</f>
        <v>0.65509881661082836</v>
      </c>
      <c r="K65" s="2">
        <f>K10*'Output-Calculation-sheet'!K54/10^9</f>
        <v>0.78793610359669397</v>
      </c>
      <c r="L65" s="2">
        <f>L10*'Output-Calculation-sheet'!L54/10^9</f>
        <v>0.81493898109030316</v>
      </c>
      <c r="M65" s="2">
        <f>M10*'Output-Calculation-sheet'!M54/10^9</f>
        <v>1.2334573479753961</v>
      </c>
      <c r="N65" s="2">
        <f>N10*'Output-Calculation-sheet'!N54/10^9</f>
        <v>1.0763593628122228</v>
      </c>
      <c r="O65" s="2">
        <f>O10*'Output-Calculation-sheet'!O54/10^9</f>
        <v>1.1632106010783925</v>
      </c>
      <c r="P65" s="2">
        <f>P10*'Output-Calculation-sheet'!P54/10^9</f>
        <v>0.7081284184162312</v>
      </c>
      <c r="Q65" s="2">
        <f>Q10*'Output-Calculation-sheet'!Q54/10^9</f>
        <v>0.77297829081549274</v>
      </c>
      <c r="R65" s="2">
        <f>R10*'Output-Calculation-sheet'!R54/10^9</f>
        <v>0.5910377524783087</v>
      </c>
      <c r="S65" s="2">
        <f>S10*'Output-Calculation-sheet'!S54/10^9</f>
        <v>0.56360711111128159</v>
      </c>
      <c r="T65" s="2">
        <f>T10*'Output-Calculation-sheet'!T54/10^9</f>
        <v>0.18316333333601445</v>
      </c>
      <c r="U65" s="2">
        <f>U10*'Output-Calculation-sheet'!U54/10^9</f>
        <v>0.1800513885272583</v>
      </c>
      <c r="V65" s="2">
        <f>V10*'Output-Calculation-sheet'!V54/10^9</f>
        <v>0.15192844738168226</v>
      </c>
      <c r="W65" s="2">
        <f>W10*'Output-Calculation-sheet'!W54/10^9</f>
        <v>7.9217669237712535E-2</v>
      </c>
      <c r="X65" s="2">
        <f>X10*'Output-Calculation-sheet'!X54/10^9</f>
        <v>0.14433414341632891</v>
      </c>
      <c r="Y65" s="2">
        <f>Y10*'Output-Calculation-sheet'!Y54/10^9</f>
        <v>7.2311737790354561E-2</v>
      </c>
      <c r="AA65" s="2">
        <f t="shared" si="4"/>
        <v>31.942331368105975</v>
      </c>
    </row>
    <row r="66" spans="1:27" x14ac:dyDescent="0.25">
      <c r="A66" s="2">
        <v>2034</v>
      </c>
      <c r="B66" s="2">
        <f>B11*'Output-Calculation-sheet'!B55/10^9</f>
        <v>8.6838522803016254</v>
      </c>
      <c r="C66" s="2">
        <f>C11*'Output-Calculation-sheet'!C55/10^9</f>
        <v>5.3457580936132736</v>
      </c>
      <c r="D66" s="2">
        <f>D11*'Output-Calculation-sheet'!D55/10^9</f>
        <v>1.8888144357173007</v>
      </c>
      <c r="E66" s="2">
        <f>E11*'Output-Calculation-sheet'!E55/10^9</f>
        <v>2.2629743103294087</v>
      </c>
      <c r="F66" s="2">
        <f>F11*'Output-Calculation-sheet'!F55/10^9</f>
        <v>0.87897978471749827</v>
      </c>
      <c r="G66" s="2">
        <f>G11*'Output-Calculation-sheet'!G55/10^9</f>
        <v>0.61993089986485717</v>
      </c>
      <c r="H66" s="2">
        <f>H11*'Output-Calculation-sheet'!H55/10^9</f>
        <v>1.5671408734226775</v>
      </c>
      <c r="I66" s="2">
        <f>I11*'Output-Calculation-sheet'!I55/10^9</f>
        <v>0.60810759982030882</v>
      </c>
      <c r="J66" s="2">
        <f>J11*'Output-Calculation-sheet'!J55/10^9</f>
        <v>0.63032620314626586</v>
      </c>
      <c r="K66" s="2">
        <f>K11*'Output-Calculation-sheet'!K55/10^9</f>
        <v>0.75716569889472285</v>
      </c>
      <c r="L66" s="2">
        <f>L11*'Output-Calculation-sheet'!L55/10^9</f>
        <v>0.77876733431540091</v>
      </c>
      <c r="M66" s="2">
        <f>M11*'Output-Calculation-sheet'!M55/10^9</f>
        <v>1.1588038664488498</v>
      </c>
      <c r="N66" s="2">
        <f>N11*'Output-Calculation-sheet'!N55/10^9</f>
        <v>1.0177361553961131</v>
      </c>
      <c r="O66" s="2">
        <f>O11*'Output-Calculation-sheet'!O55/10^9</f>
        <v>1.1188744254842409</v>
      </c>
      <c r="P66" s="2">
        <f>P11*'Output-Calculation-sheet'!P55/10^9</f>
        <v>0.68090695017642355</v>
      </c>
      <c r="Q66" s="2">
        <f>Q11*'Output-Calculation-sheet'!Q55/10^9</f>
        <v>0.74324250421597982</v>
      </c>
      <c r="R66" s="2">
        <f>R11*'Output-Calculation-sheet'!R55/10^9</f>
        <v>0.56690494947705328</v>
      </c>
      <c r="S66" s="2">
        <f>S11*'Output-Calculation-sheet'!S55/10^9</f>
        <v>0.53909170652652594</v>
      </c>
      <c r="T66" s="2">
        <f>T11*'Output-Calculation-sheet'!T55/10^9</f>
        <v>0.17561101409960311</v>
      </c>
      <c r="U66" s="2">
        <f>U11*'Output-Calculation-sheet'!U55/10^9</f>
        <v>0.17331475373271069</v>
      </c>
      <c r="V66" s="2">
        <f>V11*'Output-Calculation-sheet'!V55/10^9</f>
        <v>0.14554410609027493</v>
      </c>
      <c r="W66" s="2">
        <f>W11*'Output-Calculation-sheet'!W55/10^9</f>
        <v>7.6334756597412526E-2</v>
      </c>
      <c r="X66" s="2">
        <f>X11*'Output-Calculation-sheet'!X55/10^9</f>
        <v>0.13617969818808845</v>
      </c>
      <c r="Y66" s="2">
        <f>Y11*'Output-Calculation-sheet'!Y55/10^9</f>
        <v>6.9766997079258736E-2</v>
      </c>
      <c r="AA66" s="2">
        <f t="shared" si="4"/>
        <v>30.624129397655871</v>
      </c>
    </row>
    <row r="67" spans="1:27" x14ac:dyDescent="0.25">
      <c r="A67" s="2">
        <v>2035</v>
      </c>
      <c r="B67" s="2">
        <f>B12*'Output-Calculation-sheet'!B56/10^9</f>
        <v>7.9591618856205759</v>
      </c>
      <c r="C67" s="2">
        <f>C12*'Output-Calculation-sheet'!C56/10^9</f>
        <v>4.9164105662810824</v>
      </c>
      <c r="D67" s="2">
        <f>D12*'Output-Calculation-sheet'!D56/10^9</f>
        <v>1.739045611486898</v>
      </c>
      <c r="E67" s="2">
        <f>E12*'Output-Calculation-sheet'!E56/10^9</f>
        <v>2.0852651510595521</v>
      </c>
      <c r="F67" s="2">
        <f>F12*'Output-Calculation-sheet'!F56/10^9</f>
        <v>0.81023512256269348</v>
      </c>
      <c r="G67" s="2">
        <f>G12*'Output-Calculation-sheet'!G56/10^9</f>
        <v>0.57112172620505708</v>
      </c>
      <c r="H67" s="2">
        <f>H12*'Output-Calculation-sheet'!H56/10^9</f>
        <v>1.4085890384077513</v>
      </c>
      <c r="I67" s="2">
        <f>I12*'Output-Calculation-sheet'!I56/10^9</f>
        <v>0.56052885880336267</v>
      </c>
      <c r="J67" s="2">
        <f>J12*'Output-Calculation-sheet'!J56/10^9</f>
        <v>0.5801073833935757</v>
      </c>
      <c r="K67" s="2">
        <f>K12*'Output-Calculation-sheet'!K56/10^9</f>
        <v>0.69575481636722125</v>
      </c>
      <c r="L67" s="2">
        <f>L12*'Output-Calculation-sheet'!L56/10^9</f>
        <v>0.71118678785973344</v>
      </c>
      <c r="M67" s="2">
        <f>M12*'Output-Calculation-sheet'!M56/10^9</f>
        <v>1.0401836847618806</v>
      </c>
      <c r="N67" s="2">
        <f>N12*'Output-Calculation-sheet'!N56/10^9</f>
        <v>0.91913251413737618</v>
      </c>
      <c r="O67" s="2">
        <f>O12*'Output-Calculation-sheet'!O56/10^9</f>
        <v>1.0285135390200604</v>
      </c>
      <c r="P67" s="2">
        <f>P12*'Output-Calculation-sheet'!P56/10^9</f>
        <v>0.62622909429672957</v>
      </c>
      <c r="Q67" s="2">
        <f>Q12*'Output-Calculation-sheet'!Q56/10^9</f>
        <v>0.68236537310937584</v>
      </c>
      <c r="R67" s="2">
        <f>R12*'Output-Calculation-sheet'!R56/10^9</f>
        <v>0.52013469325797423</v>
      </c>
      <c r="S67" s="2">
        <f>S12*'Output-Calculation-sheet'!S56/10^9</f>
        <v>0.49189306998834426</v>
      </c>
      <c r="T67" s="2">
        <f>T12*'Output-Calculation-sheet'!T56/10^9</f>
        <v>0.16101546438080741</v>
      </c>
      <c r="U67" s="2">
        <f>U12*'Output-Calculation-sheet'!U56/10^9</f>
        <v>0.15955580595941332</v>
      </c>
      <c r="V67" s="2">
        <f>V12*'Output-Calculation-sheet'!V56/10^9</f>
        <v>0.13334371777551413</v>
      </c>
      <c r="W67" s="2">
        <f>W12*'Output-Calculation-sheet'!W56/10^9</f>
        <v>7.0351000740113953E-2</v>
      </c>
      <c r="X67" s="2">
        <f>X12*'Output-Calculation-sheet'!X56/10^9</f>
        <v>0.12276483522818062</v>
      </c>
      <c r="Y67" s="2">
        <f>Y12*'Output-Calculation-sheet'!Y56/10^9</f>
        <v>6.438124572053347E-2</v>
      </c>
      <c r="AA67" s="2">
        <f t="shared" si="4"/>
        <v>28.057270986423806</v>
      </c>
    </row>
    <row r="68" spans="1:27" x14ac:dyDescent="0.25">
      <c r="B68" s="2">
        <f>SUM(B60:B67)</f>
        <v>59.624344823762897</v>
      </c>
      <c r="C68" s="2">
        <f t="shared" ref="C68:Y68" si="5">SUM(C60:C67)</f>
        <v>36.647658989369603</v>
      </c>
      <c r="D68" s="2">
        <f t="shared" si="5"/>
        <v>12.941111827882365</v>
      </c>
      <c r="E68" s="2">
        <f t="shared" si="5"/>
        <v>15.487241045571249</v>
      </c>
      <c r="F68" s="2">
        <f t="shared" si="5"/>
        <v>6.0146986254003387</v>
      </c>
      <c r="G68" s="2">
        <f t="shared" si="5"/>
        <v>4.2425917626582743</v>
      </c>
      <c r="H68" s="2">
        <f t="shared" si="5"/>
        <v>11.056262596338659</v>
      </c>
      <c r="I68" s="2">
        <f t="shared" si="5"/>
        <v>4.1584920007004031</v>
      </c>
      <c r="J68" s="2">
        <f t="shared" si="5"/>
        <v>4.3249048834117092</v>
      </c>
      <c r="K68" s="2">
        <f t="shared" si="5"/>
        <v>5.2141280843724376</v>
      </c>
      <c r="L68" s="2">
        <f t="shared" si="5"/>
        <v>5.4148668548608638</v>
      </c>
      <c r="M68" s="2">
        <f t="shared" si="5"/>
        <v>8.384895347300489</v>
      </c>
      <c r="N68" s="2">
        <f t="shared" si="5"/>
        <v>7.2061626965404555</v>
      </c>
      <c r="O68" s="2">
        <f t="shared" si="5"/>
        <v>7.6699772307531937</v>
      </c>
      <c r="P68" s="2">
        <f t="shared" si="5"/>
        <v>4.6768967457898141</v>
      </c>
      <c r="Q68" s="2">
        <f t="shared" si="5"/>
        <v>5.0919096309419212</v>
      </c>
      <c r="R68" s="2">
        <f t="shared" si="5"/>
        <v>3.9269056689292041</v>
      </c>
      <c r="S68" s="2">
        <f t="shared" si="5"/>
        <v>3.7189547254651973</v>
      </c>
      <c r="T68" s="2">
        <f t="shared" si="5"/>
        <v>1.2164839597682748</v>
      </c>
      <c r="U68" s="2">
        <f t="shared" si="5"/>
        <v>1.1877925664808993</v>
      </c>
      <c r="V68" s="2">
        <f t="shared" si="5"/>
        <v>1.0118109723883375</v>
      </c>
      <c r="W68" s="2">
        <f t="shared" si="5"/>
        <v>0.52225866303356427</v>
      </c>
      <c r="X68" s="2">
        <f t="shared" si="5"/>
        <v>0.96329506308636603</v>
      </c>
      <c r="Y68" s="2">
        <f t="shared" si="5"/>
        <v>0.47612639381462984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si="6"/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489.53562698626178</v>
      </c>
      <c r="C74" s="2">
        <f>C8/'Output-Calculation-sheet'!C7*'Output-Calculation-sheet'!C61</f>
        <v>0</v>
      </c>
      <c r="D74" s="2">
        <f>D8/'Output-Calculation-sheet'!D7*'Output-Calculation-sheet'!D61</f>
        <v>801.0799950227572</v>
      </c>
      <c r="E74" s="2">
        <f>E8/'Output-Calculation-sheet'!E7*'Output-Calculation-sheet'!E61</f>
        <v>594.52440469347493</v>
      </c>
      <c r="F74" s="2">
        <f>F8/'Output-Calculation-sheet'!F7*'Output-Calculation-sheet'!F61</f>
        <v>0</v>
      </c>
      <c r="G74" s="2">
        <f>G8/'Output-Calculation-sheet'!G7*'Output-Calculation-sheet'!G61</f>
        <v>270.70384082114197</v>
      </c>
      <c r="H74" s="2">
        <f>H8/'Output-Calculation-sheet'!H7*'Output-Calculation-sheet'!H61</f>
        <v>1300.1024610240545</v>
      </c>
      <c r="I74" s="2">
        <f>I8/'Output-Calculation-sheet'!I7*'Output-Calculation-sheet'!I61</f>
        <v>95.441054320673572</v>
      </c>
      <c r="J74" s="2">
        <f>J8/'Output-Calculation-sheet'!J7*'Output-Calculation-sheet'!J61</f>
        <v>397.91429255502646</v>
      </c>
      <c r="K74" s="2">
        <f>K8/'Output-Calculation-sheet'!K7*'Output-Calculation-sheet'!K61</f>
        <v>668.26480368667069</v>
      </c>
      <c r="L74" s="2">
        <f>L8/'Output-Calculation-sheet'!L7*'Output-Calculation-sheet'!L61</f>
        <v>579.77530050537416</v>
      </c>
      <c r="M74" s="2">
        <f>M8/'Output-Calculation-sheet'!M7*'Output-Calculation-sheet'!M61</f>
        <v>2903.5801809560871</v>
      </c>
      <c r="N74" s="2">
        <f>N8/'Output-Calculation-sheet'!N7*'Output-Calculation-sheet'!N61</f>
        <v>1637.7645835932356</v>
      </c>
      <c r="O74" s="2">
        <f>O8/'Output-Calculation-sheet'!O7*'Output-Calculation-sheet'!O61</f>
        <v>0</v>
      </c>
      <c r="P74" s="2">
        <f>P8/'Output-Calculation-sheet'!P7*'Output-Calculation-sheet'!P61</f>
        <v>462.87347545076437</v>
      </c>
      <c r="Q74" s="2">
        <f>Q8/'Output-Calculation-sheet'!Q7*'Output-Calculation-sheet'!Q61</f>
        <v>122.02924279023327</v>
      </c>
      <c r="R74" s="2">
        <f>R8/'Output-Calculation-sheet'!R7*'Output-Calculation-sheet'!R61</f>
        <v>804.98039064219938</v>
      </c>
      <c r="S74" s="2">
        <f>S8/'Output-Calculation-sheet'!S7*'Output-Calculation-sheet'!S61</f>
        <v>142.44662560246186</v>
      </c>
      <c r="T74" s="2">
        <f>T8/'Output-Calculation-sheet'!T7*'Output-Calculation-sheet'!T61</f>
        <v>272.63110067962896</v>
      </c>
      <c r="U74" s="2">
        <f>U8/'Output-Calculation-sheet'!U7*'Output-Calculation-sheet'!U61</f>
        <v>108.01957380277017</v>
      </c>
      <c r="V74" s="2">
        <f>V8/'Output-Calculation-sheet'!V7*'Output-Calculation-sheet'!V61</f>
        <v>189.73454887112484</v>
      </c>
      <c r="W74" s="2">
        <f>W8/'Output-Calculation-sheet'!W7*'Output-Calculation-sheet'!W61</f>
        <v>4.5142542161207091</v>
      </c>
      <c r="X74" s="2">
        <f>X8/'Output-Calculation-sheet'!X7*'Output-Calculation-sheet'!X61</f>
        <v>162.13638309798975</v>
      </c>
      <c r="Y74" s="2">
        <f>Y8/'Output-Calculation-sheet'!Y7*'Output-Calculation-sheet'!Y61</f>
        <v>0</v>
      </c>
      <c r="AA74" s="2">
        <f t="shared" si="6"/>
        <v>12.008052139318053</v>
      </c>
    </row>
    <row r="75" spans="1:27" x14ac:dyDescent="0.25">
      <c r="A75" s="2">
        <v>2032</v>
      </c>
      <c r="B75" s="2">
        <f>B9/'Output-Calculation-sheet'!B8*'Output-Calculation-sheet'!B62</f>
        <v>1307.0060142342727</v>
      </c>
      <c r="C75" s="2">
        <f>C9/'Output-Calculation-sheet'!C8*'Output-Calculation-sheet'!C62</f>
        <v>0</v>
      </c>
      <c r="D75" s="2">
        <f>D9/'Output-Calculation-sheet'!D8*'Output-Calculation-sheet'!D62</f>
        <v>1069.1351008147026</v>
      </c>
      <c r="E75" s="2">
        <f>E9/'Output-Calculation-sheet'!E8*'Output-Calculation-sheet'!E62</f>
        <v>751.82775030993992</v>
      </c>
      <c r="F75" s="2">
        <f>F9/'Output-Calculation-sheet'!F8*'Output-Calculation-sheet'!F62</f>
        <v>0</v>
      </c>
      <c r="G75" s="2">
        <f>G9/'Output-Calculation-sheet'!G8*'Output-Calculation-sheet'!G62</f>
        <v>347.36874321456071</v>
      </c>
      <c r="H75" s="2">
        <f>H9/'Output-Calculation-sheet'!H8*'Output-Calculation-sheet'!H62</f>
        <v>2452.3256748870258</v>
      </c>
      <c r="I75" s="2">
        <f>I9/'Output-Calculation-sheet'!I8*'Output-Calculation-sheet'!I62</f>
        <v>148.5336763691175</v>
      </c>
      <c r="J75" s="2">
        <f>J9/'Output-Calculation-sheet'!J8*'Output-Calculation-sheet'!J62</f>
        <v>486.82819078198065</v>
      </c>
      <c r="K75" s="2">
        <f>K9/'Output-Calculation-sheet'!K8*'Output-Calculation-sheet'!K62</f>
        <v>763.50304225710545</v>
      </c>
      <c r="L75" s="2">
        <f>L9/'Output-Calculation-sheet'!L8*'Output-Calculation-sheet'!L62</f>
        <v>662.99352785247004</v>
      </c>
      <c r="M75" s="2">
        <f>M9/'Output-Calculation-sheet'!M8*'Output-Calculation-sheet'!M62</f>
        <v>3192.1620854001267</v>
      </c>
      <c r="N75" s="2">
        <f>N9/'Output-Calculation-sheet'!N8*'Output-Calculation-sheet'!N62</f>
        <v>2063.4363319171407</v>
      </c>
      <c r="O75" s="2">
        <f>O9/'Output-Calculation-sheet'!O8*'Output-Calculation-sheet'!O62</f>
        <v>0</v>
      </c>
      <c r="P75" s="2">
        <f>P9/'Output-Calculation-sheet'!P8*'Output-Calculation-sheet'!P62</f>
        <v>569.41692908629864</v>
      </c>
      <c r="Q75" s="2">
        <f>Q9/'Output-Calculation-sheet'!Q8*'Output-Calculation-sheet'!Q62</f>
        <v>201.95383465879254</v>
      </c>
      <c r="R75" s="2">
        <f>R9/'Output-Calculation-sheet'!R8*'Output-Calculation-sheet'!R62</f>
        <v>906.51723521345878</v>
      </c>
      <c r="S75" s="2">
        <f>S9/'Output-Calculation-sheet'!S8*'Output-Calculation-sheet'!S62</f>
        <v>262.47543134057406</v>
      </c>
      <c r="T75" s="2">
        <f>T9/'Output-Calculation-sheet'!T8*'Output-Calculation-sheet'!T62</f>
        <v>303.49916735491308</v>
      </c>
      <c r="U75" s="2">
        <f>U9/'Output-Calculation-sheet'!U8*'Output-Calculation-sheet'!U62</f>
        <v>141.18871474869931</v>
      </c>
      <c r="V75" s="2">
        <f>V9/'Output-Calculation-sheet'!V8*'Output-Calculation-sheet'!V62</f>
        <v>210.57642611047083</v>
      </c>
      <c r="W75" s="2">
        <f>W9/'Output-Calculation-sheet'!W8*'Output-Calculation-sheet'!W62</f>
        <v>11.47308828071032</v>
      </c>
      <c r="X75" s="2">
        <f>X9/'Output-Calculation-sheet'!X8*'Output-Calculation-sheet'!X62</f>
        <v>302.45666240649132</v>
      </c>
      <c r="Y75" s="2">
        <f>Y9/'Output-Calculation-sheet'!Y8*'Output-Calculation-sheet'!Y62</f>
        <v>0</v>
      </c>
      <c r="AA75" s="2">
        <f t="shared" si="6"/>
        <v>16.154677627238854</v>
      </c>
    </row>
    <row r="76" spans="1:27" x14ac:dyDescent="0.25">
      <c r="A76" s="2">
        <v>2033</v>
      </c>
      <c r="B76" s="2">
        <f>B10/'Output-Calculation-sheet'!B9*'Output-Calculation-sheet'!B63</f>
        <v>2408.518218441377</v>
      </c>
      <c r="C76" s="2">
        <f>C10/'Output-Calculation-sheet'!C9*'Output-Calculation-sheet'!C63</f>
        <v>0</v>
      </c>
      <c r="D76" s="2">
        <f>D10/'Output-Calculation-sheet'!D9*'Output-Calculation-sheet'!D63</f>
        <v>1287.8213773033206</v>
      </c>
      <c r="E76" s="2">
        <f>E10/'Output-Calculation-sheet'!E9*'Output-Calculation-sheet'!E63</f>
        <v>955.48577392665322</v>
      </c>
      <c r="F76" s="2">
        <f>F10/'Output-Calculation-sheet'!F9*'Output-Calculation-sheet'!F63</f>
        <v>0</v>
      </c>
      <c r="G76" s="2">
        <f>G10/'Output-Calculation-sheet'!G9*'Output-Calculation-sheet'!G63</f>
        <v>428.51483779159253</v>
      </c>
      <c r="H76" s="2">
        <f>H10/'Output-Calculation-sheet'!H9*'Output-Calculation-sheet'!H63</f>
        <v>4394.5707937483439</v>
      </c>
      <c r="I76" s="2">
        <f>I10/'Output-Calculation-sheet'!I9*'Output-Calculation-sheet'!I63</f>
        <v>198.83065704638224</v>
      </c>
      <c r="J76" s="2">
        <f>J10/'Output-Calculation-sheet'!J9*'Output-Calculation-sheet'!J63</f>
        <v>598.21693593309499</v>
      </c>
      <c r="K76" s="2">
        <f>K10/'Output-Calculation-sheet'!K9*'Output-Calculation-sheet'!K63</f>
        <v>825.62480368311697</v>
      </c>
      <c r="L76" s="2">
        <f>L10/'Output-Calculation-sheet'!L9*'Output-Calculation-sheet'!L63</f>
        <v>764.1968873855435</v>
      </c>
      <c r="M76" s="2">
        <f>M10/'Output-Calculation-sheet'!M9*'Output-Calculation-sheet'!M63</f>
        <v>3286.7868588861502</v>
      </c>
      <c r="N76" s="2">
        <f>N10/'Output-Calculation-sheet'!N9*'Output-Calculation-sheet'!N63</f>
        <v>2234.6226475747258</v>
      </c>
      <c r="O76" s="2">
        <f>O10/'Output-Calculation-sheet'!O9*'Output-Calculation-sheet'!O63</f>
        <v>0</v>
      </c>
      <c r="P76" s="2">
        <f>P10/'Output-Calculation-sheet'!P9*'Output-Calculation-sheet'!P63</f>
        <v>645.75632656770972</v>
      </c>
      <c r="Q76" s="2">
        <f>Q10/'Output-Calculation-sheet'!Q9*'Output-Calculation-sheet'!Q63</f>
        <v>283.83912694367268</v>
      </c>
      <c r="R76" s="2">
        <f>R10/'Output-Calculation-sheet'!R9*'Output-Calculation-sheet'!R63</f>
        <v>943.44224532469116</v>
      </c>
      <c r="S76" s="2">
        <f>S10/'Output-Calculation-sheet'!S9*'Output-Calculation-sheet'!S63</f>
        <v>399.89358466634968</v>
      </c>
      <c r="T76" s="2">
        <f>T10/'Output-Calculation-sheet'!T9*'Output-Calculation-sheet'!T63</f>
        <v>331.32868547860716</v>
      </c>
      <c r="U76" s="2">
        <f>U10/'Output-Calculation-sheet'!U9*'Output-Calculation-sheet'!U63</f>
        <v>162.47630868354219</v>
      </c>
      <c r="V76" s="2">
        <f>V10/'Output-Calculation-sheet'!V9*'Output-Calculation-sheet'!V63</f>
        <v>216.19851480192142</v>
      </c>
      <c r="W76" s="2">
        <f>W10/'Output-Calculation-sheet'!W9*'Output-Calculation-sheet'!W63</f>
        <v>15.07036226670291</v>
      </c>
      <c r="X76" s="2">
        <f>X10/'Output-Calculation-sheet'!X9*'Output-Calculation-sheet'!X63</f>
        <v>313.65011881839251</v>
      </c>
      <c r="Y76" s="2">
        <f>Y10/'Output-Calculation-sheet'!Y9*'Output-Calculation-sheet'!Y63</f>
        <v>4.8323842656260174</v>
      </c>
      <c r="AA76" s="2">
        <f t="shared" si="6"/>
        <v>20.699677449537511</v>
      </c>
    </row>
    <row r="77" spans="1:27" x14ac:dyDescent="0.25">
      <c r="A77" s="2">
        <v>2034</v>
      </c>
      <c r="B77" s="2">
        <f>B11/'Output-Calculation-sheet'!B10*'Output-Calculation-sheet'!B64</f>
        <v>4034.2125579343306</v>
      </c>
      <c r="C77" s="2">
        <f>C11/'Output-Calculation-sheet'!C10*'Output-Calculation-sheet'!C64</f>
        <v>0</v>
      </c>
      <c r="D77" s="2">
        <f>D11/'Output-Calculation-sheet'!D10*'Output-Calculation-sheet'!D64</f>
        <v>1432.8902213744777</v>
      </c>
      <c r="E77" s="2">
        <f>E11/'Output-Calculation-sheet'!E10*'Output-Calculation-sheet'!E64</f>
        <v>1002.483080569238</v>
      </c>
      <c r="F77" s="2">
        <f>F11/'Output-Calculation-sheet'!F10*'Output-Calculation-sheet'!F64</f>
        <v>0</v>
      </c>
      <c r="G77" s="2">
        <f>G11/'Output-Calculation-sheet'!G10*'Output-Calculation-sheet'!G64</f>
        <v>465.65256018754229</v>
      </c>
      <c r="H77" s="2">
        <f>H11/'Output-Calculation-sheet'!H10*'Output-Calculation-sheet'!H64</f>
        <v>4361.5485016890216</v>
      </c>
      <c r="I77" s="2">
        <f>I11/'Output-Calculation-sheet'!I10*'Output-Calculation-sheet'!I64</f>
        <v>247.1031745751016</v>
      </c>
      <c r="J77" s="2">
        <f>J11/'Output-Calculation-sheet'!J10*'Output-Calculation-sheet'!J64</f>
        <v>623.84870260524531</v>
      </c>
      <c r="K77" s="2">
        <f>K11/'Output-Calculation-sheet'!K10*'Output-Calculation-sheet'!K64</f>
        <v>878.14118321965111</v>
      </c>
      <c r="L77" s="2">
        <f>L11/'Output-Calculation-sheet'!L10*'Output-Calculation-sheet'!L64</f>
        <v>770.64466371820822</v>
      </c>
      <c r="M77" s="2">
        <f>M11/'Output-Calculation-sheet'!M10*'Output-Calculation-sheet'!M64</f>
        <v>3264.1365749195247</v>
      </c>
      <c r="N77" s="2">
        <f>N11/'Output-Calculation-sheet'!N10*'Output-Calculation-sheet'!N64</f>
        <v>2295.5498618352685</v>
      </c>
      <c r="O77" s="2">
        <f>O11/'Output-Calculation-sheet'!O10*'Output-Calculation-sheet'!O64</f>
        <v>0</v>
      </c>
      <c r="P77" s="2">
        <f>P11/'Output-Calculation-sheet'!P10*'Output-Calculation-sheet'!P64</f>
        <v>671.59883177184713</v>
      </c>
      <c r="Q77" s="2">
        <f>Q11/'Output-Calculation-sheet'!Q10*'Output-Calculation-sheet'!Q64</f>
        <v>410.27258568734487</v>
      </c>
      <c r="R77" s="2">
        <f>R11/'Output-Calculation-sheet'!R10*'Output-Calculation-sheet'!R64</f>
        <v>945.4511741894064</v>
      </c>
      <c r="S77" s="2">
        <f>S11/'Output-Calculation-sheet'!S10*'Output-Calculation-sheet'!S64</f>
        <v>556.98649769555414</v>
      </c>
      <c r="T77" s="2">
        <f>T11/'Output-Calculation-sheet'!T10*'Output-Calculation-sheet'!T64</f>
        <v>333.24112926239769</v>
      </c>
      <c r="U77" s="2">
        <f>U11/'Output-Calculation-sheet'!U10*'Output-Calculation-sheet'!U64</f>
        <v>173.45613434246724</v>
      </c>
      <c r="V77" s="2">
        <f>V11/'Output-Calculation-sheet'!V10*'Output-Calculation-sheet'!V64</f>
        <v>221.5829875339347</v>
      </c>
      <c r="W77" s="2">
        <f>W11/'Output-Calculation-sheet'!W10*'Output-Calculation-sheet'!W64</f>
        <v>22.730927242878685</v>
      </c>
      <c r="X77" s="2">
        <f>X11/'Output-Calculation-sheet'!X10*'Output-Calculation-sheet'!X64</f>
        <v>306.63855254724655</v>
      </c>
      <c r="Y77" s="2">
        <f>Y11/'Output-Calculation-sheet'!Y10*'Output-Calculation-sheet'!Y64</f>
        <v>7.1521654055274571</v>
      </c>
      <c r="AA77" s="2">
        <f t="shared" si="6"/>
        <v>23.02532206830622</v>
      </c>
    </row>
    <row r="78" spans="1:27" x14ac:dyDescent="0.25">
      <c r="A78" s="2">
        <v>2035</v>
      </c>
      <c r="B78" s="2">
        <f>B12/'Output-Calculation-sheet'!B11*'Output-Calculation-sheet'!B65</f>
        <v>5636.6167855027279</v>
      </c>
      <c r="C78" s="2">
        <f>C12/'Output-Calculation-sheet'!C11*'Output-Calculation-sheet'!C65</f>
        <v>465.20809856778953</v>
      </c>
      <c r="D78" s="2">
        <f>D12/'Output-Calculation-sheet'!D11*'Output-Calculation-sheet'!D65</f>
        <v>1454.5225799457091</v>
      </c>
      <c r="E78" s="2">
        <f>E12/'Output-Calculation-sheet'!E11*'Output-Calculation-sheet'!E65</f>
        <v>1138.8222532214013</v>
      </c>
      <c r="F78" s="2">
        <f>F12/'Output-Calculation-sheet'!F11*'Output-Calculation-sheet'!F65</f>
        <v>51.494764712113167</v>
      </c>
      <c r="G78" s="2">
        <f>G12/'Output-Calculation-sheet'!G11*'Output-Calculation-sheet'!G65</f>
        <v>478.35504771882592</v>
      </c>
      <c r="H78" s="2">
        <f>H12/'Output-Calculation-sheet'!H11*'Output-Calculation-sheet'!H65</f>
        <v>4124.5867130633496</v>
      </c>
      <c r="I78" s="2">
        <f>I12/'Output-Calculation-sheet'!I11*'Output-Calculation-sheet'!I65</f>
        <v>261.17570059928647</v>
      </c>
      <c r="J78" s="2">
        <f>J12/'Output-Calculation-sheet'!J11*'Output-Calculation-sheet'!J65</f>
        <v>624.98740435487207</v>
      </c>
      <c r="K78" s="2">
        <f>K12/'Output-Calculation-sheet'!K11*'Output-Calculation-sheet'!K65</f>
        <v>841.19133386335295</v>
      </c>
      <c r="L78" s="2">
        <f>L12/'Output-Calculation-sheet'!L11*'Output-Calculation-sheet'!L65</f>
        <v>760.30553306326203</v>
      </c>
      <c r="M78" s="2">
        <f>M12/'Output-Calculation-sheet'!M11*'Output-Calculation-sheet'!M65</f>
        <v>3090.9011435318257</v>
      </c>
      <c r="N78" s="2">
        <f>N12/'Output-Calculation-sheet'!N11*'Output-Calculation-sheet'!N65</f>
        <v>2242.8037454001869</v>
      </c>
      <c r="O78" s="2">
        <f>O12/'Output-Calculation-sheet'!O11*'Output-Calculation-sheet'!O65</f>
        <v>226.16969512150322</v>
      </c>
      <c r="P78" s="2">
        <f>P12/'Output-Calculation-sheet'!P11*'Output-Calculation-sheet'!P65</f>
        <v>641.27317412910224</v>
      </c>
      <c r="Q78" s="2">
        <f>Q12/'Output-Calculation-sheet'!Q11*'Output-Calculation-sheet'!Q65</f>
        <v>476.73323690169343</v>
      </c>
      <c r="R78" s="2">
        <f>R12/'Output-Calculation-sheet'!R11*'Output-Calculation-sheet'!R65</f>
        <v>893.1097693840353</v>
      </c>
      <c r="S78" s="2">
        <f>S12/'Output-Calculation-sheet'!S11*'Output-Calculation-sheet'!S65</f>
        <v>653.24337789966876</v>
      </c>
      <c r="T78" s="2">
        <f>T12/'Output-Calculation-sheet'!T11*'Output-Calculation-sheet'!T65</f>
        <v>322.35297464516583</v>
      </c>
      <c r="U78" s="2">
        <f>U12/'Output-Calculation-sheet'!U11*'Output-Calculation-sheet'!U65</f>
        <v>173.66856357409367</v>
      </c>
      <c r="V78" s="2">
        <f>V12/'Output-Calculation-sheet'!V11*'Output-Calculation-sheet'!V65</f>
        <v>211.38775773265002</v>
      </c>
      <c r="W78" s="2">
        <f>W12/'Output-Calculation-sheet'!W11*'Output-Calculation-sheet'!W65</f>
        <v>26.355023973045302</v>
      </c>
      <c r="X78" s="2">
        <f>X12/'Output-Calculation-sheet'!X11*'Output-Calculation-sheet'!X65</f>
        <v>292.21967037914345</v>
      </c>
      <c r="Y78" s="2">
        <f>Y12/'Output-Calculation-sheet'!Y11*'Output-Calculation-sheet'!Y65</f>
        <v>9.3260328657952414</v>
      </c>
      <c r="AA78" s="2">
        <f t="shared" si="6"/>
        <v>25.096810380150597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 t="shared" ref="AA93:AA100" si="8"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si="8"/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12824093994.261732</v>
      </c>
      <c r="C96" s="2">
        <f>C8/'Output-Calculation-sheet'!C7*'Output-Calculation-sheet'!C79</f>
        <v>1248285241.4030044</v>
      </c>
      <c r="D96" s="2">
        <f>D8/'Output-Calculation-sheet'!D7*'Output-Calculation-sheet'!D79</f>
        <v>3286701529.8304939</v>
      </c>
      <c r="E96" s="2">
        <f>E8/'Output-Calculation-sheet'!E7*'Output-Calculation-sheet'!E79</f>
        <v>11831162163.787931</v>
      </c>
      <c r="F96" s="2">
        <f>F8/'Output-Calculation-sheet'!F7*'Output-Calculation-sheet'!F79</f>
        <v>3606483276.1985946</v>
      </c>
      <c r="G96" s="2">
        <f>G8/'Output-Calculation-sheet'!G7*'Output-Calculation-sheet'!G79</f>
        <v>2231171354.4551511</v>
      </c>
      <c r="H96" s="2">
        <f>H8/'Output-Calculation-sheet'!H7*'Output-Calculation-sheet'!H79</f>
        <v>1496904926.0168638</v>
      </c>
      <c r="I96" s="2">
        <f>I8/'Output-Calculation-sheet'!I7*'Output-Calculation-sheet'!I79</f>
        <v>1603583434.037884</v>
      </c>
      <c r="J96" s="2">
        <f>J8/'Output-Calculation-sheet'!J7*'Output-Calculation-sheet'!J79</f>
        <v>1303517049.5681486</v>
      </c>
      <c r="K96" s="2">
        <f>K8/'Output-Calculation-sheet'!K7*'Output-Calculation-sheet'!K79</f>
        <v>1594285325.5082314</v>
      </c>
      <c r="L96" s="2">
        <f>L8/'Output-Calculation-sheet'!L7*'Output-Calculation-sheet'!L79</f>
        <v>1533236855.265497</v>
      </c>
      <c r="M96" s="2">
        <f>M8/'Output-Calculation-sheet'!M7*'Output-Calculation-sheet'!M79</f>
        <v>2108016273.081563</v>
      </c>
      <c r="N96" s="2">
        <f>N8/'Output-Calculation-sheet'!N7*'Output-Calculation-sheet'!N79</f>
        <v>1321588565.2974477</v>
      </c>
      <c r="O96" s="2">
        <f>O8/'Output-Calculation-sheet'!O7*'Output-Calculation-sheet'!O79</f>
        <v>164745265.76356915</v>
      </c>
      <c r="P96" s="2">
        <f>P8/'Output-Calculation-sheet'!P7*'Output-Calculation-sheet'!P79</f>
        <v>2379409151.235271</v>
      </c>
      <c r="Q96" s="2">
        <f>Q8/'Output-Calculation-sheet'!Q7*'Output-Calculation-sheet'!Q79</f>
        <v>995729121.28815353</v>
      </c>
      <c r="R96" s="2">
        <f>R8/'Output-Calculation-sheet'!R7*'Output-Calculation-sheet'!R79</f>
        <v>1563347254.0841377</v>
      </c>
      <c r="S96" s="2">
        <f>S8/'Output-Calculation-sheet'!S7*'Output-Calculation-sheet'!S79</f>
        <v>606062329.44790268</v>
      </c>
      <c r="T96" s="2">
        <f>T8/'Output-Calculation-sheet'!T7*'Output-Calculation-sheet'!T79</f>
        <v>551609469.33296859</v>
      </c>
      <c r="U96" s="2">
        <f>U8/'Output-Calculation-sheet'!U7*'Output-Calculation-sheet'!U79</f>
        <v>356322732.88669538</v>
      </c>
      <c r="V96" s="2">
        <f>V8/'Output-Calculation-sheet'!V7*'Output-Calculation-sheet'!V79</f>
        <v>212063674.4721961</v>
      </c>
      <c r="W96" s="2">
        <f>W8/'Output-Calculation-sheet'!W7*'Output-Calculation-sheet'!W79</f>
        <v>584697789.50861442</v>
      </c>
      <c r="X96" s="2">
        <f>X8/'Output-Calculation-sheet'!X7*'Output-Calculation-sheet'!X79</f>
        <v>162472898.13381001</v>
      </c>
      <c r="Y96" s="2">
        <f>Y8/'Output-Calculation-sheet'!Y7*'Output-Calculation-sheet'!Y79</f>
        <v>312105997.90896916</v>
      </c>
      <c r="AA96" s="2">
        <f t="shared" si="8"/>
        <v>53.877595672774838</v>
      </c>
    </row>
    <row r="97" spans="1:27" x14ac:dyDescent="0.25">
      <c r="A97" s="2">
        <v>2032</v>
      </c>
      <c r="B97" s="2">
        <f>B9/'Output-Calculation-sheet'!B8*'Output-Calculation-sheet'!B80</f>
        <v>13025665124.617727</v>
      </c>
      <c r="C97" s="2">
        <f>C9/'Output-Calculation-sheet'!C8*'Output-Calculation-sheet'!C80</f>
        <v>1240182460.7734082</v>
      </c>
      <c r="D97" s="2">
        <f>D9/'Output-Calculation-sheet'!D8*'Output-Calculation-sheet'!D80</f>
        <v>3033059061.7315369</v>
      </c>
      <c r="E97" s="2">
        <f>E9/'Output-Calculation-sheet'!E8*'Output-Calculation-sheet'!E80</f>
        <v>12258521473.519161</v>
      </c>
      <c r="F97" s="2">
        <f>F9/'Output-Calculation-sheet'!F8*'Output-Calculation-sheet'!F80</f>
        <v>3507761982.6394467</v>
      </c>
      <c r="G97" s="2">
        <f>G9/'Output-Calculation-sheet'!G8*'Output-Calculation-sheet'!G80</f>
        <v>2076909043.3537083</v>
      </c>
      <c r="H97" s="2">
        <f>H9/'Output-Calculation-sheet'!H8*'Output-Calculation-sheet'!H80</f>
        <v>1862102876.4721584</v>
      </c>
      <c r="I97" s="2">
        <f>I9/'Output-Calculation-sheet'!I8*'Output-Calculation-sheet'!I80</f>
        <v>1563714361.0555482</v>
      </c>
      <c r="J97" s="2">
        <f>J9/'Output-Calculation-sheet'!J8*'Output-Calculation-sheet'!J80</f>
        <v>1253130159.604965</v>
      </c>
      <c r="K97" s="2">
        <f>K9/'Output-Calculation-sheet'!K8*'Output-Calculation-sheet'!K80</f>
        <v>1505611307.9117091</v>
      </c>
      <c r="L97" s="2">
        <f>L9/'Output-Calculation-sheet'!L8*'Output-Calculation-sheet'!L80</f>
        <v>1542925040.375649</v>
      </c>
      <c r="M97" s="2">
        <f>M9/'Output-Calculation-sheet'!M8*'Output-Calculation-sheet'!M80</f>
        <v>2137810005.8032854</v>
      </c>
      <c r="N97" s="2">
        <f>N9/'Output-Calculation-sheet'!N8*'Output-Calculation-sheet'!N80</f>
        <v>1343844765.4129641</v>
      </c>
      <c r="O97" s="2">
        <f>O9/'Output-Calculation-sheet'!O8*'Output-Calculation-sheet'!O80</f>
        <v>161513728.89860103</v>
      </c>
      <c r="P97" s="2">
        <f>P9/'Output-Calculation-sheet'!P8*'Output-Calculation-sheet'!P80</f>
        <v>2315538781.2099442</v>
      </c>
      <c r="Q97" s="2">
        <f>Q9/'Output-Calculation-sheet'!Q8*'Output-Calculation-sheet'!Q80</f>
        <v>984290643.90694714</v>
      </c>
      <c r="R97" s="2">
        <f>R9/'Output-Calculation-sheet'!R8*'Output-Calculation-sheet'!R80</f>
        <v>1551922055.0107479</v>
      </c>
      <c r="S97" s="2">
        <f>S9/'Output-Calculation-sheet'!S8*'Output-Calculation-sheet'!S80</f>
        <v>615995207.08999336</v>
      </c>
      <c r="T97" s="2">
        <f>T9/'Output-Calculation-sheet'!T8*'Output-Calculation-sheet'!T80</f>
        <v>520518102.61391598</v>
      </c>
      <c r="U97" s="2">
        <f>U9/'Output-Calculation-sheet'!U8*'Output-Calculation-sheet'!U80</f>
        <v>342354218.60115045</v>
      </c>
      <c r="V97" s="2">
        <f>V9/'Output-Calculation-sheet'!V8*'Output-Calculation-sheet'!V80</f>
        <v>202823544.69064748</v>
      </c>
      <c r="W97" s="2">
        <f>W9/'Output-Calculation-sheet'!W8*'Output-Calculation-sheet'!W80</f>
        <v>563341611.16478539</v>
      </c>
      <c r="X97" s="2">
        <f>X9/'Output-Calculation-sheet'!X8*'Output-Calculation-sheet'!X80</f>
        <v>223451957.43198389</v>
      </c>
      <c r="Y97" s="2">
        <f>Y9/'Output-Calculation-sheet'!Y8*'Output-Calculation-sheet'!Y80</f>
        <v>307640753.86459094</v>
      </c>
      <c r="AA97" s="2">
        <f t="shared" si="8"/>
        <v>54.140628267754586</v>
      </c>
    </row>
    <row r="98" spans="1:27" x14ac:dyDescent="0.25">
      <c r="A98" s="2">
        <v>2033</v>
      </c>
      <c r="B98" s="2">
        <f>B10/'Output-Calculation-sheet'!B9*'Output-Calculation-sheet'!B81</f>
        <v>12389556010.904867</v>
      </c>
      <c r="C98" s="2">
        <f>C10/'Output-Calculation-sheet'!C9*'Output-Calculation-sheet'!C81</f>
        <v>1155926249.4740493</v>
      </c>
      <c r="D98" s="2">
        <f>D10/'Output-Calculation-sheet'!D9*'Output-Calculation-sheet'!D81</f>
        <v>2620604486.6312881</v>
      </c>
      <c r="E98" s="2">
        <f>E10/'Output-Calculation-sheet'!E9*'Output-Calculation-sheet'!E81</f>
        <v>11890158382.769012</v>
      </c>
      <c r="F98" s="2">
        <f>F10/'Output-Calculation-sheet'!F9*'Output-Calculation-sheet'!F81</f>
        <v>3185067120.3677382</v>
      </c>
      <c r="G98" s="2">
        <f>G10/'Output-Calculation-sheet'!G9*'Output-Calculation-sheet'!G81</f>
        <v>1803522289.7237689</v>
      </c>
      <c r="H98" s="2">
        <f>H10/'Output-Calculation-sheet'!H9*'Output-Calculation-sheet'!H81</f>
        <v>2340928570.8637266</v>
      </c>
      <c r="I98" s="2">
        <f>I10/'Output-Calculation-sheet'!I9*'Output-Calculation-sheet'!I81</f>
        <v>1426700403.0070579</v>
      </c>
      <c r="J98" s="2">
        <f>J10/'Output-Calculation-sheet'!J9*'Output-Calculation-sheet'!J81</f>
        <v>1128110237.5937757</v>
      </c>
      <c r="K98" s="2">
        <f>K10/'Output-Calculation-sheet'!K9*'Output-Calculation-sheet'!K81</f>
        <v>1338214356.2673886</v>
      </c>
      <c r="L98" s="2">
        <f>L10/'Output-Calculation-sheet'!L9*'Output-Calculation-sheet'!L81</f>
        <v>1448814564.7773113</v>
      </c>
      <c r="M98" s="2">
        <f>M10/'Output-Calculation-sheet'!M9*'Output-Calculation-sheet'!M81</f>
        <v>2028179188.8163126</v>
      </c>
      <c r="N98" s="2">
        <f>N10/'Output-Calculation-sheet'!N9*'Output-Calculation-sheet'!N81</f>
        <v>1248109394.5382998</v>
      </c>
      <c r="O98" s="2">
        <f>O10/'Output-Calculation-sheet'!O9*'Output-Calculation-sheet'!O81</f>
        <v>148649064.34310094</v>
      </c>
      <c r="P98" s="2">
        <f>P10/'Output-Calculation-sheet'!P9*'Output-Calculation-sheet'!P81</f>
        <v>2091533795.4299376</v>
      </c>
      <c r="Q98" s="2">
        <f>Q10/'Output-Calculation-sheet'!Q9*'Output-Calculation-sheet'!Q81</f>
        <v>914399043.9416213</v>
      </c>
      <c r="R98" s="2">
        <f>R10/'Output-Calculation-sheet'!R9*'Output-Calculation-sheet'!R81</f>
        <v>1431651691.5041094</v>
      </c>
      <c r="S98" s="2">
        <f>S10/'Output-Calculation-sheet'!S9*'Output-Calculation-sheet'!S81</f>
        <v>588569883.00854373</v>
      </c>
      <c r="T98" s="2">
        <f>T10/'Output-Calculation-sheet'!T9*'Output-Calculation-sheet'!T81</f>
        <v>459556192.96096396</v>
      </c>
      <c r="U98" s="2">
        <f>U10/'Output-Calculation-sheet'!U9*'Output-Calculation-sheet'!U81</f>
        <v>305511252.9396953</v>
      </c>
      <c r="V98" s="2">
        <f>V10/'Output-Calculation-sheet'!V9*'Output-Calculation-sheet'!V81</f>
        <v>180849685.48552474</v>
      </c>
      <c r="W98" s="2">
        <f>W10/'Output-Calculation-sheet'!W9*'Output-Calculation-sheet'!W81</f>
        <v>502670859.23689383</v>
      </c>
      <c r="X98" s="2">
        <f>X10/'Output-Calculation-sheet'!X9*'Output-Calculation-sheet'!X81</f>
        <v>218531458.94416228</v>
      </c>
      <c r="Y98" s="2">
        <f>Y10/'Output-Calculation-sheet'!Y9*'Output-Calculation-sheet'!Y81</f>
        <v>282883871.0185281</v>
      </c>
      <c r="AA98" s="2">
        <f t="shared" si="8"/>
        <v>51.128698054547684</v>
      </c>
    </row>
    <row r="99" spans="1:27" x14ac:dyDescent="0.25">
      <c r="A99" s="2">
        <v>2034</v>
      </c>
      <c r="B99" s="2">
        <f>B11/'Output-Calculation-sheet'!B10*'Output-Calculation-sheet'!B82</f>
        <v>11348219496.034216</v>
      </c>
      <c r="C99" s="2">
        <f>C11/'Output-Calculation-sheet'!C10*'Output-Calculation-sheet'!C82</f>
        <v>1020304090.975759</v>
      </c>
      <c r="D99" s="2">
        <f>D11/'Output-Calculation-sheet'!D10*'Output-Calculation-sheet'!D82</f>
        <v>2142758992.4561417</v>
      </c>
      <c r="E99" s="2">
        <f>E11/'Output-Calculation-sheet'!E10*'Output-Calculation-sheet'!E82</f>
        <v>10875869314.176586</v>
      </c>
      <c r="F99" s="2">
        <f>F11/'Output-Calculation-sheet'!F10*'Output-Calculation-sheet'!F82</f>
        <v>2732847980.9094372</v>
      </c>
      <c r="G99" s="2">
        <f>G11/'Output-Calculation-sheet'!G10*'Output-Calculation-sheet'!G82</f>
        <v>1478086565.1556005</v>
      </c>
      <c r="H99" s="2">
        <f>H11/'Output-Calculation-sheet'!H10*'Output-Calculation-sheet'!H82</f>
        <v>2061351551.1564591</v>
      </c>
      <c r="I99" s="2">
        <f>I11/'Output-Calculation-sheet'!I10*'Output-Calculation-sheet'!I82</f>
        <v>1233504226.765034</v>
      </c>
      <c r="J99" s="2">
        <f>J11/'Output-Calculation-sheet'!J10*'Output-Calculation-sheet'!J82</f>
        <v>962059948.62967491</v>
      </c>
      <c r="K99" s="2">
        <f>K11/'Output-Calculation-sheet'!K10*'Output-Calculation-sheet'!K82</f>
        <v>1120412209.2430055</v>
      </c>
      <c r="L99" s="2">
        <f>L11/'Output-Calculation-sheet'!L10*'Output-Calculation-sheet'!L82</f>
        <v>1288506666.5068214</v>
      </c>
      <c r="M99" s="2">
        <f>M11/'Output-Calculation-sheet'!M10*'Output-Calculation-sheet'!M82</f>
        <v>1827687418.0435109</v>
      </c>
      <c r="N99" s="2">
        <f>N11/'Output-Calculation-sheet'!N10*'Output-Calculation-sheet'!N82</f>
        <v>1093966940.0789335</v>
      </c>
      <c r="O99" s="2">
        <f>O11/'Output-Calculation-sheet'!O10*'Output-Calculation-sheet'!O82</f>
        <v>129587597.58966844</v>
      </c>
      <c r="P99" s="2">
        <f>P11/'Output-Calculation-sheet'!P10*'Output-Calculation-sheet'!P82</f>
        <v>1768756838.0995772</v>
      </c>
      <c r="Q99" s="2">
        <f>Q11/'Output-Calculation-sheet'!Q10*'Output-Calculation-sheet'!Q82</f>
        <v>806671058.37457204</v>
      </c>
      <c r="R99" s="2">
        <f>R11/'Output-Calculation-sheet'!R10*'Output-Calculation-sheet'!R82</f>
        <v>1247085795.624691</v>
      </c>
      <c r="S99" s="2">
        <f>S11/'Output-Calculation-sheet'!S10*'Output-Calculation-sheet'!S82</f>
        <v>536992703.99726605</v>
      </c>
      <c r="T99" s="2">
        <f>T11/'Output-Calculation-sheet'!T10*'Output-Calculation-sheet'!T82</f>
        <v>382383527.50161022</v>
      </c>
      <c r="U99" s="2">
        <f>U11/'Output-Calculation-sheet'!U10*'Output-Calculation-sheet'!U82</f>
        <v>257805287.27685609</v>
      </c>
      <c r="V99" s="2">
        <f>V11/'Output-Calculation-sheet'!V10*'Output-Calculation-sheet'!V82</f>
        <v>152679001.97826377</v>
      </c>
      <c r="W99" s="2">
        <f>W11/'Output-Calculation-sheet'!W10*'Output-Calculation-sheet'!W82</f>
        <v>422865682.44958127</v>
      </c>
      <c r="X99" s="2">
        <f>X11/'Output-Calculation-sheet'!X10*'Output-Calculation-sheet'!X82</f>
        <v>202757900.68720585</v>
      </c>
      <c r="Y99" s="2">
        <f>Y11/'Output-Calculation-sheet'!Y10*'Output-Calculation-sheet'!Y82</f>
        <v>244630762.37935153</v>
      </c>
      <c r="AA99" s="2">
        <f t="shared" si="8"/>
        <v>45.337791556089819</v>
      </c>
    </row>
    <row r="100" spans="1:27" x14ac:dyDescent="0.25">
      <c r="A100" s="2">
        <v>2035</v>
      </c>
      <c r="B100" s="2">
        <f>B12/'Output-Calculation-sheet'!B11*'Output-Calculation-sheet'!B83</f>
        <v>9871127375.2860126</v>
      </c>
      <c r="C100" s="2">
        <f>C12/'Output-Calculation-sheet'!C11*'Output-Calculation-sheet'!C83</f>
        <v>887797013.20628965</v>
      </c>
      <c r="D100" s="2">
        <f>D12/'Output-Calculation-sheet'!D11*'Output-Calculation-sheet'!D83</f>
        <v>1677585935.463021</v>
      </c>
      <c r="E100" s="2">
        <f>E12/'Output-Calculation-sheet'!E11*'Output-Calculation-sheet'!E83</f>
        <v>9496679447.1580944</v>
      </c>
      <c r="F100" s="2">
        <f>F12/'Output-Calculation-sheet'!F11*'Output-Calculation-sheet'!F83</f>
        <v>2236463550.3455443</v>
      </c>
      <c r="G100" s="2">
        <f>G12/'Output-Calculation-sheet'!G11*'Output-Calculation-sheet'!G83</f>
        <v>1154328065.4957106</v>
      </c>
      <c r="H100" s="2">
        <f>H12/'Output-Calculation-sheet'!H11*'Output-Calculation-sheet'!H83</f>
        <v>1723194623.009105</v>
      </c>
      <c r="I100" s="2">
        <f>I12/'Output-Calculation-sheet'!I11*'Output-Calculation-sheet'!I83</f>
        <v>1016739913.3454902</v>
      </c>
      <c r="J100" s="2">
        <f>J12/'Output-Calculation-sheet'!J11*'Output-Calculation-sheet'!J83</f>
        <v>783384398.90136158</v>
      </c>
      <c r="K100" s="2">
        <f>K12/'Output-Calculation-sheet'!K11*'Output-Calculation-sheet'!K83</f>
        <v>893913462.22843301</v>
      </c>
      <c r="L100" s="2">
        <f>L12/'Output-Calculation-sheet'!L11*'Output-Calculation-sheet'!L83</f>
        <v>1094665521.6346009</v>
      </c>
      <c r="M100" s="2">
        <f>M12/'Output-Calculation-sheet'!M11*'Output-Calculation-sheet'!M83</f>
        <v>1568578196.4221637</v>
      </c>
      <c r="N100" s="2">
        <f>N12/'Output-Calculation-sheet'!N11*'Output-Calculation-sheet'!N83</f>
        <v>917071704.75372839</v>
      </c>
      <c r="O100" s="2">
        <f>O12/'Output-Calculation-sheet'!O11*'Output-Calculation-sheet'!O83</f>
        <v>117841096.80521399</v>
      </c>
      <c r="P100" s="2">
        <f>P12/'Output-Calculation-sheet'!P11*'Output-Calculation-sheet'!P83</f>
        <v>1408328332.3945193</v>
      </c>
      <c r="Q100" s="2">
        <f>Q12/'Output-Calculation-sheet'!Q11*'Output-Calculation-sheet'!Q83</f>
        <v>680924386.46440399</v>
      </c>
      <c r="R100" s="2">
        <f>R12/'Output-Calculation-sheet'!R11*'Output-Calculation-sheet'!R83</f>
        <v>1034703568.7117119</v>
      </c>
      <c r="S100" s="2">
        <f>S12/'Output-Calculation-sheet'!S11*'Output-Calculation-sheet'!S83</f>
        <v>463438832.91126513</v>
      </c>
      <c r="T100" s="2">
        <f>T12/'Output-Calculation-sheet'!T11*'Output-Calculation-sheet'!T83</f>
        <v>303512909.93432558</v>
      </c>
      <c r="U100" s="2">
        <f>U12/'Output-Calculation-sheet'!U11*'Output-Calculation-sheet'!U83</f>
        <v>206579061.22595006</v>
      </c>
      <c r="V100" s="2">
        <f>V12/'Output-Calculation-sheet'!V11*'Output-Calculation-sheet'!V83</f>
        <v>122799651.84817058</v>
      </c>
      <c r="W100" s="2">
        <f>W12/'Output-Calculation-sheet'!W11*'Output-Calculation-sheet'!W83</f>
        <v>337082565.97873014</v>
      </c>
      <c r="X100" s="2">
        <f>X12/'Output-Calculation-sheet'!X11*'Output-Calculation-sheet'!X83</f>
        <v>179818058.0317702</v>
      </c>
      <c r="Y100" s="2">
        <f>Y12/'Output-Calculation-sheet'!Y11*'Output-Calculation-sheet'!Y83</f>
        <v>201294896.88295248</v>
      </c>
      <c r="AA100" s="2">
        <f t="shared" si="8"/>
        <v>38.377852568438556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117.72499999999999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144.22800000000001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118.191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142.208</v>
      </c>
      <c r="M15" s="7">
        <v>0</v>
      </c>
      <c r="N15" s="7">
        <v>95.054000000000002</v>
      </c>
      <c r="O15" s="7">
        <v>0</v>
      </c>
      <c r="P15" s="7">
        <v>143.02600000000001</v>
      </c>
      <c r="Q15" s="7">
        <v>170.749</v>
      </c>
      <c r="R15" s="7">
        <v>140.32</v>
      </c>
      <c r="S15" s="7">
        <v>117.45</v>
      </c>
      <c r="T15" s="7">
        <v>120.04900000000001</v>
      </c>
      <c r="U15" s="7">
        <v>110.039</v>
      </c>
      <c r="V15" s="7">
        <v>169.71199999999999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135.78299999999999</v>
      </c>
      <c r="C16" s="7">
        <v>0</v>
      </c>
      <c r="D16" s="7">
        <v>88.272000000000006</v>
      </c>
      <c r="E16" s="7">
        <v>135.626</v>
      </c>
      <c r="F16" s="7">
        <v>96.991</v>
      </c>
      <c r="G16" s="7">
        <v>77.820999999999998</v>
      </c>
      <c r="H16" s="7">
        <v>0</v>
      </c>
      <c r="I16" s="7">
        <v>91.807000000000002</v>
      </c>
      <c r="J16" s="7">
        <v>94.341999999999999</v>
      </c>
      <c r="K16" s="7">
        <v>123.78100000000001</v>
      </c>
      <c r="L16" s="7">
        <v>141.45599999999999</v>
      </c>
      <c r="M16" s="7">
        <v>0</v>
      </c>
      <c r="N16" s="7">
        <v>89.611999999999995</v>
      </c>
      <c r="O16" s="7">
        <v>0</v>
      </c>
      <c r="P16" s="7">
        <v>145.99100000000001</v>
      </c>
      <c r="Q16" s="7">
        <v>171.678</v>
      </c>
      <c r="R16" s="7">
        <v>141.227</v>
      </c>
      <c r="S16" s="7">
        <v>115.226</v>
      </c>
      <c r="T16" s="7">
        <v>121.05800000000001</v>
      </c>
      <c r="U16" s="7">
        <v>111.431</v>
      </c>
      <c r="V16" s="7">
        <v>170.154</v>
      </c>
      <c r="W16" s="7">
        <v>90.677000000000007</v>
      </c>
      <c r="X16" s="7">
        <v>0</v>
      </c>
      <c r="Y16" s="7">
        <v>120.83199999999999</v>
      </c>
    </row>
    <row r="17" spans="1:25" ht="28.5" customHeight="1" x14ac:dyDescent="0.25">
      <c r="A17" s="4"/>
      <c r="B17" s="7">
        <v>133.28899999999999</v>
      </c>
      <c r="C17" s="7">
        <v>0</v>
      </c>
      <c r="D17" s="7">
        <v>88.188999999999993</v>
      </c>
      <c r="E17" s="7">
        <v>136.13800000000001</v>
      </c>
      <c r="F17" s="7">
        <v>97.492999999999995</v>
      </c>
      <c r="G17" s="7">
        <v>78.188000000000002</v>
      </c>
      <c r="H17" s="7">
        <v>0</v>
      </c>
      <c r="I17" s="7">
        <v>92.156000000000006</v>
      </c>
      <c r="J17" s="7">
        <v>94.475999999999999</v>
      </c>
      <c r="K17" s="7">
        <v>123.72799999999999</v>
      </c>
      <c r="L17" s="7">
        <v>140.761</v>
      </c>
      <c r="M17" s="7">
        <v>0</v>
      </c>
      <c r="N17" s="7">
        <v>84.328999999999994</v>
      </c>
      <c r="O17" s="7">
        <v>0</v>
      </c>
      <c r="P17" s="7">
        <v>148.316</v>
      </c>
      <c r="Q17" s="7">
        <v>169.96199999999999</v>
      </c>
      <c r="R17" s="7">
        <v>142.27600000000001</v>
      </c>
      <c r="S17" s="7">
        <v>112.032</v>
      </c>
      <c r="T17" s="7">
        <v>121.15300000000001</v>
      </c>
      <c r="U17" s="7">
        <v>111.926</v>
      </c>
      <c r="V17" s="7">
        <v>170.626</v>
      </c>
      <c r="W17" s="7">
        <v>91.14</v>
      </c>
      <c r="X17" s="7">
        <v>0</v>
      </c>
      <c r="Y17" s="7">
        <v>121.541</v>
      </c>
    </row>
    <row r="18" spans="1:25" ht="28.5" customHeight="1" x14ac:dyDescent="0.25">
      <c r="A18" s="4"/>
      <c r="B18" s="7">
        <v>129.65199999999999</v>
      </c>
      <c r="C18" s="7">
        <v>0</v>
      </c>
      <c r="D18" s="7">
        <v>88.159000000000006</v>
      </c>
      <c r="E18" s="7">
        <v>137.09299999999999</v>
      </c>
      <c r="F18" s="7">
        <v>98.052000000000007</v>
      </c>
      <c r="G18" s="7">
        <v>78.611999999999995</v>
      </c>
      <c r="H18" s="7">
        <v>0</v>
      </c>
      <c r="I18" s="7">
        <v>92.581999999999994</v>
      </c>
      <c r="J18" s="7">
        <v>94.168999999999997</v>
      </c>
      <c r="K18" s="7">
        <v>125.18300000000001</v>
      </c>
      <c r="L18" s="7">
        <v>137.369</v>
      </c>
      <c r="M18" s="7">
        <v>0</v>
      </c>
      <c r="N18" s="7">
        <v>82.679000000000002</v>
      </c>
      <c r="O18" s="7">
        <v>0</v>
      </c>
      <c r="P18" s="7">
        <v>150.44</v>
      </c>
      <c r="Q18" s="7">
        <v>167.19300000000001</v>
      </c>
      <c r="R18" s="7">
        <v>142.86699999999999</v>
      </c>
      <c r="S18" s="7">
        <v>108.07599999999999</v>
      </c>
      <c r="T18" s="7">
        <v>121.63500000000001</v>
      </c>
      <c r="U18" s="7">
        <v>112.14700000000001</v>
      </c>
      <c r="V18" s="7">
        <v>169.226</v>
      </c>
      <c r="W18" s="7">
        <v>91.206999999999994</v>
      </c>
      <c r="X18" s="7">
        <v>0</v>
      </c>
      <c r="Y18" s="7">
        <v>122.26</v>
      </c>
    </row>
    <row r="19" spans="1:25" ht="28.5" customHeight="1" x14ac:dyDescent="0.25">
      <c r="A19" s="4"/>
      <c r="B19" s="7">
        <v>127.789</v>
      </c>
      <c r="C19" s="7">
        <v>0</v>
      </c>
      <c r="D19" s="7">
        <v>87.965999999999994</v>
      </c>
      <c r="E19" s="7">
        <v>137.68700000000001</v>
      </c>
      <c r="F19" s="7">
        <v>98.507999999999996</v>
      </c>
      <c r="G19" s="7">
        <v>78.751999999999995</v>
      </c>
      <c r="H19" s="7">
        <v>0</v>
      </c>
      <c r="I19" s="7">
        <v>93.114000000000004</v>
      </c>
      <c r="J19" s="7">
        <v>94.165000000000006</v>
      </c>
      <c r="K19" s="7">
        <v>124.511</v>
      </c>
      <c r="L19" s="7">
        <v>134.54499999999999</v>
      </c>
      <c r="M19" s="7">
        <v>0</v>
      </c>
      <c r="N19" s="7">
        <v>78.808000000000007</v>
      </c>
      <c r="O19" s="7">
        <v>0</v>
      </c>
      <c r="P19" s="7">
        <v>152.64099999999999</v>
      </c>
      <c r="Q19" s="7">
        <v>160.57</v>
      </c>
      <c r="R19" s="7">
        <v>143.06</v>
      </c>
      <c r="S19" s="7">
        <v>105.691</v>
      </c>
      <c r="T19" s="7">
        <v>122.16500000000001</v>
      </c>
      <c r="U19" s="7">
        <v>113.33499999999999</v>
      </c>
      <c r="V19" s="7">
        <v>168.67099999999999</v>
      </c>
      <c r="W19" s="7">
        <v>91.688000000000002</v>
      </c>
      <c r="X19" s="7">
        <v>0</v>
      </c>
      <c r="Y19" s="7">
        <v>122.857</v>
      </c>
    </row>
    <row r="20" spans="1:25" ht="28.5" customHeight="1" x14ac:dyDescent="0.25">
      <c r="A20" s="4"/>
      <c r="B20" s="7">
        <v>123.351</v>
      </c>
      <c r="C20" s="7">
        <v>0</v>
      </c>
      <c r="D20" s="7">
        <v>88.438000000000002</v>
      </c>
      <c r="E20" s="7">
        <v>136.994</v>
      </c>
      <c r="F20" s="7">
        <v>98.912000000000006</v>
      </c>
      <c r="G20" s="7">
        <v>78.966999999999999</v>
      </c>
      <c r="H20" s="7">
        <v>0</v>
      </c>
      <c r="I20" s="7">
        <v>93.668000000000006</v>
      </c>
      <c r="J20" s="7">
        <v>94.206999999999994</v>
      </c>
      <c r="K20" s="7">
        <v>124.56</v>
      </c>
      <c r="L20" s="7">
        <v>132.70599999999999</v>
      </c>
      <c r="M20" s="7">
        <v>0</v>
      </c>
      <c r="N20" s="7">
        <v>77.483000000000004</v>
      </c>
      <c r="O20" s="7">
        <v>0</v>
      </c>
      <c r="P20" s="7">
        <v>153.60599999999999</v>
      </c>
      <c r="Q20" s="7">
        <v>154.709</v>
      </c>
      <c r="R20" s="7">
        <v>143.518</v>
      </c>
      <c r="S20" s="7">
        <v>101.602</v>
      </c>
      <c r="T20" s="7">
        <v>122.437</v>
      </c>
      <c r="U20" s="7">
        <v>113.404</v>
      </c>
      <c r="V20" s="7">
        <v>168.83500000000001</v>
      </c>
      <c r="W20" s="7">
        <v>92.125</v>
      </c>
      <c r="X20" s="7">
        <v>0</v>
      </c>
      <c r="Y20" s="7">
        <v>123.97499999999999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37.215000000000003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133.94</v>
      </c>
      <c r="I24" s="7">
        <v>0</v>
      </c>
      <c r="J24" s="7">
        <v>0</v>
      </c>
      <c r="K24" s="7">
        <v>0</v>
      </c>
      <c r="L24" s="7">
        <v>41.137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28.375</v>
      </c>
      <c r="C25" s="7">
        <v>90.295000000000002</v>
      </c>
      <c r="D25" s="7">
        <v>0</v>
      </c>
      <c r="E25" s="7">
        <v>0</v>
      </c>
      <c r="F25" s="7">
        <v>0</v>
      </c>
      <c r="G25" s="7">
        <v>0</v>
      </c>
      <c r="H25" s="7">
        <v>157.42500000000001</v>
      </c>
      <c r="I25" s="7">
        <v>0</v>
      </c>
      <c r="J25" s="7">
        <v>0</v>
      </c>
      <c r="K25" s="7">
        <v>0</v>
      </c>
      <c r="L25" s="7">
        <v>44.106000000000002</v>
      </c>
      <c r="M25" s="7">
        <v>301.75200000000001</v>
      </c>
      <c r="N25" s="7">
        <v>156.745</v>
      </c>
      <c r="O25" s="7">
        <v>90.789000000000001</v>
      </c>
      <c r="P25" s="7">
        <v>0</v>
      </c>
      <c r="Q25" s="7">
        <v>0</v>
      </c>
      <c r="R25" s="7">
        <v>0</v>
      </c>
      <c r="S25" s="7">
        <v>52.283999999999999</v>
      </c>
      <c r="T25" s="7">
        <v>0</v>
      </c>
      <c r="U25" s="7">
        <v>0</v>
      </c>
      <c r="V25" s="7">
        <v>0</v>
      </c>
      <c r="W25" s="7">
        <v>0</v>
      </c>
      <c r="X25" s="7">
        <v>191.268</v>
      </c>
      <c r="Y25" s="7">
        <v>0</v>
      </c>
    </row>
    <row r="26" spans="1:25" x14ac:dyDescent="0.25">
      <c r="B26" s="7">
        <v>35.555999999999997</v>
      </c>
      <c r="C26" s="7">
        <v>92.799000000000007</v>
      </c>
      <c r="D26" s="7">
        <v>0</v>
      </c>
      <c r="E26" s="7">
        <v>0</v>
      </c>
      <c r="F26" s="7">
        <v>0</v>
      </c>
      <c r="G26" s="7">
        <v>0</v>
      </c>
      <c r="H26" s="7">
        <v>198.547</v>
      </c>
      <c r="I26" s="7">
        <v>0</v>
      </c>
      <c r="J26" s="7">
        <v>0</v>
      </c>
      <c r="K26" s="7">
        <v>0</v>
      </c>
      <c r="L26" s="7">
        <v>47.546999999999997</v>
      </c>
      <c r="M26" s="7">
        <v>305.12599999999998</v>
      </c>
      <c r="N26" s="7">
        <v>174.85300000000001</v>
      </c>
      <c r="O26" s="7">
        <v>93.224000000000004</v>
      </c>
      <c r="P26" s="7">
        <v>0</v>
      </c>
      <c r="Q26" s="7">
        <v>6.0010000000000003</v>
      </c>
      <c r="R26" s="7">
        <v>0</v>
      </c>
      <c r="S26" s="7">
        <v>64.763000000000005</v>
      </c>
      <c r="T26" s="7">
        <v>0</v>
      </c>
      <c r="U26" s="7">
        <v>0</v>
      </c>
      <c r="V26" s="7">
        <v>0</v>
      </c>
      <c r="W26" s="7">
        <v>0</v>
      </c>
      <c r="X26" s="7">
        <v>257.15600000000001</v>
      </c>
      <c r="Y26" s="7">
        <v>0</v>
      </c>
    </row>
    <row r="27" spans="1:25" x14ac:dyDescent="0.25">
      <c r="B27" s="7">
        <v>45.384999999999998</v>
      </c>
      <c r="C27" s="7">
        <v>95.971999999999994</v>
      </c>
      <c r="D27" s="7">
        <v>0</v>
      </c>
      <c r="E27" s="7">
        <v>0</v>
      </c>
      <c r="F27" s="7">
        <v>0</v>
      </c>
      <c r="G27" s="7">
        <v>0</v>
      </c>
      <c r="H27" s="7">
        <v>273.32499999999999</v>
      </c>
      <c r="I27" s="7">
        <v>0</v>
      </c>
      <c r="J27" s="7">
        <v>0</v>
      </c>
      <c r="K27" s="7">
        <v>0</v>
      </c>
      <c r="L27" s="7">
        <v>52.293999999999997</v>
      </c>
      <c r="M27" s="7">
        <v>309.16899999999998</v>
      </c>
      <c r="N27" s="7">
        <v>183.34</v>
      </c>
      <c r="O27" s="7">
        <v>96.117000000000004</v>
      </c>
      <c r="P27" s="7">
        <v>0</v>
      </c>
      <c r="Q27" s="7">
        <v>15.593</v>
      </c>
      <c r="R27" s="7">
        <v>0</v>
      </c>
      <c r="S27" s="7">
        <v>81.244</v>
      </c>
      <c r="T27" s="7">
        <v>0</v>
      </c>
      <c r="U27" s="7">
        <v>0</v>
      </c>
      <c r="V27" s="7">
        <v>0</v>
      </c>
      <c r="W27" s="7">
        <v>0</v>
      </c>
      <c r="X27" s="7">
        <v>262.96199999999999</v>
      </c>
      <c r="Y27" s="7">
        <v>0</v>
      </c>
    </row>
    <row r="28" spans="1:25" x14ac:dyDescent="0.25">
      <c r="B28" s="7">
        <v>57.85</v>
      </c>
      <c r="C28" s="7">
        <v>99.393000000000001</v>
      </c>
      <c r="D28" s="7">
        <v>0</v>
      </c>
      <c r="E28" s="7">
        <v>0</v>
      </c>
      <c r="F28" s="7">
        <v>0</v>
      </c>
      <c r="G28" s="7">
        <v>0</v>
      </c>
      <c r="H28" s="7">
        <v>280.57499999999999</v>
      </c>
      <c r="I28" s="7">
        <v>0</v>
      </c>
      <c r="J28" s="7">
        <v>0</v>
      </c>
      <c r="K28" s="7">
        <v>0</v>
      </c>
      <c r="L28" s="7">
        <v>56.97</v>
      </c>
      <c r="M28" s="7">
        <v>316.846</v>
      </c>
      <c r="N28" s="7">
        <v>193.36600000000001</v>
      </c>
      <c r="O28" s="7">
        <v>98.944000000000003</v>
      </c>
      <c r="P28" s="7">
        <v>0</v>
      </c>
      <c r="Q28" s="7">
        <v>30.253</v>
      </c>
      <c r="R28" s="7">
        <v>0</v>
      </c>
      <c r="S28" s="7">
        <v>98.822000000000003</v>
      </c>
      <c r="T28" s="7">
        <v>0</v>
      </c>
      <c r="U28" s="7">
        <v>0</v>
      </c>
      <c r="V28" s="7">
        <v>0</v>
      </c>
      <c r="W28" s="7">
        <v>0</v>
      </c>
      <c r="X28" s="7">
        <v>270.09699999999998</v>
      </c>
      <c r="Y28" s="7">
        <v>0</v>
      </c>
    </row>
    <row r="29" spans="1:25" x14ac:dyDescent="0.25">
      <c r="B29" s="7">
        <v>71.427000000000007</v>
      </c>
      <c r="C29" s="7">
        <v>105.499</v>
      </c>
      <c r="D29" s="7">
        <v>0</v>
      </c>
      <c r="E29" s="7">
        <v>1.9590000000000001</v>
      </c>
      <c r="F29" s="7">
        <v>0</v>
      </c>
      <c r="G29" s="7">
        <v>0</v>
      </c>
      <c r="H29" s="7">
        <v>286.19</v>
      </c>
      <c r="I29" s="7">
        <v>0</v>
      </c>
      <c r="J29" s="7">
        <v>0</v>
      </c>
      <c r="K29" s="7">
        <v>0</v>
      </c>
      <c r="L29" s="7">
        <v>62.174999999999997</v>
      </c>
      <c r="M29" s="7">
        <v>323.46800000000002</v>
      </c>
      <c r="N29" s="7">
        <v>202.02199999999999</v>
      </c>
      <c r="O29" s="7">
        <v>110.13</v>
      </c>
      <c r="P29" s="7">
        <v>0</v>
      </c>
      <c r="Q29" s="7">
        <v>45.341000000000001</v>
      </c>
      <c r="R29" s="7">
        <v>0</v>
      </c>
      <c r="S29" s="7">
        <v>117.452</v>
      </c>
      <c r="T29" s="7">
        <v>0</v>
      </c>
      <c r="U29" s="7">
        <v>0</v>
      </c>
      <c r="V29" s="7">
        <v>0</v>
      </c>
      <c r="W29" s="7">
        <v>0</v>
      </c>
      <c r="X29" s="7">
        <v>278.72399999999999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76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6</v>
      </c>
      <c r="C43" s="7">
        <v>0</v>
      </c>
      <c r="D43" s="7">
        <v>31</v>
      </c>
      <c r="E43" s="7">
        <v>28</v>
      </c>
      <c r="F43" s="7">
        <v>0</v>
      </c>
      <c r="G43" s="7">
        <v>22</v>
      </c>
      <c r="H43" s="7">
        <v>174</v>
      </c>
      <c r="I43" s="7">
        <v>8</v>
      </c>
      <c r="J43" s="7">
        <v>44</v>
      </c>
      <c r="K43" s="7">
        <v>89</v>
      </c>
      <c r="L43" s="7">
        <v>104</v>
      </c>
      <c r="M43" s="7">
        <v>716</v>
      </c>
      <c r="N43" s="7">
        <v>417</v>
      </c>
      <c r="O43" s="7">
        <v>0</v>
      </c>
      <c r="P43" s="7">
        <v>96</v>
      </c>
      <c r="Q43" s="7">
        <v>23</v>
      </c>
      <c r="R43" s="7">
        <v>186</v>
      </c>
      <c r="S43" s="7">
        <v>47</v>
      </c>
      <c r="T43" s="7">
        <v>149</v>
      </c>
      <c r="U43" s="7">
        <v>64</v>
      </c>
      <c r="V43" s="7">
        <v>217</v>
      </c>
      <c r="W43" s="7">
        <v>3</v>
      </c>
      <c r="X43" s="7">
        <v>340</v>
      </c>
      <c r="Y43" s="7">
        <v>0</v>
      </c>
    </row>
    <row r="44" spans="1:25" x14ac:dyDescent="0.25">
      <c r="B44" s="7">
        <v>19</v>
      </c>
      <c r="C44" s="7">
        <v>0</v>
      </c>
      <c r="D44" s="7">
        <v>40</v>
      </c>
      <c r="E44" s="7">
        <v>33</v>
      </c>
      <c r="F44" s="7">
        <v>0</v>
      </c>
      <c r="G44" s="7">
        <v>27</v>
      </c>
      <c r="H44" s="7">
        <v>350</v>
      </c>
      <c r="I44" s="7">
        <v>11</v>
      </c>
      <c r="J44" s="7">
        <v>51</v>
      </c>
      <c r="K44" s="7">
        <v>93</v>
      </c>
      <c r="L44" s="7">
        <v>114</v>
      </c>
      <c r="M44" s="7">
        <v>723</v>
      </c>
      <c r="N44" s="7">
        <v>490</v>
      </c>
      <c r="O44" s="7">
        <v>0</v>
      </c>
      <c r="P44" s="7">
        <v>110</v>
      </c>
      <c r="Q44" s="7">
        <v>35</v>
      </c>
      <c r="R44" s="7">
        <v>198</v>
      </c>
      <c r="S44" s="7">
        <v>87</v>
      </c>
      <c r="T44" s="7">
        <v>159</v>
      </c>
      <c r="U44" s="7">
        <v>79</v>
      </c>
      <c r="V44" s="7">
        <v>221</v>
      </c>
      <c r="W44" s="7">
        <v>7</v>
      </c>
      <c r="X44" s="7">
        <v>634</v>
      </c>
      <c r="Y44" s="7">
        <v>0</v>
      </c>
    </row>
    <row r="45" spans="1:25" x14ac:dyDescent="0.25">
      <c r="B45" s="7">
        <v>37</v>
      </c>
      <c r="C45" s="7">
        <v>0</v>
      </c>
      <c r="D45" s="7">
        <v>50</v>
      </c>
      <c r="E45" s="7">
        <v>42</v>
      </c>
      <c r="F45" s="7">
        <v>0</v>
      </c>
      <c r="G45" s="7">
        <v>33</v>
      </c>
      <c r="H45" s="7">
        <v>676</v>
      </c>
      <c r="I45" s="7">
        <v>15</v>
      </c>
      <c r="J45" s="7">
        <v>62</v>
      </c>
      <c r="K45" s="7">
        <v>106</v>
      </c>
      <c r="L45" s="7">
        <v>127</v>
      </c>
      <c r="M45" s="7">
        <v>731</v>
      </c>
      <c r="N45" s="7">
        <v>521</v>
      </c>
      <c r="O45" s="7">
        <v>0</v>
      </c>
      <c r="P45" s="7">
        <v>128</v>
      </c>
      <c r="Q45" s="7">
        <v>52</v>
      </c>
      <c r="R45" s="7">
        <v>202</v>
      </c>
      <c r="S45" s="7">
        <v>136</v>
      </c>
      <c r="T45" s="7">
        <v>176</v>
      </c>
      <c r="U45" s="7">
        <v>91</v>
      </c>
      <c r="V45" s="7">
        <v>229</v>
      </c>
      <c r="W45" s="7">
        <v>9</v>
      </c>
      <c r="X45" s="7">
        <v>642</v>
      </c>
      <c r="Y45" s="7">
        <v>5</v>
      </c>
    </row>
    <row r="46" spans="1:25" x14ac:dyDescent="0.25">
      <c r="B46" s="7">
        <v>75</v>
      </c>
      <c r="C46" s="7">
        <v>0</v>
      </c>
      <c r="D46" s="7">
        <v>57</v>
      </c>
      <c r="E46" s="7">
        <v>47</v>
      </c>
      <c r="F46" s="7">
        <v>0</v>
      </c>
      <c r="G46" s="7">
        <v>40</v>
      </c>
      <c r="H46" s="7">
        <v>683</v>
      </c>
      <c r="I46" s="7">
        <v>20</v>
      </c>
      <c r="J46" s="7">
        <v>70</v>
      </c>
      <c r="K46" s="7">
        <v>120</v>
      </c>
      <c r="L46" s="7">
        <v>144</v>
      </c>
      <c r="M46" s="7">
        <v>737</v>
      </c>
      <c r="N46" s="7">
        <v>552</v>
      </c>
      <c r="O46" s="7">
        <v>0</v>
      </c>
      <c r="P46" s="7">
        <v>139</v>
      </c>
      <c r="Q46" s="7">
        <v>82</v>
      </c>
      <c r="R46" s="7">
        <v>207</v>
      </c>
      <c r="S46" s="7">
        <v>202</v>
      </c>
      <c r="T46" s="7">
        <v>185</v>
      </c>
      <c r="U46" s="7">
        <v>101</v>
      </c>
      <c r="V46" s="7">
        <v>241</v>
      </c>
      <c r="W46" s="7">
        <v>14</v>
      </c>
      <c r="X46" s="7">
        <v>651</v>
      </c>
      <c r="Y46" s="7">
        <v>8</v>
      </c>
    </row>
    <row r="47" spans="1:25" x14ac:dyDescent="0.25">
      <c r="B47" s="7">
        <v>128</v>
      </c>
      <c r="C47" s="7">
        <v>16</v>
      </c>
      <c r="D47" s="7">
        <v>65</v>
      </c>
      <c r="E47" s="7">
        <v>59</v>
      </c>
      <c r="F47" s="7">
        <v>2</v>
      </c>
      <c r="G47" s="7">
        <v>48</v>
      </c>
      <c r="H47" s="7">
        <v>693</v>
      </c>
      <c r="I47" s="7">
        <v>23</v>
      </c>
      <c r="J47" s="7">
        <v>76</v>
      </c>
      <c r="K47" s="7">
        <v>126</v>
      </c>
      <c r="L47" s="7">
        <v>163</v>
      </c>
      <c r="M47" s="7">
        <v>745</v>
      </c>
      <c r="N47" s="7">
        <v>581</v>
      </c>
      <c r="O47" s="7">
        <v>39</v>
      </c>
      <c r="P47" s="7">
        <v>145</v>
      </c>
      <c r="Q47" s="7">
        <v>118</v>
      </c>
      <c r="R47" s="7">
        <v>212</v>
      </c>
      <c r="S47" s="7">
        <v>275</v>
      </c>
      <c r="T47" s="7">
        <v>200</v>
      </c>
      <c r="U47" s="7">
        <v>115</v>
      </c>
      <c r="V47" s="7">
        <v>247</v>
      </c>
      <c r="W47" s="7">
        <v>18</v>
      </c>
      <c r="X47" s="7">
        <v>659</v>
      </c>
      <c r="Y47" s="7">
        <v>12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6.5503603420201881E-2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5.9079648731017315E-2</v>
      </c>
      <c r="S49" s="7">
        <v>8.1594001605835076E-2</v>
      </c>
      <c r="T49" s="7">
        <v>4.9700351853576269E-2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4.9038889216288933E-2</v>
      </c>
      <c r="L50" s="7">
        <v>6.4239438193816292E-2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4.8536483026327286E-2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9.4119948623296923E-2</v>
      </c>
      <c r="I51" s="7">
        <v>3.6828558726860722E-2</v>
      </c>
      <c r="J51" s="7">
        <v>3.9442959998318053E-2</v>
      </c>
      <c r="K51" s="7">
        <v>4.8112858149697839E-2</v>
      </c>
      <c r="L51" s="7">
        <v>6.2855834381026349E-2</v>
      </c>
      <c r="M51" s="7">
        <v>0.10472040165926794</v>
      </c>
      <c r="N51" s="7">
        <v>9.084678196727633E-2</v>
      </c>
      <c r="O51" s="7">
        <v>0.10237344869842209</v>
      </c>
      <c r="P51" s="7">
        <v>6.2966378341084484E-2</v>
      </c>
      <c r="Q51" s="7">
        <v>6.956964526791154E-2</v>
      </c>
      <c r="R51" s="7">
        <v>5.6052908716150464E-2</v>
      </c>
      <c r="S51" s="7">
        <v>8.0073420405069304E-2</v>
      </c>
      <c r="T51" s="7">
        <v>4.7254786615795991E-2</v>
      </c>
      <c r="U51" s="7">
        <v>5.2690276658762858E-2</v>
      </c>
      <c r="V51" s="7">
        <v>5.868445398677577E-2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7.2365517908480975E-2</v>
      </c>
      <c r="C52" s="7">
        <v>9.4344132735237507E-2</v>
      </c>
      <c r="D52" s="7">
        <v>3.729423391459382E-2</v>
      </c>
      <c r="E52" s="7">
        <v>5.6211995914960844E-2</v>
      </c>
      <c r="F52" s="7">
        <v>3.3902569929947717E-2</v>
      </c>
      <c r="G52" s="7">
        <v>3.4055816518815694E-2</v>
      </c>
      <c r="H52" s="7">
        <v>9.3020338423782795E-2</v>
      </c>
      <c r="I52" s="7">
        <v>3.6621943337570073E-2</v>
      </c>
      <c r="J52" s="7">
        <v>3.9171809667248342E-2</v>
      </c>
      <c r="K52" s="7">
        <v>4.7709868619951315E-2</v>
      </c>
      <c r="L52" s="7">
        <v>6.2080932029392182E-2</v>
      </c>
      <c r="M52" s="7">
        <v>0.1017407728602758</v>
      </c>
      <c r="N52" s="7">
        <v>8.9135119524906298E-2</v>
      </c>
      <c r="O52" s="7">
        <v>0.10162826184919907</v>
      </c>
      <c r="P52" s="7">
        <v>6.2512201666070424E-2</v>
      </c>
      <c r="Q52" s="7">
        <v>6.9177583736451387E-2</v>
      </c>
      <c r="R52" s="7">
        <v>5.5468201003353611E-2</v>
      </c>
      <c r="S52" s="7">
        <v>7.9478407630378792E-2</v>
      </c>
      <c r="T52" s="7">
        <v>4.6763958144294626E-2</v>
      </c>
      <c r="U52" s="7">
        <v>5.236040913524441E-2</v>
      </c>
      <c r="V52" s="7">
        <v>5.7978206838442473E-2</v>
      </c>
      <c r="W52" s="7">
        <v>3.4496863734160936E-2</v>
      </c>
      <c r="X52" s="7">
        <v>0.10869831970899366</v>
      </c>
      <c r="Y52" s="7">
        <v>5.3847180656163188E-2</v>
      </c>
    </row>
    <row r="53" spans="1:25" x14ac:dyDescent="0.25">
      <c r="B53" s="7">
        <v>7.1840830416905185E-2</v>
      </c>
      <c r="C53" s="7">
        <v>9.3634150809392178E-2</v>
      </c>
      <c r="D53" s="7">
        <v>3.7049467036790587E-2</v>
      </c>
      <c r="E53" s="7">
        <v>5.5870431182147559E-2</v>
      </c>
      <c r="F53" s="7">
        <v>3.3697143305420646E-2</v>
      </c>
      <c r="G53" s="7">
        <v>3.3848019101622079E-2</v>
      </c>
      <c r="H53" s="7">
        <v>9.1532708368821186E-2</v>
      </c>
      <c r="I53" s="7">
        <v>3.6410879216622213E-2</v>
      </c>
      <c r="J53" s="7">
        <v>3.8892822989674496E-2</v>
      </c>
      <c r="K53" s="7">
        <v>4.7302854465249518E-2</v>
      </c>
      <c r="L53" s="7">
        <v>6.128720761291577E-2</v>
      </c>
      <c r="M53" s="7">
        <v>9.8760138215749471E-2</v>
      </c>
      <c r="N53" s="7">
        <v>8.721906984686302E-2</v>
      </c>
      <c r="O53" s="7">
        <v>0.10086001646034809</v>
      </c>
      <c r="P53" s="7">
        <v>6.2041303597894414E-2</v>
      </c>
      <c r="Q53" s="7">
        <v>6.876346046877109E-2</v>
      </c>
      <c r="R53" s="7">
        <v>5.4870670474577499E-2</v>
      </c>
      <c r="S53" s="7">
        <v>7.8748519832472677E-2</v>
      </c>
      <c r="T53" s="7">
        <v>4.6264520608486751E-2</v>
      </c>
      <c r="U53" s="7">
        <v>5.2007815774314729E-2</v>
      </c>
      <c r="V53" s="7">
        <v>5.7281605649849424E-2</v>
      </c>
      <c r="W53" s="7">
        <v>3.4291389205239727E-2</v>
      </c>
      <c r="X53" s="7">
        <v>0.10627398852212397</v>
      </c>
      <c r="Y53" s="7">
        <v>5.3586955405641297E-2</v>
      </c>
    </row>
    <row r="54" spans="1:25" x14ac:dyDescent="0.25">
      <c r="B54" s="7">
        <v>7.1239837430604344E-2</v>
      </c>
      <c r="C54" s="7">
        <v>9.2900851515157812E-2</v>
      </c>
      <c r="D54" s="7">
        <v>3.6791684021516627E-2</v>
      </c>
      <c r="E54" s="7">
        <v>5.551926282310677E-2</v>
      </c>
      <c r="F54" s="7">
        <v>3.3490722480653871E-2</v>
      </c>
      <c r="G54" s="7">
        <v>3.3632145257630079E-2</v>
      </c>
      <c r="H54" s="7">
        <v>8.9257283290579817E-2</v>
      </c>
      <c r="I54" s="7">
        <v>3.6194598801160806E-2</v>
      </c>
      <c r="J54" s="7">
        <v>3.8607815704420657E-2</v>
      </c>
      <c r="K54" s="7">
        <v>4.6885970396966965E-2</v>
      </c>
      <c r="L54" s="7">
        <v>6.0448747153340782E-2</v>
      </c>
      <c r="M54" s="7">
        <v>9.5786560206298915E-2</v>
      </c>
      <c r="N54" s="7">
        <v>8.5162560010324018E-2</v>
      </c>
      <c r="O54" s="7">
        <v>0.1000695908003453</v>
      </c>
      <c r="P54" s="7">
        <v>6.1545602928399855E-2</v>
      </c>
      <c r="Q54" s="7">
        <v>6.8285507502298934E-2</v>
      </c>
      <c r="R54" s="7">
        <v>5.4272600371861664E-2</v>
      </c>
      <c r="S54" s="7">
        <v>7.7866035170529008E-2</v>
      </c>
      <c r="T54" s="7">
        <v>4.5755004557692949E-2</v>
      </c>
      <c r="U54" s="7">
        <v>5.1641092524299902E-2</v>
      </c>
      <c r="V54" s="7">
        <v>5.6589524008618122E-2</v>
      </c>
      <c r="W54" s="7">
        <v>3.4080995043629797E-2</v>
      </c>
      <c r="X54" s="7">
        <v>0.10349229899787477</v>
      </c>
      <c r="Y54" s="7">
        <v>5.3316620025796624E-2</v>
      </c>
    </row>
    <row r="55" spans="1:25" x14ac:dyDescent="0.25">
      <c r="B55" s="7">
        <v>7.0537198928678463E-2</v>
      </c>
      <c r="C55" s="7">
        <v>9.2143228692117621E-2</v>
      </c>
      <c r="D55" s="7">
        <v>3.6528678677915996E-2</v>
      </c>
      <c r="E55" s="7">
        <v>5.5161098444959852E-2</v>
      </c>
      <c r="F55" s="7">
        <v>3.3283152111859955E-2</v>
      </c>
      <c r="G55" s="7">
        <v>3.340902008348709E-2</v>
      </c>
      <c r="H55" s="7">
        <v>8.6580144836163886E-2</v>
      </c>
      <c r="I55" s="7">
        <v>3.5970376459818397E-2</v>
      </c>
      <c r="J55" s="7">
        <v>3.8306227856746491E-2</v>
      </c>
      <c r="K55" s="7">
        <v>4.6459919127397428E-2</v>
      </c>
      <c r="L55" s="7">
        <v>5.9566975365415588E-2</v>
      </c>
      <c r="M55" s="7">
        <v>9.279530131831773E-2</v>
      </c>
      <c r="N55" s="7">
        <v>8.3035198450138223E-2</v>
      </c>
      <c r="O55" s="7">
        <v>9.9256905026601949E-2</v>
      </c>
      <c r="P55" s="7">
        <v>6.1025083686819644E-2</v>
      </c>
      <c r="Q55" s="7">
        <v>6.7706036679137521E-2</v>
      </c>
      <c r="R55" s="7">
        <v>5.367984665943426E-2</v>
      </c>
      <c r="S55" s="7">
        <v>7.6801527512409623E-2</v>
      </c>
      <c r="T55" s="7">
        <v>4.5236336384732852E-2</v>
      </c>
      <c r="U55" s="7">
        <v>5.1258995444625824E-2</v>
      </c>
      <c r="V55" s="7">
        <v>5.5901977884880584E-2</v>
      </c>
      <c r="W55" s="7">
        <v>3.3864770797827057E-2</v>
      </c>
      <c r="X55" s="7">
        <v>0.10069013714549521</v>
      </c>
      <c r="Y55" s="7">
        <v>5.3044388996703939E-2</v>
      </c>
    </row>
    <row r="56" spans="1:25" x14ac:dyDescent="0.25">
      <c r="B56" s="7">
        <v>6.9689782960659544E-2</v>
      </c>
      <c r="C56" s="7">
        <v>9.1347834926447283E-2</v>
      </c>
      <c r="D56" s="7">
        <v>3.6253641343824125E-2</v>
      </c>
      <c r="E56" s="7">
        <v>5.4791168034679906E-2</v>
      </c>
      <c r="F56" s="7">
        <v>3.3071402995183567E-2</v>
      </c>
      <c r="G56" s="7">
        <v>3.3177612208383868E-2</v>
      </c>
      <c r="H56" s="7">
        <v>8.3886208576114937E-2</v>
      </c>
      <c r="I56" s="7">
        <v>3.5740326906586975E-2</v>
      </c>
      <c r="J56" s="7">
        <v>3.8002171241372854E-2</v>
      </c>
      <c r="K56" s="7">
        <v>4.6019270606998085E-2</v>
      </c>
      <c r="L56" s="7">
        <v>5.8637776406533802E-2</v>
      </c>
      <c r="M56" s="7">
        <v>8.9788781867622555E-2</v>
      </c>
      <c r="N56" s="7">
        <v>8.0835316956019837E-2</v>
      </c>
      <c r="O56" s="7">
        <v>9.8352496086914723E-2</v>
      </c>
      <c r="P56" s="7">
        <v>6.0499230209025402E-2</v>
      </c>
      <c r="Q56" s="7">
        <v>6.7005403354892662E-2</v>
      </c>
      <c r="R56" s="7">
        <v>5.3090012994210053E-2</v>
      </c>
      <c r="S56" s="7">
        <v>7.5539464649180807E-2</v>
      </c>
      <c r="T56" s="7">
        <v>4.4709442482426087E-2</v>
      </c>
      <c r="U56" s="7">
        <v>5.0867823977943337E-2</v>
      </c>
      <c r="V56" s="7">
        <v>5.5207884007014721E-2</v>
      </c>
      <c r="W56" s="7">
        <v>3.3642796331998535E-2</v>
      </c>
      <c r="X56" s="7">
        <v>9.7846330183948491E-2</v>
      </c>
      <c r="Y56" s="7">
        <v>5.2764859718006374E-2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24.745999999999999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17.943999999999999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31.725999999999999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21.888999999999999</v>
      </c>
      <c r="I60" s="7">
        <v>1.9139999999999999</v>
      </c>
      <c r="J60" s="7">
        <v>11.144</v>
      </c>
      <c r="K60" s="7">
        <v>20.260999999999999</v>
      </c>
      <c r="L60" s="7">
        <v>22.335000000000001</v>
      </c>
      <c r="M60" s="7">
        <v>128.011</v>
      </c>
      <c r="N60" s="7">
        <v>56.615000000000002</v>
      </c>
      <c r="O60" s="7">
        <v>0</v>
      </c>
      <c r="P60" s="7">
        <v>19.266999999999999</v>
      </c>
      <c r="Q60" s="7">
        <v>5.4950000000000001</v>
      </c>
      <c r="R60" s="7">
        <v>40.058</v>
      </c>
      <c r="S60" s="7">
        <v>3.5710000000000002</v>
      </c>
      <c r="T60" s="7">
        <v>36.539000000000001</v>
      </c>
      <c r="U60" s="7">
        <v>13.736000000000001</v>
      </c>
      <c r="V60" s="7">
        <v>39.677999999999997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2.198</v>
      </c>
      <c r="C61" s="7">
        <v>0</v>
      </c>
      <c r="D61" s="7">
        <v>8.5549999999999997</v>
      </c>
      <c r="E61" s="7">
        <v>7.9889999999999999</v>
      </c>
      <c r="F61" s="7">
        <v>0</v>
      </c>
      <c r="G61" s="7">
        <v>8.0589999999999993</v>
      </c>
      <c r="H61" s="7">
        <v>39.954000000000001</v>
      </c>
      <c r="I61" s="7">
        <v>3.1589999999999998</v>
      </c>
      <c r="J61" s="7">
        <v>13.308</v>
      </c>
      <c r="K61" s="7">
        <v>22.504999999999999</v>
      </c>
      <c r="L61" s="7">
        <v>24.555</v>
      </c>
      <c r="M61" s="7">
        <v>129.678</v>
      </c>
      <c r="N61" s="7">
        <v>74.421999999999997</v>
      </c>
      <c r="O61" s="7">
        <v>0</v>
      </c>
      <c r="P61" s="7">
        <v>22.768000000000001</v>
      </c>
      <c r="Q61" s="7">
        <v>6.3289999999999997</v>
      </c>
      <c r="R61" s="7">
        <v>42.1</v>
      </c>
      <c r="S61" s="7">
        <v>11.292</v>
      </c>
      <c r="T61" s="7">
        <v>38.54</v>
      </c>
      <c r="U61" s="7">
        <v>17.559000000000001</v>
      </c>
      <c r="V61" s="7">
        <v>39.997999999999998</v>
      </c>
      <c r="W61" s="7">
        <v>1.099</v>
      </c>
      <c r="X61" s="7">
        <v>66.007999999999996</v>
      </c>
      <c r="Y61" s="7">
        <v>0</v>
      </c>
    </row>
    <row r="62" spans="1:25" x14ac:dyDescent="0.25">
      <c r="B62" s="7">
        <v>5.3869999999999996</v>
      </c>
      <c r="C62" s="7">
        <v>0</v>
      </c>
      <c r="D62" s="7">
        <v>10.481</v>
      </c>
      <c r="E62" s="7">
        <v>9.2739999999999991</v>
      </c>
      <c r="F62" s="7">
        <v>0</v>
      </c>
      <c r="G62" s="7">
        <v>9.4930000000000003</v>
      </c>
      <c r="H62" s="7">
        <v>69.180999999999997</v>
      </c>
      <c r="I62" s="7">
        <v>4.5129999999999999</v>
      </c>
      <c r="J62" s="7">
        <v>14.946</v>
      </c>
      <c r="K62" s="7">
        <v>23.603000000000002</v>
      </c>
      <c r="L62" s="7">
        <v>25.776</v>
      </c>
      <c r="M62" s="7">
        <v>130.87100000000001</v>
      </c>
      <c r="N62" s="7">
        <v>86.072999999999993</v>
      </c>
      <c r="O62" s="7">
        <v>0</v>
      </c>
      <c r="P62" s="7">
        <v>25.710999999999999</v>
      </c>
      <c r="Q62" s="7">
        <v>9.6150000000000002</v>
      </c>
      <c r="R62" s="7">
        <v>43.521000000000001</v>
      </c>
      <c r="S62" s="7">
        <v>19.100000000000001</v>
      </c>
      <c r="T62" s="7">
        <v>39.384</v>
      </c>
      <c r="U62" s="7">
        <v>21.068000000000001</v>
      </c>
      <c r="V62" s="7">
        <v>40.75</v>
      </c>
      <c r="W62" s="7">
        <v>2.5640000000000001</v>
      </c>
      <c r="X62" s="7">
        <v>113.033</v>
      </c>
      <c r="Y62" s="7">
        <v>0</v>
      </c>
    </row>
    <row r="63" spans="1:25" x14ac:dyDescent="0.25">
      <c r="B63" s="7">
        <v>9.718</v>
      </c>
      <c r="C63" s="7">
        <v>0</v>
      </c>
      <c r="D63" s="7">
        <v>12.359</v>
      </c>
      <c r="E63" s="7">
        <v>11.538</v>
      </c>
      <c r="F63" s="7">
        <v>0</v>
      </c>
      <c r="G63" s="7">
        <v>11.464</v>
      </c>
      <c r="H63" s="7">
        <v>121.36199999999999</v>
      </c>
      <c r="I63" s="7">
        <v>5.9139999999999997</v>
      </c>
      <c r="J63" s="7">
        <v>17.978999999999999</v>
      </c>
      <c r="K63" s="7">
        <v>24.986000000000001</v>
      </c>
      <c r="L63" s="7">
        <v>29.085000000000001</v>
      </c>
      <c r="M63" s="7">
        <v>131.91300000000001</v>
      </c>
      <c r="N63" s="7">
        <v>91.251000000000005</v>
      </c>
      <c r="O63" s="7">
        <v>0</v>
      </c>
      <c r="P63" s="7">
        <v>28.544</v>
      </c>
      <c r="Q63" s="7">
        <v>13.228999999999999</v>
      </c>
      <c r="R63" s="7">
        <v>44.34</v>
      </c>
      <c r="S63" s="7">
        <v>28.486999999999998</v>
      </c>
      <c r="T63" s="7">
        <v>42.09</v>
      </c>
      <c r="U63" s="7">
        <v>23.734000000000002</v>
      </c>
      <c r="V63" s="7">
        <v>40.957000000000001</v>
      </c>
      <c r="W63" s="7">
        <v>3.2970000000000002</v>
      </c>
      <c r="X63" s="7">
        <v>114.748</v>
      </c>
      <c r="Y63" s="7">
        <v>1.8320000000000001</v>
      </c>
    </row>
    <row r="64" spans="1:25" x14ac:dyDescent="0.25">
      <c r="B64" s="7">
        <v>16.785</v>
      </c>
      <c r="C64" s="7">
        <v>0</v>
      </c>
      <c r="D64" s="7">
        <v>14.18</v>
      </c>
      <c r="E64" s="7">
        <v>12.483000000000001</v>
      </c>
      <c r="F64" s="7">
        <v>0</v>
      </c>
      <c r="G64" s="7">
        <v>12.846</v>
      </c>
      <c r="H64" s="7">
        <v>124.206</v>
      </c>
      <c r="I64" s="7">
        <v>7.5789999999999997</v>
      </c>
      <c r="J64" s="7">
        <v>19.334</v>
      </c>
      <c r="K64" s="7">
        <v>27.404</v>
      </c>
      <c r="L64" s="7">
        <v>30.245000000000001</v>
      </c>
      <c r="M64" s="7">
        <v>135.089</v>
      </c>
      <c r="N64" s="7">
        <v>96.662000000000006</v>
      </c>
      <c r="O64" s="7">
        <v>0</v>
      </c>
      <c r="P64" s="7">
        <v>30.611999999999998</v>
      </c>
      <c r="Q64" s="7">
        <v>19.718</v>
      </c>
      <c r="R64" s="7">
        <v>45.82</v>
      </c>
      <c r="S64" s="7">
        <v>40.914999999999999</v>
      </c>
      <c r="T64" s="7">
        <v>43.652999999999999</v>
      </c>
      <c r="U64" s="7">
        <v>26.128</v>
      </c>
      <c r="V64" s="7">
        <v>43.286000000000001</v>
      </c>
      <c r="W64" s="7">
        <v>5.1280000000000001</v>
      </c>
      <c r="X64" s="7">
        <v>115.681</v>
      </c>
      <c r="Y64" s="7">
        <v>2.7959999999999998</v>
      </c>
    </row>
    <row r="65" spans="1:25" x14ac:dyDescent="0.25">
      <c r="B65" s="7">
        <v>25.28</v>
      </c>
      <c r="C65" s="7">
        <v>4.3959999999999999</v>
      </c>
      <c r="D65" s="7">
        <v>15.516</v>
      </c>
      <c r="E65" s="7">
        <v>15.286</v>
      </c>
      <c r="F65" s="7">
        <v>1.099</v>
      </c>
      <c r="G65" s="7">
        <v>14.225</v>
      </c>
      <c r="H65" s="7">
        <v>126.613</v>
      </c>
      <c r="I65" s="7">
        <v>8.6349999999999998</v>
      </c>
      <c r="J65" s="7">
        <v>20.879000000000001</v>
      </c>
      <c r="K65" s="7">
        <v>28.297000000000001</v>
      </c>
      <c r="L65" s="7">
        <v>32.164999999999999</v>
      </c>
      <c r="M65" s="7">
        <v>137.88999999999999</v>
      </c>
      <c r="N65" s="7">
        <v>101.80200000000001</v>
      </c>
      <c r="O65" s="7">
        <v>11.000999999999999</v>
      </c>
      <c r="P65" s="7">
        <v>31.507999999999999</v>
      </c>
      <c r="Q65" s="7">
        <v>24.698</v>
      </c>
      <c r="R65" s="7">
        <v>46.656999999999996</v>
      </c>
      <c r="S65" s="7">
        <v>51.725999999999999</v>
      </c>
      <c r="T65" s="7">
        <v>45.518000000000001</v>
      </c>
      <c r="U65" s="7">
        <v>28.199000000000002</v>
      </c>
      <c r="V65" s="7">
        <v>44.512999999999998</v>
      </c>
      <c r="W65" s="7">
        <v>6.4089999999999998</v>
      </c>
      <c r="X65" s="7">
        <v>118.834</v>
      </c>
      <c r="Y65" s="7">
        <v>3.93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69777150</v>
      </c>
      <c r="C76" s="7">
        <v>15829450</v>
      </c>
      <c r="D76" s="7">
        <v>57018800</v>
      </c>
      <c r="E76" s="7">
        <v>174986300</v>
      </c>
      <c r="F76" s="7">
        <v>106766000</v>
      </c>
      <c r="G76" s="7">
        <v>97793160</v>
      </c>
      <c r="H76" s="7">
        <v>40121520</v>
      </c>
      <c r="I76" s="7">
        <v>77632580</v>
      </c>
      <c r="J76" s="7">
        <v>59456160</v>
      </c>
      <c r="K76" s="7">
        <v>79160940</v>
      </c>
      <c r="L76" s="7">
        <v>81527360</v>
      </c>
      <c r="M76" s="7">
        <v>79062830</v>
      </c>
      <c r="N76" s="7">
        <v>55690230</v>
      </c>
      <c r="O76" s="7">
        <v>10717590</v>
      </c>
      <c r="P76" s="7">
        <v>134883100</v>
      </c>
      <c r="Q76" s="7">
        <v>64787660</v>
      </c>
      <c r="R76" s="7">
        <v>99762540</v>
      </c>
      <c r="S76" s="7">
        <v>58260480</v>
      </c>
      <c r="T76" s="7">
        <v>111201700</v>
      </c>
      <c r="U76" s="7">
        <v>75391300</v>
      </c>
      <c r="V76" s="7">
        <v>63965670</v>
      </c>
      <c r="W76" s="7">
        <v>191001000</v>
      </c>
      <c r="X76" s="7">
        <v>43636720</v>
      </c>
      <c r="Y76" s="7">
        <v>163844000</v>
      </c>
    </row>
    <row r="77" spans="1:25" x14ac:dyDescent="0.25">
      <c r="B77" s="7">
        <v>65829850</v>
      </c>
      <c r="C77" s="7">
        <v>14285570</v>
      </c>
      <c r="D77" s="7">
        <v>48512670</v>
      </c>
      <c r="E77" s="7">
        <v>171296300</v>
      </c>
      <c r="F77" s="7">
        <v>96188530</v>
      </c>
      <c r="G77" s="7">
        <v>86759400</v>
      </c>
      <c r="H77" s="7">
        <v>39054590</v>
      </c>
      <c r="I77" s="7">
        <v>67915510</v>
      </c>
      <c r="J77" s="7">
        <v>54277550</v>
      </c>
      <c r="K77" s="7">
        <v>69845100</v>
      </c>
      <c r="L77" s="7">
        <v>75978690</v>
      </c>
      <c r="M77" s="7">
        <v>104261100</v>
      </c>
      <c r="N77" s="7">
        <v>57798860</v>
      </c>
      <c r="O77" s="7">
        <v>9747156.091</v>
      </c>
      <c r="P77" s="7">
        <v>132259300</v>
      </c>
      <c r="Q77" s="7">
        <v>60472860</v>
      </c>
      <c r="R77" s="7">
        <v>94665890</v>
      </c>
      <c r="S77" s="7">
        <v>54207460</v>
      </c>
      <c r="T77" s="7">
        <v>100219400</v>
      </c>
      <c r="U77" s="7">
        <v>69939670</v>
      </c>
      <c r="V77" s="7">
        <v>56988730</v>
      </c>
      <c r="W77" s="7">
        <v>175377800</v>
      </c>
      <c r="X77" s="7">
        <v>44751300</v>
      </c>
      <c r="Y77" s="7">
        <v>154352400</v>
      </c>
    </row>
    <row r="78" spans="1:25" x14ac:dyDescent="0.25">
      <c r="B78" s="7">
        <v>61784300</v>
      </c>
      <c r="C78" s="7">
        <v>12861900</v>
      </c>
      <c r="D78" s="7">
        <v>41390660</v>
      </c>
      <c r="E78" s="7">
        <v>166897500</v>
      </c>
      <c r="F78" s="7">
        <v>85919150</v>
      </c>
      <c r="G78" s="7">
        <v>77232140</v>
      </c>
      <c r="H78" s="7">
        <v>43125710</v>
      </c>
      <c r="I78" s="7">
        <v>59095620</v>
      </c>
      <c r="J78" s="7">
        <v>49297170</v>
      </c>
      <c r="K78" s="7">
        <v>61420970</v>
      </c>
      <c r="L78" s="7">
        <v>70279430</v>
      </c>
      <c r="M78" s="7">
        <v>100299900</v>
      </c>
      <c r="N78" s="7">
        <v>61962870</v>
      </c>
      <c r="O78" s="7">
        <v>8863270.784</v>
      </c>
      <c r="P78" s="7">
        <v>128749600</v>
      </c>
      <c r="Q78" s="7">
        <v>57278680</v>
      </c>
      <c r="R78" s="7">
        <v>89436870</v>
      </c>
      <c r="S78" s="7">
        <v>51038720</v>
      </c>
      <c r="T78" s="7">
        <v>89288670</v>
      </c>
      <c r="U78" s="7">
        <v>65020640</v>
      </c>
      <c r="V78" s="7">
        <v>50711770</v>
      </c>
      <c r="W78" s="7">
        <v>159402000</v>
      </c>
      <c r="X78" s="7">
        <v>54261460</v>
      </c>
      <c r="Y78" s="7">
        <v>144425000</v>
      </c>
    </row>
    <row r="79" spans="1:25" x14ac:dyDescent="0.25">
      <c r="B79" s="7">
        <v>57579790</v>
      </c>
      <c r="C79" s="7">
        <v>11808890</v>
      </c>
      <c r="D79" s="7">
        <v>35099780</v>
      </c>
      <c r="E79" s="7">
        <v>158982800</v>
      </c>
      <c r="F79" s="7">
        <v>77055450</v>
      </c>
      <c r="G79" s="7">
        <v>66423180</v>
      </c>
      <c r="H79" s="7">
        <v>46002020</v>
      </c>
      <c r="I79" s="7">
        <v>53076950</v>
      </c>
      <c r="J79" s="7">
        <v>43595330</v>
      </c>
      <c r="K79" s="7">
        <v>53690380</v>
      </c>
      <c r="L79" s="7">
        <v>64936590</v>
      </c>
      <c r="M79" s="7">
        <v>94146990</v>
      </c>
      <c r="N79" s="7">
        <v>60054580</v>
      </c>
      <c r="O79" s="7">
        <v>8022237.5779999997</v>
      </c>
      <c r="P79" s="7">
        <v>117039300</v>
      </c>
      <c r="Q79" s="7">
        <v>51643110</v>
      </c>
      <c r="R79" s="7">
        <v>81762140</v>
      </c>
      <c r="S79" s="7">
        <v>48043650</v>
      </c>
      <c r="T79" s="7">
        <v>77977270</v>
      </c>
      <c r="U79" s="7">
        <v>57921640</v>
      </c>
      <c r="V79" s="7">
        <v>44705210</v>
      </c>
      <c r="W79" s="7">
        <v>142345300</v>
      </c>
      <c r="X79" s="7">
        <v>66145000</v>
      </c>
      <c r="Y79" s="7">
        <v>131668700</v>
      </c>
    </row>
    <row r="80" spans="1:25" x14ac:dyDescent="0.25">
      <c r="B80" s="7">
        <v>53687020</v>
      </c>
      <c r="C80" s="7">
        <v>10769780</v>
      </c>
      <c r="D80" s="7">
        <v>29733840</v>
      </c>
      <c r="E80" s="7">
        <v>151212200</v>
      </c>
      <c r="F80" s="7">
        <v>68797960</v>
      </c>
      <c r="G80" s="7">
        <v>56758410</v>
      </c>
      <c r="H80" s="7">
        <v>52530600</v>
      </c>
      <c r="I80" s="7">
        <v>47511400</v>
      </c>
      <c r="J80" s="7">
        <v>38472060</v>
      </c>
      <c r="K80" s="7">
        <v>46544600</v>
      </c>
      <c r="L80" s="7">
        <v>59986160</v>
      </c>
      <c r="M80" s="7">
        <v>87645090</v>
      </c>
      <c r="N80" s="7">
        <v>56056370</v>
      </c>
      <c r="O80" s="7">
        <v>7219681.2779999999</v>
      </c>
      <c r="P80" s="7">
        <v>104554000</v>
      </c>
      <c r="Q80" s="7">
        <v>46861970</v>
      </c>
      <c r="R80" s="7">
        <v>74506250</v>
      </c>
      <c r="S80" s="7">
        <v>44825180</v>
      </c>
      <c r="T80" s="7">
        <v>67545770</v>
      </c>
      <c r="U80" s="7">
        <v>51085660</v>
      </c>
      <c r="V80" s="7">
        <v>39249690</v>
      </c>
      <c r="W80" s="7">
        <v>125895300</v>
      </c>
      <c r="X80" s="7">
        <v>83507650</v>
      </c>
      <c r="Y80" s="7">
        <v>119138000</v>
      </c>
    </row>
    <row r="81" spans="1:25" x14ac:dyDescent="0.25">
      <c r="B81" s="7">
        <v>49989950</v>
      </c>
      <c r="C81" s="7">
        <v>9826728.1620000005</v>
      </c>
      <c r="D81" s="7">
        <v>25149490</v>
      </c>
      <c r="E81" s="7">
        <v>143580000</v>
      </c>
      <c r="F81" s="7">
        <v>61153540</v>
      </c>
      <c r="G81" s="7">
        <v>48249390</v>
      </c>
      <c r="H81" s="7">
        <v>64647900</v>
      </c>
      <c r="I81" s="7">
        <v>42435640</v>
      </c>
      <c r="J81" s="7">
        <v>33904580</v>
      </c>
      <c r="K81" s="7">
        <v>40498570</v>
      </c>
      <c r="L81" s="7">
        <v>55141250</v>
      </c>
      <c r="M81" s="7">
        <v>81399620</v>
      </c>
      <c r="N81" s="7">
        <v>50966650</v>
      </c>
      <c r="O81" s="7">
        <v>6504715.8689999999</v>
      </c>
      <c r="P81" s="7">
        <v>92450880</v>
      </c>
      <c r="Q81" s="7">
        <v>42617750</v>
      </c>
      <c r="R81" s="7">
        <v>67284920</v>
      </c>
      <c r="S81" s="7">
        <v>41927630</v>
      </c>
      <c r="T81" s="7">
        <v>58379250</v>
      </c>
      <c r="U81" s="7">
        <v>44628070</v>
      </c>
      <c r="V81" s="7">
        <v>34260460</v>
      </c>
      <c r="W81" s="7">
        <v>109971200</v>
      </c>
      <c r="X81" s="7">
        <v>79949110</v>
      </c>
      <c r="Y81" s="7">
        <v>107243800</v>
      </c>
    </row>
    <row r="82" spans="1:25" x14ac:dyDescent="0.25">
      <c r="B82" s="7">
        <v>47216120</v>
      </c>
      <c r="C82" s="7">
        <v>8944252.5580000002</v>
      </c>
      <c r="D82" s="7">
        <v>21204920</v>
      </c>
      <c r="E82" s="7">
        <v>135427200</v>
      </c>
      <c r="F82" s="7">
        <v>54107080</v>
      </c>
      <c r="G82" s="7">
        <v>40776110</v>
      </c>
      <c r="H82" s="7">
        <v>58702140</v>
      </c>
      <c r="I82" s="7">
        <v>37833300</v>
      </c>
      <c r="J82" s="7">
        <v>29815670</v>
      </c>
      <c r="K82" s="7">
        <v>34964510</v>
      </c>
      <c r="L82" s="7">
        <v>50569200</v>
      </c>
      <c r="M82" s="7">
        <v>75640360</v>
      </c>
      <c r="N82" s="7">
        <v>46065230</v>
      </c>
      <c r="O82" s="7">
        <v>5847432.2589999996</v>
      </c>
      <c r="P82" s="7">
        <v>80621320</v>
      </c>
      <c r="Q82" s="7">
        <v>38769200</v>
      </c>
      <c r="R82" s="7">
        <v>60438310</v>
      </c>
      <c r="S82" s="7">
        <v>39446300</v>
      </c>
      <c r="T82" s="7">
        <v>50090420</v>
      </c>
      <c r="U82" s="7">
        <v>38833660</v>
      </c>
      <c r="V82" s="7">
        <v>29825680</v>
      </c>
      <c r="W82" s="7">
        <v>95396690</v>
      </c>
      <c r="X82" s="7">
        <v>76491480</v>
      </c>
      <c r="Y82" s="7">
        <v>95633640</v>
      </c>
    </row>
    <row r="83" spans="1:25" x14ac:dyDescent="0.25">
      <c r="B83" s="7">
        <v>44271610</v>
      </c>
      <c r="C83" s="7">
        <v>8389268.5490000006</v>
      </c>
      <c r="D83" s="7">
        <v>17895510</v>
      </c>
      <c r="E83" s="7">
        <v>127470500</v>
      </c>
      <c r="F83" s="7">
        <v>47730550</v>
      </c>
      <c r="G83" s="7">
        <v>34326630</v>
      </c>
      <c r="H83" s="7">
        <v>52897140</v>
      </c>
      <c r="I83" s="7">
        <v>33615490</v>
      </c>
      <c r="J83" s="7">
        <v>26170580</v>
      </c>
      <c r="K83" s="7">
        <v>30070530</v>
      </c>
      <c r="L83" s="7">
        <v>46310220</v>
      </c>
      <c r="M83" s="7">
        <v>69976760</v>
      </c>
      <c r="N83" s="7">
        <v>41626350</v>
      </c>
      <c r="O83" s="7">
        <v>5731846.193</v>
      </c>
      <c r="P83" s="7">
        <v>69196110</v>
      </c>
      <c r="Q83" s="7">
        <v>35276480</v>
      </c>
      <c r="R83" s="7">
        <v>54054010</v>
      </c>
      <c r="S83" s="7">
        <v>36696640</v>
      </c>
      <c r="T83" s="7">
        <v>42857680</v>
      </c>
      <c r="U83" s="7">
        <v>33542760</v>
      </c>
      <c r="V83" s="7">
        <v>25858550</v>
      </c>
      <c r="W83" s="7">
        <v>81971550</v>
      </c>
      <c r="X83" s="7">
        <v>73124780</v>
      </c>
      <c r="Y83" s="7">
        <v>84825880</v>
      </c>
    </row>
    <row r="85" spans="1:25" ht="45" x14ac:dyDescent="0.25">
      <c r="A85" s="6" t="s">
        <v>46</v>
      </c>
      <c r="B85" s="7">
        <v>17575560</v>
      </c>
      <c r="C85" s="7">
        <v>127312800</v>
      </c>
      <c r="D85" s="7">
        <v>0</v>
      </c>
      <c r="E85" s="7">
        <v>0</v>
      </c>
      <c r="F85" s="7">
        <v>0</v>
      </c>
      <c r="G85" s="7">
        <v>0</v>
      </c>
      <c r="H85" s="7">
        <v>160190900</v>
      </c>
      <c r="I85" s="7">
        <v>0</v>
      </c>
      <c r="J85" s="7">
        <v>0</v>
      </c>
      <c r="K85" s="7">
        <v>0</v>
      </c>
      <c r="L85" s="7">
        <v>22279950</v>
      </c>
      <c r="M85" s="7">
        <v>295822900</v>
      </c>
      <c r="N85" s="7">
        <v>88131570</v>
      </c>
      <c r="O85" s="7">
        <v>126587300</v>
      </c>
      <c r="P85" s="7">
        <v>0</v>
      </c>
      <c r="Q85" s="7">
        <v>0</v>
      </c>
      <c r="R85" s="7">
        <v>0</v>
      </c>
      <c r="S85" s="7">
        <v>32026210</v>
      </c>
      <c r="T85" s="7">
        <v>1.288572E-8</v>
      </c>
      <c r="U85" s="7">
        <v>0</v>
      </c>
      <c r="V85" s="7">
        <v>0</v>
      </c>
      <c r="W85" s="7">
        <v>0</v>
      </c>
      <c r="X85" s="7">
        <v>153707400</v>
      </c>
      <c r="Y85" s="7">
        <v>0</v>
      </c>
    </row>
    <row r="86" spans="1:25" x14ac:dyDescent="0.25">
      <c r="B86" s="7">
        <v>20695410</v>
      </c>
      <c r="C86" s="7">
        <v>128963500</v>
      </c>
      <c r="D86" s="7">
        <v>3.3503600000000001E-7</v>
      </c>
      <c r="E86" s="7">
        <v>1.8910209999999999E-7</v>
      </c>
      <c r="F86" s="7">
        <v>0</v>
      </c>
      <c r="G86" s="7">
        <v>0</v>
      </c>
      <c r="H86" s="7">
        <v>166570800</v>
      </c>
      <c r="I86" s="7">
        <v>0</v>
      </c>
      <c r="J86" s="7">
        <v>-3.9789999999999998E-7</v>
      </c>
      <c r="K86" s="7">
        <v>1.1204970000000001E-9</v>
      </c>
      <c r="L86" s="7">
        <v>25451670</v>
      </c>
      <c r="M86" s="7">
        <v>411582700</v>
      </c>
      <c r="N86" s="7">
        <v>133236400</v>
      </c>
      <c r="O86" s="7">
        <v>128511100</v>
      </c>
      <c r="P86" s="7">
        <v>6.4610500000000001E-9</v>
      </c>
      <c r="Q86" s="7">
        <v>0</v>
      </c>
      <c r="R86" s="7">
        <v>7.1653629999999995E-8</v>
      </c>
      <c r="S86" s="7">
        <v>34565040</v>
      </c>
      <c r="T86" s="7">
        <v>0</v>
      </c>
      <c r="U86" s="7">
        <v>0</v>
      </c>
      <c r="V86" s="7">
        <v>0</v>
      </c>
      <c r="W86" s="7">
        <v>0</v>
      </c>
      <c r="X86" s="7">
        <v>165275700</v>
      </c>
      <c r="Y86" s="7">
        <v>0</v>
      </c>
    </row>
    <row r="87" spans="1:25" x14ac:dyDescent="0.25">
      <c r="B87" s="7">
        <v>23532450</v>
      </c>
      <c r="C87" s="7">
        <v>131031900</v>
      </c>
      <c r="D87" s="7">
        <v>-7.2614099999999996E-9</v>
      </c>
      <c r="E87" s="7">
        <v>5.6439599999999999E-8</v>
      </c>
      <c r="F87" s="7">
        <v>0</v>
      </c>
      <c r="G87" s="7">
        <v>-1.2324000000000001E-7</v>
      </c>
      <c r="H87" s="7">
        <v>197275800</v>
      </c>
      <c r="I87" s="7">
        <v>4.8086800000000001E-8</v>
      </c>
      <c r="J87" s="7">
        <v>5.506445E-8</v>
      </c>
      <c r="K87" s="7">
        <v>0</v>
      </c>
      <c r="L87" s="7">
        <v>28802240</v>
      </c>
      <c r="M87" s="7">
        <v>418863700</v>
      </c>
      <c r="N87" s="7">
        <v>197559200</v>
      </c>
      <c r="O87" s="7">
        <v>130839700</v>
      </c>
      <c r="P87" s="7">
        <v>0</v>
      </c>
      <c r="Q87" s="7">
        <v>0</v>
      </c>
      <c r="R87" s="7">
        <v>-1.8306300000000002E-8</v>
      </c>
      <c r="S87" s="7">
        <v>40880210</v>
      </c>
      <c r="T87" s="7">
        <v>0</v>
      </c>
      <c r="U87" s="7">
        <v>1.575972E-8</v>
      </c>
      <c r="V87" s="7">
        <v>0</v>
      </c>
      <c r="W87" s="7">
        <v>0</v>
      </c>
      <c r="X87" s="7">
        <v>210752500</v>
      </c>
      <c r="Y87" s="7">
        <v>0</v>
      </c>
    </row>
    <row r="88" spans="1:25" x14ac:dyDescent="0.25">
      <c r="B88" s="7">
        <v>27603910</v>
      </c>
      <c r="C88" s="7">
        <v>133744200</v>
      </c>
      <c r="D88" s="7">
        <v>0</v>
      </c>
      <c r="E88" s="7">
        <v>1.000008E-7</v>
      </c>
      <c r="F88" s="7">
        <v>0</v>
      </c>
      <c r="G88" s="7">
        <v>-2.92421E-8</v>
      </c>
      <c r="H88" s="7">
        <v>231635600</v>
      </c>
      <c r="I88" s="7">
        <v>-1.3627899999999999E-8</v>
      </c>
      <c r="J88" s="7">
        <v>9.789073E-8</v>
      </c>
      <c r="K88" s="7">
        <v>0</v>
      </c>
      <c r="L88" s="7">
        <v>31568860</v>
      </c>
      <c r="M88" s="7">
        <v>423885000</v>
      </c>
      <c r="N88" s="7">
        <v>244229000</v>
      </c>
      <c r="O88" s="7">
        <v>133686300</v>
      </c>
      <c r="P88" s="7">
        <v>0</v>
      </c>
      <c r="Q88" s="7">
        <v>-6.0383200000000003E-8</v>
      </c>
      <c r="R88" s="7">
        <v>7.1064280000000004E-8</v>
      </c>
      <c r="S88" s="7">
        <v>57463010</v>
      </c>
      <c r="T88" s="7">
        <v>3.7849530000000001E-8</v>
      </c>
      <c r="U88" s="7">
        <v>-3.9093700000000003E-8</v>
      </c>
      <c r="V88" s="7">
        <v>0</v>
      </c>
      <c r="W88" s="7">
        <v>1.2252710000000001E-8</v>
      </c>
      <c r="X88" s="7">
        <v>270838100</v>
      </c>
      <c r="Y88" s="7">
        <v>0</v>
      </c>
    </row>
    <row r="89" spans="1:25" x14ac:dyDescent="0.25">
      <c r="B89" s="7">
        <v>34868940</v>
      </c>
      <c r="C89" s="7">
        <v>136002900</v>
      </c>
      <c r="D89" s="7">
        <v>0</v>
      </c>
      <c r="E89" s="7">
        <v>1.8940769999999999E-7</v>
      </c>
      <c r="F89" s="7">
        <v>0</v>
      </c>
      <c r="G89" s="7">
        <v>3.2108800000000002E-8</v>
      </c>
      <c r="H89" s="7">
        <v>292450800</v>
      </c>
      <c r="I89" s="7">
        <v>3.0750379999999999E-7</v>
      </c>
      <c r="J89" s="7">
        <v>-3.8511599999999999E-8</v>
      </c>
      <c r="K89" s="7">
        <v>3.1584929999999999E-8</v>
      </c>
      <c r="L89" s="7">
        <v>34473860</v>
      </c>
      <c r="M89" s="7">
        <v>426726200</v>
      </c>
      <c r="N89" s="7">
        <v>273663900</v>
      </c>
      <c r="O89" s="7">
        <v>135878400</v>
      </c>
      <c r="P89" s="7">
        <v>0</v>
      </c>
      <c r="Q89" s="7">
        <v>4441256.1909999996</v>
      </c>
      <c r="R89" s="7">
        <v>-7.7852699999999999E-9</v>
      </c>
      <c r="S89" s="7">
        <v>77889760</v>
      </c>
      <c r="T89" s="7">
        <v>3.0573570000000002E-8</v>
      </c>
      <c r="U89" s="7">
        <v>0</v>
      </c>
      <c r="V89" s="7">
        <v>0</v>
      </c>
      <c r="W89" s="7">
        <v>2.7292119999999999E-8</v>
      </c>
      <c r="X89" s="7">
        <v>361281400</v>
      </c>
      <c r="Y89" s="7">
        <v>0</v>
      </c>
    </row>
    <row r="90" spans="1:25" x14ac:dyDescent="0.25">
      <c r="B90" s="7">
        <v>46735100</v>
      </c>
      <c r="C90" s="7">
        <v>138751500</v>
      </c>
      <c r="D90" s="7">
        <v>0</v>
      </c>
      <c r="E90" s="7">
        <v>5.885522E-7</v>
      </c>
      <c r="F90" s="7">
        <v>0</v>
      </c>
      <c r="G90" s="7">
        <v>1.0368239999999999E-8</v>
      </c>
      <c r="H90" s="7">
        <v>400150400</v>
      </c>
      <c r="I90" s="7">
        <v>7.0798710000000004E-7</v>
      </c>
      <c r="J90" s="7">
        <v>0</v>
      </c>
      <c r="K90" s="7">
        <v>0</v>
      </c>
      <c r="L90" s="7">
        <v>39804190</v>
      </c>
      <c r="M90" s="7">
        <v>429913800</v>
      </c>
      <c r="N90" s="7">
        <v>286911300</v>
      </c>
      <c r="O90" s="7">
        <v>138374500</v>
      </c>
      <c r="P90" s="7">
        <v>-2.4563599999999999E-8</v>
      </c>
      <c r="Q90" s="7">
        <v>11712970</v>
      </c>
      <c r="R90" s="7">
        <v>-4.6122299999999997E-8</v>
      </c>
      <c r="S90" s="7">
        <v>108815800</v>
      </c>
      <c r="T90" s="7">
        <v>0</v>
      </c>
      <c r="U90" s="7">
        <v>3.426248E-8</v>
      </c>
      <c r="V90" s="7">
        <v>0</v>
      </c>
      <c r="W90" s="7">
        <v>-6.3271699999999996E-8</v>
      </c>
      <c r="X90" s="7">
        <v>366272500</v>
      </c>
      <c r="Y90" s="7">
        <v>-5.2765200000000001E-8</v>
      </c>
    </row>
    <row r="91" spans="1:25" x14ac:dyDescent="0.25">
      <c r="B91" s="7">
        <v>62698510</v>
      </c>
      <c r="C91" s="7">
        <v>141579900</v>
      </c>
      <c r="D91" s="7">
        <v>-9.2113599999999995E-9</v>
      </c>
      <c r="E91" s="7">
        <v>0</v>
      </c>
      <c r="F91" s="7">
        <v>0</v>
      </c>
      <c r="G91" s="7">
        <v>0</v>
      </c>
      <c r="H91" s="7">
        <v>406147600</v>
      </c>
      <c r="I91" s="7">
        <v>5.2903489999999998E-8</v>
      </c>
      <c r="J91" s="7">
        <v>-2.5735100000000001E-8</v>
      </c>
      <c r="K91" s="7">
        <v>0</v>
      </c>
      <c r="L91" s="7">
        <v>47557410</v>
      </c>
      <c r="M91" s="7">
        <v>434720200</v>
      </c>
      <c r="N91" s="7">
        <v>302732700</v>
      </c>
      <c r="O91" s="7">
        <v>140699600</v>
      </c>
      <c r="P91" s="7">
        <v>0</v>
      </c>
      <c r="Q91" s="7">
        <v>23971090</v>
      </c>
      <c r="R91" s="7">
        <v>3.1890519999999999E-7</v>
      </c>
      <c r="S91" s="7">
        <v>139048200</v>
      </c>
      <c r="T91" s="7">
        <v>2.9889629999999999E-8</v>
      </c>
      <c r="U91" s="7">
        <v>0</v>
      </c>
      <c r="V91" s="7">
        <v>8.3673509999999995E-8</v>
      </c>
      <c r="W91" s="7">
        <v>-9.4478299999999997E-8</v>
      </c>
      <c r="X91" s="7">
        <v>371945000</v>
      </c>
      <c r="Y91" s="7">
        <v>0</v>
      </c>
    </row>
    <row r="92" spans="1:25" x14ac:dyDescent="0.25">
      <c r="B92" s="7">
        <v>86100150</v>
      </c>
      <c r="C92" s="7">
        <v>149235900</v>
      </c>
      <c r="D92" s="7">
        <v>-4.2840800000000002E-8</v>
      </c>
      <c r="E92" s="7">
        <v>1159839.9939999999</v>
      </c>
      <c r="F92" s="7">
        <v>-5.6752499999999998E-9</v>
      </c>
      <c r="G92" s="7">
        <v>0</v>
      </c>
      <c r="H92" s="7">
        <v>411281700</v>
      </c>
      <c r="I92" s="7">
        <v>-5.6170400000000003E-9</v>
      </c>
      <c r="J92" s="7">
        <v>0</v>
      </c>
      <c r="K92" s="7">
        <v>0</v>
      </c>
      <c r="L92" s="7">
        <v>54260380</v>
      </c>
      <c r="M92" s="7">
        <v>439005200</v>
      </c>
      <c r="N92" s="7">
        <v>315142100</v>
      </c>
      <c r="O92" s="7">
        <v>156083100</v>
      </c>
      <c r="P92" s="7">
        <v>0</v>
      </c>
      <c r="Q92" s="7">
        <v>37500950</v>
      </c>
      <c r="R92" s="7">
        <v>0</v>
      </c>
      <c r="S92" s="7">
        <v>172547700</v>
      </c>
      <c r="T92" s="7">
        <v>3.2610840000000002E-8</v>
      </c>
      <c r="U92" s="7">
        <v>0</v>
      </c>
      <c r="V92" s="7">
        <v>0</v>
      </c>
      <c r="W92" s="7">
        <v>3.6627170000000002E-8</v>
      </c>
      <c r="X92" s="7">
        <v>378289300</v>
      </c>
      <c r="Y92" s="7">
        <v>1.7862479999999999E-8</v>
      </c>
    </row>
    <row r="94" spans="1:25" ht="45" x14ac:dyDescent="0.25">
      <c r="A94" s="6" t="s">
        <v>47</v>
      </c>
      <c r="B94" s="7">
        <v>306173600</v>
      </c>
      <c r="C94" s="7">
        <v>0</v>
      </c>
      <c r="D94" s="7">
        <v>427923700</v>
      </c>
      <c r="E94" s="7">
        <v>408411600</v>
      </c>
      <c r="F94" s="7">
        <v>444569500</v>
      </c>
      <c r="G94" s="7">
        <v>413959400</v>
      </c>
      <c r="H94" s="7">
        <v>0</v>
      </c>
      <c r="I94" s="7">
        <v>422229100</v>
      </c>
      <c r="J94" s="7">
        <v>442258000</v>
      </c>
      <c r="K94" s="7">
        <v>422591100</v>
      </c>
      <c r="L94" s="7">
        <v>435991600</v>
      </c>
      <c r="M94" s="7">
        <v>0</v>
      </c>
      <c r="N94" s="7">
        <v>205111800</v>
      </c>
      <c r="O94" s="7">
        <v>0</v>
      </c>
      <c r="P94" s="7">
        <v>338228300</v>
      </c>
      <c r="Q94" s="7">
        <v>377265800</v>
      </c>
      <c r="R94" s="7">
        <v>425680800</v>
      </c>
      <c r="S94" s="7">
        <v>253276000</v>
      </c>
      <c r="T94" s="7">
        <v>443192900</v>
      </c>
      <c r="U94" s="7">
        <v>351005100</v>
      </c>
      <c r="V94" s="7">
        <v>485587200</v>
      </c>
      <c r="W94" s="7">
        <v>435185400</v>
      </c>
      <c r="X94" s="7">
        <v>0</v>
      </c>
      <c r="Y94" s="7">
        <v>377131000</v>
      </c>
    </row>
    <row r="95" spans="1:25" x14ac:dyDescent="0.25">
      <c r="B95" s="7">
        <v>306432100</v>
      </c>
      <c r="C95" s="7">
        <v>0</v>
      </c>
      <c r="D95" s="7">
        <v>429556000</v>
      </c>
      <c r="E95" s="7">
        <v>413145800</v>
      </c>
      <c r="F95" s="7">
        <v>445728700</v>
      </c>
      <c r="G95" s="7">
        <v>414923200</v>
      </c>
      <c r="H95" s="7">
        <v>0</v>
      </c>
      <c r="I95" s="7">
        <v>423466700</v>
      </c>
      <c r="J95" s="7">
        <v>446155500</v>
      </c>
      <c r="K95" s="7">
        <v>428321700</v>
      </c>
      <c r="L95" s="7">
        <v>437863000</v>
      </c>
      <c r="M95" s="7">
        <v>0</v>
      </c>
      <c r="N95" s="7">
        <v>193567500</v>
      </c>
      <c r="O95" s="7">
        <v>0</v>
      </c>
      <c r="P95" s="7">
        <v>354864800</v>
      </c>
      <c r="Q95" s="7">
        <v>379010300</v>
      </c>
      <c r="R95" s="7">
        <v>434578100</v>
      </c>
      <c r="S95" s="7">
        <v>252982500</v>
      </c>
      <c r="T95" s="7">
        <v>450667500</v>
      </c>
      <c r="U95" s="7">
        <v>360149200</v>
      </c>
      <c r="V95" s="7">
        <v>486406900</v>
      </c>
      <c r="W95" s="7">
        <v>436172000</v>
      </c>
      <c r="X95" s="7">
        <v>0</v>
      </c>
      <c r="Y95" s="7">
        <v>378635600</v>
      </c>
    </row>
    <row r="96" spans="1:25" x14ac:dyDescent="0.25">
      <c r="B96" s="7">
        <v>306619600</v>
      </c>
      <c r="C96" s="7">
        <v>0</v>
      </c>
      <c r="D96" s="7">
        <v>434972400</v>
      </c>
      <c r="E96" s="7">
        <v>417562000</v>
      </c>
      <c r="F96" s="7">
        <v>447069600</v>
      </c>
      <c r="G96" s="7">
        <v>420567500</v>
      </c>
      <c r="H96" s="7">
        <v>0</v>
      </c>
      <c r="I96" s="7">
        <v>426278200</v>
      </c>
      <c r="J96" s="7">
        <v>449883200</v>
      </c>
      <c r="K96" s="7">
        <v>436289300</v>
      </c>
      <c r="L96" s="7">
        <v>438076100</v>
      </c>
      <c r="M96" s="7">
        <v>0</v>
      </c>
      <c r="N96" s="7">
        <v>179480900</v>
      </c>
      <c r="O96" s="7">
        <v>0</v>
      </c>
      <c r="P96" s="7">
        <v>372246000</v>
      </c>
      <c r="Q96" s="7">
        <v>387316000</v>
      </c>
      <c r="R96" s="7">
        <v>443829600</v>
      </c>
      <c r="S96" s="7">
        <v>253688300</v>
      </c>
      <c r="T96" s="7">
        <v>457034100</v>
      </c>
      <c r="U96" s="7">
        <v>372832800</v>
      </c>
      <c r="V96" s="7">
        <v>489256600</v>
      </c>
      <c r="W96" s="7">
        <v>437072400</v>
      </c>
      <c r="X96" s="7">
        <v>0</v>
      </c>
      <c r="Y96" s="7">
        <v>380316100</v>
      </c>
    </row>
    <row r="97" spans="1:25" x14ac:dyDescent="0.25">
      <c r="B97" s="7">
        <v>306567100</v>
      </c>
      <c r="C97" s="7">
        <v>0</v>
      </c>
      <c r="D97" s="7">
        <v>436418800</v>
      </c>
      <c r="E97" s="7">
        <v>418592400</v>
      </c>
      <c r="F97" s="7">
        <v>447714100</v>
      </c>
      <c r="G97" s="7">
        <v>422471200</v>
      </c>
      <c r="H97" s="7">
        <v>0</v>
      </c>
      <c r="I97" s="7">
        <v>427716700</v>
      </c>
      <c r="J97" s="7">
        <v>451216600</v>
      </c>
      <c r="K97" s="7">
        <v>438950300</v>
      </c>
      <c r="L97" s="7">
        <v>437456500</v>
      </c>
      <c r="M97" s="7">
        <v>0</v>
      </c>
      <c r="N97" s="7">
        <v>164011300</v>
      </c>
      <c r="O97" s="7">
        <v>0</v>
      </c>
      <c r="P97" s="7">
        <v>380332200</v>
      </c>
      <c r="Q97" s="7">
        <v>388902800</v>
      </c>
      <c r="R97" s="7">
        <v>446251300</v>
      </c>
      <c r="S97" s="7">
        <v>251588600</v>
      </c>
      <c r="T97" s="7">
        <v>459828200</v>
      </c>
      <c r="U97" s="7">
        <v>378035900</v>
      </c>
      <c r="V97" s="7">
        <v>489654500</v>
      </c>
      <c r="W97" s="7">
        <v>438222500</v>
      </c>
      <c r="X97" s="7">
        <v>0</v>
      </c>
      <c r="Y97" s="7">
        <v>381063500</v>
      </c>
    </row>
    <row r="98" spans="1:25" x14ac:dyDescent="0.25">
      <c r="B98" s="7">
        <v>304912300</v>
      </c>
      <c r="C98" s="7">
        <v>0</v>
      </c>
      <c r="D98" s="7">
        <v>438097000</v>
      </c>
      <c r="E98" s="7">
        <v>419876700</v>
      </c>
      <c r="F98" s="7">
        <v>448440600</v>
      </c>
      <c r="G98" s="7">
        <v>424224700</v>
      </c>
      <c r="H98" s="7">
        <v>0</v>
      </c>
      <c r="I98" s="7">
        <v>428986500</v>
      </c>
      <c r="J98" s="7">
        <v>452439700</v>
      </c>
      <c r="K98" s="7">
        <v>439666900</v>
      </c>
      <c r="L98" s="7">
        <v>436677500</v>
      </c>
      <c r="M98" s="7">
        <v>0</v>
      </c>
      <c r="N98" s="7">
        <v>152684200</v>
      </c>
      <c r="O98" s="7">
        <v>0</v>
      </c>
      <c r="P98" s="7">
        <v>386168100</v>
      </c>
      <c r="Q98" s="7">
        <v>389273100</v>
      </c>
      <c r="R98" s="7">
        <v>449373900</v>
      </c>
      <c r="S98" s="7">
        <v>244983200</v>
      </c>
      <c r="T98" s="7">
        <v>461454600</v>
      </c>
      <c r="U98" s="7">
        <v>382114400</v>
      </c>
      <c r="V98" s="7">
        <v>490222100</v>
      </c>
      <c r="W98" s="7">
        <v>439733000</v>
      </c>
      <c r="X98" s="7">
        <v>0</v>
      </c>
      <c r="Y98" s="7">
        <v>381906800</v>
      </c>
    </row>
    <row r="99" spans="1:25" x14ac:dyDescent="0.25">
      <c r="B99" s="7">
        <v>300092600</v>
      </c>
      <c r="C99" s="7">
        <v>0</v>
      </c>
      <c r="D99" s="7">
        <v>439945500</v>
      </c>
      <c r="E99" s="7">
        <v>422150400</v>
      </c>
      <c r="F99" s="7">
        <v>449243700</v>
      </c>
      <c r="G99" s="7">
        <v>426275200</v>
      </c>
      <c r="H99" s="7">
        <v>0</v>
      </c>
      <c r="I99" s="7">
        <v>430536200</v>
      </c>
      <c r="J99" s="7">
        <v>453849100</v>
      </c>
      <c r="K99" s="7">
        <v>443403200</v>
      </c>
      <c r="L99" s="7">
        <v>432729200</v>
      </c>
      <c r="M99" s="7">
        <v>0</v>
      </c>
      <c r="N99" s="7">
        <v>147833700</v>
      </c>
      <c r="O99" s="7">
        <v>0</v>
      </c>
      <c r="P99" s="7">
        <v>392372700</v>
      </c>
      <c r="Q99" s="7">
        <v>388801100</v>
      </c>
      <c r="R99" s="7">
        <v>450655700</v>
      </c>
      <c r="S99" s="7">
        <v>231041300</v>
      </c>
      <c r="T99" s="7">
        <v>464509300</v>
      </c>
      <c r="U99" s="7">
        <v>385018800</v>
      </c>
      <c r="V99" s="7">
        <v>490153700</v>
      </c>
      <c r="W99" s="7">
        <v>440262700</v>
      </c>
      <c r="X99" s="7">
        <v>0</v>
      </c>
      <c r="Y99" s="7">
        <v>383843000</v>
      </c>
    </row>
    <row r="100" spans="1:25" x14ac:dyDescent="0.25">
      <c r="B100" s="7">
        <v>298306200</v>
      </c>
      <c r="C100" s="7">
        <v>0</v>
      </c>
      <c r="D100" s="7">
        <v>441025000</v>
      </c>
      <c r="E100" s="7">
        <v>423406200</v>
      </c>
      <c r="F100" s="7">
        <v>449892100</v>
      </c>
      <c r="G100" s="7">
        <v>428019200</v>
      </c>
      <c r="H100" s="7">
        <v>0</v>
      </c>
      <c r="I100" s="7">
        <v>432432900</v>
      </c>
      <c r="J100" s="7">
        <v>454990000</v>
      </c>
      <c r="K100" s="7">
        <v>445079400</v>
      </c>
      <c r="L100" s="7">
        <v>426805100</v>
      </c>
      <c r="M100" s="7">
        <v>0</v>
      </c>
      <c r="N100" s="7">
        <v>138907000</v>
      </c>
      <c r="O100" s="7">
        <v>0</v>
      </c>
      <c r="P100" s="7">
        <v>397221900</v>
      </c>
      <c r="Q100" s="7">
        <v>384603600</v>
      </c>
      <c r="R100" s="7">
        <v>451696200</v>
      </c>
      <c r="S100" s="7">
        <v>222526300</v>
      </c>
      <c r="T100" s="7">
        <v>466330700</v>
      </c>
      <c r="U100" s="7">
        <v>388669900</v>
      </c>
      <c r="V100" s="7">
        <v>490825900</v>
      </c>
      <c r="W100" s="7">
        <v>441935600</v>
      </c>
      <c r="X100" s="7">
        <v>0</v>
      </c>
      <c r="Y100" s="7">
        <v>385140300</v>
      </c>
    </row>
    <row r="101" spans="1:25" x14ac:dyDescent="0.25">
      <c r="B101" s="7">
        <v>288904300</v>
      </c>
      <c r="C101" s="7">
        <v>0</v>
      </c>
      <c r="D101" s="7">
        <v>442933700</v>
      </c>
      <c r="E101" s="7">
        <v>424499600</v>
      </c>
      <c r="F101" s="7">
        <v>450988600</v>
      </c>
      <c r="G101" s="7">
        <v>429996000</v>
      </c>
      <c r="H101" s="7">
        <v>0</v>
      </c>
      <c r="I101" s="7">
        <v>433855600</v>
      </c>
      <c r="J101" s="7">
        <v>455875800</v>
      </c>
      <c r="K101" s="7">
        <v>446133200</v>
      </c>
      <c r="L101" s="7">
        <v>422790700</v>
      </c>
      <c r="M101" s="7">
        <v>0</v>
      </c>
      <c r="N101" s="7">
        <v>134278500</v>
      </c>
      <c r="O101" s="7">
        <v>0</v>
      </c>
      <c r="P101" s="7">
        <v>399502400</v>
      </c>
      <c r="Q101" s="7">
        <v>380406700</v>
      </c>
      <c r="R101" s="7">
        <v>452923000</v>
      </c>
      <c r="S101" s="7">
        <v>209619500</v>
      </c>
      <c r="T101" s="7">
        <v>468679900</v>
      </c>
      <c r="U101" s="7">
        <v>391501500</v>
      </c>
      <c r="V101" s="7">
        <v>491367200</v>
      </c>
      <c r="W101" s="7">
        <v>443298100</v>
      </c>
      <c r="X101" s="7">
        <v>0</v>
      </c>
      <c r="Y101" s="7">
        <v>387204000</v>
      </c>
    </row>
    <row r="103" spans="1:25" ht="45" x14ac:dyDescent="0.25">
      <c r="A103" s="6" t="s">
        <v>49</v>
      </c>
      <c r="B103" s="7">
        <v>188471100</v>
      </c>
      <c r="C103" s="7">
        <v>381268300</v>
      </c>
      <c r="D103" s="7">
        <v>83780120</v>
      </c>
      <c r="E103" s="7">
        <v>102432800</v>
      </c>
      <c r="F103" s="7">
        <v>78299760</v>
      </c>
      <c r="G103" s="7">
        <v>97941030</v>
      </c>
      <c r="H103" s="7">
        <v>355265100</v>
      </c>
      <c r="I103" s="7">
        <v>96295160</v>
      </c>
      <c r="J103" s="7">
        <v>67704750</v>
      </c>
      <c r="K103" s="7">
        <v>85992170</v>
      </c>
      <c r="L103" s="7">
        <v>54817830</v>
      </c>
      <c r="M103" s="7">
        <v>220934600</v>
      </c>
      <c r="N103" s="7">
        <v>222857400</v>
      </c>
      <c r="O103" s="7">
        <v>382066600</v>
      </c>
      <c r="P103" s="7">
        <v>170353900</v>
      </c>
      <c r="Q103" s="7">
        <v>150320500</v>
      </c>
      <c r="R103" s="7">
        <v>86110580</v>
      </c>
      <c r="S103" s="7">
        <v>230318900</v>
      </c>
      <c r="T103" s="7">
        <v>65318370</v>
      </c>
      <c r="U103" s="7">
        <v>158304500</v>
      </c>
      <c r="V103" s="7">
        <v>23184330</v>
      </c>
      <c r="W103" s="7">
        <v>73331120</v>
      </c>
      <c r="X103" s="7">
        <v>356516400</v>
      </c>
      <c r="Y103" s="7">
        <v>137043200</v>
      </c>
    </row>
    <row r="104" spans="1:25" x14ac:dyDescent="0.25">
      <c r="B104" s="7">
        <v>185092700</v>
      </c>
      <c r="C104" s="7">
        <v>379617700</v>
      </c>
      <c r="D104" s="7">
        <v>82147850</v>
      </c>
      <c r="E104" s="7">
        <v>97695550</v>
      </c>
      <c r="F104" s="7">
        <v>77140490</v>
      </c>
      <c r="G104" s="7">
        <v>96977290</v>
      </c>
      <c r="H104" s="7">
        <v>348881500</v>
      </c>
      <c r="I104" s="7">
        <v>95057550</v>
      </c>
      <c r="J104" s="7">
        <v>63801870</v>
      </c>
      <c r="K104" s="7">
        <v>80261520</v>
      </c>
      <c r="L104" s="7">
        <v>49774550</v>
      </c>
      <c r="M104" s="7">
        <v>105174900</v>
      </c>
      <c r="N104" s="7">
        <v>189279300</v>
      </c>
      <c r="O104" s="7">
        <v>380142800</v>
      </c>
      <c r="P104" s="7">
        <v>153708500</v>
      </c>
      <c r="Q104" s="7">
        <v>148576000</v>
      </c>
      <c r="R104" s="7">
        <v>77207260</v>
      </c>
      <c r="S104" s="7">
        <v>228073500</v>
      </c>
      <c r="T104" s="7">
        <v>57837400</v>
      </c>
      <c r="U104" s="7">
        <v>149179500</v>
      </c>
      <c r="V104" s="7">
        <v>22384610</v>
      </c>
      <c r="W104" s="7">
        <v>72344510</v>
      </c>
      <c r="X104" s="7">
        <v>344941300</v>
      </c>
      <c r="Y104" s="7">
        <v>135538600</v>
      </c>
    </row>
    <row r="105" spans="1:25" x14ac:dyDescent="0.25">
      <c r="B105" s="7">
        <v>182068200</v>
      </c>
      <c r="C105" s="7">
        <v>377549300</v>
      </c>
      <c r="D105" s="7">
        <v>76731390</v>
      </c>
      <c r="E105" s="7">
        <v>93275750</v>
      </c>
      <c r="F105" s="7">
        <v>75799620</v>
      </c>
      <c r="G105" s="7">
        <v>91327590</v>
      </c>
      <c r="H105" s="7">
        <v>318160300</v>
      </c>
      <c r="I105" s="7">
        <v>92244350</v>
      </c>
      <c r="J105" s="7">
        <v>60069360</v>
      </c>
      <c r="K105" s="7">
        <v>72374000</v>
      </c>
      <c r="L105" s="7">
        <v>46210110</v>
      </c>
      <c r="M105" s="7">
        <v>97893830</v>
      </c>
      <c r="N105" s="7">
        <v>139018100</v>
      </c>
      <c r="O105" s="7">
        <v>377814100</v>
      </c>
      <c r="P105" s="7">
        <v>136318700</v>
      </c>
      <c r="Q105" s="7">
        <v>140267700</v>
      </c>
      <c r="R105" s="7">
        <v>67951240</v>
      </c>
      <c r="S105" s="7">
        <v>221049400</v>
      </c>
      <c r="T105" s="7">
        <v>51466380</v>
      </c>
      <c r="U105" s="7">
        <v>136526900</v>
      </c>
      <c r="V105" s="7">
        <v>19560900</v>
      </c>
      <c r="W105" s="7">
        <v>71444050</v>
      </c>
      <c r="X105" s="7">
        <v>299440400</v>
      </c>
      <c r="Y105" s="7">
        <v>133858100</v>
      </c>
    </row>
    <row r="106" spans="1:25" x14ac:dyDescent="0.25">
      <c r="B106" s="7">
        <v>178047300</v>
      </c>
      <c r="C106" s="7">
        <v>374837000</v>
      </c>
      <c r="D106" s="7">
        <v>75285000</v>
      </c>
      <c r="E106" s="7">
        <v>92244690</v>
      </c>
      <c r="F106" s="7">
        <v>75155150</v>
      </c>
      <c r="G106" s="7">
        <v>89421960</v>
      </c>
      <c r="H106" s="7">
        <v>283784000</v>
      </c>
      <c r="I106" s="7">
        <v>90804650</v>
      </c>
      <c r="J106" s="7">
        <v>58734040</v>
      </c>
      <c r="K106" s="7">
        <v>69721990</v>
      </c>
      <c r="L106" s="7">
        <v>44062920</v>
      </c>
      <c r="M106" s="7">
        <v>92872590</v>
      </c>
      <c r="N106" s="7">
        <v>107811300</v>
      </c>
      <c r="O106" s="7">
        <v>374967600</v>
      </c>
      <c r="P106" s="7">
        <v>128229300</v>
      </c>
      <c r="Q106" s="7">
        <v>138681200</v>
      </c>
      <c r="R106" s="7">
        <v>65527690</v>
      </c>
      <c r="S106" s="7">
        <v>206559200</v>
      </c>
      <c r="T106" s="7">
        <v>48670460</v>
      </c>
      <c r="U106" s="7">
        <v>131337800</v>
      </c>
      <c r="V106" s="7">
        <v>19165020</v>
      </c>
      <c r="W106" s="7">
        <v>70293010</v>
      </c>
      <c r="X106" s="7">
        <v>239327700</v>
      </c>
      <c r="Y106" s="7">
        <v>133110700</v>
      </c>
    </row>
    <row r="107" spans="1:25" x14ac:dyDescent="0.25">
      <c r="B107" s="7">
        <v>172434100</v>
      </c>
      <c r="C107" s="7">
        <v>372578200</v>
      </c>
      <c r="D107" s="7">
        <v>73606870</v>
      </c>
      <c r="E107" s="7">
        <v>90959230</v>
      </c>
      <c r="F107" s="7">
        <v>74428620</v>
      </c>
      <c r="G107" s="7">
        <v>87667080</v>
      </c>
      <c r="H107" s="7">
        <v>222947200</v>
      </c>
      <c r="I107" s="7">
        <v>89533640</v>
      </c>
      <c r="J107" s="7">
        <v>57509460</v>
      </c>
      <c r="K107" s="7">
        <v>69009330</v>
      </c>
      <c r="L107" s="7">
        <v>41936700</v>
      </c>
      <c r="M107" s="7">
        <v>90031370</v>
      </c>
      <c r="N107" s="7">
        <v>89703510</v>
      </c>
      <c r="O107" s="7">
        <v>372775500</v>
      </c>
      <c r="P107" s="7">
        <v>122390700</v>
      </c>
      <c r="Q107" s="7">
        <v>133869100</v>
      </c>
      <c r="R107" s="7">
        <v>62403750</v>
      </c>
      <c r="S107" s="7">
        <v>192730800</v>
      </c>
      <c r="T107" s="7">
        <v>47043320</v>
      </c>
      <c r="U107" s="7">
        <v>127274300</v>
      </c>
      <c r="V107" s="7">
        <v>18601390</v>
      </c>
      <c r="W107" s="7">
        <v>68781120</v>
      </c>
      <c r="X107" s="7">
        <v>148884400</v>
      </c>
      <c r="Y107" s="7">
        <v>132267400</v>
      </c>
    </row>
    <row r="108" spans="1:25" x14ac:dyDescent="0.25">
      <c r="B108" s="7">
        <v>165383700</v>
      </c>
      <c r="C108" s="7">
        <v>369829700</v>
      </c>
      <c r="D108" s="7">
        <v>71758330</v>
      </c>
      <c r="E108" s="7">
        <v>88683530</v>
      </c>
      <c r="F108" s="7">
        <v>73625470</v>
      </c>
      <c r="G108" s="7">
        <v>85614830</v>
      </c>
      <c r="H108" s="7">
        <v>115247500</v>
      </c>
      <c r="I108" s="7">
        <v>87982710</v>
      </c>
      <c r="J108" s="7">
        <v>56097280</v>
      </c>
      <c r="K108" s="7">
        <v>65180020</v>
      </c>
      <c r="L108" s="7">
        <v>40553540</v>
      </c>
      <c r="M108" s="7">
        <v>86843810</v>
      </c>
      <c r="N108" s="7">
        <v>81306670</v>
      </c>
      <c r="O108" s="7">
        <v>370279400</v>
      </c>
      <c r="P108" s="7">
        <v>116183600</v>
      </c>
      <c r="Q108" s="7">
        <v>127068500</v>
      </c>
      <c r="R108" s="7">
        <v>61121250</v>
      </c>
      <c r="S108" s="7">
        <v>175738100</v>
      </c>
      <c r="T108" s="7">
        <v>43986180</v>
      </c>
      <c r="U108" s="7">
        <v>124381900</v>
      </c>
      <c r="V108" s="7">
        <v>18677850</v>
      </c>
      <c r="W108" s="7">
        <v>68250730</v>
      </c>
      <c r="X108" s="7">
        <v>143893300</v>
      </c>
      <c r="Y108" s="7">
        <v>130329500</v>
      </c>
    </row>
    <row r="109" spans="1:25" x14ac:dyDescent="0.25">
      <c r="B109" s="7">
        <v>151200300</v>
      </c>
      <c r="C109" s="7">
        <v>367001300</v>
      </c>
      <c r="D109" s="7">
        <v>70678870</v>
      </c>
      <c r="E109" s="7">
        <v>87426870</v>
      </c>
      <c r="F109" s="7">
        <v>72977130</v>
      </c>
      <c r="G109" s="7">
        <v>83871600</v>
      </c>
      <c r="H109" s="7">
        <v>109250300</v>
      </c>
      <c r="I109" s="7">
        <v>86097550</v>
      </c>
      <c r="J109" s="7">
        <v>54955170</v>
      </c>
      <c r="K109" s="7">
        <v>63503870</v>
      </c>
      <c r="L109" s="7">
        <v>38723440</v>
      </c>
      <c r="M109" s="7">
        <v>82037350</v>
      </c>
      <c r="N109" s="7">
        <v>74412000</v>
      </c>
      <c r="O109" s="7">
        <v>367954300</v>
      </c>
      <c r="P109" s="7">
        <v>111332500</v>
      </c>
      <c r="Q109" s="7">
        <v>119006600</v>
      </c>
      <c r="R109" s="7">
        <v>60079400</v>
      </c>
      <c r="S109" s="7">
        <v>154009400</v>
      </c>
      <c r="T109" s="7">
        <v>42163340</v>
      </c>
      <c r="U109" s="7">
        <v>120740800</v>
      </c>
      <c r="V109" s="7">
        <v>18017620</v>
      </c>
      <c r="W109" s="7">
        <v>66576190</v>
      </c>
      <c r="X109" s="7">
        <v>138220800</v>
      </c>
      <c r="Y109" s="7">
        <v>129031300</v>
      </c>
    </row>
    <row r="110" spans="1:25" x14ac:dyDescent="0.25">
      <c r="B110" s="7">
        <v>137192800</v>
      </c>
      <c r="C110" s="7">
        <v>359341300</v>
      </c>
      <c r="D110" s="7">
        <v>68770160</v>
      </c>
      <c r="E110" s="7">
        <v>85171070</v>
      </c>
      <c r="F110" s="7">
        <v>71879590</v>
      </c>
      <c r="G110" s="7">
        <v>81891510</v>
      </c>
      <c r="H110" s="7">
        <v>104116300</v>
      </c>
      <c r="I110" s="7">
        <v>84675940</v>
      </c>
      <c r="J110" s="7">
        <v>54067970</v>
      </c>
      <c r="K110" s="7">
        <v>62450040</v>
      </c>
      <c r="L110" s="7">
        <v>36034220</v>
      </c>
      <c r="M110" s="7">
        <v>77752340</v>
      </c>
      <c r="N110" s="7">
        <v>66631070</v>
      </c>
      <c r="O110" s="7">
        <v>352560700</v>
      </c>
      <c r="P110" s="7">
        <v>109051200</v>
      </c>
      <c r="Q110" s="7">
        <v>109670800</v>
      </c>
      <c r="R110" s="7">
        <v>58851830</v>
      </c>
      <c r="S110" s="7">
        <v>133406900</v>
      </c>
      <c r="T110" s="7">
        <v>39812450</v>
      </c>
      <c r="U110" s="7">
        <v>117923200</v>
      </c>
      <c r="V110" s="7">
        <v>17482270</v>
      </c>
      <c r="W110" s="7">
        <v>65230490</v>
      </c>
      <c r="X110" s="7">
        <v>131876500</v>
      </c>
      <c r="Y110" s="7">
        <v>126971400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B102" s="1"/>
      <c r="C102" s="1"/>
      <c r="H102" s="1"/>
      <c r="L102" s="1"/>
      <c r="M102" s="1"/>
      <c r="N102" s="1"/>
      <c r="O102" s="1"/>
      <c r="S102" s="1"/>
      <c r="T102" s="1"/>
      <c r="X102" s="1"/>
    </row>
    <row r="103" spans="2:25" x14ac:dyDescent="0.25">
      <c r="B103" s="1"/>
      <c r="C103" s="1"/>
      <c r="D103" s="1"/>
      <c r="E103" s="1"/>
      <c r="H103" s="1"/>
      <c r="J103" s="1"/>
      <c r="K103" s="1"/>
      <c r="L103" s="1"/>
      <c r="M103" s="1"/>
      <c r="N103" s="1"/>
      <c r="O103" s="1"/>
      <c r="P103" s="1"/>
      <c r="R103" s="1"/>
      <c r="S103" s="1"/>
      <c r="X103" s="1"/>
    </row>
    <row r="104" spans="2:25" x14ac:dyDescent="0.25">
      <c r="B104" s="1"/>
      <c r="C104" s="1"/>
      <c r="D104" s="1"/>
      <c r="E104" s="1"/>
      <c r="G104" s="1"/>
      <c r="H104" s="1"/>
      <c r="I104" s="1"/>
      <c r="J104" s="1"/>
      <c r="L104" s="1"/>
      <c r="M104" s="1"/>
      <c r="N104" s="1"/>
      <c r="O104" s="1"/>
      <c r="R104" s="1"/>
      <c r="S104" s="1"/>
      <c r="U104" s="1"/>
      <c r="X104" s="1"/>
    </row>
    <row r="105" spans="2:25" x14ac:dyDescent="0.25">
      <c r="B105" s="1"/>
      <c r="C105" s="1"/>
      <c r="E105" s="1"/>
      <c r="G105" s="1"/>
      <c r="H105" s="1"/>
      <c r="I105" s="1"/>
      <c r="J105" s="1"/>
      <c r="L105" s="1"/>
      <c r="M105" s="1"/>
      <c r="N105" s="1"/>
      <c r="O105" s="1"/>
      <c r="Q105" s="1"/>
      <c r="R105" s="1"/>
      <c r="S105" s="1"/>
      <c r="T105" s="1"/>
      <c r="U105" s="1"/>
      <c r="W105" s="1"/>
      <c r="X105" s="1"/>
    </row>
    <row r="106" spans="2:25" x14ac:dyDescent="0.25">
      <c r="B106" s="1"/>
      <c r="C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R106" s="1"/>
      <c r="S106" s="1"/>
      <c r="T106" s="1"/>
      <c r="W106" s="1"/>
      <c r="X106" s="1"/>
    </row>
    <row r="107" spans="2:25" x14ac:dyDescent="0.25">
      <c r="B107" s="1"/>
      <c r="C107" s="1"/>
      <c r="E107" s="1"/>
      <c r="G107" s="1"/>
      <c r="H107" s="1"/>
      <c r="I107" s="1"/>
      <c r="L107" s="1"/>
      <c r="M107" s="1"/>
      <c r="N107" s="1"/>
      <c r="O107" s="1"/>
      <c r="P107" s="1"/>
      <c r="Q107" s="1"/>
      <c r="R107" s="1"/>
      <c r="S107" s="1"/>
      <c r="U107" s="1"/>
      <c r="W107" s="1"/>
      <c r="X107" s="1"/>
      <c r="Y107" s="1"/>
    </row>
    <row r="108" spans="2:25" x14ac:dyDescent="0.25">
      <c r="B108" s="1"/>
      <c r="C108" s="1"/>
      <c r="D108" s="1"/>
      <c r="H108" s="1"/>
      <c r="I108" s="1"/>
      <c r="J108" s="1"/>
      <c r="L108" s="1"/>
      <c r="M108" s="1"/>
      <c r="N108" s="1"/>
      <c r="O108" s="1"/>
      <c r="Q108" s="1"/>
      <c r="R108" s="1"/>
      <c r="S108" s="1"/>
      <c r="T108" s="1"/>
      <c r="V108" s="1"/>
      <c r="W108" s="1"/>
      <c r="X108" s="1"/>
    </row>
    <row r="109" spans="2:25" x14ac:dyDescent="0.25">
      <c r="B109" s="1"/>
      <c r="C109" s="1"/>
      <c r="D109" s="1"/>
      <c r="F109" s="1"/>
      <c r="H109" s="1"/>
      <c r="I109" s="1"/>
      <c r="L109" s="1"/>
      <c r="M109" s="1"/>
      <c r="N109" s="1"/>
      <c r="O109" s="1"/>
      <c r="Q109" s="1"/>
      <c r="S109" s="1"/>
      <c r="T109" s="1"/>
      <c r="W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B5/'Output-Calculation-sheet'!B4*'Output-Calculation-sheet'!#REF!</f>
        <v>#REF!</v>
      </c>
      <c r="C115" s="2" t="e">
        <f>C5/'Output-Calculation-sheet'!C4*'Output-Calculation-sheet'!#REF!</f>
        <v>#REF!</v>
      </c>
      <c r="D115" s="2" t="e">
        <f>D5/'Output-Calculation-sheet'!D4*'Output-Calculation-sheet'!#REF!</f>
        <v>#REF!</v>
      </c>
      <c r="E115" s="2" t="e">
        <f>E5/'Output-Calculation-sheet'!E4*'Output-Calculation-sheet'!#REF!</f>
        <v>#REF!</v>
      </c>
      <c r="F115" s="2" t="e">
        <f>F5/'Output-Calculation-sheet'!F4*'Output-Calculation-sheet'!#REF!</f>
        <v>#REF!</v>
      </c>
      <c r="G115" s="2" t="e">
        <f>G5/'Output-Calculation-sheet'!G4*'Output-Calculation-sheet'!#REF!</f>
        <v>#REF!</v>
      </c>
      <c r="H115" s="2" t="e">
        <f>H5/'Output-Calculation-sheet'!H4*'Output-Calculation-sheet'!#REF!</f>
        <v>#REF!</v>
      </c>
      <c r="I115" s="2" t="e">
        <f>I5/'Output-Calculation-sheet'!I4*'Output-Calculation-sheet'!#REF!</f>
        <v>#REF!</v>
      </c>
      <c r="J115" s="2" t="e">
        <f>J5/'Output-Calculation-sheet'!J4*'Output-Calculation-sheet'!#REF!</f>
        <v>#REF!</v>
      </c>
      <c r="K115" s="2" t="e">
        <f>K5/'Output-Calculation-sheet'!K4*'Output-Calculation-sheet'!#REF!</f>
        <v>#REF!</v>
      </c>
      <c r="L115" s="2" t="e">
        <f>L5/'Output-Calculation-sheet'!L4*'Output-Calculation-sheet'!#REF!</f>
        <v>#REF!</v>
      </c>
      <c r="M115" s="2" t="e">
        <f>M5/'Output-Calculation-sheet'!M4*'Output-Calculation-sheet'!#REF!</f>
        <v>#REF!</v>
      </c>
      <c r="N115" s="2" t="e">
        <f>N5/'Output-Calculation-sheet'!N4*'Output-Calculation-sheet'!#REF!</f>
        <v>#REF!</v>
      </c>
      <c r="O115" s="2" t="e">
        <f>O5/'Output-Calculation-sheet'!O4*'Output-Calculation-sheet'!#REF!</f>
        <v>#REF!</v>
      </c>
      <c r="P115" s="2" t="e">
        <f>P5/'Output-Calculation-sheet'!P4*'Output-Calculation-sheet'!#REF!</f>
        <v>#REF!</v>
      </c>
      <c r="Q115" s="2" t="e">
        <f>Q5/'Output-Calculation-sheet'!Q4*'Output-Calculation-sheet'!#REF!</f>
        <v>#REF!</v>
      </c>
      <c r="R115" s="2" t="e">
        <f>R5/'Output-Calculation-sheet'!R4*'Output-Calculation-sheet'!#REF!</f>
        <v>#REF!</v>
      </c>
      <c r="S115" s="2" t="e">
        <f>S5/'Output-Calculation-sheet'!S4*'Output-Calculation-sheet'!#REF!</f>
        <v>#REF!</v>
      </c>
      <c r="T115" s="2" t="e">
        <f>T5/'Output-Calculation-sheet'!T4*'Output-Calculation-sheet'!#REF!</f>
        <v>#REF!</v>
      </c>
      <c r="U115" s="2" t="e">
        <f>U5/'Output-Calculation-sheet'!U4*'Output-Calculation-sheet'!#REF!</f>
        <v>#REF!</v>
      </c>
      <c r="V115" s="2" t="e">
        <f>V5/'Output-Calculation-sheet'!V4*'Output-Calculation-sheet'!#REF!</f>
        <v>#REF!</v>
      </c>
      <c r="W115" s="2" t="e">
        <f>W5/'Output-Calculation-sheet'!W4*'Output-Calculation-sheet'!#REF!</f>
        <v>#REF!</v>
      </c>
      <c r="X115" s="2" t="e">
        <f>X5/'Output-Calculation-sheet'!X4*'Output-Calculation-sheet'!#REF!</f>
        <v>#REF!</v>
      </c>
      <c r="Y115" s="2" t="e">
        <f>Y5/'Output-Calculation-sheet'!Y4*'Output-Calculation-sheet'!#REF!</f>
        <v>#REF!</v>
      </c>
      <c r="AA115" s="2" t="e">
        <f>SUM(B115:Y115)/10^6</f>
        <v>#REF!</v>
      </c>
    </row>
    <row r="116" spans="1:27" x14ac:dyDescent="0.25">
      <c r="A116" s="2">
        <v>2029</v>
      </c>
      <c r="B116" s="2" t="e">
        <f>B6/'Output-Calculation-sheet'!B5*'Output-Calculation-sheet'!#REF!</f>
        <v>#REF!</v>
      </c>
      <c r="C116" s="2" t="e">
        <f>C6/'Output-Calculation-sheet'!C5*'Output-Calculation-sheet'!#REF!</f>
        <v>#REF!</v>
      </c>
      <c r="D116" s="2" t="e">
        <f>D6/'Output-Calculation-sheet'!D5*'Output-Calculation-sheet'!#REF!</f>
        <v>#REF!</v>
      </c>
      <c r="E116" s="2" t="e">
        <f>E6/'Output-Calculation-sheet'!E5*'Output-Calculation-sheet'!#REF!</f>
        <v>#REF!</v>
      </c>
      <c r="F116" s="2" t="e">
        <f>F6/'Output-Calculation-sheet'!F5*'Output-Calculation-sheet'!#REF!</f>
        <v>#REF!</v>
      </c>
      <c r="G116" s="2" t="e">
        <f>G6/'Output-Calculation-sheet'!G5*'Output-Calculation-sheet'!#REF!</f>
        <v>#REF!</v>
      </c>
      <c r="H116" s="2" t="e">
        <f>H6/'Output-Calculation-sheet'!H5*'Output-Calculation-sheet'!#REF!</f>
        <v>#REF!</v>
      </c>
      <c r="I116" s="2" t="e">
        <f>I6/'Output-Calculation-sheet'!I5*'Output-Calculation-sheet'!#REF!</f>
        <v>#REF!</v>
      </c>
      <c r="J116" s="2" t="e">
        <f>J6/'Output-Calculation-sheet'!J5*'Output-Calculation-sheet'!#REF!</f>
        <v>#REF!</v>
      </c>
      <c r="K116" s="2" t="e">
        <f>K6/'Output-Calculation-sheet'!K5*'Output-Calculation-sheet'!#REF!</f>
        <v>#REF!</v>
      </c>
      <c r="L116" s="2" t="e">
        <f>L6/'Output-Calculation-sheet'!L5*'Output-Calculation-sheet'!#REF!</f>
        <v>#REF!</v>
      </c>
      <c r="M116" s="2" t="e">
        <f>M6/'Output-Calculation-sheet'!M5*'Output-Calculation-sheet'!#REF!</f>
        <v>#REF!</v>
      </c>
      <c r="N116" s="2" t="e">
        <f>N6/'Output-Calculation-sheet'!N5*'Output-Calculation-sheet'!#REF!</f>
        <v>#REF!</v>
      </c>
      <c r="O116" s="2" t="e">
        <f>O6/'Output-Calculation-sheet'!O5*'Output-Calculation-sheet'!#REF!</f>
        <v>#REF!</v>
      </c>
      <c r="P116" s="2" t="e">
        <f>P6/'Output-Calculation-sheet'!P5*'Output-Calculation-sheet'!#REF!</f>
        <v>#REF!</v>
      </c>
      <c r="Q116" s="2" t="e">
        <f>Q6/'Output-Calculation-sheet'!Q5*'Output-Calculation-sheet'!#REF!</f>
        <v>#REF!</v>
      </c>
      <c r="R116" s="2" t="e">
        <f>R6/'Output-Calculation-sheet'!R5*'Output-Calculation-sheet'!#REF!</f>
        <v>#REF!</v>
      </c>
      <c r="S116" s="2" t="e">
        <f>S6/'Output-Calculation-sheet'!S5*'Output-Calculation-sheet'!#REF!</f>
        <v>#REF!</v>
      </c>
      <c r="T116" s="2" t="e">
        <f>T6/'Output-Calculation-sheet'!T5*'Output-Calculation-sheet'!#REF!</f>
        <v>#REF!</v>
      </c>
      <c r="U116" s="2" t="e">
        <f>U6/'Output-Calculation-sheet'!U5*'Output-Calculation-sheet'!#REF!</f>
        <v>#REF!</v>
      </c>
      <c r="V116" s="2" t="e">
        <f>V6/'Output-Calculation-sheet'!V5*'Output-Calculation-sheet'!#REF!</f>
        <v>#REF!</v>
      </c>
      <c r="W116" s="2" t="e">
        <f>W6/'Output-Calculation-sheet'!W5*'Output-Calculation-sheet'!#REF!</f>
        <v>#REF!</v>
      </c>
      <c r="X116" s="2" t="e">
        <f>X6/'Output-Calculation-sheet'!X5*'Output-Calculation-sheet'!#REF!</f>
        <v>#REF!</v>
      </c>
      <c r="Y116" s="2" t="e">
        <f>Y6/'Output-Calculation-sheet'!Y5*'Output-Calculation-sheet'!#REF!</f>
        <v>#REF!</v>
      </c>
      <c r="AA116" s="2" t="e">
        <f t="shared" ref="AA116:AA122" si="9">SUM(B116:Y116)/10^6</f>
        <v>#REF!</v>
      </c>
    </row>
    <row r="117" spans="1:27" x14ac:dyDescent="0.25">
      <c r="A117" s="2">
        <v>2030</v>
      </c>
      <c r="B117" s="2" t="e">
        <f>B7/'Output-Calculation-sheet'!B6*'Output-Calculation-sheet'!#REF!</f>
        <v>#REF!</v>
      </c>
      <c r="C117" s="2" t="e">
        <f>C7/'Output-Calculation-sheet'!C6*'Output-Calculation-sheet'!#REF!</f>
        <v>#REF!</v>
      </c>
      <c r="D117" s="2" t="e">
        <f>D7/'Output-Calculation-sheet'!D6*'Output-Calculation-sheet'!#REF!</f>
        <v>#REF!</v>
      </c>
      <c r="E117" s="2" t="e">
        <f>E7/'Output-Calculation-sheet'!E6*'Output-Calculation-sheet'!#REF!</f>
        <v>#REF!</v>
      </c>
      <c r="F117" s="2" t="e">
        <f>F7/'Output-Calculation-sheet'!F6*'Output-Calculation-sheet'!#REF!</f>
        <v>#REF!</v>
      </c>
      <c r="G117" s="2" t="e">
        <f>G7/'Output-Calculation-sheet'!G6*'Output-Calculation-sheet'!#REF!</f>
        <v>#REF!</v>
      </c>
      <c r="H117" s="2" t="e">
        <f>H7/'Output-Calculation-sheet'!H6*'Output-Calculation-sheet'!#REF!</f>
        <v>#REF!</v>
      </c>
      <c r="I117" s="2" t="e">
        <f>I7/'Output-Calculation-sheet'!I6*'Output-Calculation-sheet'!#REF!</f>
        <v>#REF!</v>
      </c>
      <c r="J117" s="2" t="e">
        <f>J7/'Output-Calculation-sheet'!J6*'Output-Calculation-sheet'!#REF!</f>
        <v>#REF!</v>
      </c>
      <c r="K117" s="2" t="e">
        <f>K7/'Output-Calculation-sheet'!K6*'Output-Calculation-sheet'!#REF!</f>
        <v>#REF!</v>
      </c>
      <c r="L117" s="2" t="e">
        <f>L7/'Output-Calculation-sheet'!L6*'Output-Calculation-sheet'!#REF!</f>
        <v>#REF!</v>
      </c>
      <c r="M117" s="2" t="e">
        <f>M7/'Output-Calculation-sheet'!M6*'Output-Calculation-sheet'!#REF!</f>
        <v>#REF!</v>
      </c>
      <c r="N117" s="2" t="e">
        <f>N7/'Output-Calculation-sheet'!N6*'Output-Calculation-sheet'!#REF!</f>
        <v>#REF!</v>
      </c>
      <c r="O117" s="2" t="e">
        <f>O7/'Output-Calculation-sheet'!O6*'Output-Calculation-sheet'!#REF!</f>
        <v>#REF!</v>
      </c>
      <c r="P117" s="2" t="e">
        <f>P7/'Output-Calculation-sheet'!P6*'Output-Calculation-sheet'!#REF!</f>
        <v>#REF!</v>
      </c>
      <c r="Q117" s="2" t="e">
        <f>Q7/'Output-Calculation-sheet'!Q6*'Output-Calculation-sheet'!#REF!</f>
        <v>#REF!</v>
      </c>
      <c r="R117" s="2" t="e">
        <f>R7/'Output-Calculation-sheet'!R6*'Output-Calculation-sheet'!#REF!</f>
        <v>#REF!</v>
      </c>
      <c r="S117" s="2" t="e">
        <f>S7/'Output-Calculation-sheet'!S6*'Output-Calculation-sheet'!#REF!</f>
        <v>#REF!</v>
      </c>
      <c r="T117" s="2" t="e">
        <f>T7/'Output-Calculation-sheet'!T6*'Output-Calculation-sheet'!#REF!</f>
        <v>#REF!</v>
      </c>
      <c r="U117" s="2" t="e">
        <f>U7/'Output-Calculation-sheet'!U6*'Output-Calculation-sheet'!#REF!</f>
        <v>#REF!</v>
      </c>
      <c r="V117" s="2" t="e">
        <f>V7/'Output-Calculation-sheet'!V6*'Output-Calculation-sheet'!#REF!</f>
        <v>#REF!</v>
      </c>
      <c r="W117" s="2" t="e">
        <f>W7/'Output-Calculation-sheet'!W6*'Output-Calculation-sheet'!#REF!</f>
        <v>#REF!</v>
      </c>
      <c r="X117" s="2" t="e">
        <f>X7/'Output-Calculation-sheet'!X6*'Output-Calculation-sheet'!#REF!</f>
        <v>#REF!</v>
      </c>
      <c r="Y117" s="2" t="e">
        <f>Y7/'Output-Calculation-sheet'!Y6*'Output-Calculation-sheet'!#REF!</f>
        <v>#REF!</v>
      </c>
      <c r="AA117" s="2" t="e">
        <f t="shared" si="9"/>
        <v>#REF!</v>
      </c>
    </row>
    <row r="118" spans="1:27" x14ac:dyDescent="0.25">
      <c r="A118" s="2">
        <v>2031</v>
      </c>
      <c r="B118" s="2" t="e">
        <f>B8/'Output-Calculation-sheet'!B7*'Output-Calculation-sheet'!#REF!</f>
        <v>#REF!</v>
      </c>
      <c r="C118" s="2" t="e">
        <f>C8/'Output-Calculation-sheet'!C7*'Output-Calculation-sheet'!#REF!</f>
        <v>#REF!</v>
      </c>
      <c r="D118" s="2" t="e">
        <f>D8/'Output-Calculation-sheet'!D7*'Output-Calculation-sheet'!#REF!</f>
        <v>#REF!</v>
      </c>
      <c r="E118" s="2" t="e">
        <f>E8/'Output-Calculation-sheet'!E7*'Output-Calculation-sheet'!#REF!</f>
        <v>#REF!</v>
      </c>
      <c r="F118" s="2" t="e">
        <f>F8/'Output-Calculation-sheet'!F7*'Output-Calculation-sheet'!#REF!</f>
        <v>#REF!</v>
      </c>
      <c r="G118" s="2" t="e">
        <f>G8/'Output-Calculation-sheet'!G7*'Output-Calculation-sheet'!#REF!</f>
        <v>#REF!</v>
      </c>
      <c r="H118" s="2" t="e">
        <f>H8/'Output-Calculation-sheet'!H7*'Output-Calculation-sheet'!#REF!</f>
        <v>#REF!</v>
      </c>
      <c r="I118" s="2" t="e">
        <f>I8/'Output-Calculation-sheet'!I7*'Output-Calculation-sheet'!#REF!</f>
        <v>#REF!</v>
      </c>
      <c r="J118" s="2" t="e">
        <f>J8/'Output-Calculation-sheet'!J7*'Output-Calculation-sheet'!#REF!</f>
        <v>#REF!</v>
      </c>
      <c r="K118" s="2" t="e">
        <f>K8/'Output-Calculation-sheet'!K7*'Output-Calculation-sheet'!#REF!</f>
        <v>#REF!</v>
      </c>
      <c r="L118" s="2" t="e">
        <f>L8/'Output-Calculation-sheet'!L7*'Output-Calculation-sheet'!#REF!</f>
        <v>#REF!</v>
      </c>
      <c r="M118" s="2" t="e">
        <f>M8/'Output-Calculation-sheet'!M7*'Output-Calculation-sheet'!#REF!</f>
        <v>#REF!</v>
      </c>
      <c r="N118" s="2" t="e">
        <f>N8/'Output-Calculation-sheet'!N7*'Output-Calculation-sheet'!#REF!</f>
        <v>#REF!</v>
      </c>
      <c r="O118" s="2" t="e">
        <f>O8/'Output-Calculation-sheet'!O7*'Output-Calculation-sheet'!#REF!</f>
        <v>#REF!</v>
      </c>
      <c r="P118" s="2" t="e">
        <f>P8/'Output-Calculation-sheet'!P7*'Output-Calculation-sheet'!#REF!</f>
        <v>#REF!</v>
      </c>
      <c r="Q118" s="2" t="e">
        <f>Q8/'Output-Calculation-sheet'!Q7*'Output-Calculation-sheet'!#REF!</f>
        <v>#REF!</v>
      </c>
      <c r="R118" s="2" t="e">
        <f>R8/'Output-Calculation-sheet'!R7*'Output-Calculation-sheet'!#REF!</f>
        <v>#REF!</v>
      </c>
      <c r="S118" s="2" t="e">
        <f>S8/'Output-Calculation-sheet'!S7*'Output-Calculation-sheet'!#REF!</f>
        <v>#REF!</v>
      </c>
      <c r="T118" s="2" t="e">
        <f>T8/'Output-Calculation-sheet'!T7*'Output-Calculation-sheet'!#REF!</f>
        <v>#REF!</v>
      </c>
      <c r="U118" s="2" t="e">
        <f>U8/'Output-Calculation-sheet'!U7*'Output-Calculation-sheet'!#REF!</f>
        <v>#REF!</v>
      </c>
      <c r="V118" s="2" t="e">
        <f>V8/'Output-Calculation-sheet'!V7*'Output-Calculation-sheet'!#REF!</f>
        <v>#REF!</v>
      </c>
      <c r="W118" s="2" t="e">
        <f>W8/'Output-Calculation-sheet'!W7*'Output-Calculation-sheet'!#REF!</f>
        <v>#REF!</v>
      </c>
      <c r="X118" s="2" t="e">
        <f>X8/'Output-Calculation-sheet'!X7*'Output-Calculation-sheet'!#REF!</f>
        <v>#REF!</v>
      </c>
      <c r="Y118" s="2" t="e">
        <f>Y8/'Output-Calculation-sheet'!Y7*'Output-Calculation-sheet'!#REF!</f>
        <v>#REF!</v>
      </c>
      <c r="AA118" s="2" t="e">
        <f t="shared" si="9"/>
        <v>#REF!</v>
      </c>
    </row>
    <row r="119" spans="1:27" x14ac:dyDescent="0.25">
      <c r="A119" s="2">
        <v>2032</v>
      </c>
      <c r="B119" s="2" t="e">
        <f>B9/'Output-Calculation-sheet'!B8*'Output-Calculation-sheet'!#REF!</f>
        <v>#REF!</v>
      </c>
      <c r="C119" s="2" t="e">
        <f>C9/'Output-Calculation-sheet'!C8*'Output-Calculation-sheet'!#REF!</f>
        <v>#REF!</v>
      </c>
      <c r="D119" s="2" t="e">
        <f>D9/'Output-Calculation-sheet'!D8*'Output-Calculation-sheet'!#REF!</f>
        <v>#REF!</v>
      </c>
      <c r="E119" s="2" t="e">
        <f>E9/'Output-Calculation-sheet'!E8*'Output-Calculation-sheet'!#REF!</f>
        <v>#REF!</v>
      </c>
      <c r="F119" s="2" t="e">
        <f>F9/'Output-Calculation-sheet'!F8*'Output-Calculation-sheet'!#REF!</f>
        <v>#REF!</v>
      </c>
      <c r="G119" s="2" t="e">
        <f>G9/'Output-Calculation-sheet'!G8*'Output-Calculation-sheet'!#REF!</f>
        <v>#REF!</v>
      </c>
      <c r="H119" s="2" t="e">
        <f>H9/'Output-Calculation-sheet'!H8*'Output-Calculation-sheet'!#REF!</f>
        <v>#REF!</v>
      </c>
      <c r="I119" s="2" t="e">
        <f>I9/'Output-Calculation-sheet'!I8*'Output-Calculation-sheet'!#REF!</f>
        <v>#REF!</v>
      </c>
      <c r="J119" s="2" t="e">
        <f>J9/'Output-Calculation-sheet'!J8*'Output-Calculation-sheet'!#REF!</f>
        <v>#REF!</v>
      </c>
      <c r="K119" s="2" t="e">
        <f>K9/'Output-Calculation-sheet'!K8*'Output-Calculation-sheet'!#REF!</f>
        <v>#REF!</v>
      </c>
      <c r="L119" s="2" t="e">
        <f>L9/'Output-Calculation-sheet'!L8*'Output-Calculation-sheet'!#REF!</f>
        <v>#REF!</v>
      </c>
      <c r="M119" s="2" t="e">
        <f>M9/'Output-Calculation-sheet'!M8*'Output-Calculation-sheet'!#REF!</f>
        <v>#REF!</v>
      </c>
      <c r="N119" s="2" t="e">
        <f>N9/'Output-Calculation-sheet'!N8*'Output-Calculation-sheet'!#REF!</f>
        <v>#REF!</v>
      </c>
      <c r="O119" s="2" t="e">
        <f>O9/'Output-Calculation-sheet'!O8*'Output-Calculation-sheet'!#REF!</f>
        <v>#REF!</v>
      </c>
      <c r="P119" s="2" t="e">
        <f>P9/'Output-Calculation-sheet'!P8*'Output-Calculation-sheet'!#REF!</f>
        <v>#REF!</v>
      </c>
      <c r="Q119" s="2" t="e">
        <f>Q9/'Output-Calculation-sheet'!Q8*'Output-Calculation-sheet'!#REF!</f>
        <v>#REF!</v>
      </c>
      <c r="R119" s="2" t="e">
        <f>R9/'Output-Calculation-sheet'!R8*'Output-Calculation-sheet'!#REF!</f>
        <v>#REF!</v>
      </c>
      <c r="S119" s="2" t="e">
        <f>S9/'Output-Calculation-sheet'!S8*'Output-Calculation-sheet'!#REF!</f>
        <v>#REF!</v>
      </c>
      <c r="T119" s="2" t="e">
        <f>T9/'Output-Calculation-sheet'!T8*'Output-Calculation-sheet'!#REF!</f>
        <v>#REF!</v>
      </c>
      <c r="U119" s="2" t="e">
        <f>U9/'Output-Calculation-sheet'!U8*'Output-Calculation-sheet'!#REF!</f>
        <v>#REF!</v>
      </c>
      <c r="V119" s="2" t="e">
        <f>V9/'Output-Calculation-sheet'!V8*'Output-Calculation-sheet'!#REF!</f>
        <v>#REF!</v>
      </c>
      <c r="W119" s="2" t="e">
        <f>W9/'Output-Calculation-sheet'!W8*'Output-Calculation-sheet'!#REF!</f>
        <v>#REF!</v>
      </c>
      <c r="X119" s="2" t="e">
        <f>X9/'Output-Calculation-sheet'!X8*'Output-Calculation-sheet'!#REF!</f>
        <v>#REF!</v>
      </c>
      <c r="Y119" s="2" t="e">
        <f>Y9/'Output-Calculation-sheet'!Y8*'Output-Calculation-sheet'!#REF!</f>
        <v>#REF!</v>
      </c>
      <c r="AA119" s="2" t="e">
        <f t="shared" si="9"/>
        <v>#REF!</v>
      </c>
    </row>
    <row r="120" spans="1:27" x14ac:dyDescent="0.25">
      <c r="A120" s="2">
        <v>2033</v>
      </c>
      <c r="B120" s="2" t="e">
        <f>B10/'Output-Calculation-sheet'!B9*'Output-Calculation-sheet'!#REF!</f>
        <v>#REF!</v>
      </c>
      <c r="C120" s="2" t="e">
        <f>C10/'Output-Calculation-sheet'!C9*'Output-Calculation-sheet'!#REF!</f>
        <v>#REF!</v>
      </c>
      <c r="D120" s="2" t="e">
        <f>D10/'Output-Calculation-sheet'!D9*'Output-Calculation-sheet'!#REF!</f>
        <v>#REF!</v>
      </c>
      <c r="E120" s="2" t="e">
        <f>E10/'Output-Calculation-sheet'!E9*'Output-Calculation-sheet'!#REF!</f>
        <v>#REF!</v>
      </c>
      <c r="F120" s="2" t="e">
        <f>F10/'Output-Calculation-sheet'!F9*'Output-Calculation-sheet'!#REF!</f>
        <v>#REF!</v>
      </c>
      <c r="G120" s="2" t="e">
        <f>G10/'Output-Calculation-sheet'!G9*'Output-Calculation-sheet'!#REF!</f>
        <v>#REF!</v>
      </c>
      <c r="H120" s="2" t="e">
        <f>H10/'Output-Calculation-sheet'!H9*'Output-Calculation-sheet'!#REF!</f>
        <v>#REF!</v>
      </c>
      <c r="I120" s="2" t="e">
        <f>I10/'Output-Calculation-sheet'!I9*'Output-Calculation-sheet'!#REF!</f>
        <v>#REF!</v>
      </c>
      <c r="J120" s="2" t="e">
        <f>J10/'Output-Calculation-sheet'!J9*'Output-Calculation-sheet'!#REF!</f>
        <v>#REF!</v>
      </c>
      <c r="K120" s="2" t="e">
        <f>K10/'Output-Calculation-sheet'!K9*'Output-Calculation-sheet'!#REF!</f>
        <v>#REF!</v>
      </c>
      <c r="L120" s="2" t="e">
        <f>L10/'Output-Calculation-sheet'!L9*'Output-Calculation-sheet'!#REF!</f>
        <v>#REF!</v>
      </c>
      <c r="M120" s="2" t="e">
        <f>M10/'Output-Calculation-sheet'!M9*'Output-Calculation-sheet'!#REF!</f>
        <v>#REF!</v>
      </c>
      <c r="N120" s="2" t="e">
        <f>N10/'Output-Calculation-sheet'!N9*'Output-Calculation-sheet'!#REF!</f>
        <v>#REF!</v>
      </c>
      <c r="O120" s="2" t="e">
        <f>O10/'Output-Calculation-sheet'!O9*'Output-Calculation-sheet'!#REF!</f>
        <v>#REF!</v>
      </c>
      <c r="P120" s="2" t="e">
        <f>P10/'Output-Calculation-sheet'!P9*'Output-Calculation-sheet'!#REF!</f>
        <v>#REF!</v>
      </c>
      <c r="Q120" s="2" t="e">
        <f>Q10/'Output-Calculation-sheet'!Q9*'Output-Calculation-sheet'!#REF!</f>
        <v>#REF!</v>
      </c>
      <c r="R120" s="2" t="e">
        <f>R10/'Output-Calculation-sheet'!R9*'Output-Calculation-sheet'!#REF!</f>
        <v>#REF!</v>
      </c>
      <c r="S120" s="2" t="e">
        <f>S10/'Output-Calculation-sheet'!S9*'Output-Calculation-sheet'!#REF!</f>
        <v>#REF!</v>
      </c>
      <c r="T120" s="2" t="e">
        <f>T10/'Output-Calculation-sheet'!T9*'Output-Calculation-sheet'!#REF!</f>
        <v>#REF!</v>
      </c>
      <c r="U120" s="2" t="e">
        <f>U10/'Output-Calculation-sheet'!U9*'Output-Calculation-sheet'!#REF!</f>
        <v>#REF!</v>
      </c>
      <c r="V120" s="2" t="e">
        <f>V10/'Output-Calculation-sheet'!V9*'Output-Calculation-sheet'!#REF!</f>
        <v>#REF!</v>
      </c>
      <c r="W120" s="2" t="e">
        <f>W10/'Output-Calculation-sheet'!W9*'Output-Calculation-sheet'!#REF!</f>
        <v>#REF!</v>
      </c>
      <c r="X120" s="2" t="e">
        <f>X10/'Output-Calculation-sheet'!X9*'Output-Calculation-sheet'!#REF!</f>
        <v>#REF!</v>
      </c>
      <c r="Y120" s="2" t="e">
        <f>Y10/'Output-Calculation-sheet'!Y9*'Output-Calculation-sheet'!#REF!</f>
        <v>#REF!</v>
      </c>
      <c r="AA120" s="2" t="e">
        <f t="shared" si="9"/>
        <v>#REF!</v>
      </c>
    </row>
    <row r="121" spans="1:27" x14ac:dyDescent="0.25">
      <c r="A121" s="2">
        <v>2034</v>
      </c>
      <c r="B121" s="2" t="e">
        <f>B11/'Output-Calculation-sheet'!B10*'Output-Calculation-sheet'!#REF!</f>
        <v>#REF!</v>
      </c>
      <c r="C121" s="2" t="e">
        <f>C11/'Output-Calculation-sheet'!C10*'Output-Calculation-sheet'!#REF!</f>
        <v>#REF!</v>
      </c>
      <c r="D121" s="2" t="e">
        <f>D11/'Output-Calculation-sheet'!D10*'Output-Calculation-sheet'!#REF!</f>
        <v>#REF!</v>
      </c>
      <c r="E121" s="2" t="e">
        <f>E11/'Output-Calculation-sheet'!E10*'Output-Calculation-sheet'!#REF!</f>
        <v>#REF!</v>
      </c>
      <c r="F121" s="2" t="e">
        <f>F11/'Output-Calculation-sheet'!F10*'Output-Calculation-sheet'!#REF!</f>
        <v>#REF!</v>
      </c>
      <c r="G121" s="2" t="e">
        <f>G11/'Output-Calculation-sheet'!G10*'Output-Calculation-sheet'!#REF!</f>
        <v>#REF!</v>
      </c>
      <c r="H121" s="2" t="e">
        <f>H11/'Output-Calculation-sheet'!H10*'Output-Calculation-sheet'!#REF!</f>
        <v>#REF!</v>
      </c>
      <c r="I121" s="2" t="e">
        <f>I11/'Output-Calculation-sheet'!I10*'Output-Calculation-sheet'!#REF!</f>
        <v>#REF!</v>
      </c>
      <c r="J121" s="2" t="e">
        <f>J11/'Output-Calculation-sheet'!J10*'Output-Calculation-sheet'!#REF!</f>
        <v>#REF!</v>
      </c>
      <c r="K121" s="2" t="e">
        <f>K11/'Output-Calculation-sheet'!K10*'Output-Calculation-sheet'!#REF!</f>
        <v>#REF!</v>
      </c>
      <c r="L121" s="2" t="e">
        <f>L11/'Output-Calculation-sheet'!L10*'Output-Calculation-sheet'!#REF!</f>
        <v>#REF!</v>
      </c>
      <c r="M121" s="2" t="e">
        <f>M11/'Output-Calculation-sheet'!M10*'Output-Calculation-sheet'!#REF!</f>
        <v>#REF!</v>
      </c>
      <c r="N121" s="2" t="e">
        <f>N11/'Output-Calculation-sheet'!N10*'Output-Calculation-sheet'!#REF!</f>
        <v>#REF!</v>
      </c>
      <c r="O121" s="2" t="e">
        <f>O11/'Output-Calculation-sheet'!O10*'Output-Calculation-sheet'!#REF!</f>
        <v>#REF!</v>
      </c>
      <c r="P121" s="2" t="e">
        <f>P11/'Output-Calculation-sheet'!P10*'Output-Calculation-sheet'!#REF!</f>
        <v>#REF!</v>
      </c>
      <c r="Q121" s="2" t="e">
        <f>Q11/'Output-Calculation-sheet'!Q10*'Output-Calculation-sheet'!#REF!</f>
        <v>#REF!</v>
      </c>
      <c r="R121" s="2" t="e">
        <f>R11/'Output-Calculation-sheet'!R10*'Output-Calculation-sheet'!#REF!</f>
        <v>#REF!</v>
      </c>
      <c r="S121" s="2" t="e">
        <f>S11/'Output-Calculation-sheet'!S10*'Output-Calculation-sheet'!#REF!</f>
        <v>#REF!</v>
      </c>
      <c r="T121" s="2" t="e">
        <f>T11/'Output-Calculation-sheet'!T10*'Output-Calculation-sheet'!#REF!</f>
        <v>#REF!</v>
      </c>
      <c r="U121" s="2" t="e">
        <f>U11/'Output-Calculation-sheet'!U10*'Output-Calculation-sheet'!#REF!</f>
        <v>#REF!</v>
      </c>
      <c r="V121" s="2" t="e">
        <f>V11/'Output-Calculation-sheet'!V10*'Output-Calculation-sheet'!#REF!</f>
        <v>#REF!</v>
      </c>
      <c r="W121" s="2" t="e">
        <f>W11/'Output-Calculation-sheet'!W10*'Output-Calculation-sheet'!#REF!</f>
        <v>#REF!</v>
      </c>
      <c r="X121" s="2" t="e">
        <f>X11/'Output-Calculation-sheet'!X10*'Output-Calculation-sheet'!#REF!</f>
        <v>#REF!</v>
      </c>
      <c r="Y121" s="2" t="e">
        <f>Y11/'Output-Calculation-sheet'!Y10*'Output-Calculation-sheet'!#REF!</f>
        <v>#REF!</v>
      </c>
      <c r="AA121" s="2" t="e">
        <f t="shared" si="9"/>
        <v>#REF!</v>
      </c>
    </row>
    <row r="122" spans="1:27" x14ac:dyDescent="0.25">
      <c r="A122" s="2">
        <v>2035</v>
      </c>
      <c r="B122" s="2" t="e">
        <f>B12/'Output-Calculation-sheet'!B11*'Output-Calculation-sheet'!#REF!</f>
        <v>#REF!</v>
      </c>
      <c r="C122" s="2" t="e">
        <f>C12/'Output-Calculation-sheet'!C11*'Output-Calculation-sheet'!#REF!</f>
        <v>#REF!</v>
      </c>
      <c r="D122" s="2" t="e">
        <f>D12/'Output-Calculation-sheet'!D11*'Output-Calculation-sheet'!#REF!</f>
        <v>#REF!</v>
      </c>
      <c r="E122" s="2" t="e">
        <f>E12/'Output-Calculation-sheet'!E11*'Output-Calculation-sheet'!#REF!</f>
        <v>#REF!</v>
      </c>
      <c r="F122" s="2" t="e">
        <f>F12/'Output-Calculation-sheet'!F11*'Output-Calculation-sheet'!#REF!</f>
        <v>#REF!</v>
      </c>
      <c r="G122" s="2" t="e">
        <f>G12/'Output-Calculation-sheet'!G11*'Output-Calculation-sheet'!#REF!</f>
        <v>#REF!</v>
      </c>
      <c r="H122" s="2" t="e">
        <f>H12/'Output-Calculation-sheet'!H11*'Output-Calculation-sheet'!#REF!</f>
        <v>#REF!</v>
      </c>
      <c r="I122" s="2" t="e">
        <f>I12/'Output-Calculation-sheet'!I11*'Output-Calculation-sheet'!#REF!</f>
        <v>#REF!</v>
      </c>
      <c r="J122" s="2" t="e">
        <f>J12/'Output-Calculation-sheet'!J11*'Output-Calculation-sheet'!#REF!</f>
        <v>#REF!</v>
      </c>
      <c r="K122" s="2" t="e">
        <f>K12/'Output-Calculation-sheet'!K11*'Output-Calculation-sheet'!#REF!</f>
        <v>#REF!</v>
      </c>
      <c r="L122" s="2" t="e">
        <f>L12/'Output-Calculation-sheet'!L11*'Output-Calculation-sheet'!#REF!</f>
        <v>#REF!</v>
      </c>
      <c r="M122" s="2" t="e">
        <f>M12/'Output-Calculation-sheet'!M11*'Output-Calculation-sheet'!#REF!</f>
        <v>#REF!</v>
      </c>
      <c r="N122" s="2" t="e">
        <f>N12/'Output-Calculation-sheet'!N11*'Output-Calculation-sheet'!#REF!</f>
        <v>#REF!</v>
      </c>
      <c r="O122" s="2" t="e">
        <f>O12/'Output-Calculation-sheet'!O11*'Output-Calculation-sheet'!#REF!</f>
        <v>#REF!</v>
      </c>
      <c r="P122" s="2" t="e">
        <f>P12/'Output-Calculation-sheet'!P11*'Output-Calculation-sheet'!#REF!</f>
        <v>#REF!</v>
      </c>
      <c r="Q122" s="2" t="e">
        <f>Q12/'Output-Calculation-sheet'!Q11*'Output-Calculation-sheet'!#REF!</f>
        <v>#REF!</v>
      </c>
      <c r="R122" s="2" t="e">
        <f>R12/'Output-Calculation-sheet'!R11*'Output-Calculation-sheet'!#REF!</f>
        <v>#REF!</v>
      </c>
      <c r="S122" s="2" t="e">
        <f>S12/'Output-Calculation-sheet'!S11*'Output-Calculation-sheet'!#REF!</f>
        <v>#REF!</v>
      </c>
      <c r="T122" s="2" t="e">
        <f>T12/'Output-Calculation-sheet'!T11*'Output-Calculation-sheet'!#REF!</f>
        <v>#REF!</v>
      </c>
      <c r="U122" s="2" t="e">
        <f>U12/'Output-Calculation-sheet'!U11*'Output-Calculation-sheet'!#REF!</f>
        <v>#REF!</v>
      </c>
      <c r="V122" s="2" t="e">
        <f>V12/'Output-Calculation-sheet'!V11*'Output-Calculation-sheet'!#REF!</f>
        <v>#REF!</v>
      </c>
      <c r="W122" s="2" t="e">
        <f>W12/'Output-Calculation-sheet'!W11*'Output-Calculation-sheet'!#REF!</f>
        <v>#REF!</v>
      </c>
      <c r="X122" s="2" t="e">
        <f>X12/'Output-Calculation-sheet'!X11*'Output-Calculation-sheet'!#REF!</f>
        <v>#REF!</v>
      </c>
      <c r="Y122" s="2" t="e">
        <f>Y12/'Output-Calculation-sheet'!Y11*'Output-Calculation-sheet'!#REF!</f>
        <v>#REF!</v>
      </c>
      <c r="AA122" s="2" t="e">
        <f t="shared" si="9"/>
        <v>#REF!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B5/'Output-Calculation-sheet'!B4*'Output-Calculation-sheet'!#REF!</f>
        <v>#REF!</v>
      </c>
      <c r="C126" s="2" t="e">
        <f>C5/'Output-Calculation-sheet'!C4*'Output-Calculation-sheet'!#REF!</f>
        <v>#REF!</v>
      </c>
      <c r="D126" s="2" t="e">
        <f>D5/'Output-Calculation-sheet'!D4*'Output-Calculation-sheet'!#REF!</f>
        <v>#REF!</v>
      </c>
      <c r="E126" s="2" t="e">
        <f>E5/'Output-Calculation-sheet'!E4*'Output-Calculation-sheet'!#REF!</f>
        <v>#REF!</v>
      </c>
      <c r="F126" s="2" t="e">
        <f>F5/'Output-Calculation-sheet'!F4*'Output-Calculation-sheet'!#REF!</f>
        <v>#REF!</v>
      </c>
      <c r="G126" s="2" t="e">
        <f>G5/'Output-Calculation-sheet'!G4*'Output-Calculation-sheet'!#REF!</f>
        <v>#REF!</v>
      </c>
      <c r="H126" s="2" t="e">
        <f>H5/'Output-Calculation-sheet'!H4*'Output-Calculation-sheet'!#REF!</f>
        <v>#REF!</v>
      </c>
      <c r="I126" s="2" t="e">
        <f>I5/'Output-Calculation-sheet'!I4*'Output-Calculation-sheet'!#REF!</f>
        <v>#REF!</v>
      </c>
      <c r="J126" s="2" t="e">
        <f>J5/'Output-Calculation-sheet'!J4*'Output-Calculation-sheet'!#REF!</f>
        <v>#REF!</v>
      </c>
      <c r="K126" s="2" t="e">
        <f>K5/'Output-Calculation-sheet'!K4*'Output-Calculation-sheet'!#REF!</f>
        <v>#REF!</v>
      </c>
      <c r="L126" s="2" t="e">
        <f>L5/'Output-Calculation-sheet'!L4*'Output-Calculation-sheet'!#REF!</f>
        <v>#REF!</v>
      </c>
      <c r="M126" s="2" t="e">
        <f>M5/'Output-Calculation-sheet'!M4*'Output-Calculation-sheet'!#REF!</f>
        <v>#REF!</v>
      </c>
      <c r="N126" s="2" t="e">
        <f>N5/'Output-Calculation-sheet'!N4*'Output-Calculation-sheet'!#REF!</f>
        <v>#REF!</v>
      </c>
      <c r="O126" s="2" t="e">
        <f>O5/'Output-Calculation-sheet'!O4*'Output-Calculation-sheet'!#REF!</f>
        <v>#REF!</v>
      </c>
      <c r="P126" s="2" t="e">
        <f>P5/'Output-Calculation-sheet'!P4*'Output-Calculation-sheet'!#REF!</f>
        <v>#REF!</v>
      </c>
      <c r="Q126" s="2" t="e">
        <f>Q5/'Output-Calculation-sheet'!Q4*'Output-Calculation-sheet'!#REF!</f>
        <v>#REF!</v>
      </c>
      <c r="R126" s="2" t="e">
        <f>R5/'Output-Calculation-sheet'!R4*'Output-Calculation-sheet'!#REF!</f>
        <v>#REF!</v>
      </c>
      <c r="S126" s="2" t="e">
        <f>S5/'Output-Calculation-sheet'!S4*'Output-Calculation-sheet'!#REF!</f>
        <v>#REF!</v>
      </c>
      <c r="T126" s="2" t="e">
        <f>T5/'Output-Calculation-sheet'!T4*'Output-Calculation-sheet'!#REF!</f>
        <v>#REF!</v>
      </c>
      <c r="U126" s="2" t="e">
        <f>U5/'Output-Calculation-sheet'!U4*'Output-Calculation-sheet'!#REF!</f>
        <v>#REF!</v>
      </c>
      <c r="V126" s="2" t="e">
        <f>V5/'Output-Calculation-sheet'!V4*'Output-Calculation-sheet'!#REF!</f>
        <v>#REF!</v>
      </c>
      <c r="W126" s="2" t="e">
        <f>W5/'Output-Calculation-sheet'!W4*'Output-Calculation-sheet'!#REF!</f>
        <v>#REF!</v>
      </c>
      <c r="X126" s="2" t="e">
        <f>X5/'Output-Calculation-sheet'!X4*'Output-Calculation-sheet'!#REF!</f>
        <v>#REF!</v>
      </c>
      <c r="Y126" s="2" t="e">
        <f>Y5/'Output-Calculation-sheet'!Y4*'Output-Calculation-sheet'!#REF!</f>
        <v>#REF!</v>
      </c>
      <c r="AA126" s="2" t="e">
        <f>SUM(B126:Y126)/10^6</f>
        <v>#REF!</v>
      </c>
    </row>
    <row r="127" spans="1:27" x14ac:dyDescent="0.25">
      <c r="A127" s="2">
        <v>2029</v>
      </c>
      <c r="B127" s="2" t="e">
        <f>B6/'Output-Calculation-sheet'!B5*'Output-Calculation-sheet'!#REF!</f>
        <v>#REF!</v>
      </c>
      <c r="C127" s="2" t="e">
        <f>C6/'Output-Calculation-sheet'!C5*'Output-Calculation-sheet'!#REF!</f>
        <v>#REF!</v>
      </c>
      <c r="D127" s="2" t="e">
        <f>D6/'Output-Calculation-sheet'!D5*'Output-Calculation-sheet'!#REF!</f>
        <v>#REF!</v>
      </c>
      <c r="E127" s="2" t="e">
        <f>E6/'Output-Calculation-sheet'!E5*'Output-Calculation-sheet'!#REF!</f>
        <v>#REF!</v>
      </c>
      <c r="F127" s="2" t="e">
        <f>F6/'Output-Calculation-sheet'!F5*'Output-Calculation-sheet'!#REF!</f>
        <v>#REF!</v>
      </c>
      <c r="G127" s="2" t="e">
        <f>G6/'Output-Calculation-sheet'!G5*'Output-Calculation-sheet'!#REF!</f>
        <v>#REF!</v>
      </c>
      <c r="H127" s="2" t="e">
        <f>H6/'Output-Calculation-sheet'!H5*'Output-Calculation-sheet'!#REF!</f>
        <v>#REF!</v>
      </c>
      <c r="I127" s="2" t="e">
        <f>I6/'Output-Calculation-sheet'!I5*'Output-Calculation-sheet'!#REF!</f>
        <v>#REF!</v>
      </c>
      <c r="J127" s="2" t="e">
        <f>J6/'Output-Calculation-sheet'!J5*'Output-Calculation-sheet'!#REF!</f>
        <v>#REF!</v>
      </c>
      <c r="K127" s="2" t="e">
        <f>K6/'Output-Calculation-sheet'!K5*'Output-Calculation-sheet'!#REF!</f>
        <v>#REF!</v>
      </c>
      <c r="L127" s="2" t="e">
        <f>L6/'Output-Calculation-sheet'!L5*'Output-Calculation-sheet'!#REF!</f>
        <v>#REF!</v>
      </c>
      <c r="M127" s="2" t="e">
        <f>M6/'Output-Calculation-sheet'!M5*'Output-Calculation-sheet'!#REF!</f>
        <v>#REF!</v>
      </c>
      <c r="N127" s="2" t="e">
        <f>N6/'Output-Calculation-sheet'!N5*'Output-Calculation-sheet'!#REF!</f>
        <v>#REF!</v>
      </c>
      <c r="O127" s="2" t="e">
        <f>O6/'Output-Calculation-sheet'!O5*'Output-Calculation-sheet'!#REF!</f>
        <v>#REF!</v>
      </c>
      <c r="P127" s="2" t="e">
        <f>P6/'Output-Calculation-sheet'!P5*'Output-Calculation-sheet'!#REF!</f>
        <v>#REF!</v>
      </c>
      <c r="Q127" s="2" t="e">
        <f>Q6/'Output-Calculation-sheet'!Q5*'Output-Calculation-sheet'!#REF!</f>
        <v>#REF!</v>
      </c>
      <c r="R127" s="2" t="e">
        <f>R6/'Output-Calculation-sheet'!R5*'Output-Calculation-sheet'!#REF!</f>
        <v>#REF!</v>
      </c>
      <c r="S127" s="2" t="e">
        <f>S6/'Output-Calculation-sheet'!S5*'Output-Calculation-sheet'!#REF!</f>
        <v>#REF!</v>
      </c>
      <c r="T127" s="2" t="e">
        <f>T6/'Output-Calculation-sheet'!T5*'Output-Calculation-sheet'!#REF!</f>
        <v>#REF!</v>
      </c>
      <c r="U127" s="2" t="e">
        <f>U6/'Output-Calculation-sheet'!U5*'Output-Calculation-sheet'!#REF!</f>
        <v>#REF!</v>
      </c>
      <c r="V127" s="2" t="e">
        <f>V6/'Output-Calculation-sheet'!V5*'Output-Calculation-sheet'!#REF!</f>
        <v>#REF!</v>
      </c>
      <c r="W127" s="2" t="e">
        <f>W6/'Output-Calculation-sheet'!W5*'Output-Calculation-sheet'!#REF!</f>
        <v>#REF!</v>
      </c>
      <c r="X127" s="2" t="e">
        <f>X6/'Output-Calculation-sheet'!X5*'Output-Calculation-sheet'!#REF!</f>
        <v>#REF!</v>
      </c>
      <c r="Y127" s="2" t="e">
        <f>Y6/'Output-Calculation-sheet'!Y5*'Output-Calculation-sheet'!#REF!</f>
        <v>#REF!</v>
      </c>
      <c r="AA127" s="2" t="e">
        <f t="shared" ref="AA127:AA133" si="10">SUM(B127:Y127)/10^6</f>
        <v>#REF!</v>
      </c>
    </row>
    <row r="128" spans="1:27" x14ac:dyDescent="0.25">
      <c r="A128" s="2">
        <v>2030</v>
      </c>
      <c r="B128" s="2" t="e">
        <f>B7/'Output-Calculation-sheet'!B6*'Output-Calculation-sheet'!#REF!</f>
        <v>#REF!</v>
      </c>
      <c r="C128" s="2" t="e">
        <f>C7/'Output-Calculation-sheet'!C6*'Output-Calculation-sheet'!#REF!</f>
        <v>#REF!</v>
      </c>
      <c r="D128" s="2" t="e">
        <f>D7/'Output-Calculation-sheet'!D6*'Output-Calculation-sheet'!#REF!</f>
        <v>#REF!</v>
      </c>
      <c r="E128" s="2" t="e">
        <f>E7/'Output-Calculation-sheet'!E6*'Output-Calculation-sheet'!#REF!</f>
        <v>#REF!</v>
      </c>
      <c r="F128" s="2" t="e">
        <f>F7/'Output-Calculation-sheet'!F6*'Output-Calculation-sheet'!#REF!</f>
        <v>#REF!</v>
      </c>
      <c r="G128" s="2" t="e">
        <f>G7/'Output-Calculation-sheet'!G6*'Output-Calculation-sheet'!#REF!</f>
        <v>#REF!</v>
      </c>
      <c r="H128" s="2" t="e">
        <f>H7/'Output-Calculation-sheet'!H6*'Output-Calculation-sheet'!#REF!</f>
        <v>#REF!</v>
      </c>
      <c r="I128" s="2" t="e">
        <f>I7/'Output-Calculation-sheet'!I6*'Output-Calculation-sheet'!#REF!</f>
        <v>#REF!</v>
      </c>
      <c r="J128" s="2" t="e">
        <f>J7/'Output-Calculation-sheet'!J6*'Output-Calculation-sheet'!#REF!</f>
        <v>#REF!</v>
      </c>
      <c r="K128" s="2" t="e">
        <f>K7/'Output-Calculation-sheet'!K6*'Output-Calculation-sheet'!#REF!</f>
        <v>#REF!</v>
      </c>
      <c r="L128" s="2" t="e">
        <f>L7/'Output-Calculation-sheet'!L6*'Output-Calculation-sheet'!#REF!</f>
        <v>#REF!</v>
      </c>
      <c r="M128" s="2" t="e">
        <f>M7/'Output-Calculation-sheet'!M6*'Output-Calculation-sheet'!#REF!</f>
        <v>#REF!</v>
      </c>
      <c r="N128" s="2" t="e">
        <f>N7/'Output-Calculation-sheet'!N6*'Output-Calculation-sheet'!#REF!</f>
        <v>#REF!</v>
      </c>
      <c r="O128" s="2" t="e">
        <f>O7/'Output-Calculation-sheet'!O6*'Output-Calculation-sheet'!#REF!</f>
        <v>#REF!</v>
      </c>
      <c r="P128" s="2" t="e">
        <f>P7/'Output-Calculation-sheet'!P6*'Output-Calculation-sheet'!#REF!</f>
        <v>#REF!</v>
      </c>
      <c r="Q128" s="2" t="e">
        <f>Q7/'Output-Calculation-sheet'!Q6*'Output-Calculation-sheet'!#REF!</f>
        <v>#REF!</v>
      </c>
      <c r="R128" s="2" t="e">
        <f>R7/'Output-Calculation-sheet'!R6*'Output-Calculation-sheet'!#REF!</f>
        <v>#REF!</v>
      </c>
      <c r="S128" s="2" t="e">
        <f>S7/'Output-Calculation-sheet'!S6*'Output-Calculation-sheet'!#REF!</f>
        <v>#REF!</v>
      </c>
      <c r="T128" s="2" t="e">
        <f>T7/'Output-Calculation-sheet'!T6*'Output-Calculation-sheet'!#REF!</f>
        <v>#REF!</v>
      </c>
      <c r="U128" s="2" t="e">
        <f>U7/'Output-Calculation-sheet'!U6*'Output-Calculation-sheet'!#REF!</f>
        <v>#REF!</v>
      </c>
      <c r="V128" s="2" t="e">
        <f>V7/'Output-Calculation-sheet'!V6*'Output-Calculation-sheet'!#REF!</f>
        <v>#REF!</v>
      </c>
      <c r="W128" s="2" t="e">
        <f>W7/'Output-Calculation-sheet'!W6*'Output-Calculation-sheet'!#REF!</f>
        <v>#REF!</v>
      </c>
      <c r="X128" s="2" t="e">
        <f>X7/'Output-Calculation-sheet'!X6*'Output-Calculation-sheet'!#REF!</f>
        <v>#REF!</v>
      </c>
      <c r="Y128" s="2" t="e">
        <f>Y7/'Output-Calculation-sheet'!Y6*'Output-Calculation-sheet'!#REF!</f>
        <v>#REF!</v>
      </c>
      <c r="AA128" s="2" t="e">
        <f t="shared" si="10"/>
        <v>#REF!</v>
      </c>
    </row>
    <row r="129" spans="1:27" x14ac:dyDescent="0.25">
      <c r="A129" s="2">
        <v>2031</v>
      </c>
      <c r="B129" s="2" t="e">
        <f>B8/'Output-Calculation-sheet'!B7*'Output-Calculation-sheet'!#REF!</f>
        <v>#REF!</v>
      </c>
      <c r="C129" s="2" t="e">
        <f>C8/'Output-Calculation-sheet'!C7*'Output-Calculation-sheet'!#REF!</f>
        <v>#REF!</v>
      </c>
      <c r="D129" s="2" t="e">
        <f>D8/'Output-Calculation-sheet'!D7*'Output-Calculation-sheet'!#REF!</f>
        <v>#REF!</v>
      </c>
      <c r="E129" s="2" t="e">
        <f>E8/'Output-Calculation-sheet'!E7*'Output-Calculation-sheet'!#REF!</f>
        <v>#REF!</v>
      </c>
      <c r="F129" s="2" t="e">
        <f>F8/'Output-Calculation-sheet'!F7*'Output-Calculation-sheet'!#REF!</f>
        <v>#REF!</v>
      </c>
      <c r="G129" s="2" t="e">
        <f>G8/'Output-Calculation-sheet'!G7*'Output-Calculation-sheet'!#REF!</f>
        <v>#REF!</v>
      </c>
      <c r="H129" s="2" t="e">
        <f>H8/'Output-Calculation-sheet'!H7*'Output-Calculation-sheet'!#REF!</f>
        <v>#REF!</v>
      </c>
      <c r="I129" s="2" t="e">
        <f>I8/'Output-Calculation-sheet'!I7*'Output-Calculation-sheet'!#REF!</f>
        <v>#REF!</v>
      </c>
      <c r="J129" s="2" t="e">
        <f>J8/'Output-Calculation-sheet'!J7*'Output-Calculation-sheet'!#REF!</f>
        <v>#REF!</v>
      </c>
      <c r="K129" s="2" t="e">
        <f>K8/'Output-Calculation-sheet'!K7*'Output-Calculation-sheet'!#REF!</f>
        <v>#REF!</v>
      </c>
      <c r="L129" s="2" t="e">
        <f>L8/'Output-Calculation-sheet'!L7*'Output-Calculation-sheet'!#REF!</f>
        <v>#REF!</v>
      </c>
      <c r="M129" s="2" t="e">
        <f>M8/'Output-Calculation-sheet'!M7*'Output-Calculation-sheet'!#REF!</f>
        <v>#REF!</v>
      </c>
      <c r="N129" s="2" t="e">
        <f>N8/'Output-Calculation-sheet'!N7*'Output-Calculation-sheet'!#REF!</f>
        <v>#REF!</v>
      </c>
      <c r="O129" s="2" t="e">
        <f>O8/'Output-Calculation-sheet'!O7*'Output-Calculation-sheet'!#REF!</f>
        <v>#REF!</v>
      </c>
      <c r="P129" s="2" t="e">
        <f>P8/'Output-Calculation-sheet'!P7*'Output-Calculation-sheet'!#REF!</f>
        <v>#REF!</v>
      </c>
      <c r="Q129" s="2" t="e">
        <f>Q8/'Output-Calculation-sheet'!Q7*'Output-Calculation-sheet'!#REF!</f>
        <v>#REF!</v>
      </c>
      <c r="R129" s="2" t="e">
        <f>R8/'Output-Calculation-sheet'!R7*'Output-Calculation-sheet'!#REF!</f>
        <v>#REF!</v>
      </c>
      <c r="S129" s="2" t="e">
        <f>S8/'Output-Calculation-sheet'!S7*'Output-Calculation-sheet'!#REF!</f>
        <v>#REF!</v>
      </c>
      <c r="T129" s="2" t="e">
        <f>T8/'Output-Calculation-sheet'!T7*'Output-Calculation-sheet'!#REF!</f>
        <v>#REF!</v>
      </c>
      <c r="U129" s="2" t="e">
        <f>U8/'Output-Calculation-sheet'!U7*'Output-Calculation-sheet'!#REF!</f>
        <v>#REF!</v>
      </c>
      <c r="V129" s="2" t="e">
        <f>V8/'Output-Calculation-sheet'!V7*'Output-Calculation-sheet'!#REF!</f>
        <v>#REF!</v>
      </c>
      <c r="W129" s="2" t="e">
        <f>W8/'Output-Calculation-sheet'!W7*'Output-Calculation-sheet'!#REF!</f>
        <v>#REF!</v>
      </c>
      <c r="X129" s="2" t="e">
        <f>X8/'Output-Calculation-sheet'!X7*'Output-Calculation-sheet'!#REF!</f>
        <v>#REF!</v>
      </c>
      <c r="Y129" s="2" t="e">
        <f>Y8/'Output-Calculation-sheet'!Y7*'Output-Calculation-sheet'!#REF!</f>
        <v>#REF!</v>
      </c>
      <c r="AA129" s="2" t="e">
        <f t="shared" si="10"/>
        <v>#REF!</v>
      </c>
    </row>
    <row r="130" spans="1:27" x14ac:dyDescent="0.25">
      <c r="A130" s="2">
        <v>2032</v>
      </c>
      <c r="B130" s="2" t="e">
        <f>B9/'Output-Calculation-sheet'!B8*'Output-Calculation-sheet'!#REF!</f>
        <v>#REF!</v>
      </c>
      <c r="C130" s="2" t="e">
        <f>C9/'Output-Calculation-sheet'!C8*'Output-Calculation-sheet'!#REF!</f>
        <v>#REF!</v>
      </c>
      <c r="D130" s="2" t="e">
        <f>D9/'Output-Calculation-sheet'!D8*'Output-Calculation-sheet'!#REF!</f>
        <v>#REF!</v>
      </c>
      <c r="E130" s="2" t="e">
        <f>E9/'Output-Calculation-sheet'!E8*'Output-Calculation-sheet'!#REF!</f>
        <v>#REF!</v>
      </c>
      <c r="F130" s="2" t="e">
        <f>F9/'Output-Calculation-sheet'!F8*'Output-Calculation-sheet'!#REF!</f>
        <v>#REF!</v>
      </c>
      <c r="G130" s="2" t="e">
        <f>G9/'Output-Calculation-sheet'!G8*'Output-Calculation-sheet'!#REF!</f>
        <v>#REF!</v>
      </c>
      <c r="H130" s="2" t="e">
        <f>H9/'Output-Calculation-sheet'!H8*'Output-Calculation-sheet'!#REF!</f>
        <v>#REF!</v>
      </c>
      <c r="I130" s="2" t="e">
        <f>I9/'Output-Calculation-sheet'!I8*'Output-Calculation-sheet'!#REF!</f>
        <v>#REF!</v>
      </c>
      <c r="J130" s="2" t="e">
        <f>J9/'Output-Calculation-sheet'!J8*'Output-Calculation-sheet'!#REF!</f>
        <v>#REF!</v>
      </c>
      <c r="K130" s="2" t="e">
        <f>K9/'Output-Calculation-sheet'!K8*'Output-Calculation-sheet'!#REF!</f>
        <v>#REF!</v>
      </c>
      <c r="L130" s="2" t="e">
        <f>L9/'Output-Calculation-sheet'!L8*'Output-Calculation-sheet'!#REF!</f>
        <v>#REF!</v>
      </c>
      <c r="M130" s="2" t="e">
        <f>M9/'Output-Calculation-sheet'!M8*'Output-Calculation-sheet'!#REF!</f>
        <v>#REF!</v>
      </c>
      <c r="N130" s="2" t="e">
        <f>N9/'Output-Calculation-sheet'!N8*'Output-Calculation-sheet'!#REF!</f>
        <v>#REF!</v>
      </c>
      <c r="O130" s="2" t="e">
        <f>O9/'Output-Calculation-sheet'!O8*'Output-Calculation-sheet'!#REF!</f>
        <v>#REF!</v>
      </c>
      <c r="P130" s="2" t="e">
        <f>P9/'Output-Calculation-sheet'!P8*'Output-Calculation-sheet'!#REF!</f>
        <v>#REF!</v>
      </c>
      <c r="Q130" s="2" t="e">
        <f>Q9/'Output-Calculation-sheet'!Q8*'Output-Calculation-sheet'!#REF!</f>
        <v>#REF!</v>
      </c>
      <c r="R130" s="2" t="e">
        <f>R9/'Output-Calculation-sheet'!R8*'Output-Calculation-sheet'!#REF!</f>
        <v>#REF!</v>
      </c>
      <c r="S130" s="2" t="e">
        <f>S9/'Output-Calculation-sheet'!S8*'Output-Calculation-sheet'!#REF!</f>
        <v>#REF!</v>
      </c>
      <c r="T130" s="2" t="e">
        <f>T9/'Output-Calculation-sheet'!T8*'Output-Calculation-sheet'!#REF!</f>
        <v>#REF!</v>
      </c>
      <c r="U130" s="2" t="e">
        <f>U9/'Output-Calculation-sheet'!U8*'Output-Calculation-sheet'!#REF!</f>
        <v>#REF!</v>
      </c>
      <c r="V130" s="2" t="e">
        <f>V9/'Output-Calculation-sheet'!V8*'Output-Calculation-sheet'!#REF!</f>
        <v>#REF!</v>
      </c>
      <c r="W130" s="2" t="e">
        <f>W9/'Output-Calculation-sheet'!W8*'Output-Calculation-sheet'!#REF!</f>
        <v>#REF!</v>
      </c>
      <c r="X130" s="2" t="e">
        <f>X9/'Output-Calculation-sheet'!X8*'Output-Calculation-sheet'!#REF!</f>
        <v>#REF!</v>
      </c>
      <c r="Y130" s="2" t="e">
        <f>Y9/'Output-Calculation-sheet'!Y8*'Output-Calculation-sheet'!#REF!</f>
        <v>#REF!</v>
      </c>
      <c r="AA130" s="2" t="e">
        <f t="shared" si="10"/>
        <v>#REF!</v>
      </c>
    </row>
    <row r="131" spans="1:27" x14ac:dyDescent="0.25">
      <c r="A131" s="2">
        <v>2033</v>
      </c>
      <c r="B131" s="2" t="e">
        <f>B10/'Output-Calculation-sheet'!B9*'Output-Calculation-sheet'!#REF!</f>
        <v>#REF!</v>
      </c>
      <c r="C131" s="2" t="e">
        <f>C10/'Output-Calculation-sheet'!C9*'Output-Calculation-sheet'!#REF!</f>
        <v>#REF!</v>
      </c>
      <c r="D131" s="2" t="e">
        <f>D10/'Output-Calculation-sheet'!D9*'Output-Calculation-sheet'!#REF!</f>
        <v>#REF!</v>
      </c>
      <c r="E131" s="2" t="e">
        <f>E10/'Output-Calculation-sheet'!E9*'Output-Calculation-sheet'!#REF!</f>
        <v>#REF!</v>
      </c>
      <c r="F131" s="2" t="e">
        <f>F10/'Output-Calculation-sheet'!F9*'Output-Calculation-sheet'!#REF!</f>
        <v>#REF!</v>
      </c>
      <c r="G131" s="2" t="e">
        <f>G10/'Output-Calculation-sheet'!G9*'Output-Calculation-sheet'!#REF!</f>
        <v>#REF!</v>
      </c>
      <c r="H131" s="2" t="e">
        <f>H10/'Output-Calculation-sheet'!H9*'Output-Calculation-sheet'!#REF!</f>
        <v>#REF!</v>
      </c>
      <c r="I131" s="2" t="e">
        <f>I10/'Output-Calculation-sheet'!I9*'Output-Calculation-sheet'!#REF!</f>
        <v>#REF!</v>
      </c>
      <c r="J131" s="2" t="e">
        <f>J10/'Output-Calculation-sheet'!J9*'Output-Calculation-sheet'!#REF!</f>
        <v>#REF!</v>
      </c>
      <c r="K131" s="2" t="e">
        <f>K10/'Output-Calculation-sheet'!K9*'Output-Calculation-sheet'!#REF!</f>
        <v>#REF!</v>
      </c>
      <c r="L131" s="2" t="e">
        <f>L10/'Output-Calculation-sheet'!L9*'Output-Calculation-sheet'!#REF!</f>
        <v>#REF!</v>
      </c>
      <c r="M131" s="2" t="e">
        <f>M10/'Output-Calculation-sheet'!M9*'Output-Calculation-sheet'!#REF!</f>
        <v>#REF!</v>
      </c>
      <c r="N131" s="2" t="e">
        <f>N10/'Output-Calculation-sheet'!N9*'Output-Calculation-sheet'!#REF!</f>
        <v>#REF!</v>
      </c>
      <c r="O131" s="2" t="e">
        <f>O10/'Output-Calculation-sheet'!O9*'Output-Calculation-sheet'!#REF!</f>
        <v>#REF!</v>
      </c>
      <c r="P131" s="2" t="e">
        <f>P10/'Output-Calculation-sheet'!P9*'Output-Calculation-sheet'!#REF!</f>
        <v>#REF!</v>
      </c>
      <c r="Q131" s="2" t="e">
        <f>Q10/'Output-Calculation-sheet'!Q9*'Output-Calculation-sheet'!#REF!</f>
        <v>#REF!</v>
      </c>
      <c r="R131" s="2" t="e">
        <f>R10/'Output-Calculation-sheet'!R9*'Output-Calculation-sheet'!#REF!</f>
        <v>#REF!</v>
      </c>
      <c r="S131" s="2" t="e">
        <f>S10/'Output-Calculation-sheet'!S9*'Output-Calculation-sheet'!#REF!</f>
        <v>#REF!</v>
      </c>
      <c r="T131" s="2" t="e">
        <f>T10/'Output-Calculation-sheet'!T9*'Output-Calculation-sheet'!#REF!</f>
        <v>#REF!</v>
      </c>
      <c r="U131" s="2" t="e">
        <f>U10/'Output-Calculation-sheet'!U9*'Output-Calculation-sheet'!#REF!</f>
        <v>#REF!</v>
      </c>
      <c r="V131" s="2" t="e">
        <f>V10/'Output-Calculation-sheet'!V9*'Output-Calculation-sheet'!#REF!</f>
        <v>#REF!</v>
      </c>
      <c r="W131" s="2" t="e">
        <f>W10/'Output-Calculation-sheet'!W9*'Output-Calculation-sheet'!#REF!</f>
        <v>#REF!</v>
      </c>
      <c r="X131" s="2" t="e">
        <f>X10/'Output-Calculation-sheet'!X9*'Output-Calculation-sheet'!#REF!</f>
        <v>#REF!</v>
      </c>
      <c r="Y131" s="2" t="e">
        <f>Y10/'Output-Calculation-sheet'!Y9*'Output-Calculation-sheet'!#REF!</f>
        <v>#REF!</v>
      </c>
      <c r="AA131" s="2" t="e">
        <f t="shared" si="10"/>
        <v>#REF!</v>
      </c>
    </row>
    <row r="132" spans="1:27" x14ac:dyDescent="0.25">
      <c r="A132" s="2">
        <v>2034</v>
      </c>
      <c r="B132" s="2" t="e">
        <f>B11/'Output-Calculation-sheet'!B10*'Output-Calculation-sheet'!#REF!</f>
        <v>#REF!</v>
      </c>
      <c r="C132" s="2" t="e">
        <f>C11/'Output-Calculation-sheet'!C10*'Output-Calculation-sheet'!#REF!</f>
        <v>#REF!</v>
      </c>
      <c r="D132" s="2" t="e">
        <f>D11/'Output-Calculation-sheet'!D10*'Output-Calculation-sheet'!#REF!</f>
        <v>#REF!</v>
      </c>
      <c r="E132" s="2" t="e">
        <f>E11/'Output-Calculation-sheet'!E10*'Output-Calculation-sheet'!#REF!</f>
        <v>#REF!</v>
      </c>
      <c r="F132" s="2" t="e">
        <f>F11/'Output-Calculation-sheet'!F10*'Output-Calculation-sheet'!#REF!</f>
        <v>#REF!</v>
      </c>
      <c r="G132" s="2" t="e">
        <f>G11/'Output-Calculation-sheet'!G10*'Output-Calculation-sheet'!#REF!</f>
        <v>#REF!</v>
      </c>
      <c r="H132" s="2" t="e">
        <f>H11/'Output-Calculation-sheet'!H10*'Output-Calculation-sheet'!#REF!</f>
        <v>#REF!</v>
      </c>
      <c r="I132" s="2" t="e">
        <f>I11/'Output-Calculation-sheet'!I10*'Output-Calculation-sheet'!#REF!</f>
        <v>#REF!</v>
      </c>
      <c r="J132" s="2" t="e">
        <f>J11/'Output-Calculation-sheet'!J10*'Output-Calculation-sheet'!#REF!</f>
        <v>#REF!</v>
      </c>
      <c r="K132" s="2" t="e">
        <f>K11/'Output-Calculation-sheet'!K10*'Output-Calculation-sheet'!#REF!</f>
        <v>#REF!</v>
      </c>
      <c r="L132" s="2" t="e">
        <f>L11/'Output-Calculation-sheet'!L10*'Output-Calculation-sheet'!#REF!</f>
        <v>#REF!</v>
      </c>
      <c r="M132" s="2" t="e">
        <f>M11/'Output-Calculation-sheet'!M10*'Output-Calculation-sheet'!#REF!</f>
        <v>#REF!</v>
      </c>
      <c r="N132" s="2" t="e">
        <f>N11/'Output-Calculation-sheet'!N10*'Output-Calculation-sheet'!#REF!</f>
        <v>#REF!</v>
      </c>
      <c r="O132" s="2" t="e">
        <f>O11/'Output-Calculation-sheet'!O10*'Output-Calculation-sheet'!#REF!</f>
        <v>#REF!</v>
      </c>
      <c r="P132" s="2" t="e">
        <f>P11/'Output-Calculation-sheet'!P10*'Output-Calculation-sheet'!#REF!</f>
        <v>#REF!</v>
      </c>
      <c r="Q132" s="2" t="e">
        <f>Q11/'Output-Calculation-sheet'!Q10*'Output-Calculation-sheet'!#REF!</f>
        <v>#REF!</v>
      </c>
      <c r="R132" s="2" t="e">
        <f>R11/'Output-Calculation-sheet'!R10*'Output-Calculation-sheet'!#REF!</f>
        <v>#REF!</v>
      </c>
      <c r="S132" s="2" t="e">
        <f>S11/'Output-Calculation-sheet'!S10*'Output-Calculation-sheet'!#REF!</f>
        <v>#REF!</v>
      </c>
      <c r="T132" s="2" t="e">
        <f>T11/'Output-Calculation-sheet'!T10*'Output-Calculation-sheet'!#REF!</f>
        <v>#REF!</v>
      </c>
      <c r="U132" s="2" t="e">
        <f>U11/'Output-Calculation-sheet'!U10*'Output-Calculation-sheet'!#REF!</f>
        <v>#REF!</v>
      </c>
      <c r="V132" s="2" t="e">
        <f>V11/'Output-Calculation-sheet'!V10*'Output-Calculation-sheet'!#REF!</f>
        <v>#REF!</v>
      </c>
      <c r="W132" s="2" t="e">
        <f>W11/'Output-Calculation-sheet'!W10*'Output-Calculation-sheet'!#REF!</f>
        <v>#REF!</v>
      </c>
      <c r="X132" s="2" t="e">
        <f>X11/'Output-Calculation-sheet'!X10*'Output-Calculation-sheet'!#REF!</f>
        <v>#REF!</v>
      </c>
      <c r="Y132" s="2" t="e">
        <f>Y11/'Output-Calculation-sheet'!Y10*'Output-Calculation-sheet'!#REF!</f>
        <v>#REF!</v>
      </c>
      <c r="AA132" s="2" t="e">
        <f t="shared" si="10"/>
        <v>#REF!</v>
      </c>
    </row>
    <row r="133" spans="1:27" x14ac:dyDescent="0.25">
      <c r="A133" s="2">
        <v>2035</v>
      </c>
      <c r="B133" s="2" t="e">
        <f>B12/'Output-Calculation-sheet'!B11*'Output-Calculation-sheet'!#REF!</f>
        <v>#REF!</v>
      </c>
      <c r="C133" s="2" t="e">
        <f>C12/'Output-Calculation-sheet'!C11*'Output-Calculation-sheet'!#REF!</f>
        <v>#REF!</v>
      </c>
      <c r="D133" s="2" t="e">
        <f>D12/'Output-Calculation-sheet'!D11*'Output-Calculation-sheet'!#REF!</f>
        <v>#REF!</v>
      </c>
      <c r="E133" s="2" t="e">
        <f>E12/'Output-Calculation-sheet'!E11*'Output-Calculation-sheet'!#REF!</f>
        <v>#REF!</v>
      </c>
      <c r="F133" s="2" t="e">
        <f>F12/'Output-Calculation-sheet'!F11*'Output-Calculation-sheet'!#REF!</f>
        <v>#REF!</v>
      </c>
      <c r="G133" s="2" t="e">
        <f>G12/'Output-Calculation-sheet'!G11*'Output-Calculation-sheet'!#REF!</f>
        <v>#REF!</v>
      </c>
      <c r="H133" s="2" t="e">
        <f>H12/'Output-Calculation-sheet'!H11*'Output-Calculation-sheet'!#REF!</f>
        <v>#REF!</v>
      </c>
      <c r="I133" s="2" t="e">
        <f>I12/'Output-Calculation-sheet'!I11*'Output-Calculation-sheet'!#REF!</f>
        <v>#REF!</v>
      </c>
      <c r="J133" s="2" t="e">
        <f>J12/'Output-Calculation-sheet'!J11*'Output-Calculation-sheet'!#REF!</f>
        <v>#REF!</v>
      </c>
      <c r="K133" s="2" t="e">
        <f>K12/'Output-Calculation-sheet'!K11*'Output-Calculation-sheet'!#REF!</f>
        <v>#REF!</v>
      </c>
      <c r="L133" s="2" t="e">
        <f>L12/'Output-Calculation-sheet'!L11*'Output-Calculation-sheet'!#REF!</f>
        <v>#REF!</v>
      </c>
      <c r="M133" s="2" t="e">
        <f>M12/'Output-Calculation-sheet'!M11*'Output-Calculation-sheet'!#REF!</f>
        <v>#REF!</v>
      </c>
      <c r="N133" s="2" t="e">
        <f>N12/'Output-Calculation-sheet'!N11*'Output-Calculation-sheet'!#REF!</f>
        <v>#REF!</v>
      </c>
      <c r="O133" s="2" t="e">
        <f>O12/'Output-Calculation-sheet'!O11*'Output-Calculation-sheet'!#REF!</f>
        <v>#REF!</v>
      </c>
      <c r="P133" s="2" t="e">
        <f>P12/'Output-Calculation-sheet'!P11*'Output-Calculation-sheet'!#REF!</f>
        <v>#REF!</v>
      </c>
      <c r="Q133" s="2" t="e">
        <f>Q12/'Output-Calculation-sheet'!Q11*'Output-Calculation-sheet'!#REF!</f>
        <v>#REF!</v>
      </c>
      <c r="R133" s="2" t="e">
        <f>R12/'Output-Calculation-sheet'!R11*'Output-Calculation-sheet'!#REF!</f>
        <v>#REF!</v>
      </c>
      <c r="S133" s="2" t="e">
        <f>S12/'Output-Calculation-sheet'!S11*'Output-Calculation-sheet'!#REF!</f>
        <v>#REF!</v>
      </c>
      <c r="T133" s="2" t="e">
        <f>T12/'Output-Calculation-sheet'!T11*'Output-Calculation-sheet'!#REF!</f>
        <v>#REF!</v>
      </c>
      <c r="U133" s="2" t="e">
        <f>U12/'Output-Calculation-sheet'!U11*'Output-Calculation-sheet'!#REF!</f>
        <v>#REF!</v>
      </c>
      <c r="V133" s="2" t="e">
        <f>V12/'Output-Calculation-sheet'!V11*'Output-Calculation-sheet'!#REF!</f>
        <v>#REF!</v>
      </c>
      <c r="W133" s="2" t="e">
        <f>W12/'Output-Calculation-sheet'!W11*'Output-Calculation-sheet'!#REF!</f>
        <v>#REF!</v>
      </c>
      <c r="X133" s="2" t="e">
        <f>X12/'Output-Calculation-sheet'!X11*'Output-Calculation-sheet'!#REF!</f>
        <v>#REF!</v>
      </c>
      <c r="Y133" s="2" t="e">
        <f>Y12/'Output-Calculation-sheet'!Y11*'Output-Calculation-sheet'!#REF!</f>
        <v>#REF!</v>
      </c>
      <c r="AA133" s="2" t="e">
        <f t="shared" si="10"/>
        <v>#REF!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B5/'Output-Calculation-sheet'!B4*'Output-Calculation-sheet'!#REF!</f>
        <v>#REF!</v>
      </c>
      <c r="C148" s="2" t="e">
        <f>C5/'Output-Calculation-sheet'!C4*'Output-Calculation-sheet'!#REF!</f>
        <v>#REF!</v>
      </c>
      <c r="D148" s="2" t="e">
        <f>D5/'Output-Calculation-sheet'!D4*'Output-Calculation-sheet'!#REF!</f>
        <v>#REF!</v>
      </c>
      <c r="E148" s="2" t="e">
        <f>E5/'Output-Calculation-sheet'!E4*'Output-Calculation-sheet'!#REF!</f>
        <v>#REF!</v>
      </c>
      <c r="F148" s="2" t="e">
        <f>F5/'Output-Calculation-sheet'!F4*'Output-Calculation-sheet'!#REF!</f>
        <v>#REF!</v>
      </c>
      <c r="G148" s="2" t="e">
        <f>G5/'Output-Calculation-sheet'!G4*'Output-Calculation-sheet'!#REF!</f>
        <v>#REF!</v>
      </c>
      <c r="H148" s="2" t="e">
        <f>H5/'Output-Calculation-sheet'!H4*'Output-Calculation-sheet'!#REF!</f>
        <v>#REF!</v>
      </c>
      <c r="I148" s="2" t="e">
        <f>I5/'Output-Calculation-sheet'!I4*'Output-Calculation-sheet'!#REF!</f>
        <v>#REF!</v>
      </c>
      <c r="J148" s="2" t="e">
        <f>J5/'Output-Calculation-sheet'!J4*'Output-Calculation-sheet'!#REF!</f>
        <v>#REF!</v>
      </c>
      <c r="K148" s="2" t="e">
        <f>K5/'Output-Calculation-sheet'!K4*'Output-Calculation-sheet'!#REF!</f>
        <v>#REF!</v>
      </c>
      <c r="L148" s="2" t="e">
        <f>L5/'Output-Calculation-sheet'!L4*'Output-Calculation-sheet'!#REF!</f>
        <v>#REF!</v>
      </c>
      <c r="M148" s="2" t="e">
        <f>M5/'Output-Calculation-sheet'!M4*'Output-Calculation-sheet'!#REF!</f>
        <v>#REF!</v>
      </c>
      <c r="N148" s="2" t="e">
        <f>N5/'Output-Calculation-sheet'!N4*'Output-Calculation-sheet'!#REF!</f>
        <v>#REF!</v>
      </c>
      <c r="O148" s="2" t="e">
        <f>O5/'Output-Calculation-sheet'!O4*'Output-Calculation-sheet'!#REF!</f>
        <v>#REF!</v>
      </c>
      <c r="P148" s="2" t="e">
        <f>P5/'Output-Calculation-sheet'!P4*'Output-Calculation-sheet'!#REF!</f>
        <v>#REF!</v>
      </c>
      <c r="Q148" s="2" t="e">
        <f>Q5/'Output-Calculation-sheet'!Q4*'Output-Calculation-sheet'!#REF!</f>
        <v>#REF!</v>
      </c>
      <c r="R148" s="2" t="e">
        <f>R5/'Output-Calculation-sheet'!R4*'Output-Calculation-sheet'!#REF!</f>
        <v>#REF!</v>
      </c>
      <c r="S148" s="2" t="e">
        <f>S5/'Output-Calculation-sheet'!S4*'Output-Calculation-sheet'!#REF!</f>
        <v>#REF!</v>
      </c>
      <c r="T148" s="2" t="e">
        <f>T5/'Output-Calculation-sheet'!T4*'Output-Calculation-sheet'!#REF!</f>
        <v>#REF!</v>
      </c>
      <c r="U148" s="2" t="e">
        <f>U5/'Output-Calculation-sheet'!U4*'Output-Calculation-sheet'!#REF!</f>
        <v>#REF!</v>
      </c>
      <c r="V148" s="2" t="e">
        <f>V5/'Output-Calculation-sheet'!V4*'Output-Calculation-sheet'!#REF!</f>
        <v>#REF!</v>
      </c>
      <c r="W148" s="2" t="e">
        <f>W5/'Output-Calculation-sheet'!W4*'Output-Calculation-sheet'!#REF!</f>
        <v>#REF!</v>
      </c>
      <c r="X148" s="2" t="e">
        <f>X5/'Output-Calculation-sheet'!X4*'Output-Calculation-sheet'!#REF!</f>
        <v>#REF!</v>
      </c>
      <c r="Y148" s="2" t="e">
        <f>Y5/'Output-Calculation-sheet'!Y4*'Output-Calculation-sheet'!#REF!</f>
        <v>#REF!</v>
      </c>
      <c r="AA148" s="2" t="e">
        <f>SUM(B148:Y148)/10^6</f>
        <v>#REF!</v>
      </c>
    </row>
    <row r="149" spans="1:27" x14ac:dyDescent="0.25">
      <c r="A149" s="2">
        <v>2029</v>
      </c>
      <c r="B149" s="2" t="e">
        <f>B6/'Output-Calculation-sheet'!B5*'Output-Calculation-sheet'!#REF!</f>
        <v>#REF!</v>
      </c>
      <c r="C149" s="2" t="e">
        <f>C6/'Output-Calculation-sheet'!C5*'Output-Calculation-sheet'!#REF!</f>
        <v>#REF!</v>
      </c>
      <c r="D149" s="2" t="e">
        <f>D6/'Output-Calculation-sheet'!D5*'Output-Calculation-sheet'!#REF!</f>
        <v>#REF!</v>
      </c>
      <c r="E149" s="2" t="e">
        <f>E6/'Output-Calculation-sheet'!E5*'Output-Calculation-sheet'!#REF!</f>
        <v>#REF!</v>
      </c>
      <c r="F149" s="2" t="e">
        <f>F6/'Output-Calculation-sheet'!F5*'Output-Calculation-sheet'!#REF!</f>
        <v>#REF!</v>
      </c>
      <c r="G149" s="2" t="e">
        <f>G6/'Output-Calculation-sheet'!G5*'Output-Calculation-sheet'!#REF!</f>
        <v>#REF!</v>
      </c>
      <c r="H149" s="2" t="e">
        <f>H6/'Output-Calculation-sheet'!H5*'Output-Calculation-sheet'!#REF!</f>
        <v>#REF!</v>
      </c>
      <c r="I149" s="2" t="e">
        <f>I6/'Output-Calculation-sheet'!I5*'Output-Calculation-sheet'!#REF!</f>
        <v>#REF!</v>
      </c>
      <c r="J149" s="2" t="e">
        <f>J6/'Output-Calculation-sheet'!J5*'Output-Calculation-sheet'!#REF!</f>
        <v>#REF!</v>
      </c>
      <c r="K149" s="2" t="e">
        <f>K6/'Output-Calculation-sheet'!K5*'Output-Calculation-sheet'!#REF!</f>
        <v>#REF!</v>
      </c>
      <c r="L149" s="2" t="e">
        <f>L6/'Output-Calculation-sheet'!L5*'Output-Calculation-sheet'!#REF!</f>
        <v>#REF!</v>
      </c>
      <c r="M149" s="2" t="e">
        <f>M6/'Output-Calculation-sheet'!M5*'Output-Calculation-sheet'!#REF!</f>
        <v>#REF!</v>
      </c>
      <c r="N149" s="2" t="e">
        <f>N6/'Output-Calculation-sheet'!N5*'Output-Calculation-sheet'!#REF!</f>
        <v>#REF!</v>
      </c>
      <c r="O149" s="2" t="e">
        <f>O6/'Output-Calculation-sheet'!O5*'Output-Calculation-sheet'!#REF!</f>
        <v>#REF!</v>
      </c>
      <c r="P149" s="2" t="e">
        <f>P6/'Output-Calculation-sheet'!P5*'Output-Calculation-sheet'!#REF!</f>
        <v>#REF!</v>
      </c>
      <c r="Q149" s="2" t="e">
        <f>Q6/'Output-Calculation-sheet'!Q5*'Output-Calculation-sheet'!#REF!</f>
        <v>#REF!</v>
      </c>
      <c r="R149" s="2" t="e">
        <f>R6/'Output-Calculation-sheet'!R5*'Output-Calculation-sheet'!#REF!</f>
        <v>#REF!</v>
      </c>
      <c r="S149" s="2" t="e">
        <f>S6/'Output-Calculation-sheet'!S5*'Output-Calculation-sheet'!#REF!</f>
        <v>#REF!</v>
      </c>
      <c r="T149" s="2" t="e">
        <f>T6/'Output-Calculation-sheet'!T5*'Output-Calculation-sheet'!#REF!</f>
        <v>#REF!</v>
      </c>
      <c r="U149" s="2" t="e">
        <f>U6/'Output-Calculation-sheet'!U5*'Output-Calculation-sheet'!#REF!</f>
        <v>#REF!</v>
      </c>
      <c r="V149" s="2" t="e">
        <f>V6/'Output-Calculation-sheet'!V5*'Output-Calculation-sheet'!#REF!</f>
        <v>#REF!</v>
      </c>
      <c r="W149" s="2" t="e">
        <f>W6/'Output-Calculation-sheet'!W5*'Output-Calculation-sheet'!#REF!</f>
        <v>#REF!</v>
      </c>
      <c r="X149" s="2" t="e">
        <f>X6/'Output-Calculation-sheet'!X5*'Output-Calculation-sheet'!#REF!</f>
        <v>#REF!</v>
      </c>
      <c r="Y149" s="2" t="e">
        <f>Y6/'Output-Calculation-sheet'!Y5*'Output-Calculation-sheet'!#REF!</f>
        <v>#REF!</v>
      </c>
      <c r="AA149" s="2" t="e">
        <f t="shared" ref="AA149:AA155" si="12">SUM(B149:Y149)/10^6</f>
        <v>#REF!</v>
      </c>
    </row>
    <row r="150" spans="1:27" x14ac:dyDescent="0.25">
      <c r="A150" s="2">
        <v>2030</v>
      </c>
      <c r="B150" s="2" t="e">
        <f>B7/'Output-Calculation-sheet'!B6*'Output-Calculation-sheet'!#REF!</f>
        <v>#REF!</v>
      </c>
      <c r="C150" s="2" t="e">
        <f>C7/'Output-Calculation-sheet'!C6*'Output-Calculation-sheet'!#REF!</f>
        <v>#REF!</v>
      </c>
      <c r="D150" s="2" t="e">
        <f>D7/'Output-Calculation-sheet'!D6*'Output-Calculation-sheet'!#REF!</f>
        <v>#REF!</v>
      </c>
      <c r="E150" s="2" t="e">
        <f>E7/'Output-Calculation-sheet'!E6*'Output-Calculation-sheet'!#REF!</f>
        <v>#REF!</v>
      </c>
      <c r="F150" s="2" t="e">
        <f>F7/'Output-Calculation-sheet'!F6*'Output-Calculation-sheet'!#REF!</f>
        <v>#REF!</v>
      </c>
      <c r="G150" s="2" t="e">
        <f>G7/'Output-Calculation-sheet'!G6*'Output-Calculation-sheet'!#REF!</f>
        <v>#REF!</v>
      </c>
      <c r="H150" s="2" t="e">
        <f>H7/'Output-Calculation-sheet'!H6*'Output-Calculation-sheet'!#REF!</f>
        <v>#REF!</v>
      </c>
      <c r="I150" s="2" t="e">
        <f>I7/'Output-Calculation-sheet'!I6*'Output-Calculation-sheet'!#REF!</f>
        <v>#REF!</v>
      </c>
      <c r="J150" s="2" t="e">
        <f>J7/'Output-Calculation-sheet'!J6*'Output-Calculation-sheet'!#REF!</f>
        <v>#REF!</v>
      </c>
      <c r="K150" s="2" t="e">
        <f>K7/'Output-Calculation-sheet'!K6*'Output-Calculation-sheet'!#REF!</f>
        <v>#REF!</v>
      </c>
      <c r="L150" s="2" t="e">
        <f>L7/'Output-Calculation-sheet'!L6*'Output-Calculation-sheet'!#REF!</f>
        <v>#REF!</v>
      </c>
      <c r="M150" s="2" t="e">
        <f>M7/'Output-Calculation-sheet'!M6*'Output-Calculation-sheet'!#REF!</f>
        <v>#REF!</v>
      </c>
      <c r="N150" s="2" t="e">
        <f>N7/'Output-Calculation-sheet'!N6*'Output-Calculation-sheet'!#REF!</f>
        <v>#REF!</v>
      </c>
      <c r="O150" s="2" t="e">
        <f>O7/'Output-Calculation-sheet'!O6*'Output-Calculation-sheet'!#REF!</f>
        <v>#REF!</v>
      </c>
      <c r="P150" s="2" t="e">
        <f>P7/'Output-Calculation-sheet'!P6*'Output-Calculation-sheet'!#REF!</f>
        <v>#REF!</v>
      </c>
      <c r="Q150" s="2" t="e">
        <f>Q7/'Output-Calculation-sheet'!Q6*'Output-Calculation-sheet'!#REF!</f>
        <v>#REF!</v>
      </c>
      <c r="R150" s="2" t="e">
        <f>R7/'Output-Calculation-sheet'!R6*'Output-Calculation-sheet'!#REF!</f>
        <v>#REF!</v>
      </c>
      <c r="S150" s="2" t="e">
        <f>S7/'Output-Calculation-sheet'!S6*'Output-Calculation-sheet'!#REF!</f>
        <v>#REF!</v>
      </c>
      <c r="T150" s="2" t="e">
        <f>T7/'Output-Calculation-sheet'!T6*'Output-Calculation-sheet'!#REF!</f>
        <v>#REF!</v>
      </c>
      <c r="U150" s="2" t="e">
        <f>U7/'Output-Calculation-sheet'!U6*'Output-Calculation-sheet'!#REF!</f>
        <v>#REF!</v>
      </c>
      <c r="V150" s="2" t="e">
        <f>V7/'Output-Calculation-sheet'!V6*'Output-Calculation-sheet'!#REF!</f>
        <v>#REF!</v>
      </c>
      <c r="W150" s="2" t="e">
        <f>W7/'Output-Calculation-sheet'!W6*'Output-Calculation-sheet'!#REF!</f>
        <v>#REF!</v>
      </c>
      <c r="X150" s="2" t="e">
        <f>X7/'Output-Calculation-sheet'!X6*'Output-Calculation-sheet'!#REF!</f>
        <v>#REF!</v>
      </c>
      <c r="Y150" s="2" t="e">
        <f>Y7/'Output-Calculation-sheet'!Y6*'Output-Calculation-sheet'!#REF!</f>
        <v>#REF!</v>
      </c>
      <c r="AA150" s="2" t="e">
        <f t="shared" si="12"/>
        <v>#REF!</v>
      </c>
    </row>
    <row r="151" spans="1:27" x14ac:dyDescent="0.25">
      <c r="A151" s="2">
        <v>2031</v>
      </c>
      <c r="B151" s="2" t="e">
        <f>B8/'Output-Calculation-sheet'!B7*'Output-Calculation-sheet'!#REF!</f>
        <v>#REF!</v>
      </c>
      <c r="C151" s="2" t="e">
        <f>C8/'Output-Calculation-sheet'!C7*'Output-Calculation-sheet'!#REF!</f>
        <v>#REF!</v>
      </c>
      <c r="D151" s="2" t="e">
        <f>D8/'Output-Calculation-sheet'!D7*'Output-Calculation-sheet'!#REF!</f>
        <v>#REF!</v>
      </c>
      <c r="E151" s="2" t="e">
        <f>E8/'Output-Calculation-sheet'!E7*'Output-Calculation-sheet'!#REF!</f>
        <v>#REF!</v>
      </c>
      <c r="F151" s="2" t="e">
        <f>F8/'Output-Calculation-sheet'!F7*'Output-Calculation-sheet'!#REF!</f>
        <v>#REF!</v>
      </c>
      <c r="G151" s="2" t="e">
        <f>G8/'Output-Calculation-sheet'!G7*'Output-Calculation-sheet'!#REF!</f>
        <v>#REF!</v>
      </c>
      <c r="H151" s="2" t="e">
        <f>H8/'Output-Calculation-sheet'!H7*'Output-Calculation-sheet'!#REF!</f>
        <v>#REF!</v>
      </c>
      <c r="I151" s="2" t="e">
        <f>I8/'Output-Calculation-sheet'!I7*'Output-Calculation-sheet'!#REF!</f>
        <v>#REF!</v>
      </c>
      <c r="J151" s="2" t="e">
        <f>J8/'Output-Calculation-sheet'!J7*'Output-Calculation-sheet'!#REF!</f>
        <v>#REF!</v>
      </c>
      <c r="K151" s="2" t="e">
        <f>K8/'Output-Calculation-sheet'!K7*'Output-Calculation-sheet'!#REF!</f>
        <v>#REF!</v>
      </c>
      <c r="L151" s="2" t="e">
        <f>L8/'Output-Calculation-sheet'!L7*'Output-Calculation-sheet'!#REF!</f>
        <v>#REF!</v>
      </c>
      <c r="M151" s="2" t="e">
        <f>M8/'Output-Calculation-sheet'!M7*'Output-Calculation-sheet'!#REF!</f>
        <v>#REF!</v>
      </c>
      <c r="N151" s="2" t="e">
        <f>N8/'Output-Calculation-sheet'!N7*'Output-Calculation-sheet'!#REF!</f>
        <v>#REF!</v>
      </c>
      <c r="O151" s="2" t="e">
        <f>O8/'Output-Calculation-sheet'!O7*'Output-Calculation-sheet'!#REF!</f>
        <v>#REF!</v>
      </c>
      <c r="P151" s="2" t="e">
        <f>P8/'Output-Calculation-sheet'!P7*'Output-Calculation-sheet'!#REF!</f>
        <v>#REF!</v>
      </c>
      <c r="Q151" s="2" t="e">
        <f>Q8/'Output-Calculation-sheet'!Q7*'Output-Calculation-sheet'!#REF!</f>
        <v>#REF!</v>
      </c>
      <c r="R151" s="2" t="e">
        <f>R8/'Output-Calculation-sheet'!R7*'Output-Calculation-sheet'!#REF!</f>
        <v>#REF!</v>
      </c>
      <c r="S151" s="2" t="e">
        <f>S8/'Output-Calculation-sheet'!S7*'Output-Calculation-sheet'!#REF!</f>
        <v>#REF!</v>
      </c>
      <c r="T151" s="2" t="e">
        <f>T8/'Output-Calculation-sheet'!T7*'Output-Calculation-sheet'!#REF!</f>
        <v>#REF!</v>
      </c>
      <c r="U151" s="2" t="e">
        <f>U8/'Output-Calculation-sheet'!U7*'Output-Calculation-sheet'!#REF!</f>
        <v>#REF!</v>
      </c>
      <c r="V151" s="2" t="e">
        <f>V8/'Output-Calculation-sheet'!V7*'Output-Calculation-sheet'!#REF!</f>
        <v>#REF!</v>
      </c>
      <c r="W151" s="2" t="e">
        <f>W8/'Output-Calculation-sheet'!W7*'Output-Calculation-sheet'!#REF!</f>
        <v>#REF!</v>
      </c>
      <c r="X151" s="2" t="e">
        <f>X8/'Output-Calculation-sheet'!X7*'Output-Calculation-sheet'!#REF!</f>
        <v>#REF!</v>
      </c>
      <c r="Y151" s="2" t="e">
        <f>Y8/'Output-Calculation-sheet'!Y7*'Output-Calculation-sheet'!#REF!</f>
        <v>#REF!</v>
      </c>
      <c r="AA151" s="2" t="e">
        <f t="shared" si="12"/>
        <v>#REF!</v>
      </c>
    </row>
    <row r="152" spans="1:27" x14ac:dyDescent="0.25">
      <c r="A152" s="2">
        <v>2032</v>
      </c>
      <c r="B152" s="2" t="e">
        <f>B9/'Output-Calculation-sheet'!B8*'Output-Calculation-sheet'!#REF!</f>
        <v>#REF!</v>
      </c>
      <c r="C152" s="2" t="e">
        <f>C9/'Output-Calculation-sheet'!C8*'Output-Calculation-sheet'!#REF!</f>
        <v>#REF!</v>
      </c>
      <c r="D152" s="2" t="e">
        <f>D9/'Output-Calculation-sheet'!D8*'Output-Calculation-sheet'!#REF!</f>
        <v>#REF!</v>
      </c>
      <c r="E152" s="2" t="e">
        <f>E9/'Output-Calculation-sheet'!E8*'Output-Calculation-sheet'!#REF!</f>
        <v>#REF!</v>
      </c>
      <c r="F152" s="2" t="e">
        <f>F9/'Output-Calculation-sheet'!F8*'Output-Calculation-sheet'!#REF!</f>
        <v>#REF!</v>
      </c>
      <c r="G152" s="2" t="e">
        <f>G9/'Output-Calculation-sheet'!G8*'Output-Calculation-sheet'!#REF!</f>
        <v>#REF!</v>
      </c>
      <c r="H152" s="2" t="e">
        <f>H9/'Output-Calculation-sheet'!H8*'Output-Calculation-sheet'!#REF!</f>
        <v>#REF!</v>
      </c>
      <c r="I152" s="2" t="e">
        <f>I9/'Output-Calculation-sheet'!I8*'Output-Calculation-sheet'!#REF!</f>
        <v>#REF!</v>
      </c>
      <c r="J152" s="2" t="e">
        <f>J9/'Output-Calculation-sheet'!J8*'Output-Calculation-sheet'!#REF!</f>
        <v>#REF!</v>
      </c>
      <c r="K152" s="2" t="e">
        <f>K9/'Output-Calculation-sheet'!K8*'Output-Calculation-sheet'!#REF!</f>
        <v>#REF!</v>
      </c>
      <c r="L152" s="2" t="e">
        <f>L9/'Output-Calculation-sheet'!L8*'Output-Calculation-sheet'!#REF!</f>
        <v>#REF!</v>
      </c>
      <c r="M152" s="2" t="e">
        <f>M9/'Output-Calculation-sheet'!M8*'Output-Calculation-sheet'!#REF!</f>
        <v>#REF!</v>
      </c>
      <c r="N152" s="2" t="e">
        <f>N9/'Output-Calculation-sheet'!N8*'Output-Calculation-sheet'!#REF!</f>
        <v>#REF!</v>
      </c>
      <c r="O152" s="2" t="e">
        <f>O9/'Output-Calculation-sheet'!O8*'Output-Calculation-sheet'!#REF!</f>
        <v>#REF!</v>
      </c>
      <c r="P152" s="2" t="e">
        <f>P9/'Output-Calculation-sheet'!P8*'Output-Calculation-sheet'!#REF!</f>
        <v>#REF!</v>
      </c>
      <c r="Q152" s="2" t="e">
        <f>Q9/'Output-Calculation-sheet'!Q8*'Output-Calculation-sheet'!#REF!</f>
        <v>#REF!</v>
      </c>
      <c r="R152" s="2" t="e">
        <f>R9/'Output-Calculation-sheet'!R8*'Output-Calculation-sheet'!#REF!</f>
        <v>#REF!</v>
      </c>
      <c r="S152" s="2" t="e">
        <f>S9/'Output-Calculation-sheet'!S8*'Output-Calculation-sheet'!#REF!</f>
        <v>#REF!</v>
      </c>
      <c r="T152" s="2" t="e">
        <f>T9/'Output-Calculation-sheet'!T8*'Output-Calculation-sheet'!#REF!</f>
        <v>#REF!</v>
      </c>
      <c r="U152" s="2" t="e">
        <f>U9/'Output-Calculation-sheet'!U8*'Output-Calculation-sheet'!#REF!</f>
        <v>#REF!</v>
      </c>
      <c r="V152" s="2" t="e">
        <f>V9/'Output-Calculation-sheet'!V8*'Output-Calculation-sheet'!#REF!</f>
        <v>#REF!</v>
      </c>
      <c r="W152" s="2" t="e">
        <f>W9/'Output-Calculation-sheet'!W8*'Output-Calculation-sheet'!#REF!</f>
        <v>#REF!</v>
      </c>
      <c r="X152" s="2" t="e">
        <f>X9/'Output-Calculation-sheet'!X8*'Output-Calculation-sheet'!#REF!</f>
        <v>#REF!</v>
      </c>
      <c r="Y152" s="2" t="e">
        <f>Y9/'Output-Calculation-sheet'!Y8*'Output-Calculation-sheet'!#REF!</f>
        <v>#REF!</v>
      </c>
      <c r="AA152" s="2" t="e">
        <f t="shared" si="12"/>
        <v>#REF!</v>
      </c>
    </row>
    <row r="153" spans="1:27" x14ac:dyDescent="0.25">
      <c r="A153" s="2">
        <v>2033</v>
      </c>
      <c r="B153" s="2" t="e">
        <f>B10/'Output-Calculation-sheet'!B9*'Output-Calculation-sheet'!#REF!</f>
        <v>#REF!</v>
      </c>
      <c r="C153" s="2" t="e">
        <f>C10/'Output-Calculation-sheet'!C9*'Output-Calculation-sheet'!#REF!</f>
        <v>#REF!</v>
      </c>
      <c r="D153" s="2" t="e">
        <f>D10/'Output-Calculation-sheet'!D9*'Output-Calculation-sheet'!#REF!</f>
        <v>#REF!</v>
      </c>
      <c r="E153" s="2" t="e">
        <f>E10/'Output-Calculation-sheet'!E9*'Output-Calculation-sheet'!#REF!</f>
        <v>#REF!</v>
      </c>
      <c r="F153" s="2" t="e">
        <f>F10/'Output-Calculation-sheet'!F9*'Output-Calculation-sheet'!#REF!</f>
        <v>#REF!</v>
      </c>
      <c r="G153" s="2" t="e">
        <f>G10/'Output-Calculation-sheet'!G9*'Output-Calculation-sheet'!#REF!</f>
        <v>#REF!</v>
      </c>
      <c r="H153" s="2" t="e">
        <f>H10/'Output-Calculation-sheet'!H9*'Output-Calculation-sheet'!#REF!</f>
        <v>#REF!</v>
      </c>
      <c r="I153" s="2" t="e">
        <f>I10/'Output-Calculation-sheet'!I9*'Output-Calculation-sheet'!#REF!</f>
        <v>#REF!</v>
      </c>
      <c r="J153" s="2" t="e">
        <f>J10/'Output-Calculation-sheet'!J9*'Output-Calculation-sheet'!#REF!</f>
        <v>#REF!</v>
      </c>
      <c r="K153" s="2" t="e">
        <f>K10/'Output-Calculation-sheet'!K9*'Output-Calculation-sheet'!#REF!</f>
        <v>#REF!</v>
      </c>
      <c r="L153" s="2" t="e">
        <f>L10/'Output-Calculation-sheet'!L9*'Output-Calculation-sheet'!#REF!</f>
        <v>#REF!</v>
      </c>
      <c r="M153" s="2" t="e">
        <f>M10/'Output-Calculation-sheet'!M9*'Output-Calculation-sheet'!#REF!</f>
        <v>#REF!</v>
      </c>
      <c r="N153" s="2" t="e">
        <f>N10/'Output-Calculation-sheet'!N9*'Output-Calculation-sheet'!#REF!</f>
        <v>#REF!</v>
      </c>
      <c r="O153" s="2" t="e">
        <f>O10/'Output-Calculation-sheet'!O9*'Output-Calculation-sheet'!#REF!</f>
        <v>#REF!</v>
      </c>
      <c r="P153" s="2" t="e">
        <f>P10/'Output-Calculation-sheet'!P9*'Output-Calculation-sheet'!#REF!</f>
        <v>#REF!</v>
      </c>
      <c r="Q153" s="2" t="e">
        <f>Q10/'Output-Calculation-sheet'!Q9*'Output-Calculation-sheet'!#REF!</f>
        <v>#REF!</v>
      </c>
      <c r="R153" s="2" t="e">
        <f>R10/'Output-Calculation-sheet'!R9*'Output-Calculation-sheet'!#REF!</f>
        <v>#REF!</v>
      </c>
      <c r="S153" s="2" t="e">
        <f>S10/'Output-Calculation-sheet'!S9*'Output-Calculation-sheet'!#REF!</f>
        <v>#REF!</v>
      </c>
      <c r="T153" s="2" t="e">
        <f>T10/'Output-Calculation-sheet'!T9*'Output-Calculation-sheet'!#REF!</f>
        <v>#REF!</v>
      </c>
      <c r="U153" s="2" t="e">
        <f>U10/'Output-Calculation-sheet'!U9*'Output-Calculation-sheet'!#REF!</f>
        <v>#REF!</v>
      </c>
      <c r="V153" s="2" t="e">
        <f>V10/'Output-Calculation-sheet'!V9*'Output-Calculation-sheet'!#REF!</f>
        <v>#REF!</v>
      </c>
      <c r="W153" s="2" t="e">
        <f>W10/'Output-Calculation-sheet'!W9*'Output-Calculation-sheet'!#REF!</f>
        <v>#REF!</v>
      </c>
      <c r="X153" s="2" t="e">
        <f>X10/'Output-Calculation-sheet'!X9*'Output-Calculation-sheet'!#REF!</f>
        <v>#REF!</v>
      </c>
      <c r="Y153" s="2" t="e">
        <f>Y10/'Output-Calculation-sheet'!Y9*'Output-Calculation-sheet'!#REF!</f>
        <v>#REF!</v>
      </c>
      <c r="AA153" s="2" t="e">
        <f t="shared" si="12"/>
        <v>#REF!</v>
      </c>
    </row>
    <row r="154" spans="1:27" x14ac:dyDescent="0.25">
      <c r="A154" s="2">
        <v>2034</v>
      </c>
      <c r="B154" s="2" t="e">
        <f>B11/'Output-Calculation-sheet'!B10*'Output-Calculation-sheet'!#REF!</f>
        <v>#REF!</v>
      </c>
      <c r="C154" s="2" t="e">
        <f>C11/'Output-Calculation-sheet'!C10*'Output-Calculation-sheet'!#REF!</f>
        <v>#REF!</v>
      </c>
      <c r="D154" s="2" t="e">
        <f>D11/'Output-Calculation-sheet'!D10*'Output-Calculation-sheet'!#REF!</f>
        <v>#REF!</v>
      </c>
      <c r="E154" s="2" t="e">
        <f>E11/'Output-Calculation-sheet'!E10*'Output-Calculation-sheet'!#REF!</f>
        <v>#REF!</v>
      </c>
      <c r="F154" s="2" t="e">
        <f>F11/'Output-Calculation-sheet'!F10*'Output-Calculation-sheet'!#REF!</f>
        <v>#REF!</v>
      </c>
      <c r="G154" s="2" t="e">
        <f>G11/'Output-Calculation-sheet'!G10*'Output-Calculation-sheet'!#REF!</f>
        <v>#REF!</v>
      </c>
      <c r="H154" s="2" t="e">
        <f>H11/'Output-Calculation-sheet'!H10*'Output-Calculation-sheet'!#REF!</f>
        <v>#REF!</v>
      </c>
      <c r="I154" s="2" t="e">
        <f>I11/'Output-Calculation-sheet'!I10*'Output-Calculation-sheet'!#REF!</f>
        <v>#REF!</v>
      </c>
      <c r="J154" s="2" t="e">
        <f>J11/'Output-Calculation-sheet'!J10*'Output-Calculation-sheet'!#REF!</f>
        <v>#REF!</v>
      </c>
      <c r="K154" s="2" t="e">
        <f>K11/'Output-Calculation-sheet'!K10*'Output-Calculation-sheet'!#REF!</f>
        <v>#REF!</v>
      </c>
      <c r="L154" s="2" t="e">
        <f>L11/'Output-Calculation-sheet'!L10*'Output-Calculation-sheet'!#REF!</f>
        <v>#REF!</v>
      </c>
      <c r="M154" s="2" t="e">
        <f>M11/'Output-Calculation-sheet'!M10*'Output-Calculation-sheet'!#REF!</f>
        <v>#REF!</v>
      </c>
      <c r="N154" s="2" t="e">
        <f>N11/'Output-Calculation-sheet'!N10*'Output-Calculation-sheet'!#REF!</f>
        <v>#REF!</v>
      </c>
      <c r="O154" s="2" t="e">
        <f>O11/'Output-Calculation-sheet'!O10*'Output-Calculation-sheet'!#REF!</f>
        <v>#REF!</v>
      </c>
      <c r="P154" s="2" t="e">
        <f>P11/'Output-Calculation-sheet'!P10*'Output-Calculation-sheet'!#REF!</f>
        <v>#REF!</v>
      </c>
      <c r="Q154" s="2" t="e">
        <f>Q11/'Output-Calculation-sheet'!Q10*'Output-Calculation-sheet'!#REF!</f>
        <v>#REF!</v>
      </c>
      <c r="R154" s="2" t="e">
        <f>R11/'Output-Calculation-sheet'!R10*'Output-Calculation-sheet'!#REF!</f>
        <v>#REF!</v>
      </c>
      <c r="S154" s="2" t="e">
        <f>S11/'Output-Calculation-sheet'!S10*'Output-Calculation-sheet'!#REF!</f>
        <v>#REF!</v>
      </c>
      <c r="T154" s="2" t="e">
        <f>T11/'Output-Calculation-sheet'!T10*'Output-Calculation-sheet'!#REF!</f>
        <v>#REF!</v>
      </c>
      <c r="U154" s="2" t="e">
        <f>U11/'Output-Calculation-sheet'!U10*'Output-Calculation-sheet'!#REF!</f>
        <v>#REF!</v>
      </c>
      <c r="V154" s="2" t="e">
        <f>V11/'Output-Calculation-sheet'!V10*'Output-Calculation-sheet'!#REF!</f>
        <v>#REF!</v>
      </c>
      <c r="W154" s="2" t="e">
        <f>W11/'Output-Calculation-sheet'!W10*'Output-Calculation-sheet'!#REF!</f>
        <v>#REF!</v>
      </c>
      <c r="X154" s="2" t="e">
        <f>X11/'Output-Calculation-sheet'!X10*'Output-Calculation-sheet'!#REF!</f>
        <v>#REF!</v>
      </c>
      <c r="Y154" s="2" t="e">
        <f>Y11/'Output-Calculation-sheet'!Y10*'Output-Calculation-sheet'!#REF!</f>
        <v>#REF!</v>
      </c>
      <c r="AA154" s="2" t="e">
        <f t="shared" si="12"/>
        <v>#REF!</v>
      </c>
    </row>
    <row r="155" spans="1:27" x14ac:dyDescent="0.25">
      <c r="A155" s="2">
        <v>2035</v>
      </c>
      <c r="B155" s="2" t="e">
        <f>B12/'Output-Calculation-sheet'!B11*'Output-Calculation-sheet'!#REF!</f>
        <v>#REF!</v>
      </c>
      <c r="C155" s="2" t="e">
        <f>C12/'Output-Calculation-sheet'!C11*'Output-Calculation-sheet'!#REF!</f>
        <v>#REF!</v>
      </c>
      <c r="D155" s="2" t="e">
        <f>D12/'Output-Calculation-sheet'!D11*'Output-Calculation-sheet'!#REF!</f>
        <v>#REF!</v>
      </c>
      <c r="E155" s="2" t="e">
        <f>E12/'Output-Calculation-sheet'!E11*'Output-Calculation-sheet'!#REF!</f>
        <v>#REF!</v>
      </c>
      <c r="F155" s="2" t="e">
        <f>F12/'Output-Calculation-sheet'!F11*'Output-Calculation-sheet'!#REF!</f>
        <v>#REF!</v>
      </c>
      <c r="G155" s="2" t="e">
        <f>G12/'Output-Calculation-sheet'!G11*'Output-Calculation-sheet'!#REF!</f>
        <v>#REF!</v>
      </c>
      <c r="H155" s="2" t="e">
        <f>H12/'Output-Calculation-sheet'!H11*'Output-Calculation-sheet'!#REF!</f>
        <v>#REF!</v>
      </c>
      <c r="I155" s="2" t="e">
        <f>I12/'Output-Calculation-sheet'!I11*'Output-Calculation-sheet'!#REF!</f>
        <v>#REF!</v>
      </c>
      <c r="J155" s="2" t="e">
        <f>J12/'Output-Calculation-sheet'!J11*'Output-Calculation-sheet'!#REF!</f>
        <v>#REF!</v>
      </c>
      <c r="K155" s="2" t="e">
        <f>K12/'Output-Calculation-sheet'!K11*'Output-Calculation-sheet'!#REF!</f>
        <v>#REF!</v>
      </c>
      <c r="L155" s="2" t="e">
        <f>L12/'Output-Calculation-sheet'!L11*'Output-Calculation-sheet'!#REF!</f>
        <v>#REF!</v>
      </c>
      <c r="M155" s="2" t="e">
        <f>M12/'Output-Calculation-sheet'!M11*'Output-Calculation-sheet'!#REF!</f>
        <v>#REF!</v>
      </c>
      <c r="N155" s="2" t="e">
        <f>N12/'Output-Calculation-sheet'!N11*'Output-Calculation-sheet'!#REF!</f>
        <v>#REF!</v>
      </c>
      <c r="O155" s="2" t="e">
        <f>O12/'Output-Calculation-sheet'!O11*'Output-Calculation-sheet'!#REF!</f>
        <v>#REF!</v>
      </c>
      <c r="P155" s="2" t="e">
        <f>P12/'Output-Calculation-sheet'!P11*'Output-Calculation-sheet'!#REF!</f>
        <v>#REF!</v>
      </c>
      <c r="Q155" s="2" t="e">
        <f>Q12/'Output-Calculation-sheet'!Q11*'Output-Calculation-sheet'!#REF!</f>
        <v>#REF!</v>
      </c>
      <c r="R155" s="2" t="e">
        <f>R12/'Output-Calculation-sheet'!R11*'Output-Calculation-sheet'!#REF!</f>
        <v>#REF!</v>
      </c>
      <c r="S155" s="2" t="e">
        <f>S12/'Output-Calculation-sheet'!S11*'Output-Calculation-sheet'!#REF!</f>
        <v>#REF!</v>
      </c>
      <c r="T155" s="2" t="e">
        <f>T12/'Output-Calculation-sheet'!T11*'Output-Calculation-sheet'!#REF!</f>
        <v>#REF!</v>
      </c>
      <c r="U155" s="2" t="e">
        <f>U12/'Output-Calculation-sheet'!U11*'Output-Calculation-sheet'!#REF!</f>
        <v>#REF!</v>
      </c>
      <c r="V155" s="2" t="e">
        <f>V12/'Output-Calculation-sheet'!V11*'Output-Calculation-sheet'!#REF!</f>
        <v>#REF!</v>
      </c>
      <c r="W155" s="2" t="e">
        <f>W12/'Output-Calculation-sheet'!W11*'Output-Calculation-sheet'!#REF!</f>
        <v>#REF!</v>
      </c>
      <c r="X155" s="2" t="e">
        <f>X12/'Output-Calculation-sheet'!X11*'Output-Calculation-sheet'!#REF!</f>
        <v>#REF!</v>
      </c>
      <c r="Y155" s="2" t="e">
        <f>Y12/'Output-Calculation-sheet'!Y11*'Output-Calculation-sheet'!#REF!</f>
        <v>#REF!</v>
      </c>
      <c r="AA155" s="2" t="e">
        <f t="shared" si="12"/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2026-02-18T15:34:16Z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