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Industrial Prices\With Nuclear-CC\With Nuclear-LC\SSP2-45\FOAK\"/>
    </mc:Choice>
  </mc:AlternateContent>
  <xr:revisionPtr revIDLastSave="0" documentId="13_ncr:1_{34C62B52-8678-41E7-9FC5-5E38578A8119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<sst xmlns="http://schemas.openxmlformats.org/spreadsheetml/2006/main" count="1079" uniqueCount="55">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</sst>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826.62553360774382</v>
      </c>
      <c r="C19" s="2">
        <f>C8/'Output-Calculation-sheet'!C7*'Output-Calculation-sheet'!C25</f>
        <v>5893.8908311746363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3714.0049093716184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2578.0358450885519</v>
      </c>
      <c r="N19" s="2">
        <f>N8/'Output-Calculation-sheet'!N7*'Output-Calculation-sheet'!N25</f>
        <v>881.50490018373443</v>
      </c>
      <c r="O19" s="2">
        <f>O8/'Output-Calculation-sheet'!O7*'Output-Calculation-sheet'!O25</f>
        <v>961.59917834128419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314.83855610533618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136.10370818254626</v>
      </c>
      <c r="Y19" s="2">
        <f>Y8/'Output-Calculation-sheet'!Y7*'Output-Calculation-sheet'!Y25</f>
        <v>0</v>
      </c>
      <c r="AA19" s="2">
        <f t="shared" si="0"/>
        <v>15.306603462055453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4134.5865510540689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4660.4052702626877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3238.3286647849741</v>
      </c>
      <c r="N20" s="2">
        <f>N9/'Output-Calculation-sheet'!N8*'Output-Calculation-sheet'!N26</f>
        <v>1458.9239709590443</v>
      </c>
      <c r="O20" s="2">
        <f>O9/'Output-Calculation-sheet'!O8*'Output-Calculation-sheet'!O26</f>
        <v>1539.3208791197467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530.29069755082583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173.05182008392586</v>
      </c>
      <c r="Y20" s="2">
        <f>Y9/'Output-Calculation-sheet'!Y8*'Output-Calculation-sheet'!Y26</f>
        <v>0</v>
      </c>
      <c r="AA20" s="2">
        <f t="shared" si="0"/>
        <v>20.018395209888329</v>
      </c>
    </row>
    <row r="21" spans="1:27" x14ac:dyDescent="0.25">
      <c r="A21" s="2">
        <v>2033</v>
      </c>
      <c r="B21" s="2">
        <f>B10/'Output-Calculation-sheet'!B9*'Output-Calculation-sheet'!B27</f>
        <v>9650.2478305982677</v>
      </c>
      <c r="C21" s="2">
        <f>C10/'Output-Calculation-sheet'!C9*'Output-Calculation-sheet'!C27</f>
        <v>4002.3039527476863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5594.8703765224436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3886.7875888699991</v>
      </c>
      <c r="N21" s="2">
        <f>N10/'Output-Calculation-sheet'!N9*'Output-Calculation-sheet'!N27</f>
        <v>2120.3270961343683</v>
      </c>
      <c r="O21" s="2">
        <f>O10/'Output-Calculation-sheet'!O9*'Output-Calculation-sheet'!O27</f>
        <v>1661.3925992312836</v>
      </c>
      <c r="P21" s="2">
        <f>P10/'Output-Calculation-sheet'!P9*'Output-Calculation-sheet'!P27</f>
        <v>0</v>
      </c>
      <c r="Q21" s="2">
        <f>Q10/'Output-Calculation-sheet'!Q9*'Output-Calculation-sheet'!Q27</f>
        <v>144.69732695484609</v>
      </c>
      <c r="R21" s="2">
        <f>R10/'Output-Calculation-sheet'!R9*'Output-Calculation-sheet'!R27</f>
        <v>0</v>
      </c>
      <c r="S21" s="2">
        <f>S10/'Output-Calculation-sheet'!S9*'Output-Calculation-sheet'!S27</f>
        <v>924.31396653325658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246.33577832390381</v>
      </c>
      <c r="Y21" s="2">
        <f>Y10/'Output-Calculation-sheet'!Y9*'Output-Calculation-sheet'!Y27</f>
        <v>0</v>
      </c>
      <c r="AA21" s="2">
        <f t="shared" si="0"/>
        <v>28.231276515916058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3911.7572487178181</v>
      </c>
      <c r="D22" s="2">
        <f>D11/'Output-Calculation-sheet'!D10*'Output-Calculation-sheet'!D28</f>
        <v>0</v>
      </c>
      <c r="E22" s="2">
        <f>E11/'Output-Calculation-sheet'!E10*'Output-Calculation-sheet'!E28</f>
        <v>933.4138971715654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6800.0345603908472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559.6448030358705</v>
      </c>
      <c r="M22" s="2">
        <f>M11/'Output-Calculation-sheet'!M10*'Output-Calculation-sheet'!M28</f>
        <v>4944.4338025874222</v>
      </c>
      <c r="N22" s="2">
        <f>N11/'Output-Calculation-sheet'!N10*'Output-Calculation-sheet'!N28</f>
        <v>2847.941616578491</v>
      </c>
      <c r="O22" s="2">
        <f>O11/'Output-Calculation-sheet'!O10*'Output-Calculation-sheet'!O28</f>
        <v>1809.0913220269908</v>
      </c>
      <c r="P22" s="2">
        <f>P11/'Output-Calculation-sheet'!P10*'Output-Calculation-sheet'!P28</f>
        <v>0</v>
      </c>
      <c r="Q22" s="2">
        <f>Q11/'Output-Calculation-sheet'!Q10*'Output-Calculation-sheet'!Q28</f>
        <v>664.4329964170546</v>
      </c>
      <c r="R22" s="2">
        <f>R11/'Output-Calculation-sheet'!R10*'Output-Calculation-sheet'!R28</f>
        <v>0</v>
      </c>
      <c r="S22" s="2">
        <f>S11/'Output-Calculation-sheet'!S10*'Output-Calculation-sheet'!S28</f>
        <v>1477.6715373301611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50.96388904209978</v>
      </c>
      <c r="AA22" s="2">
        <f t="shared" si="0"/>
        <v>42.58435240015217</v>
      </c>
    </row>
    <row r="23" spans="1:27" x14ac:dyDescent="0.25">
      <c r="A23" s="2">
        <v>2035</v>
      </c>
      <c r="B23" s="2">
        <f>B12/'Output-Calculation-sheet'!B11*'Output-Calculation-sheet'!B29</f>
        <v>22502.136042174829</v>
      </c>
      <c r="C23" s="2">
        <f>C12/'Output-Calculation-sheet'!C11*'Output-Calculation-sheet'!C29</f>
        <v>116.45639570677542</v>
      </c>
      <c r="D23" s="2">
        <f>D12/'Output-Calculation-sheet'!D11*'Output-Calculation-sheet'!D29</f>
        <v>0</v>
      </c>
      <c r="E23" s="2">
        <f>E12/'Output-Calculation-sheet'!E11*'Output-Calculation-sheet'!E29</f>
        <v>3422.2256064251496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6955.3273373227985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770.1733201921578</v>
      </c>
      <c r="M23" s="2">
        <f>M12/'Output-Calculation-sheet'!M11*'Output-Calculation-sheet'!M29</f>
        <v>5066.2944194513357</v>
      </c>
      <c r="N23" s="2">
        <f>N12/'Output-Calculation-sheet'!N11*'Output-Calculation-sheet'!N29</f>
        <v>2941.7556587879417</v>
      </c>
      <c r="O23" s="2">
        <f>O12/'Output-Calculation-sheet'!O11*'Output-Calculation-sheet'!O29</f>
        <v>2027.3517529000248</v>
      </c>
      <c r="P23" s="2">
        <f>P12/'Output-Calculation-sheet'!P11*'Output-Calculation-sheet'!P29</f>
        <v>353.88201522822175</v>
      </c>
      <c r="Q23" s="2">
        <f>Q12/'Output-Calculation-sheet'!Q11*'Output-Calculation-sheet'!Q29</f>
        <v>788.39249692092756</v>
      </c>
      <c r="R23" s="2">
        <f>R12/'Output-Calculation-sheet'!R11*'Output-Calculation-sheet'!R29</f>
        <v>0</v>
      </c>
      <c r="S23" s="2">
        <f>S12/'Output-Calculation-sheet'!S11*'Output-Calculation-sheet'!S29</f>
        <v>1598.0163206154809</v>
      </c>
      <c r="T23" s="2">
        <f>T12/'Output-Calculation-sheet'!T11*'Output-Calculation-sheet'!T29</f>
        <v>0</v>
      </c>
      <c r="U23" s="2">
        <f>U12/'Output-Calculation-sheet'!U11*'Output-Calculation-sheet'!U29</f>
        <v>70.361926885673029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52.201275889485579</v>
      </c>
      <c r="Y23" s="2">
        <f>Y12/'Output-Calculation-sheet'!Y11*'Output-Calculation-sheet'!Y29</f>
        <v>150.33827817874638</v>
      </c>
      <c r="AA23" s="2">
        <f t="shared" si="0"/>
        <v>46.814912846679547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14408.909523897722</v>
      </c>
      <c r="C30" s="2">
        <f>C8/'Output-Calculation-sheet'!C7*'Output-Calculation-sheet'!C16</f>
        <v>0</v>
      </c>
      <c r="D30" s="2">
        <f>D8/'Output-Calculation-sheet'!D7*'Output-Calculation-sheet'!D16</f>
        <v>2426.2517958924118</v>
      </c>
      <c r="E30" s="2">
        <f>E8/'Output-Calculation-sheet'!E7*'Output-Calculation-sheet'!E16</f>
        <v>2610.5132085839623</v>
      </c>
      <c r="F30" s="2">
        <f>F8/'Output-Calculation-sheet'!F7*'Output-Calculation-sheet'!F16</f>
        <v>1317.0393268515988</v>
      </c>
      <c r="G30" s="2">
        <f>G8/'Output-Calculation-sheet'!G7*'Output-Calculation-sheet'!G16</f>
        <v>862.49286164595026</v>
      </c>
      <c r="H30" s="2">
        <f>H8/'Output-Calculation-sheet'!H7*'Output-Calculation-sheet'!H16</f>
        <v>0</v>
      </c>
      <c r="I30" s="2">
        <f>I8/'Output-Calculation-sheet'!I7*'Output-Calculation-sheet'!I16</f>
        <v>840.81167129809876</v>
      </c>
      <c r="J30" s="2">
        <f>J8/'Output-Calculation-sheet'!J7*'Output-Calculation-sheet'!J16</f>
        <v>748.47375697425457</v>
      </c>
      <c r="K30" s="2">
        <f>K8/'Output-Calculation-sheet'!K7*'Output-Calculation-sheet'!K16</f>
        <v>999.35639444116032</v>
      </c>
      <c r="L30" s="2">
        <f>L8/'Output-Calculation-sheet'!L7*'Output-Calculation-sheet'!L16</f>
        <v>844.13185339053598</v>
      </c>
      <c r="M30" s="2">
        <f>M8/'Output-Calculation-sheet'!M7*'Output-Calculation-sheet'!M16</f>
        <v>0</v>
      </c>
      <c r="N30" s="2">
        <f>N8/'Output-Calculation-sheet'!N7*'Output-Calculation-sheet'!N16</f>
        <v>1199.9162564126698</v>
      </c>
      <c r="O30" s="2">
        <f>O8/'Output-Calculation-sheet'!O7*'Output-Calculation-sheet'!O16</f>
        <v>0</v>
      </c>
      <c r="P30" s="2">
        <f>P8/'Output-Calculation-sheet'!P7*'Output-Calculation-sheet'!P16</f>
        <v>1077.6435209385916</v>
      </c>
      <c r="Q30" s="2">
        <f>Q8/'Output-Calculation-sheet'!Q7*'Output-Calculation-sheet'!Q16</f>
        <v>1185.0574779082963</v>
      </c>
      <c r="R30" s="2">
        <f>R8/'Output-Calculation-sheet'!R7*'Output-Calculation-sheet'!R16</f>
        <v>751.92320438647971</v>
      </c>
      <c r="S30" s="2">
        <f>S8/'Output-Calculation-sheet'!S7*'Output-Calculation-sheet'!S16</f>
        <v>756.21536792499603</v>
      </c>
      <c r="T30" s="2">
        <f>T8/'Output-Calculation-sheet'!T7*'Output-Calculation-sheet'!T16</f>
        <v>225.71513425192398</v>
      </c>
      <c r="U30" s="2">
        <f>U8/'Output-Calculation-sheet'!U7*'Output-Calculation-sheet'!U16</f>
        <v>225.31270420207053</v>
      </c>
      <c r="V30" s="2">
        <f>V8/'Output-Calculation-sheet'!V7*'Output-Calculation-sheet'!V16</f>
        <v>175.35583328867563</v>
      </c>
      <c r="W30" s="2">
        <f>W8/'Output-Calculation-sheet'!W7*'Output-Calculation-sheet'!W16</f>
        <v>106.36347135534574</v>
      </c>
      <c r="X30" s="2">
        <f>X8/'Output-Calculation-sheet'!X7*'Output-Calculation-sheet'!X16</f>
        <v>0</v>
      </c>
      <c r="Y30" s="2">
        <f>Y8/'Output-Calculation-sheet'!Y7*'Output-Calculation-sheet'!Y16</f>
        <v>90.022978733271998</v>
      </c>
      <c r="AA30" s="2">
        <f t="shared" si="1"/>
        <v>30.851506342378023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1242.2529629465939</v>
      </c>
      <c r="O31" s="2">
        <f>O9/'Output-Calculation-sheet'!O8*'Output-Calculation-sheet'!O17</f>
        <v>0</v>
      </c>
      <c r="P31" s="2">
        <f>P9/'Output-Calculation-sheet'!P8*'Output-Calculation-sheet'!P17</f>
        <v>1537.9558812868222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923.75502059613882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39.497741465496837</v>
      </c>
    </row>
    <row r="32" spans="1:27" x14ac:dyDescent="0.25">
      <c r="A32" s="2">
        <v>2033</v>
      </c>
      <c r="B32" s="2">
        <f>B10/'Output-Calculation-sheet'!B9*'Output-Calculation-sheet'!B18</f>
        <v>19649.266627798555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1871.5004106840724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1203.6321453491212</v>
      </c>
      <c r="O32" s="2">
        <f>O10/'Output-Calculation-sheet'!O9*'Output-Calculation-sheet'!O18</f>
        <v>0</v>
      </c>
      <c r="P32" s="2">
        <f>P10/'Output-Calculation-sheet'!P9*'Output-Calculation-sheet'!P18</f>
        <v>1926.1929974487286</v>
      </c>
      <c r="Q32" s="2">
        <f>Q10/'Output-Calculation-sheet'!Q9*'Output-Calculation-sheet'!Q18</f>
        <v>2097.6942801021742</v>
      </c>
      <c r="R32" s="2">
        <f>R10/'Output-Calculation-sheet'!R9*'Output-Calculation-sheet'!R18</f>
        <v>1383.199323094768</v>
      </c>
      <c r="S32" s="2">
        <f>S10/'Output-Calculation-sheet'!S9*'Output-Calculation-sheet'!S18</f>
        <v>905.83955388249183</v>
      </c>
      <c r="T32" s="2">
        <f>T10/'Output-Calculation-sheet'!T9*'Output-Calculation-sheet'!T18</f>
        <v>403.85010848255348</v>
      </c>
      <c r="U32" s="2">
        <f>U10/'Output-Calculation-sheet'!U9*'Output-Calculation-sheet'!U18</f>
        <v>446.45666325865898</v>
      </c>
      <c r="V32" s="2">
        <f>V10/'Output-Calculation-sheet'!V9*'Output-Calculation-sheet'!V18</f>
        <v>329.53061130488476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190.78138147028659</v>
      </c>
      <c r="AA32" s="2">
        <f t="shared" si="1"/>
        <v>47.198474118033495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5540.9145107097556</v>
      </c>
      <c r="E33" s="2">
        <f>E11/'Output-Calculation-sheet'!E10*'Output-Calculation-sheet'!E19</f>
        <v>6861.5171760680669</v>
      </c>
      <c r="F33" s="2">
        <f>F11/'Output-Calculation-sheet'!F10*'Output-Calculation-sheet'!F19</f>
        <v>3144.9891246382617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2058.2562686670053</v>
      </c>
      <c r="J33" s="2">
        <f>J11/'Output-Calculation-sheet'!J10*'Output-Calculation-sheet'!J19</f>
        <v>1740.2142376898605</v>
      </c>
      <c r="K33" s="2">
        <f>K11/'Output-Calculation-sheet'!K10*'Output-Calculation-sheet'!K19</f>
        <v>2413.7901470153379</v>
      </c>
      <c r="L33" s="2">
        <f>L11/'Output-Calculation-sheet'!L10*'Output-Calculation-sheet'!L19</f>
        <v>1963.7713724838234</v>
      </c>
      <c r="M33" s="2">
        <f>M11/'Output-Calculation-sheet'!M10*'Output-Calculation-sheet'!M19</f>
        <v>0</v>
      </c>
      <c r="N33" s="2">
        <f>N11/'Output-Calculation-sheet'!N10*'Output-Calculation-sheet'!N19</f>
        <v>1116.635738796755</v>
      </c>
      <c r="O33" s="2">
        <f>O11/'Output-Calculation-sheet'!O10*'Output-Calculation-sheet'!O19</f>
        <v>0</v>
      </c>
      <c r="P33" s="2">
        <f>P11/'Output-Calculation-sheet'!P10*'Output-Calculation-sheet'!P19</f>
        <v>2441.6899973144364</v>
      </c>
      <c r="Q33" s="2">
        <f>Q11/'Output-Calculation-sheet'!Q10*'Output-Calculation-sheet'!Q19</f>
        <v>1995.0239192892066</v>
      </c>
      <c r="R33" s="2">
        <f>R11/'Output-Calculation-sheet'!R10*'Output-Calculation-sheet'!R19</f>
        <v>1743.6210862033174</v>
      </c>
      <c r="S33" s="2">
        <f>S11/'Output-Calculation-sheet'!S10*'Output-Calculation-sheet'!S19</f>
        <v>812.26233100329478</v>
      </c>
      <c r="T33" s="2">
        <f>T11/'Output-Calculation-sheet'!T10*'Output-Calculation-sheet'!T19</f>
        <v>511.61247911049071</v>
      </c>
      <c r="U33" s="2">
        <f>U11/'Output-Calculation-sheet'!U10*'Output-Calculation-sheet'!U19</f>
        <v>588.45770092393821</v>
      </c>
      <c r="V33" s="2">
        <f>V11/'Output-Calculation-sheet'!V10*'Output-Calculation-sheet'!V19</f>
        <v>401.29501631038971</v>
      </c>
      <c r="W33" s="2">
        <f>W11/'Output-Calculation-sheet'!W10*'Output-Calculation-sheet'!W19</f>
        <v>249.84104441690553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54.269227290680661</v>
      </c>
    </row>
    <row r="34" spans="1:27" x14ac:dyDescent="0.25">
      <c r="A34" s="2">
        <v>2035</v>
      </c>
      <c r="B34" s="2">
        <f>B12/'Output-Calculation-sheet'!B11*'Output-Calculation-sheet'!B20</f>
        <v>17720.474136758694</v>
      </c>
      <c r="C34" s="2">
        <f>C12/'Output-Calculation-sheet'!C11*'Output-Calculation-sheet'!C20</f>
        <v>0</v>
      </c>
      <c r="D34" s="2">
        <f>D12/'Output-Calculation-sheet'!D11*'Output-Calculation-sheet'!D20</f>
        <v>5549.2730235353665</v>
      </c>
      <c r="E34" s="2">
        <f>E12/'Output-Calculation-sheet'!E11*'Output-Calculation-sheet'!E20</f>
        <v>6114.1742350391696</v>
      </c>
      <c r="F34" s="2">
        <f>F12/'Output-Calculation-sheet'!F11*'Output-Calculation-sheet'!F20</f>
        <v>3784.2097495389667</v>
      </c>
      <c r="G34" s="2">
        <f>G12/'Output-Calculation-sheet'!G11*'Output-Calculation-sheet'!G20</f>
        <v>2043.8982312292844</v>
      </c>
      <c r="H34" s="2">
        <f>H12/'Output-Calculation-sheet'!H11*'Output-Calculation-sheet'!H20</f>
        <v>0</v>
      </c>
      <c r="I34" s="2">
        <f>I12/'Output-Calculation-sheet'!I11*'Output-Calculation-sheet'!I20</f>
        <v>2226.2133985887876</v>
      </c>
      <c r="J34" s="2">
        <f>J12/'Output-Calculation-sheet'!J11*'Output-Calculation-sheet'!J20</f>
        <v>1907.7173207713408</v>
      </c>
      <c r="K34" s="2">
        <f>K12/'Output-Calculation-sheet'!K11*'Output-Calculation-sheet'!K20</f>
        <v>2507.5022167720117</v>
      </c>
      <c r="L34" s="2">
        <f>L12/'Output-Calculation-sheet'!L11*'Output-Calculation-sheet'!L20</f>
        <v>1985.3606670818258</v>
      </c>
      <c r="M34" s="2">
        <f>M12/'Output-Calculation-sheet'!M11*'Output-Calculation-sheet'!M20</f>
        <v>0</v>
      </c>
      <c r="N34" s="2">
        <f>N12/'Output-Calculation-sheet'!N11*'Output-Calculation-sheet'!N20</f>
        <v>1106.4582599800683</v>
      </c>
      <c r="O34" s="2">
        <f>O12/'Output-Calculation-sheet'!O11*'Output-Calculation-sheet'!O20</f>
        <v>0</v>
      </c>
      <c r="P34" s="2">
        <f>P12/'Output-Calculation-sheet'!P11*'Output-Calculation-sheet'!P20</f>
        <v>2475.9445306926682</v>
      </c>
      <c r="Q34" s="2">
        <f>Q12/'Output-Calculation-sheet'!Q11*'Output-Calculation-sheet'!Q20</f>
        <v>1951.2180242670563</v>
      </c>
      <c r="R34" s="2">
        <f>R12/'Output-Calculation-sheet'!R11*'Output-Calculation-sheet'!R20</f>
        <v>1968.9950034241319</v>
      </c>
      <c r="S34" s="2">
        <f>S12/'Output-Calculation-sheet'!S11*'Output-Calculation-sheet'!S20</f>
        <v>760.50468237224618</v>
      </c>
      <c r="T34" s="2">
        <f>T12/'Output-Calculation-sheet'!T11*'Output-Calculation-sheet'!T20</f>
        <v>614.52683337125018</v>
      </c>
      <c r="U34" s="2">
        <f>U12/'Output-Calculation-sheet'!U11*'Output-Calculation-sheet'!U20</f>
        <v>562.55422212497649</v>
      </c>
      <c r="V34" s="2">
        <f>V12/'Output-Calculation-sheet'!V11*'Output-Calculation-sheet'!V20</f>
        <v>515.40206849644721</v>
      </c>
      <c r="W34" s="2">
        <f>W12/'Output-Calculation-sheet'!W11*'Output-Calculation-sheet'!W20</f>
        <v>333.31612976348237</v>
      </c>
      <c r="X34" s="2">
        <f>X12/'Output-Calculation-sheet'!X11*'Output-Calculation-sheet'!X20</f>
        <v>0.7867383158625354</v>
      </c>
      <c r="Y34" s="2">
        <f>Y12/'Output-Calculation-sheet'!Y11*'Output-Calculation-sheet'!Y20</f>
        <v>185.84206723121582</v>
      </c>
      <c r="AA34" s="2">
        <f t="shared" si="1"/>
        <v>54.314371539354859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3.0517142587362291E-2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3.0517142587362291E-2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0.32139078079092159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0.32139078079092159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0.40471467692223462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0.40471467692223462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3.6269662064313909E-2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8.3190190821534095E-3</v>
      </c>
      <c r="N44" s="2">
        <f>N11/'Output-Calculation-sheet'!N10*'Output-Calculation-sheet'!N37*0.0114</f>
        <v>8.1762466213650721E-3</v>
      </c>
      <c r="O44" s="2">
        <f>O11/'Output-Calculation-sheet'!O10*'Output-Calculation-sheet'!O37*0.0114</f>
        <v>0.47305569029012184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2.1490931621516333E-2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4.6869068212929878E-3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0.55199845650076362</v>
      </c>
    </row>
    <row r="45" spans="1:27" x14ac:dyDescent="0.25">
      <c r="A45" s="2">
        <v>2035</v>
      </c>
      <c r="B45" s="2">
        <f>B12/'Output-Calculation-sheet'!B11*'Output-Calculation-sheet'!B38*0.0114</f>
        <v>0.41368503202375034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0.13822598478209483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0.16923458714049738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3.3322607326844153E-2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3.5085063932277644E-2</v>
      </c>
      <c r="M45" s="2">
        <f>M12/'Output-Calculation-sheet'!M11*'Output-Calculation-sheet'!M38*0.0114</f>
        <v>9.9814170670252708E-2</v>
      </c>
      <c r="N45" s="2">
        <f>N12/'Output-Calculation-sheet'!N11*'Output-Calculation-sheet'!N38*0.0114</f>
        <v>7.3575856809048101E-2</v>
      </c>
      <c r="O45" s="2">
        <f>O12/'Output-Calculation-sheet'!O11*'Output-Calculation-sheet'!O38*0.0114</f>
        <v>0.5187622082168325</v>
      </c>
      <c r="P45" s="2">
        <f>P12/'Output-Calculation-sheet'!P11*'Output-Calculation-sheet'!P38*0.0114</f>
        <v>4.5314112011880757E-2</v>
      </c>
      <c r="Q45" s="2">
        <f>Q12/'Output-Calculation-sheet'!Q11*'Output-Calculation-sheet'!Q38*0.0114</f>
        <v>6.4463715479827197E-2</v>
      </c>
      <c r="R45" s="2">
        <f>R12/'Output-Calculation-sheet'!R11*'Output-Calculation-sheet'!R38*0.0114</f>
        <v>2.8412410527039751E-2</v>
      </c>
      <c r="S45" s="2">
        <f>S12/'Output-Calculation-sheet'!S11*'Output-Calculation-sheet'!S38*0.0114</f>
        <v>3.2803727511756628E-2</v>
      </c>
      <c r="T45" s="2">
        <f>T12/'Output-Calculation-sheet'!T11*'Output-Calculation-sheet'!T38*0.0114</f>
        <v>7.8836411812310755E-3</v>
      </c>
      <c r="U45" s="2">
        <f>U12/'Output-Calculation-sheet'!U11*'Output-Calculation-sheet'!U38*0.0114</f>
        <v>1.1426556253371481E-2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5.2833938978089608E-3</v>
      </c>
      <c r="AA45" s="2">
        <f t="shared" si="2"/>
        <v>2.0650788213772668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2277.0354001589976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5244.8709792209229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3587.0913567768207</v>
      </c>
      <c r="N52" s="2">
        <f>N8/'Output-Calculation-sheet'!N7*'Output-Calculation-sheet'!N43</f>
        <v>113.31033210922648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24.254261363498777</v>
      </c>
      <c r="Y52" s="2">
        <f>Y8/'Output-Calculation-sheet'!Y7*'Output-Calculation-sheet'!Y43</f>
        <v>0</v>
      </c>
      <c r="AA52" s="2">
        <f t="shared" si="3"/>
        <v>11.246562329629468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359.3369779629823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9314.0013322886152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6378.9328972722242</v>
      </c>
      <c r="N53" s="2">
        <f>N9/'Output-Calculation-sheet'!N8*'Output-Calculation-sheet'!N44</f>
        <v>2261.4928116084884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705.90908534442462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194.69617363517813</v>
      </c>
      <c r="Y53" s="2">
        <f>Y9/'Output-Calculation-sheet'!Y8*'Output-Calculation-sheet'!Y44</f>
        <v>0</v>
      </c>
      <c r="AA53" s="2">
        <f t="shared" si="3"/>
        <v>19.314710417039414</v>
      </c>
    </row>
    <row r="54" spans="1:27" x14ac:dyDescent="0.25">
      <c r="A54" s="2">
        <v>2033</v>
      </c>
      <c r="B54" s="2">
        <f>B10/'Output-Calculation-sheet'!B9*'Output-Calculation-sheet'!B45</f>
        <v>18495.540115991298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13483.740677795129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9242.3395954736607</v>
      </c>
      <c r="N54" s="2">
        <f>N10/'Output-Calculation-sheet'!N9*'Output-Calculation-sheet'!N45</f>
        <v>5157.3713947607675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541.48295596367552</v>
      </c>
      <c r="R54" s="2">
        <f>R10/'Output-Calculation-sheet'!R9*'Output-Calculation-sheet'!R45</f>
        <v>918.0465769191743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518.76946645524083</v>
      </c>
      <c r="Y54" s="2">
        <f>Y10/'Output-Calculation-sheet'!Y9*'Output-Calculation-sheet'!Y45</f>
        <v>11.442799046017123</v>
      </c>
      <c r="AA54" s="2">
        <f t="shared" si="3"/>
        <v>55.788493871465782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15783.666096584324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2286.8152847890383</v>
      </c>
      <c r="L55" s="2">
        <f>L11/'Output-Calculation-sheet'!L10*'Output-Calculation-sheet'!L46</f>
        <v>844.93039521026776</v>
      </c>
      <c r="M55" s="2">
        <f>M11/'Output-Calculation-sheet'!M10*'Output-Calculation-sheet'!M46</f>
        <v>11081.079365131536</v>
      </c>
      <c r="N55" s="2">
        <f>N11/'Output-Calculation-sheet'!N10*'Output-Calculation-sheet'!N46</f>
        <v>8170.5089044377983</v>
      </c>
      <c r="O55" s="2">
        <f>O11/'Output-Calculation-sheet'!O10*'Output-Calculation-sheet'!O46</f>
        <v>182.04746428821892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1848.7228313012004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4142.5678185393108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127.40954661739696</v>
      </c>
    </row>
    <row r="56" spans="1:27" x14ac:dyDescent="0.25">
      <c r="A56" s="2">
        <v>2035</v>
      </c>
      <c r="B56" s="2">
        <f>B12/'Output-Calculation-sheet'!B11*'Output-Calculation-sheet'!B47</f>
        <v>67256.477048492889</v>
      </c>
      <c r="C56" s="2">
        <f>C12/'Output-Calculation-sheet'!C11*'Output-Calculation-sheet'!C47</f>
        <v>230.79089305353625</v>
      </c>
      <c r="D56" s="2">
        <f>D12/'Output-Calculation-sheet'!D11*'Output-Calculation-sheet'!D47</f>
        <v>5413.1062444163808</v>
      </c>
      <c r="E56" s="2">
        <f>E12/'Output-Calculation-sheet'!E11*'Output-Calculation-sheet'!E47</f>
        <v>14952.65652923503</v>
      </c>
      <c r="F56" s="2">
        <f>F12/'Output-Calculation-sheet'!F11*'Output-Calculation-sheet'!F47</f>
        <v>1766.1457398659359</v>
      </c>
      <c r="G56" s="2">
        <f>G12/'Output-Calculation-sheet'!G11*'Output-Calculation-sheet'!G47</f>
        <v>4242.6328591896126</v>
      </c>
      <c r="H56" s="2">
        <f>H12/'Output-Calculation-sheet'!H11*'Output-Calculation-sheet'!H47</f>
        <v>16052.897335338283</v>
      </c>
      <c r="I56" s="2">
        <f>I12/'Output-Calculation-sheet'!I11*'Output-Calculation-sheet'!I47</f>
        <v>2110.803447942757</v>
      </c>
      <c r="J56" s="2">
        <f>J12/'Output-Calculation-sheet'!J11*'Output-Calculation-sheet'!J47</f>
        <v>1937.9726892717256</v>
      </c>
      <c r="K56" s="2">
        <f>K12/'Output-Calculation-sheet'!K11*'Output-Calculation-sheet'!K47</f>
        <v>2758.6932875063117</v>
      </c>
      <c r="L56" s="2">
        <f>L12/'Output-Calculation-sheet'!L11*'Output-Calculation-sheet'!L47</f>
        <v>1514.1974960246141</v>
      </c>
      <c r="M56" s="2">
        <f>M12/'Output-Calculation-sheet'!M11*'Output-Calculation-sheet'!M47</f>
        <v>11151.752810848995</v>
      </c>
      <c r="N56" s="2">
        <f>N12/'Output-Calculation-sheet'!N11*'Output-Calculation-sheet'!N47</f>
        <v>8400.2688758400527</v>
      </c>
      <c r="O56" s="2">
        <f>O12/'Output-Calculation-sheet'!O11*'Output-Calculation-sheet'!O47</f>
        <v>826.45940034544378</v>
      </c>
      <c r="P56" s="2">
        <f>P12/'Output-Calculation-sheet'!P11*'Output-Calculation-sheet'!P47</f>
        <v>4426.7382523887018</v>
      </c>
      <c r="Q56" s="2">
        <f>Q12/'Output-Calculation-sheet'!Q11*'Output-Calculation-sheet'!Q47</f>
        <v>2125.5433671369924</v>
      </c>
      <c r="R56" s="2">
        <f>R12/'Output-Calculation-sheet'!R11*'Output-Calculation-sheet'!R47</f>
        <v>3265.5579730748977</v>
      </c>
      <c r="S56" s="2">
        <f>S12/'Output-Calculation-sheet'!S11*'Output-Calculation-sheet'!S47</f>
        <v>4341.3554668128036</v>
      </c>
      <c r="T56" s="2">
        <f>T12/'Output-Calculation-sheet'!T11*'Output-Calculation-sheet'!T47</f>
        <v>1136.6735282061529</v>
      </c>
      <c r="U56" s="2">
        <f>U12/'Output-Calculation-sheet'!U11*'Output-Calculation-sheet'!U47</f>
        <v>1098.3526616179358</v>
      </c>
      <c r="V56" s="2">
        <f>V12/'Output-Calculation-sheet'!V11*'Output-Calculation-sheet'!V47</f>
        <v>767.00968841230213</v>
      </c>
      <c r="W56" s="2">
        <f>W12/'Output-Calculation-sheet'!W11*'Output-Calculation-sheet'!W47</f>
        <v>443.45455322950784</v>
      </c>
      <c r="X56" s="2">
        <f>X12/'Output-Calculation-sheet'!X11*'Output-Calculation-sheet'!X47</f>
        <v>89.407538795243866</v>
      </c>
      <c r="Y56" s="2">
        <f>Y12/'Output-Calculation-sheet'!Y11*'Output-Calculation-sheet'!Y47</f>
        <v>589.28380184772743</v>
      </c>
      <c r="AA56" s="2">
        <f t="shared" si="3"/>
        <v>156.89823148889383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5.4777667608142586</v>
      </c>
      <c r="C63" s="2">
        <f>C8*'Output-Calculation-sheet'!C52/10^9</f>
        <v>2.9773019546758648</v>
      </c>
      <c r="D63" s="2">
        <f>D8*'Output-Calculation-sheet'!D52/10^9</f>
        <v>1.2825678705813166</v>
      </c>
      <c r="E63" s="2">
        <f>E8*'Output-Calculation-sheet'!E52/10^9</f>
        <v>1.4673141784483725</v>
      </c>
      <c r="F63" s="2">
        <f>F8*'Output-Calculation-sheet'!F52/10^9</f>
        <v>0.68587511489389208</v>
      </c>
      <c r="G63" s="2">
        <f>G8*'Output-Calculation-sheet'!G52/10^9</f>
        <v>0.52316199904137684</v>
      </c>
      <c r="H63" s="2">
        <f>H8*'Output-Calculation-sheet'!H52/10^9</f>
        <v>0.78197113259601847</v>
      </c>
      <c r="I63" s="2">
        <f>I8*'Output-Calculation-sheet'!I52/10^9</f>
        <v>0.41326321439767599</v>
      </c>
      <c r="J63" s="2">
        <f>J8*'Output-Calculation-sheet'!J52/10^9</f>
        <v>0.58421690302303253</v>
      </c>
      <c r="K63" s="2">
        <f>K8*'Output-Calculation-sheet'!K52/10^9</f>
        <v>0.38350971085185359</v>
      </c>
      <c r="L63" s="2">
        <f>L8*'Output-Calculation-sheet'!L52/10^9</f>
        <v>0.45405978321705359</v>
      </c>
      <c r="M63" s="2">
        <f>M8*'Output-Calculation-sheet'!M52/10^9</f>
        <v>0.57254074155914925</v>
      </c>
      <c r="N63" s="2">
        <f>N8*'Output-Calculation-sheet'!N52/10^9</f>
        <v>0.45654155478225772</v>
      </c>
      <c r="O63" s="2">
        <f>O8*'Output-Calculation-sheet'!O52/10^9</f>
        <v>0.54090915504665127</v>
      </c>
      <c r="P63" s="2">
        <f>P8*'Output-Calculation-sheet'!P52/10^9</f>
        <v>0.39003598297832442</v>
      </c>
      <c r="Q63" s="2">
        <f>Q8*'Output-Calculation-sheet'!Q52/10^9</f>
        <v>0.36381872107720359</v>
      </c>
      <c r="R63" s="2">
        <f>R8*'Output-Calculation-sheet'!R52/10^9</f>
        <v>0.32953480502010857</v>
      </c>
      <c r="S63" s="2">
        <f>S8*'Output-Calculation-sheet'!S52/10^9</f>
        <v>0.27959802518545873</v>
      </c>
      <c r="T63" s="2">
        <f>T8*'Output-Calculation-sheet'!T52/10^9</f>
        <v>0.13384406485106612</v>
      </c>
      <c r="U63" s="2">
        <f>U8*'Output-Calculation-sheet'!U52/10^9</f>
        <v>0.10437825183748214</v>
      </c>
      <c r="V63" s="2">
        <f>V8*'Output-Calculation-sheet'!V52/10^9</f>
        <v>0.17281924938361878</v>
      </c>
      <c r="W63" s="2">
        <f>W8*'Output-Calculation-sheet'!W52/10^9</f>
        <v>7.2522810009737079E-2</v>
      </c>
      <c r="X63" s="2">
        <f>X8*'Output-Calculation-sheet'!X52/10^9</f>
        <v>7.6308993921705884E-2</v>
      </c>
      <c r="Y63" s="2">
        <f>Y8*'Output-Calculation-sheet'!Y52/10^9</f>
        <v>4.187922688005425E-2</v>
      </c>
      <c r="AA63" s="2">
        <f t="shared" si="4"/>
        <v>18.565740205073535</v>
      </c>
    </row>
    <row r="64" spans="1:27" x14ac:dyDescent="0.25">
      <c r="A64" s="2">
        <v>2032</v>
      </c>
      <c r="B64" s="2">
        <f>B9*'Output-Calculation-sheet'!B53/10^9</f>
        <v>5.2699263977708615</v>
      </c>
      <c r="C64" s="2">
        <f>C9*'Output-Calculation-sheet'!C53/10^9</f>
        <v>3.1127987749822252</v>
      </c>
      <c r="D64" s="2">
        <f>D9*'Output-Calculation-sheet'!D53/10^9</f>
        <v>1.1066143576981722</v>
      </c>
      <c r="E64" s="2">
        <f>E9*'Output-Calculation-sheet'!E53/10^9</f>
        <v>1.2921016781199168</v>
      </c>
      <c r="F64" s="2">
        <f>F9*'Output-Calculation-sheet'!F53/10^9</f>
        <v>0.59292365693801141</v>
      </c>
      <c r="G64" s="2">
        <f>G9*'Output-Calculation-sheet'!G53/10^9</f>
        <v>0.44395671802729836</v>
      </c>
      <c r="H64" s="2">
        <f>H9*'Output-Calculation-sheet'!H53/10^9</f>
        <v>0.82679890191084771</v>
      </c>
      <c r="I64" s="2">
        <f>I9*'Output-Calculation-sheet'!I53/10^9</f>
        <v>0.36001844556896667</v>
      </c>
      <c r="J64" s="2">
        <f>J9*'Output-Calculation-sheet'!J53/10^9</f>
        <v>0.48322154362472286</v>
      </c>
      <c r="K64" s="2">
        <f>K9*'Output-Calculation-sheet'!K53/10^9</f>
        <v>0.35672560424450239</v>
      </c>
      <c r="L64" s="2">
        <f>L9*'Output-Calculation-sheet'!L53/10^9</f>
        <v>0.40048551993147058</v>
      </c>
      <c r="M64" s="2">
        <f>M9*'Output-Calculation-sheet'!M53/10^9</f>
        <v>0.59621869926599103</v>
      </c>
      <c r="N64" s="2">
        <f>N9*'Output-Calculation-sheet'!N53/10^9</f>
        <v>0.48731526552631421</v>
      </c>
      <c r="O64" s="2">
        <f>O9*'Output-Calculation-sheet'!O53/10^9</f>
        <v>0.57566648549887833</v>
      </c>
      <c r="P64" s="2">
        <f>P9*'Output-Calculation-sheet'!P53/10^9</f>
        <v>0.38064590261856435</v>
      </c>
      <c r="Q64" s="2">
        <f>Q9*'Output-Calculation-sheet'!Q53/10^9</f>
        <v>0.36105305139433574</v>
      </c>
      <c r="R64" s="2">
        <f>R9*'Output-Calculation-sheet'!R53/10^9</f>
        <v>0.30715478215877395</v>
      </c>
      <c r="S64" s="2">
        <f>S9*'Output-Calculation-sheet'!S53/10^9</f>
        <v>0.28876731912547499</v>
      </c>
      <c r="T64" s="2">
        <f>T9*'Output-Calculation-sheet'!T53/10^9</f>
        <v>0.11482028372833342</v>
      </c>
      <c r="U64" s="2">
        <f>U9*'Output-Calculation-sheet'!U53/10^9</f>
        <v>9.7826271432237336E-2</v>
      </c>
      <c r="V64" s="2">
        <f>V9*'Output-Calculation-sheet'!V53/10^9</f>
        <v>0.14257831047462929</v>
      </c>
      <c r="W64" s="2">
        <f>W9*'Output-Calculation-sheet'!W53/10^9</f>
        <v>6.0771623331929071E-2</v>
      </c>
      <c r="X64" s="2">
        <f>X9*'Output-Calculation-sheet'!X53/10^9</f>
        <v>7.7599466715968957E-2</v>
      </c>
      <c r="Y64" s="2">
        <f>Y9*'Output-Calculation-sheet'!Y53/10^9</f>
        <v>3.8654154044175958E-2</v>
      </c>
      <c r="AA64" s="2">
        <f t="shared" si="4"/>
        <v>17.774643214132606</v>
      </c>
    </row>
    <row r="65" spans="1:27" x14ac:dyDescent="0.25">
      <c r="A65" s="2">
        <v>2033</v>
      </c>
      <c r="B65" s="2">
        <f>B10*'Output-Calculation-sheet'!B54/10^9</f>
        <v>5.2644118508134961</v>
      </c>
      <c r="C65" s="2">
        <f>C10*'Output-Calculation-sheet'!C54/10^9</f>
        <v>3.252491988629187</v>
      </c>
      <c r="D65" s="2">
        <f>D10*'Output-Calculation-sheet'!D54/10^9</f>
        <v>0.93837114929732413</v>
      </c>
      <c r="E65" s="2">
        <f>E10*'Output-Calculation-sheet'!E54/10^9</f>
        <v>1.1950280807347651</v>
      </c>
      <c r="F65" s="2">
        <f>F10*'Output-Calculation-sheet'!F54/10^9</f>
        <v>0.51351329189939643</v>
      </c>
      <c r="G65" s="2">
        <f>G10*'Output-Calculation-sheet'!G54/10^9</f>
        <v>0.3655965928051389</v>
      </c>
      <c r="H65" s="2">
        <f>H10*'Output-Calculation-sheet'!H54/10^9</f>
        <v>0.85906680294901749</v>
      </c>
      <c r="I65" s="2">
        <f>I10*'Output-Calculation-sheet'!I54/10^9</f>
        <v>0.32055190208103179</v>
      </c>
      <c r="J65" s="2">
        <f>J10*'Output-Calculation-sheet'!J54/10^9</f>
        <v>0.37926332857868983</v>
      </c>
      <c r="K65" s="2">
        <f>K10*'Output-Calculation-sheet'!K54/10^9</f>
        <v>0.3549162614028003</v>
      </c>
      <c r="L65" s="2">
        <f>L10*'Output-Calculation-sheet'!L54/10^9</f>
        <v>0.36601471376469419</v>
      </c>
      <c r="M65" s="2">
        <f>M10*'Output-Calculation-sheet'!M54/10^9</f>
        <v>0.61082573029796716</v>
      </c>
      <c r="N65" s="2">
        <f>N10*'Output-Calculation-sheet'!N54/10^9</f>
        <v>0.5204973297644877</v>
      </c>
      <c r="O65" s="2">
        <f>O10*'Output-Calculation-sheet'!O54/10^9</f>
        <v>0.60563012767013324</v>
      </c>
      <c r="P65" s="2">
        <f>P10*'Output-Calculation-sheet'!P54/10^9</f>
        <v>0.38395089661062726</v>
      </c>
      <c r="Q65" s="2">
        <f>Q10*'Output-Calculation-sheet'!Q54/10^9</f>
        <v>0.37890839083369127</v>
      </c>
      <c r="R65" s="2">
        <f>R10*'Output-Calculation-sheet'!R54/10^9</f>
        <v>0.30035928568940223</v>
      </c>
      <c r="S65" s="2">
        <f>S10*'Output-Calculation-sheet'!S54/10^9</f>
        <v>0.30146466997794907</v>
      </c>
      <c r="T65" s="2">
        <f>T10*'Output-Calculation-sheet'!T54/10^9</f>
        <v>0.10171501523212167</v>
      </c>
      <c r="U65" s="2">
        <f>U10*'Output-Calculation-sheet'!U54/10^9</f>
        <v>9.7689968982732717E-2</v>
      </c>
      <c r="V65" s="2">
        <f>V10*'Output-Calculation-sheet'!V54/10^9</f>
        <v>0.11510645663600061</v>
      </c>
      <c r="W65" s="2">
        <f>W10*'Output-Calculation-sheet'!W54/10^9</f>
        <v>4.9192338304657718E-2</v>
      </c>
      <c r="X65" s="2">
        <f>X10*'Output-Calculation-sheet'!X54/10^9</f>
        <v>7.8459852267827979E-2</v>
      </c>
      <c r="Y65" s="2">
        <f>Y10*'Output-Calculation-sheet'!Y54/10^9</f>
        <v>3.8161494445762674E-2</v>
      </c>
      <c r="AA65" s="2">
        <f t="shared" si="4"/>
        <v>17.3911875196689</v>
      </c>
    </row>
    <row r="66" spans="1:27" x14ac:dyDescent="0.25">
      <c r="A66" s="2">
        <v>2034</v>
      </c>
      <c r="B66" s="2">
        <f>B11*'Output-Calculation-sheet'!B55/10^9</f>
        <v>5.4310912011300081</v>
      </c>
      <c r="C66" s="2">
        <f>C11*'Output-Calculation-sheet'!C55/10^9</f>
        <v>3.4054648265290508</v>
      </c>
      <c r="D66" s="2">
        <f>D11*'Output-Calculation-sheet'!D55/10^9</f>
        <v>0.98256058445463312</v>
      </c>
      <c r="E66" s="2">
        <f>E11*'Output-Calculation-sheet'!E55/10^9</f>
        <v>1.2726079011487672</v>
      </c>
      <c r="F66" s="2">
        <f>F11*'Output-Calculation-sheet'!F55/10^9</f>
        <v>0.50087259299419862</v>
      </c>
      <c r="G66" s="2">
        <f>G11*'Output-Calculation-sheet'!G55/10^9</f>
        <v>0.36536710434028558</v>
      </c>
      <c r="H66" s="2">
        <f>H11*'Output-Calculation-sheet'!H55/10^9</f>
        <v>0.91172257406150881</v>
      </c>
      <c r="I66" s="2">
        <f>I11*'Output-Calculation-sheet'!I55/10^9</f>
        <v>0.33964669120626062</v>
      </c>
      <c r="J66" s="2">
        <f>J11*'Output-Calculation-sheet'!J55/10^9</f>
        <v>0.34196044131942732</v>
      </c>
      <c r="K66" s="2">
        <f>K11*'Output-Calculation-sheet'!K55/10^9</f>
        <v>0.38937752483902943</v>
      </c>
      <c r="L66" s="2">
        <f>L11*'Output-Calculation-sheet'!L55/10^9</f>
        <v>0.37748840119117011</v>
      </c>
      <c r="M66" s="2">
        <f>M11*'Output-Calculation-sheet'!M55/10^9</f>
        <v>0.64036950580628216</v>
      </c>
      <c r="N66" s="2">
        <f>N11*'Output-Calculation-sheet'!N55/10^9</f>
        <v>0.55685141335711141</v>
      </c>
      <c r="O66" s="2">
        <f>O11*'Output-Calculation-sheet'!O55/10^9</f>
        <v>0.63517443547778896</v>
      </c>
      <c r="P66" s="2">
        <f>P11*'Output-Calculation-sheet'!P55/10^9</f>
        <v>0.40729213937973785</v>
      </c>
      <c r="Q66" s="2">
        <f>Q11*'Output-Calculation-sheet'!Q55/10^9</f>
        <v>0.41893533330949823</v>
      </c>
      <c r="R66" s="2">
        <f>R11*'Output-Calculation-sheet'!R55/10^9</f>
        <v>0.30995469934572717</v>
      </c>
      <c r="S66" s="2">
        <f>S11*'Output-Calculation-sheet'!S55/10^9</f>
        <v>0.32175861241187959</v>
      </c>
      <c r="T66" s="2">
        <f>T11*'Output-Calculation-sheet'!T55/10^9</f>
        <v>9.711957133004448E-2</v>
      </c>
      <c r="U66" s="2">
        <f>U11*'Output-Calculation-sheet'!U55/10^9</f>
        <v>0.10570029909972818</v>
      </c>
      <c r="V66" s="2">
        <f>V11*'Output-Calculation-sheet'!V55/10^9</f>
        <v>9.1784412903157475E-2</v>
      </c>
      <c r="W66" s="2">
        <f>W11*'Output-Calculation-sheet'!W55/10^9</f>
        <v>4.4966298790488184E-2</v>
      </c>
      <c r="X66" s="2">
        <f>X11*'Output-Calculation-sheet'!X55/10^9</f>
        <v>7.9426816656759963E-2</v>
      </c>
      <c r="Y66" s="2">
        <f>Y11*'Output-Calculation-sheet'!Y55/10^9</f>
        <v>4.3144718201342379E-2</v>
      </c>
      <c r="AA66" s="2">
        <f t="shared" si="4"/>
        <v>18.070638099283883</v>
      </c>
    </row>
    <row r="67" spans="1:27" x14ac:dyDescent="0.25">
      <c r="A67" s="2">
        <v>2035</v>
      </c>
      <c r="B67" s="2">
        <f>B12*'Output-Calculation-sheet'!B56/10^9</f>
        <v>5.9483606333722241</v>
      </c>
      <c r="C67" s="2">
        <f>C12*'Output-Calculation-sheet'!C56/10^9</f>
        <v>3.5926666712423625</v>
      </c>
      <c r="D67" s="2">
        <f>D12*'Output-Calculation-sheet'!D56/10^9</f>
        <v>1.178310984645188</v>
      </c>
      <c r="E67" s="2">
        <f>E12*'Output-Calculation-sheet'!E56/10^9</f>
        <v>1.6135205186657187</v>
      </c>
      <c r="F67" s="2">
        <f>F12*'Output-Calculation-sheet'!F56/10^9</f>
        <v>0.6326211912858406</v>
      </c>
      <c r="G67" s="2">
        <f>G12*'Output-Calculation-sheet'!G56/10^9</f>
        <v>0.4661150880481415</v>
      </c>
      <c r="H67" s="2">
        <f>H12*'Output-Calculation-sheet'!H56/10^9</f>
        <v>0.99258017944402244</v>
      </c>
      <c r="I67" s="2">
        <f>I12*'Output-Calculation-sheet'!I56/10^9</f>
        <v>0.42711970928055226</v>
      </c>
      <c r="J67" s="2">
        <f>J12*'Output-Calculation-sheet'!J56/10^9</f>
        <v>0.39109912454311752</v>
      </c>
      <c r="K67" s="2">
        <f>K12*'Output-Calculation-sheet'!K56/10^9</f>
        <v>0.46848072940551172</v>
      </c>
      <c r="L67" s="2">
        <f>L12*'Output-Calculation-sheet'!L56/10^9</f>
        <v>0.43659698862825153</v>
      </c>
      <c r="M67" s="2">
        <f>M12*'Output-Calculation-sheet'!M56/10^9</f>
        <v>0.70220456199300807</v>
      </c>
      <c r="N67" s="2">
        <f>N12*'Output-Calculation-sheet'!N56/10^9</f>
        <v>0.59974969763492525</v>
      </c>
      <c r="O67" s="2">
        <f>O12*'Output-Calculation-sheet'!O56/10^9</f>
        <v>0.66345315642724711</v>
      </c>
      <c r="P67" s="2">
        <f>P12*'Output-Calculation-sheet'!P56/10^9</f>
        <v>0.48675550794711214</v>
      </c>
      <c r="Q67" s="2">
        <f>Q12*'Output-Calculation-sheet'!Q56/10^9</f>
        <v>0.4598064000701193</v>
      </c>
      <c r="R67" s="2">
        <f>R12*'Output-Calculation-sheet'!R56/10^9</f>
        <v>0.36067992964288553</v>
      </c>
      <c r="S67" s="2">
        <f>S12*'Output-Calculation-sheet'!S56/10^9</f>
        <v>0.34841319242927965</v>
      </c>
      <c r="T67" s="2">
        <f>T12*'Output-Calculation-sheet'!T56/10^9</f>
        <v>0.11224119187263863</v>
      </c>
      <c r="U67" s="2">
        <f>U12*'Output-Calculation-sheet'!U56/10^9</f>
        <v>0.12133963919878996</v>
      </c>
      <c r="V67" s="2">
        <f>V12*'Output-Calculation-sheet'!V56/10^9</f>
        <v>8.6563572480199497E-2</v>
      </c>
      <c r="W67" s="2">
        <f>W12*'Output-Calculation-sheet'!W56/10^9</f>
        <v>5.8760193330271507E-2</v>
      </c>
      <c r="X67" s="2">
        <f>X12*'Output-Calculation-sheet'!X56/10^9</f>
        <v>8.3818400530988102E-2</v>
      </c>
      <c r="Y67" s="2">
        <f>Y12*'Output-Calculation-sheet'!Y56/10^9</f>
        <v>5.483024056119612E-2</v>
      </c>
      <c r="AA67" s="2">
        <f t="shared" si="4"/>
        <v>20.286087502679589</v>
      </c>
    </row>
    <row r="68" spans="1:27" x14ac:dyDescent="0.25">
      <c r="B68" s="2">
        <f>SUM(B60:B67)</f>
        <v>27.391556843900851</v>
      </c>
      <c r="C68" s="2">
        <f t="shared" ref="C68:Y68" si="5">SUM(C60:C67)</f>
        <v>16.340724216058689</v>
      </c>
      <c r="D68" s="2">
        <f t="shared" si="5"/>
        <v>5.4884249466766342</v>
      </c>
      <c r="E68" s="2">
        <f t="shared" si="5"/>
        <v>6.8405723571175399</v>
      </c>
      <c r="F68" s="2">
        <f t="shared" si="5"/>
        <v>2.9258058480113389</v>
      </c>
      <c r="G68" s="2">
        <f t="shared" si="5"/>
        <v>2.1641975022622413</v>
      </c>
      <c r="H68" s="2">
        <f t="shared" si="5"/>
        <v>4.3721395909614147</v>
      </c>
      <c r="I68" s="2">
        <f t="shared" si="5"/>
        <v>1.8605999625344873</v>
      </c>
      <c r="J68" s="2">
        <f t="shared" si="5"/>
        <v>2.17976134108899</v>
      </c>
      <c r="K68" s="2">
        <f t="shared" si="5"/>
        <v>1.9530098307436976</v>
      </c>
      <c r="L68" s="2">
        <f t="shared" si="5"/>
        <v>2.0346454067326398</v>
      </c>
      <c r="M68" s="2">
        <f t="shared" si="5"/>
        <v>3.1221592389223978</v>
      </c>
      <c r="N68" s="2">
        <f t="shared" si="5"/>
        <v>2.6209552610650961</v>
      </c>
      <c r="O68" s="2">
        <f t="shared" si="5"/>
        <v>3.0208333601206991</v>
      </c>
      <c r="P68" s="2">
        <f t="shared" si="5"/>
        <v>2.0486804295343659</v>
      </c>
      <c r="Q68" s="2">
        <f t="shared" si="5"/>
        <v>1.9825218966848484</v>
      </c>
      <c r="R68" s="2">
        <f t="shared" si="5"/>
        <v>1.6076835018568973</v>
      </c>
      <c r="S68" s="2">
        <f t="shared" si="5"/>
        <v>1.5400018191300422</v>
      </c>
      <c r="T68" s="2">
        <f t="shared" si="5"/>
        <v>0.55974012701420428</v>
      </c>
      <c r="U68" s="2">
        <f t="shared" si="5"/>
        <v>0.52693443055097033</v>
      </c>
      <c r="V68" s="2">
        <f t="shared" si="5"/>
        <v>0.60885200187760569</v>
      </c>
      <c r="W68" s="2">
        <f t="shared" si="5"/>
        <v>0.28621326376708356</v>
      </c>
      <c r="X68" s="2">
        <f t="shared" si="5"/>
        <v>0.39561353009325084</v>
      </c>
      <c r="Y68" s="2">
        <f t="shared" si="5"/>
        <v>0.21666983413253138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610.56241198817065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1113.4831396935469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750.89657455721056</v>
      </c>
      <c r="N74" s="2">
        <f>N8/'Output-Calculation-sheet'!N7*'Output-Calculation-sheet'!N61</f>
        <v>31.129503708007555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6.663277968384044</v>
      </c>
      <c r="Y74" s="2">
        <f>Y8/'Output-Calculation-sheet'!Y7*'Output-Calculation-sheet'!Y61</f>
        <v>0</v>
      </c>
      <c r="AA74" s="2">
        <f t="shared" si="6"/>
        <v>2.5127349079153198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98.717469205580471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1772.6925950097204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1204.6398144541552</v>
      </c>
      <c r="N75" s="2">
        <f>N9/'Output-Calculation-sheet'!N8*'Output-Calculation-sheet'!N62</f>
        <v>463.92755541497831</v>
      </c>
      <c r="O75" s="2">
        <f>O9/'Output-Calculation-sheet'!O8*'Output-Calculation-sheet'!O62</f>
        <v>0</v>
      </c>
      <c r="P75" s="2">
        <f>P9/'Output-Calculation-sheet'!P8*'Output-Calculation-sheet'!P62</f>
        <v>36.754759835887647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155.89457874134973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42.309124416103387</v>
      </c>
      <c r="Y75" s="2">
        <f>Y9/'Output-Calculation-sheet'!Y8*'Output-Calculation-sheet'!Y62</f>
        <v>0</v>
      </c>
      <c r="AA75" s="2">
        <f t="shared" si="6"/>
        <v>3.7749358970777749</v>
      </c>
    </row>
    <row r="76" spans="1:27" x14ac:dyDescent="0.25">
      <c r="A76" s="2">
        <v>2033</v>
      </c>
      <c r="B76" s="2">
        <f>B10/'Output-Calculation-sheet'!B9*'Output-Calculation-sheet'!B63</f>
        <v>3723.7784294173907</v>
      </c>
      <c r="C76" s="2">
        <f>C10/'Output-Calculation-sheet'!C9*'Output-Calculation-sheet'!C63</f>
        <v>750.87138580086389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2427.7165168119036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1656.9283733288446</v>
      </c>
      <c r="N76" s="2">
        <f>N10/'Output-Calculation-sheet'!N9*'Output-Calculation-sheet'!N63</f>
        <v>943.7070872261155</v>
      </c>
      <c r="O76" s="2">
        <f>O10/'Output-Calculation-sheet'!O9*'Output-Calculation-sheet'!O63</f>
        <v>0</v>
      </c>
      <c r="P76" s="2">
        <f>P10/'Output-Calculation-sheet'!P9*'Output-Calculation-sheet'!P63</f>
        <v>327.25884745190098</v>
      </c>
      <c r="Q76" s="2">
        <f>Q10/'Output-Calculation-sheet'!Q9*'Output-Calculation-sheet'!Q63</f>
        <v>148.75876357460615</v>
      </c>
      <c r="R76" s="2">
        <f>R10/'Output-Calculation-sheet'!R9*'Output-Calculation-sheet'!R63</f>
        <v>248.34531986145473</v>
      </c>
      <c r="S76" s="2">
        <f>S10/'Output-Calculation-sheet'!S9*'Output-Calculation-sheet'!S63</f>
        <v>422.0221766034901</v>
      </c>
      <c r="T76" s="2">
        <f>T10/'Output-Calculation-sheet'!T9*'Output-Calculation-sheet'!T63</f>
        <v>16.363069157358453</v>
      </c>
      <c r="U76" s="2">
        <f>U10/'Output-Calculation-sheet'!U9*'Output-Calculation-sheet'!U63</f>
        <v>88.253936299391995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95.054990616086343</v>
      </c>
      <c r="Y76" s="2">
        <f>Y10/'Output-Calculation-sheet'!Y9*'Output-Calculation-sheet'!Y63</f>
        <v>4.1914663640721646</v>
      </c>
      <c r="AA76" s="2">
        <f t="shared" si="6"/>
        <v>10.921867548575367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1302.7672626623221</v>
      </c>
      <c r="D77" s="2">
        <f>D11/'Output-Calculation-sheet'!D10*'Output-Calculation-sheet'!D64</f>
        <v>1107.1300359157956</v>
      </c>
      <c r="E77" s="2">
        <f>E11/'Output-Calculation-sheet'!E10*'Output-Calculation-sheet'!E64</f>
        <v>1384.7173918396836</v>
      </c>
      <c r="F77" s="2">
        <f>F11/'Output-Calculation-sheet'!F10*'Output-Calculation-sheet'!F64</f>
        <v>98.526067929777753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2927.6584878876838</v>
      </c>
      <c r="I77" s="2">
        <f>I11/'Output-Calculation-sheet'!I10*'Output-Calculation-sheet'!I64</f>
        <v>343.63974071269138</v>
      </c>
      <c r="J77" s="2">
        <f>J11/'Output-Calculation-sheet'!J10*'Output-Calculation-sheet'!J64</f>
        <v>242.30116948399279</v>
      </c>
      <c r="K77" s="2">
        <f>K11/'Output-Calculation-sheet'!K10*'Output-Calculation-sheet'!K64</f>
        <v>527.4559293432078</v>
      </c>
      <c r="L77" s="2">
        <f>L11/'Output-Calculation-sheet'!L10*'Output-Calculation-sheet'!L64</f>
        <v>216.05901359196474</v>
      </c>
      <c r="M77" s="2">
        <f>M11/'Output-Calculation-sheet'!M10*'Output-Calculation-sheet'!M64</f>
        <v>2069.043668600822</v>
      </c>
      <c r="N77" s="2">
        <f>N11/'Output-Calculation-sheet'!N10*'Output-Calculation-sheet'!N64</f>
        <v>1434.0462392135382</v>
      </c>
      <c r="O77" s="2">
        <f>O11/'Output-Calculation-sheet'!O10*'Output-Calculation-sheet'!O64</f>
        <v>52.107740191762076</v>
      </c>
      <c r="P77" s="2">
        <f>P11/'Output-Calculation-sheet'!P10*'Output-Calculation-sheet'!P64</f>
        <v>650.38354699256229</v>
      </c>
      <c r="Q77" s="2">
        <f>Q11/'Output-Calculation-sheet'!Q10*'Output-Calculation-sheet'!Q64</f>
        <v>372.35489754549673</v>
      </c>
      <c r="R77" s="2">
        <f>R11/'Output-Calculation-sheet'!R10*'Output-Calculation-sheet'!R64</f>
        <v>555.48851385178421</v>
      </c>
      <c r="S77" s="2">
        <f>S11/'Output-Calculation-sheet'!S10*'Output-Calculation-sheet'!S64</f>
        <v>735.98703380852442</v>
      </c>
      <c r="T77" s="2">
        <f>T11/'Output-Calculation-sheet'!T10*'Output-Calculation-sheet'!T64</f>
        <v>153.60325996719527</v>
      </c>
      <c r="U77" s="2">
        <f>U11/'Output-Calculation-sheet'!U10*'Output-Calculation-sheet'!U64</f>
        <v>203.71848043830352</v>
      </c>
      <c r="V77" s="2">
        <f>V11/'Output-Calculation-sheet'!V10*'Output-Calculation-sheet'!V64</f>
        <v>80.177869973423341</v>
      </c>
      <c r="W77" s="2">
        <f>W11/'Output-Calculation-sheet'!W10*'Output-Calculation-sheet'!W64</f>
        <v>17.469188611333628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24.241610139693144</v>
      </c>
    </row>
    <row r="78" spans="1:27" x14ac:dyDescent="0.25">
      <c r="A78" s="2">
        <v>2035</v>
      </c>
      <c r="B78" s="2">
        <f>B12/'Output-Calculation-sheet'!B11*'Output-Calculation-sheet'!B65</f>
        <v>11527.130203641862</v>
      </c>
      <c r="C78" s="2">
        <f>C12/'Output-Calculation-sheet'!C11*'Output-Calculation-sheet'!C65</f>
        <v>42.389742237564434</v>
      </c>
      <c r="D78" s="2">
        <f>D12/'Output-Calculation-sheet'!D11*'Output-Calculation-sheet'!D65</f>
        <v>1204.1872876530329</v>
      </c>
      <c r="E78" s="2">
        <f>E12/'Output-Calculation-sheet'!E11*'Output-Calculation-sheet'!E65</f>
        <v>2288.1468767545371</v>
      </c>
      <c r="F78" s="2">
        <f>F12/'Output-Calculation-sheet'!F11*'Output-Calculation-sheet'!F65</f>
        <v>489.17203936478518</v>
      </c>
      <c r="G78" s="2">
        <f>G12/'Output-Calculation-sheet'!G11*'Output-Calculation-sheet'!G65</f>
        <v>932.4466378978683</v>
      </c>
      <c r="H78" s="2">
        <f>H12/'Output-Calculation-sheet'!H11*'Output-Calculation-sheet'!H65</f>
        <v>2985.0711986016818</v>
      </c>
      <c r="I78" s="2">
        <f>I12/'Output-Calculation-sheet'!I11*'Output-Calculation-sheet'!I65</f>
        <v>539.81238438148773</v>
      </c>
      <c r="J78" s="2">
        <f>J12/'Output-Calculation-sheet'!J11*'Output-Calculation-sheet'!J65</f>
        <v>494.52113356377583</v>
      </c>
      <c r="K78" s="2">
        <f>K12/'Output-Calculation-sheet'!K11*'Output-Calculation-sheet'!K65</f>
        <v>614.76091373015515</v>
      </c>
      <c r="L78" s="2">
        <f>L12/'Output-Calculation-sheet'!L11*'Output-Calculation-sheet'!L65</f>
        <v>359.96506185220102</v>
      </c>
      <c r="M78" s="2">
        <f>M12/'Output-Calculation-sheet'!M11*'Output-Calculation-sheet'!M65</f>
        <v>2090.6085343241934</v>
      </c>
      <c r="N78" s="2">
        <f>N12/'Output-Calculation-sheet'!N11*'Output-Calculation-sheet'!N65</f>
        <v>1471.7121910840035</v>
      </c>
      <c r="O78" s="2">
        <f>O12/'Output-Calculation-sheet'!O11*'Output-Calculation-sheet'!O65</f>
        <v>217.4344416529886</v>
      </c>
      <c r="P78" s="2">
        <f>P12/'Output-Calculation-sheet'!P11*'Output-Calculation-sheet'!P65</f>
        <v>843.91571238968447</v>
      </c>
      <c r="Q78" s="2">
        <f>Q12/'Output-Calculation-sheet'!Q11*'Output-Calculation-sheet'!Q65</f>
        <v>411.51600266043374</v>
      </c>
      <c r="R78" s="2">
        <f>R12/'Output-Calculation-sheet'!R11*'Output-Calculation-sheet'!R65</f>
        <v>705.16549840139362</v>
      </c>
      <c r="S78" s="2">
        <f>S12/'Output-Calculation-sheet'!S11*'Output-Calculation-sheet'!S65</f>
        <v>793.29854410129258</v>
      </c>
      <c r="T78" s="2">
        <f>T12/'Output-Calculation-sheet'!T11*'Output-Calculation-sheet'!T65</f>
        <v>249.81829705212402</v>
      </c>
      <c r="U78" s="2">
        <f>U12/'Output-Calculation-sheet'!U11*'Output-Calculation-sheet'!U65</f>
        <v>215.69308841791798</v>
      </c>
      <c r="V78" s="2">
        <f>V12/'Output-Calculation-sheet'!V11*'Output-Calculation-sheet'!V65</f>
        <v>136.23171011713393</v>
      </c>
      <c r="W78" s="2">
        <f>W12/'Output-Calculation-sheet'!W11*'Output-Calculation-sheet'!W65</f>
        <v>97.462556822248104</v>
      </c>
      <c r="X78" s="2">
        <f>X12/'Output-Calculation-sheet'!X11*'Output-Calculation-sheet'!X65</f>
        <v>17.871502439129877</v>
      </c>
      <c r="Y78" s="2">
        <f>Y12/'Output-Calculation-sheet'!Y11*'Output-Calculation-sheet'!Y65</f>
        <v>93.324819311525985</v>
      </c>
      <c r="AA78" s="2">
        <f t="shared" si="6"/>
        <v>28.821656378453028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20.077067491685717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2.0077067491685717E-2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210.77006091969378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0.21077006091969377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263.91523122701165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0.26391523122701166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16.968262954064986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3.6486925798918461</v>
      </c>
      <c r="N88" s="2">
        <f>N11/'Output-Calculation-sheet'!N10*'Output-Calculation-sheet'!N73</f>
        <v>3.5860730795460842</v>
      </c>
      <c r="O88" s="2">
        <f>O11/'Output-Calculation-sheet'!O10*'Output-Calculation-sheet'!O73</f>
        <v>308.54368028260637</v>
      </c>
      <c r="P88" s="2">
        <f>P11/'Output-Calculation-sheet'!P10*'Output-Calculation-sheet'!P73</f>
        <v>0</v>
      </c>
      <c r="Q88" s="2">
        <f>Q11/'Output-Calculation-sheet'!Q10*'Output-Calculation-sheet'!Q73</f>
        <v>13.196186083387222</v>
      </c>
      <c r="R88" s="2">
        <f>R11/'Output-Calculation-sheet'!R10*'Output-Calculation-sheet'!R73</f>
        <v>0</v>
      </c>
      <c r="S88" s="2">
        <f>S11/'Output-Calculation-sheet'!S10*'Output-Calculation-sheet'!S73</f>
        <v>0.41113217730640245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0.34635402715680291</v>
      </c>
    </row>
    <row r="89" spans="1:27" x14ac:dyDescent="0.25">
      <c r="A89" s="2">
        <v>2035</v>
      </c>
      <c r="B89" s="2">
        <f>B12/'Output-Calculation-sheet'!B11*'Output-Calculation-sheet'!B74</f>
        <v>224.98659636379404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76.283909870580331</v>
      </c>
      <c r="E89" s="2">
        <f>E12/'Output-Calculation-sheet'!E11*'Output-Calculation-sheet'!E74</f>
        <v>82.450587413881124</v>
      </c>
      <c r="F89" s="2">
        <f>F12/'Output-Calculation-sheet'!F11*'Output-Calculation-sheet'!F74</f>
        <v>32.02854968668796</v>
      </c>
      <c r="G89" s="2">
        <f>G12/'Output-Calculation-sheet'!G11*'Output-Calculation-sheet'!G74</f>
        <v>28.459353544615567</v>
      </c>
      <c r="H89" s="2">
        <f>H12/'Output-Calculation-sheet'!H11*'Output-Calculation-sheet'!H74</f>
        <v>109.2178099966869</v>
      </c>
      <c r="I89" s="2">
        <f>I12/'Output-Calculation-sheet'!I11*'Output-Calculation-sheet'!I74</f>
        <v>26.581946405995541</v>
      </c>
      <c r="J89" s="2">
        <f>J12/'Output-Calculation-sheet'!J11*'Output-Calculation-sheet'!J74</f>
        <v>15.589523895599603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20.774051012532816</v>
      </c>
      <c r="M89" s="2">
        <f>M12/'Output-Calculation-sheet'!M11*'Output-Calculation-sheet'!M74</f>
        <v>63.478310294678259</v>
      </c>
      <c r="N89" s="2">
        <f>N12/'Output-Calculation-sheet'!N11*'Output-Calculation-sheet'!N74</f>
        <v>47.329498532136199</v>
      </c>
      <c r="O89" s="2">
        <f>O12/'Output-Calculation-sheet'!O11*'Output-Calculation-sheet'!O74</f>
        <v>340.62172856342585</v>
      </c>
      <c r="P89" s="2">
        <f>P12/'Output-Calculation-sheet'!P11*'Output-Calculation-sheet'!P74</f>
        <v>25.836993690984642</v>
      </c>
      <c r="Q89" s="2">
        <f>Q12/'Output-Calculation-sheet'!Q11*'Output-Calculation-sheet'!Q74</f>
        <v>39.582983189367582</v>
      </c>
      <c r="R89" s="2">
        <f>R12/'Output-Calculation-sheet'!R11*'Output-Calculation-sheet'!R74</f>
        <v>15.576979455613898</v>
      </c>
      <c r="S89" s="2">
        <f>S12/'Output-Calculation-sheet'!S11*'Output-Calculation-sheet'!S74</f>
        <v>20.96478825939333</v>
      </c>
      <c r="T89" s="2">
        <f>T12/'Output-Calculation-sheet'!T11*'Output-Calculation-sheet'!T74</f>
        <v>3.6882531842016726</v>
      </c>
      <c r="U89" s="2">
        <f>U12/'Output-Calculation-sheet'!U11*'Output-Calculation-sheet'!U74</f>
        <v>6.815840572186497</v>
      </c>
      <c r="V89" s="2">
        <f>V12/'Output-Calculation-sheet'!V11*'Output-Calculation-sheet'!V74</f>
        <v>0.92746032456142946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0.32017023740463335</v>
      </c>
      <c r="Y89" s="2">
        <f>Y12/'Output-Calculation-sheet'!Y11*'Output-Calculation-sheet'!Y74</f>
        <v>3.0124614329612496</v>
      </c>
      <c r="AA89" s="2">
        <f t="shared" si="7"/>
        <v>1.2213457250397488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9089905072.9253044</v>
      </c>
      <c r="C96" s="2">
        <f>C8/'Output-Calculation-sheet'!C7*'Output-Calculation-sheet'!C79</f>
        <v>3075162144.1711578</v>
      </c>
      <c r="D96" s="2">
        <f>D8/'Output-Calculation-sheet'!D7*'Output-Calculation-sheet'!D79</f>
        <v>3210250431.7778268</v>
      </c>
      <c r="E96" s="2">
        <f>E8/'Output-Calculation-sheet'!E7*'Output-Calculation-sheet'!E79</f>
        <v>5707560782.4656067</v>
      </c>
      <c r="F96" s="2">
        <f>F8/'Output-Calculation-sheet'!F7*'Output-Calculation-sheet'!F79</f>
        <v>2362302629.6985497</v>
      </c>
      <c r="G96" s="2">
        <f>G8/'Output-Calculation-sheet'!G7*'Output-Calculation-sheet'!G79</f>
        <v>1840043517.8442879</v>
      </c>
      <c r="H96" s="2">
        <f>H8/'Output-Calculation-sheet'!H7*'Output-Calculation-sheet'!H79</f>
        <v>1574975583.2443051</v>
      </c>
      <c r="I96" s="2">
        <f>I8/'Output-Calculation-sheet'!I7*'Output-Calculation-sheet'!I79</f>
        <v>1281782754.1748447</v>
      </c>
      <c r="J96" s="2">
        <f>J8/'Output-Calculation-sheet'!J7*'Output-Calculation-sheet'!J79</f>
        <v>866772167.32333136</v>
      </c>
      <c r="K96" s="2">
        <f>K8/'Output-Calculation-sheet'!K7*'Output-Calculation-sheet'!K79</f>
        <v>1240094243.9155931</v>
      </c>
      <c r="L96" s="2">
        <f>L8/'Output-Calculation-sheet'!L7*'Output-Calculation-sheet'!L79</f>
        <v>875011526.27864909</v>
      </c>
      <c r="M96" s="2">
        <f>M8/'Output-Calculation-sheet'!M7*'Output-Calculation-sheet'!M79</f>
        <v>1175687434.1046607</v>
      </c>
      <c r="N96" s="2">
        <f>N8/'Output-Calculation-sheet'!N7*'Output-Calculation-sheet'!N79</f>
        <v>874803813.20127475</v>
      </c>
      <c r="O96" s="2">
        <f>O8/'Output-Calculation-sheet'!O7*'Output-Calculation-sheet'!O79</f>
        <v>442242517.98267591</v>
      </c>
      <c r="P96" s="2">
        <f>P8/'Output-Calculation-sheet'!P7*'Output-Calculation-sheet'!P79</f>
        <v>1479218066.7069111</v>
      </c>
      <c r="Q96" s="2">
        <f>Q8/'Output-Calculation-sheet'!Q7*'Output-Calculation-sheet'!Q79</f>
        <v>689377731.19132364</v>
      </c>
      <c r="R96" s="2">
        <f>R8/'Output-Calculation-sheet'!R7*'Output-Calculation-sheet'!R79</f>
        <v>860082132.96050966</v>
      </c>
      <c r="S96" s="2">
        <f>S8/'Output-Calculation-sheet'!S7*'Output-Calculation-sheet'!S79</f>
        <v>501154900.29641318</v>
      </c>
      <c r="T96" s="2">
        <f>T8/'Output-Calculation-sheet'!T7*'Output-Calculation-sheet'!T79</f>
        <v>382765188.80143815</v>
      </c>
      <c r="U96" s="2">
        <f>U8/'Output-Calculation-sheet'!U7*'Output-Calculation-sheet'!U79</f>
        <v>240443720.04684007</v>
      </c>
      <c r="V96" s="2">
        <f>V8/'Output-Calculation-sheet'!V7*'Output-Calculation-sheet'!V79</f>
        <v>124754179.94884066</v>
      </c>
      <c r="W96" s="2">
        <f>W8/'Output-Calculation-sheet'!W7*'Output-Calculation-sheet'!W79</f>
        <v>368641520.85965693</v>
      </c>
      <c r="X96" s="2">
        <f>X8/'Output-Calculation-sheet'!X7*'Output-Calculation-sheet'!X79</f>
        <v>129566344.25087766</v>
      </c>
      <c r="Y96" s="2">
        <f>Y8/'Output-Calculation-sheet'!Y7*'Output-Calculation-sheet'!Y79</f>
        <v>202639995.41486821</v>
      </c>
      <c r="AA96" s="2">
        <f t="shared" si="8"/>
        <v>38.595238399585739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1061.0089307851306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206.1245595813067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24.65449669953011</v>
      </c>
      <c r="Y107" s="2">
        <f>Y8/'Output-Calculation-sheet'!Y7*'Output-Calculation-sheet'!Y88</f>
        <v>0</v>
      </c>
      <c r="AA107" s="2">
        <f t="shared" si="9"/>
        <v>1.2917879870659674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1862.3329915581487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1.8932435180940428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2.4202562461933486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2.9673343365941358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86.285878980548688</v>
      </c>
      <c r="Y111" s="2">
        <f>Y12/'Output-Calculation-sheet'!Y11*'Output-Calculation-sheet'!Y92</f>
        <v>0</v>
      </c>
      <c r="AA111" s="2">
        <f t="shared" si="9"/>
        <v>4.0648453040079273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1063563552.2577814</v>
      </c>
      <c r="C118" s="2">
        <f>C8/'Output-Calculation-sheet'!C7*'Output-Calculation-sheet'!C97</f>
        <v>8781595433.1817226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5465019825.7171183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3770400773.1009607</v>
      </c>
      <c r="N118" s="2">
        <f>N8/'Output-Calculation-sheet'!N7*'Output-Calculation-sheet'!N97</f>
        <v>1262015338.4865308</v>
      </c>
      <c r="O118" s="2">
        <f>O8/'Output-Calculation-sheet'!O7*'Output-Calculation-sheet'!O97</f>
        <v>1485814087.4915304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378244373.85816288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205299835.09953296</v>
      </c>
      <c r="Y118" s="2">
        <f>Y8/'Output-Calculation-sheet'!Y7*'Output-Calculation-sheet'!Y97</f>
        <v>0</v>
      </c>
      <c r="AA118" s="2">
        <f t="shared" si="10"/>
        <v>22411.953219193339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6463826118.0263681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2220143602.2333884</v>
      </c>
      <c r="O119" s="2">
        <f>O9/'Output-Calculation-sheet'!O8*'Output-Calculation-sheet'!O98</f>
        <v>2397735651.5937777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665607119.32822442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260016218.02374798</v>
      </c>
      <c r="Y119" s="2">
        <f>Y9/'Output-Calculation-sheet'!Y8*'Output-Calculation-sheet'!Y98</f>
        <v>0</v>
      </c>
      <c r="AA119" s="2">
        <f t="shared" si="10"/>
        <v>27967.206789089974</v>
      </c>
    </row>
    <row r="120" spans="1:27" x14ac:dyDescent="0.25">
      <c r="A120" s="2">
        <v>2033</v>
      </c>
      <c r="B120" s="2">
        <f>B10/'Output-Calculation-sheet'!B9*'Output-Calculation-sheet'!B99</f>
        <v>11073365589.114599</v>
      </c>
      <c r="C120" s="2">
        <f>C10/'Output-Calculation-sheet'!C9*'Output-Calculation-sheet'!C99</f>
        <v>6408550653.8697815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3322171209.1739073</v>
      </c>
      <c r="O120" s="2">
        <f>O10/'Output-Calculation-sheet'!O9*'Output-Calculation-sheet'!O99</f>
        <v>2590374882.9859772</v>
      </c>
      <c r="P120" s="2">
        <f>P10/'Output-Calculation-sheet'!P9*'Output-Calculation-sheet'!P99</f>
        <v>0</v>
      </c>
      <c r="Q120" s="2">
        <f>Q10/'Output-Calculation-sheet'!Q9*'Output-Calculation-sheet'!Q99</f>
        <v>108927126.39790256</v>
      </c>
      <c r="R120" s="2">
        <f>R10/'Output-Calculation-sheet'!R9*'Output-Calculation-sheet'!R99</f>
        <v>0</v>
      </c>
      <c r="S120" s="2">
        <f>S10/'Output-Calculation-sheet'!S9*'Output-Calculation-sheet'!S99</f>
        <v>1338193642.1468365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364054144.46356189</v>
      </c>
      <c r="Y120" s="2">
        <f>Y10/'Output-Calculation-sheet'!Y9*'Output-Calculation-sheet'!Y99</f>
        <v>0</v>
      </c>
      <c r="AA120" s="2">
        <f t="shared" si="10"/>
        <v>39071.655936295676</v>
      </c>
    </row>
    <row r="121" spans="1:27" x14ac:dyDescent="0.25">
      <c r="A121" s="2">
        <v>2034</v>
      </c>
      <c r="B121" s="2">
        <f>B11/'Output-Calculation-sheet'!B10*'Output-Calculation-sheet'!B100</f>
        <v>25532723129.625008</v>
      </c>
      <c r="C121" s="2">
        <f>C11/'Output-Calculation-sheet'!C10*'Output-Calculation-sheet'!C100</f>
        <v>6344477395.9955931</v>
      </c>
      <c r="D121" s="2">
        <f>D11/'Output-Calculation-sheet'!D10*'Output-Calculation-sheet'!D100</f>
        <v>0</v>
      </c>
      <c r="E121" s="2">
        <f>E11/'Output-Calculation-sheet'!E10*'Output-Calculation-sheet'!E100</f>
        <v>528134496.69843692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9369010482.3404636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434097534.42312706</v>
      </c>
      <c r="M121" s="2">
        <f>M11/'Output-Calculation-sheet'!M10*'Output-Calculation-sheet'!M100</f>
        <v>6557001218.3342304</v>
      </c>
      <c r="N121" s="2">
        <f>N11/'Output-Calculation-sheet'!N10*'Output-Calculation-sheet'!N100</f>
        <v>4452796102.6438885</v>
      </c>
      <c r="O121" s="2">
        <f>O11/'Output-Calculation-sheet'!O10*'Output-Calculation-sheet'!O100</f>
        <v>2823268375.4865847</v>
      </c>
      <c r="P121" s="2">
        <f>P11/'Output-Calculation-sheet'!P10*'Output-Calculation-sheet'!P100</f>
        <v>0</v>
      </c>
      <c r="Q121" s="2">
        <f>Q11/'Output-Calculation-sheet'!Q10*'Output-Calculation-sheet'!Q100</f>
        <v>573708525.86497259</v>
      </c>
      <c r="R121" s="2">
        <f>R11/'Output-Calculation-sheet'!R10*'Output-Calculation-sheet'!R100</f>
        <v>0</v>
      </c>
      <c r="S121" s="2">
        <f>S11/'Output-Calculation-sheet'!S10*'Output-Calculation-sheet'!S100</f>
        <v>2213961986.6855373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28968849.872166101</v>
      </c>
      <c r="AA121" s="2">
        <f t="shared" si="10"/>
        <v>59174.291171287914</v>
      </c>
    </row>
    <row r="122" spans="1:27" x14ac:dyDescent="0.25">
      <c r="A122" s="2">
        <v>2035</v>
      </c>
      <c r="B122" s="2">
        <f>B12/'Output-Calculation-sheet'!B11*'Output-Calculation-sheet'!B101</f>
        <v>32266648673.581322</v>
      </c>
      <c r="C122" s="2">
        <f>C12/'Output-Calculation-sheet'!C11*'Output-Calculation-sheet'!C101</f>
        <v>189632988.5960446</v>
      </c>
      <c r="D122" s="2">
        <f>D12/'Output-Calculation-sheet'!D11*'Output-Calculation-sheet'!D101</f>
        <v>0</v>
      </c>
      <c r="E122" s="2">
        <f>E12/'Output-Calculation-sheet'!E11*'Output-Calculation-sheet'!E101</f>
        <v>2581379965.8747287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9894995737.9784775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663299445.11680019</v>
      </c>
      <c r="M122" s="2">
        <f>M12/'Output-Calculation-sheet'!M11*'Output-Calculation-sheet'!M101</f>
        <v>6941149662.3486748</v>
      </c>
      <c r="N122" s="2">
        <f>N12/'Output-Calculation-sheet'!N11*'Output-Calculation-sheet'!N101</f>
        <v>4670520093.3088903</v>
      </c>
      <c r="O122" s="2">
        <f>O12/'Output-Calculation-sheet'!O11*'Output-Calculation-sheet'!O101</f>
        <v>3166336608.1866245</v>
      </c>
      <c r="P122" s="2">
        <f>P12/'Output-Calculation-sheet'!P11*'Output-Calculation-sheet'!P101</f>
        <v>198524967.14875236</v>
      </c>
      <c r="Q122" s="2">
        <f>Q12/'Output-Calculation-sheet'!Q11*'Output-Calculation-sheet'!Q101</f>
        <v>746404376.27681553</v>
      </c>
      <c r="R122" s="2">
        <f>R12/'Output-Calculation-sheet'!R11*'Output-Calculation-sheet'!R101</f>
        <v>0</v>
      </c>
      <c r="S122" s="2">
        <f>S12/'Output-Calculation-sheet'!S11*'Output-Calculation-sheet'!S101</f>
        <v>2453137969.9223266</v>
      </c>
      <c r="T122" s="2">
        <f>T12/'Output-Calculation-sheet'!T11*'Output-Calculation-sheet'!T101</f>
        <v>0</v>
      </c>
      <c r="U122" s="2">
        <f>U12/'Output-Calculation-sheet'!U11*'Output-Calculation-sheet'!U101</f>
        <v>36241007.071120776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85002956.839268327</v>
      </c>
      <c r="Y122" s="2">
        <f>Y12/'Output-Calculation-sheet'!Y11*'Output-Calculation-sheet'!Y101</f>
        <v>131651052.9988776</v>
      </c>
      <c r="AA122" s="2">
        <f t="shared" si="10"/>
        <v>64024.925505248728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36113594480.068146</v>
      </c>
      <c r="C129" s="2">
        <f>C8/'Output-Calculation-sheet'!C7*'Output-Calculation-sheet'!C106</f>
        <v>0</v>
      </c>
      <c r="D129" s="2">
        <f>D8/'Output-Calculation-sheet'!D7*'Output-Calculation-sheet'!D106</f>
        <v>15614785971.406796</v>
      </c>
      <c r="E129" s="2">
        <f>E8/'Output-Calculation-sheet'!E7*'Output-Calculation-sheet'!E106</f>
        <v>12388762631.835072</v>
      </c>
      <c r="F129" s="2">
        <f>F8/'Output-Calculation-sheet'!F7*'Output-Calculation-sheet'!F106</f>
        <v>7975088237.4675035</v>
      </c>
      <c r="G129" s="2">
        <f>G8/'Output-Calculation-sheet'!G7*'Output-Calculation-sheet'!G106</f>
        <v>5603528818.1302128</v>
      </c>
      <c r="H129" s="2">
        <f>H8/'Output-Calculation-sheet'!H7*'Output-Calculation-sheet'!H106</f>
        <v>0</v>
      </c>
      <c r="I129" s="2">
        <f>I8/'Output-Calculation-sheet'!I7*'Output-Calculation-sheet'!I106</f>
        <v>5105243981.5888252</v>
      </c>
      <c r="J129" s="2">
        <f>J8/'Output-Calculation-sheet'!J7*'Output-Calculation-sheet'!J106</f>
        <v>4969077144.8064632</v>
      </c>
      <c r="K129" s="2">
        <f>K8/'Output-Calculation-sheet'!K7*'Output-Calculation-sheet'!K106</f>
        <v>4921446340.7526503</v>
      </c>
      <c r="L129" s="2">
        <f>L8/'Output-Calculation-sheet'!L7*'Output-Calculation-sheet'!L106</f>
        <v>3948057589.7175374</v>
      </c>
      <c r="M129" s="2">
        <f>M8/'Output-Calculation-sheet'!M7*'Output-Calculation-sheet'!M106</f>
        <v>0</v>
      </c>
      <c r="N129" s="2">
        <f>N8/'Output-Calculation-sheet'!N7*'Output-Calculation-sheet'!N106</f>
        <v>2439258054.0133443</v>
      </c>
      <c r="O129" s="2">
        <f>O8/'Output-Calculation-sheet'!O7*'Output-Calculation-sheet'!O106</f>
        <v>0</v>
      </c>
      <c r="P129" s="2">
        <f>P8/'Output-Calculation-sheet'!P7*'Output-Calculation-sheet'!P106</f>
        <v>3369480801.923893</v>
      </c>
      <c r="Q129" s="2">
        <f>Q8/'Output-Calculation-sheet'!Q7*'Output-Calculation-sheet'!Q106</f>
        <v>3315018374.9454269</v>
      </c>
      <c r="R129" s="2">
        <f>R8/'Output-Calculation-sheet'!R7*'Output-Calculation-sheet'!R106</f>
        <v>3189206627.2023473</v>
      </c>
      <c r="S129" s="2">
        <f>S8/'Output-Calculation-sheet'!S7*'Output-Calculation-sheet'!S106</f>
        <v>1741460925.2722526</v>
      </c>
      <c r="T129" s="2">
        <f>T8/'Output-Calculation-sheet'!T7*'Output-Calculation-sheet'!T106</f>
        <v>1172316898.5449274</v>
      </c>
      <c r="U129" s="2">
        <f>U8/'Output-Calculation-sheet'!U7*'Output-Calculation-sheet'!U106</f>
        <v>1021049770.201367</v>
      </c>
      <c r="V129" s="2">
        <f>V8/'Output-Calculation-sheet'!V7*'Output-Calculation-sheet'!V106</f>
        <v>786225342.52913654</v>
      </c>
      <c r="W129" s="2">
        <f>W8/'Output-Calculation-sheet'!W7*'Output-Calculation-sheet'!W106</f>
        <v>680702255.66139138</v>
      </c>
      <c r="X129" s="2">
        <f>X8/'Output-Calculation-sheet'!X7*'Output-Calculation-sheet'!X106</f>
        <v>0</v>
      </c>
      <c r="Y129" s="2">
        <f>Y8/'Output-Calculation-sheet'!Y7*'Output-Calculation-sheet'!Y106</f>
        <v>397183815.14116514</v>
      </c>
      <c r="AA129" s="2">
        <f t="shared" si="11"/>
        <v>114751.48806120845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2.303053549713126E-8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2419933976.2436671</v>
      </c>
      <c r="O130" s="2">
        <f>O9/'Output-Calculation-sheet'!O8*'Output-Calculation-sheet'!O107</f>
        <v>0</v>
      </c>
      <c r="P130" s="2">
        <f>P9/'Output-Calculation-sheet'!P8*'Output-Calculation-sheet'!P107</f>
        <v>4224447006.237102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1991827216.1378908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139992.10882491252</v>
      </c>
    </row>
    <row r="131" spans="1:27" x14ac:dyDescent="0.25">
      <c r="A131" s="2">
        <v>2033</v>
      </c>
      <c r="B131" s="2">
        <f>B10/'Output-Calculation-sheet'!B9*'Output-Calculation-sheet'!B108</f>
        <v>44738982578.074074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2233925648.247777</v>
      </c>
      <c r="O131" s="2">
        <f>O10/'Output-Calculation-sheet'!O9*'Output-Calculation-sheet'!O108</f>
        <v>0</v>
      </c>
      <c r="P131" s="2">
        <f>P10/'Output-Calculation-sheet'!P9*'Output-Calculation-sheet'!P108</f>
        <v>5058455021.3788376</v>
      </c>
      <c r="Q131" s="2">
        <f>Q10/'Output-Calculation-sheet'!Q9*'Output-Calculation-sheet'!Q108</f>
        <v>4868009757.7215033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1843830650.7863898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160493.45180333694</v>
      </c>
    </row>
    <row r="132" spans="1:27" x14ac:dyDescent="0.25">
      <c r="A132" s="2">
        <v>2034</v>
      </c>
      <c r="B132" s="2">
        <f>B11/'Output-Calculation-sheet'!B10*'Output-Calculation-sheet'!B109</f>
        <v>39524570565.507568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21153111420.778694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8696399519.4640541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6475390336.8056746</v>
      </c>
      <c r="M132" s="2">
        <f>M11/'Output-Calculation-sheet'!M10*'Output-Calculation-sheet'!M109</f>
        <v>0</v>
      </c>
      <c r="N132" s="2">
        <f>N11/'Output-Calculation-sheet'!N10*'Output-Calculation-sheet'!N109</f>
        <v>1968669489.346123</v>
      </c>
      <c r="O132" s="2">
        <f>O11/'Output-Calculation-sheet'!O10*'Output-Calculation-sheet'!O109</f>
        <v>0</v>
      </c>
      <c r="P132" s="2">
        <f>P11/'Output-Calculation-sheet'!P10*'Output-Calculation-sheet'!P109</f>
        <v>5896498441.5283756</v>
      </c>
      <c r="Q132" s="2">
        <f>Q11/'Output-Calculation-sheet'!Q10*'Output-Calculation-sheet'!Q109</f>
        <v>4934305960.8936939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1488048513.4853745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666149883.0886023</v>
      </c>
      <c r="AA132" s="2">
        <f t="shared" si="11"/>
        <v>171431.35047894015</v>
      </c>
    </row>
    <row r="133" spans="1:27" x14ac:dyDescent="0.25">
      <c r="A133" s="2">
        <v>2035</v>
      </c>
      <c r="B133" s="2">
        <f>B12/'Output-Calculation-sheet'!B11*'Output-Calculation-sheet'!B110</f>
        <v>37618579024.458267</v>
      </c>
      <c r="C133" s="2">
        <f>C12/'Output-Calculation-sheet'!C11*'Output-Calculation-sheet'!C110</f>
        <v>0</v>
      </c>
      <c r="D133" s="2">
        <f>D12/'Output-Calculation-sheet'!D11*'Output-Calculation-sheet'!D110</f>
        <v>28252868919.722721</v>
      </c>
      <c r="E133" s="2">
        <f>E12/'Output-Calculation-sheet'!E11*'Output-Calculation-sheet'!E110</f>
        <v>21409228653.665833</v>
      </c>
      <c r="F133" s="2">
        <f>F12/'Output-Calculation-sheet'!F11*'Output-Calculation-sheet'!F110</f>
        <v>15235949057.407774</v>
      </c>
      <c r="G133" s="2">
        <f>G12/'Output-Calculation-sheet'!G11*'Output-Calculation-sheet'!G110</f>
        <v>10560283158.119026</v>
      </c>
      <c r="H133" s="2">
        <f>H12/'Output-Calculation-sheet'!H11*'Output-Calculation-sheet'!H110</f>
        <v>0</v>
      </c>
      <c r="I133" s="2">
        <f>I12/'Output-Calculation-sheet'!I11*'Output-Calculation-sheet'!I110</f>
        <v>9532478946.4305782</v>
      </c>
      <c r="J133" s="2">
        <f>J12/'Output-Calculation-sheet'!J11*'Output-Calculation-sheet'!J110</f>
        <v>9181728761.0530205</v>
      </c>
      <c r="K133" s="2">
        <f>K12/'Output-Calculation-sheet'!K11*'Output-Calculation-sheet'!K110</f>
        <v>9082332408.2744179</v>
      </c>
      <c r="L133" s="2">
        <f>L12/'Output-Calculation-sheet'!L11*'Output-Calculation-sheet'!L110</f>
        <v>6678211866.1293182</v>
      </c>
      <c r="M133" s="2">
        <f>M12/'Output-Calculation-sheet'!M11*'Output-Calculation-sheet'!M110</f>
        <v>0</v>
      </c>
      <c r="N133" s="2">
        <f>N12/'Output-Calculation-sheet'!N11*'Output-Calculation-sheet'!N110</f>
        <v>2045651203.6931107</v>
      </c>
      <c r="O133" s="2">
        <f>O12/'Output-Calculation-sheet'!O11*'Output-Calculation-sheet'!O110</f>
        <v>0</v>
      </c>
      <c r="P133" s="2">
        <f>P12/'Output-Calculation-sheet'!P11*'Output-Calculation-sheet'!P110</f>
        <v>6274819324.3707876</v>
      </c>
      <c r="Q133" s="2">
        <f>Q12/'Output-Calculation-sheet'!Q11*'Output-Calculation-sheet'!Q110</f>
        <v>5006661796.6243248</v>
      </c>
      <c r="R133" s="2">
        <f>R12/'Output-Calculation-sheet'!R11*'Output-Calculation-sheet'!R110</f>
        <v>6041144549.6901731</v>
      </c>
      <c r="S133" s="2">
        <f>S12/'Output-Calculation-sheet'!S11*'Output-Calculation-sheet'!S110</f>
        <v>1426875410.0884185</v>
      </c>
      <c r="T133" s="2">
        <f>T12/'Output-Calculation-sheet'!T11*'Output-Calculation-sheet'!T110</f>
        <v>2268504379.9814491</v>
      </c>
      <c r="U133" s="2">
        <f>U12/'Output-Calculation-sheet'!U11*'Output-Calculation-sheet'!U110</f>
        <v>1841692845.1362762</v>
      </c>
      <c r="V133" s="2">
        <f>V12/'Output-Calculation-sheet'!V11*'Output-Calculation-sheet'!V110</f>
        <v>1527224338.7567048</v>
      </c>
      <c r="W133" s="2">
        <f>W12/'Output-Calculation-sheet'!W11*'Output-Calculation-sheet'!W110</f>
        <v>1341018348.0184567</v>
      </c>
      <c r="X133" s="2">
        <f>X12/'Output-Calculation-sheet'!X11*'Output-Calculation-sheet'!X110</f>
        <v>730119.90198091639</v>
      </c>
      <c r="Y133" s="2">
        <f>Y12/'Output-Calculation-sheet'!Y11*'Output-Calculation-sheet'!Y110</f>
        <v>638333316.84000933</v>
      </c>
      <c r="AA133" s="2">
        <f t="shared" si="11"/>
        <v>175964.31642836268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8737629014.4037647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1730545509.3881826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203113349.45879379</v>
      </c>
      <c r="Y140" s="2">
        <f>Y8/'Output-Calculation-sheet'!Y7*'Output-Calculation-sheet'!Y115</f>
        <v>0</v>
      </c>
      <c r="AA140" s="2">
        <f t="shared" si="12"/>
        <v>10671.28787325074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15501472443.977591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252000034.61738479</v>
      </c>
      <c r="Y141" s="2">
        <f>Y9/'Output-Calculation-sheet'!Y8*'Output-Calculation-sheet'!Y116</f>
        <v>0</v>
      </c>
      <c r="AA141" s="2">
        <f t="shared" si="12"/>
        <v>15753.472478594975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19893993867.48584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249046358.80098701</v>
      </c>
      <c r="Y142" s="2">
        <f>Y10/'Output-Calculation-sheet'!Y9*'Output-Calculation-sheet'!Y117</f>
        <v>0</v>
      </c>
      <c r="AA142" s="2">
        <f t="shared" si="12"/>
        <v>20143.040226286827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24316538809.804684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24715.121400334305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34811533808.940857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727081075.56948936</v>
      </c>
      <c r="Y144" s="2">
        <f>Y12/'Output-Calculation-sheet'!Y11*'Output-Calculation-sheet'!Y119</f>
        <v>0</v>
      </c>
      <c r="AA144" s="2">
        <f t="shared" si="12"/>
        <v>35538.614884510345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37177158758.13002</v>
      </c>
      <c r="C151" s="2">
        <f>C8/'Output-Calculation-sheet'!C7*'Output-Calculation-sheet'!C124</f>
        <v>17519779065.890217</v>
      </c>
      <c r="D151" s="2">
        <f>D8/'Output-Calculation-sheet'!D7*'Output-Calculation-sheet'!D124</f>
        <v>15614785971.406796</v>
      </c>
      <c r="E151" s="2">
        <f>E8/'Output-Calculation-sheet'!E7*'Output-Calculation-sheet'!E124</f>
        <v>12388762631.835072</v>
      </c>
      <c r="F151" s="2">
        <f>F8/'Output-Calculation-sheet'!F7*'Output-Calculation-sheet'!F124</f>
        <v>7975088237.4675035</v>
      </c>
      <c r="G151" s="2">
        <f>G8/'Output-Calculation-sheet'!G7*'Output-Calculation-sheet'!G124</f>
        <v>5603528818.1302128</v>
      </c>
      <c r="H151" s="2">
        <f>H8/'Output-Calculation-sheet'!H7*'Output-Calculation-sheet'!H124</f>
        <v>5466033593.7430248</v>
      </c>
      <c r="I151" s="2">
        <f>I8/'Output-Calculation-sheet'!I7*'Output-Calculation-sheet'!I124</f>
        <v>5105243981.5888252</v>
      </c>
      <c r="J151" s="2">
        <f>J8/'Output-Calculation-sheet'!J7*'Output-Calculation-sheet'!J124</f>
        <v>4969077144.8064632</v>
      </c>
      <c r="K151" s="2">
        <f>K8/'Output-Calculation-sheet'!K7*'Output-Calculation-sheet'!K124</f>
        <v>4921446340.7526503</v>
      </c>
      <c r="L151" s="2">
        <f>L8/'Output-Calculation-sheet'!L7*'Output-Calculation-sheet'!L124</f>
        <v>3948057589.7175374</v>
      </c>
      <c r="M151" s="2">
        <f>M8/'Output-Calculation-sheet'!M7*'Output-Calculation-sheet'!M124</f>
        <v>3771083750.6253595</v>
      </c>
      <c r="N151" s="2">
        <f>N8/'Output-Calculation-sheet'!N7*'Output-Calculation-sheet'!N124</f>
        <v>3701301361.5059018</v>
      </c>
      <c r="O151" s="2">
        <f>O8/'Output-Calculation-sheet'!O7*'Output-Calculation-sheet'!O124</f>
        <v>3627886610.8482089</v>
      </c>
      <c r="P151" s="2">
        <f>P8/'Output-Calculation-sheet'!P7*'Output-Calculation-sheet'!P124</f>
        <v>3369480801.923893</v>
      </c>
      <c r="Q151" s="2">
        <f>Q8/'Output-Calculation-sheet'!Q7*'Output-Calculation-sheet'!Q124</f>
        <v>3315018374.9454269</v>
      </c>
      <c r="R151" s="2">
        <f>R8/'Output-Calculation-sheet'!R7*'Output-Calculation-sheet'!R124</f>
        <v>3189206627.2023473</v>
      </c>
      <c r="S151" s="2">
        <f>S8/'Output-Calculation-sheet'!S7*'Output-Calculation-sheet'!S124</f>
        <v>2119705093.5817001</v>
      </c>
      <c r="T151" s="2">
        <f>T8/'Output-Calculation-sheet'!T7*'Output-Calculation-sheet'!T124</f>
        <v>1172316898.5449274</v>
      </c>
      <c r="U151" s="2">
        <f>U8/'Output-Calculation-sheet'!U7*'Output-Calculation-sheet'!U124</f>
        <v>1021049770.201367</v>
      </c>
      <c r="V151" s="2">
        <f>V8/'Output-Calculation-sheet'!V7*'Output-Calculation-sheet'!V124</f>
        <v>786225342.52913654</v>
      </c>
      <c r="W151" s="2">
        <f>W8/'Output-Calculation-sheet'!W7*'Output-Calculation-sheet'!W124</f>
        <v>680702255.66139138</v>
      </c>
      <c r="X151" s="2">
        <f>X8/'Output-Calculation-sheet'!X7*'Output-Calculation-sheet'!X124</f>
        <v>408419188.08836722</v>
      </c>
      <c r="Y151" s="2">
        <f>Y8/'Output-Calculation-sheet'!Y7*'Output-Calculation-sheet'!Y124</f>
        <v>397183815.14116514</v>
      </c>
      <c r="AA151" s="2">
        <f t="shared" si="13"/>
        <v>148248.54202426752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13179233037.749069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4786948540.5649519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113577.66397774519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4700243859.3590975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77075.399664829543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1664767944.1040967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1010071945.3225557</v>
      </c>
      <c r="N154" s="2">
        <f>N11/'Output-Calculation-sheet'!N10*'Output-Calculation-sheet'!N127</f>
        <v>1001276788.3300691</v>
      </c>
      <c r="O154" s="2">
        <f>O11/'Output-Calculation-sheet'!O10*'Output-Calculation-sheet'!O127</f>
        <v>4574180138.9540825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1214981650.1548505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540113386.23532164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41569.94173832902</v>
      </c>
    </row>
    <row r="155" spans="1:27" x14ac:dyDescent="0.25">
      <c r="A155" s="2">
        <v>2035</v>
      </c>
      <c r="B155" s="2">
        <f>B12/'Output-Calculation-sheet'!B11*'Output-Calculation-sheet'!B128</f>
        <v>6391131827.269887</v>
      </c>
      <c r="C155" s="2">
        <f>C12/'Output-Calculation-sheet'!C11*'Output-Calculation-sheet'!C128</f>
        <v>46785688.714999229</v>
      </c>
      <c r="D155" s="2">
        <f>D12/'Output-Calculation-sheet'!D11*'Output-Calculation-sheet'!D128</f>
        <v>3803466924.4448185</v>
      </c>
      <c r="E155" s="2">
        <f>E12/'Output-Calculation-sheet'!E11*'Output-Calculation-sheet'!E128</f>
        <v>1725726199.8247745</v>
      </c>
      <c r="F155" s="2">
        <f>F12/'Output-Calculation-sheet'!F11*'Output-Calculation-sheet'!F128</f>
        <v>1095609750.1467311</v>
      </c>
      <c r="G155" s="2">
        <f>G12/'Output-Calculation-sheet'!G11*'Output-Calculation-sheet'!G128</f>
        <v>979585725.97770059</v>
      </c>
      <c r="H155" s="2">
        <f>H12/'Output-Calculation-sheet'!H11*'Output-Calculation-sheet'!H128</f>
        <v>1563284351.7356849</v>
      </c>
      <c r="I155" s="2">
        <f>I12/'Output-Calculation-sheet'!I11*'Output-Calculation-sheet'!I128</f>
        <v>977049467.90663958</v>
      </c>
      <c r="J155" s="2">
        <f>J12/'Output-Calculation-sheet'!J11*'Output-Calculation-sheet'!J128</f>
        <v>933973832.91873574</v>
      </c>
      <c r="K155" s="2">
        <f>K12/'Output-Calculation-sheet'!K11*'Output-Calculation-sheet'!K128</f>
        <v>1061990477.155512</v>
      </c>
      <c r="L155" s="2">
        <f>L12/'Output-Calculation-sheet'!L11*'Output-Calculation-sheet'!L128</f>
        <v>770808852.27128196</v>
      </c>
      <c r="M155" s="2">
        <f>M12/'Output-Calculation-sheet'!M11*'Output-Calculation-sheet'!M128</f>
        <v>951976923.1317848</v>
      </c>
      <c r="N155" s="2">
        <f>N12/'Output-Calculation-sheet'!N11*'Output-Calculation-sheet'!N128</f>
        <v>926960419.68332756</v>
      </c>
      <c r="O155" s="2">
        <f>O12/'Output-Calculation-sheet'!O11*'Output-Calculation-sheet'!O128</f>
        <v>4321849982.282238</v>
      </c>
      <c r="P155" s="2">
        <f>P12/'Output-Calculation-sheet'!P11*'Output-Calculation-sheet'!P128</f>
        <v>511723588.37023729</v>
      </c>
      <c r="Q155" s="2">
        <f>Q12/'Output-Calculation-sheet'!Q11*'Output-Calculation-sheet'!Q128</f>
        <v>1144555153.2482934</v>
      </c>
      <c r="R155" s="2">
        <f>R12/'Output-Calculation-sheet'!R11*'Output-Calculation-sheet'!R128</f>
        <v>493681832.96594954</v>
      </c>
      <c r="S155" s="2">
        <f>S12/'Output-Calculation-sheet'!S11*'Output-Calculation-sheet'!S128</f>
        <v>494912467.84526157</v>
      </c>
      <c r="T155" s="2">
        <f>T12/'Output-Calculation-sheet'!T11*'Output-Calculation-sheet'!T128</f>
        <v>118074123.82826425</v>
      </c>
      <c r="U155" s="2">
        <f>U12/'Output-Calculation-sheet'!U11*'Output-Calculation-sheet'!U128</f>
        <v>228489428.16039976</v>
      </c>
      <c r="V155" s="2">
        <f>V12/'Output-Calculation-sheet'!V11*'Output-Calculation-sheet'!V128</f>
        <v>56971275.391227759</v>
      </c>
      <c r="W155" s="2">
        <f>W12/'Output-Calculation-sheet'!W11*'Output-Calculation-sheet'!W128</f>
        <v>52935128.524617128</v>
      </c>
      <c r="X155" s="2">
        <f>X12/'Output-Calculation-sheet'!X11*'Output-Calculation-sheet'!X128</f>
        <v>6512715.6696961699</v>
      </c>
      <c r="Y155" s="2">
        <f>Y12/'Output-Calculation-sheet'!Y11*'Output-Calculation-sheet'!Y128</f>
        <v>56941090.274488553</v>
      </c>
      <c r="AA155" s="2">
        <f t="shared" si="13"/>
        <v>28714.997227742559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1047.3376169085163</v>
      </c>
      <c r="C19" s="2">
        <f>C8/'Output-Calculation-sheet'!C7*'Output-Calculation-sheet'!C25</f>
        <v>7467.581542636698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4705.6579948492436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3266.3809772673144</v>
      </c>
      <c r="N19" s="2">
        <f>N8/'Output-Calculation-sheet'!N7*'Output-Calculation-sheet'!N25</f>
        <v>1116.8699778994621</v>
      </c>
      <c r="O19" s="2">
        <f>O8/'Output-Calculation-sheet'!O7*'Output-Calculation-sheet'!O25</f>
        <v>1218.3497253824889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398.90161827344735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172.44390305509523</v>
      </c>
      <c r="Y19" s="2">
        <f>Y8/'Output-Calculation-sheet'!Y7*'Output-Calculation-sheet'!Y25</f>
        <v>0</v>
      </c>
      <c r="AA19" s="2">
        <f t="shared" si="0"/>
        <v>19.393523356272272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5509.6969202146556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6210.3961901516595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4315.3551753463544</v>
      </c>
      <c r="N20" s="2">
        <f>N9/'Output-Calculation-sheet'!N8*'Output-Calculation-sheet'!N26</f>
        <v>1944.1433406615035</v>
      </c>
      <c r="O20" s="2">
        <f>O9/'Output-Calculation-sheet'!O8*'Output-Calculation-sheet'!O26</f>
        <v>2051.2792276040259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706.65857082358082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230.60663221837063</v>
      </c>
      <c r="Y20" s="2">
        <f>Y9/'Output-Calculation-sheet'!Y8*'Output-Calculation-sheet'!Y26</f>
        <v>0</v>
      </c>
      <c r="AA20" s="2">
        <f t="shared" si="0"/>
        <v>26.676256277049742</v>
      </c>
    </row>
    <row r="21" spans="1:27" x14ac:dyDescent="0.25">
      <c r="A21" s="2">
        <v>2033</v>
      </c>
      <c r="B21" s="2">
        <f>B10/'Output-Calculation-sheet'!B9*'Output-Calculation-sheet'!B27</f>
        <v>12974.849081736131</v>
      </c>
      <c r="C21" s="2">
        <f>C10/'Output-Calculation-sheet'!C9*'Output-Calculation-sheet'!C27</f>
        <v>5381.1353529682174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7522.3559064549445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5225.822513951628</v>
      </c>
      <c r="N21" s="2">
        <f>N10/'Output-Calculation-sheet'!N9*'Output-Calculation-sheet'!N27</f>
        <v>2850.7997472385846</v>
      </c>
      <c r="O21" s="2">
        <f>O10/'Output-Calculation-sheet'!O9*'Output-Calculation-sheet'!O27</f>
        <v>2233.75799450353</v>
      </c>
      <c r="P21" s="2">
        <f>P10/'Output-Calculation-sheet'!P9*'Output-Calculation-sheet'!P27</f>
        <v>0</v>
      </c>
      <c r="Q21" s="2">
        <f>Q10/'Output-Calculation-sheet'!Q9*'Output-Calculation-sheet'!Q27</f>
        <v>194.54691866222947</v>
      </c>
      <c r="R21" s="2">
        <f>R10/'Output-Calculation-sheet'!R9*'Output-Calculation-sheet'!R27</f>
        <v>0</v>
      </c>
      <c r="S21" s="2">
        <f>S10/'Output-Calculation-sheet'!S9*'Output-Calculation-sheet'!S27</f>
        <v>1242.7488319920594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331.20077362681695</v>
      </c>
      <c r="Y21" s="2">
        <f>Y10/'Output-Calculation-sheet'!Y9*'Output-Calculation-sheet'!Y27</f>
        <v>0</v>
      </c>
      <c r="AA21" s="2">
        <f t="shared" si="0"/>
        <v>37.95721712113415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5062.5372596658081</v>
      </c>
      <c r="D22" s="2">
        <f>D11/'Output-Calculation-sheet'!D10*'Output-Calculation-sheet'!D28</f>
        <v>0</v>
      </c>
      <c r="E22" s="2">
        <f>E11/'Output-Calculation-sheet'!E10*'Output-Calculation-sheet'!E28</f>
        <v>1208.0101940553207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8800.5022142613034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724.28386717404089</v>
      </c>
      <c r="M22" s="2">
        <f>M11/'Output-Calculation-sheet'!M10*'Output-Calculation-sheet'!M28</f>
        <v>6399.0116875873664</v>
      </c>
      <c r="N22" s="2">
        <f>N11/'Output-Calculation-sheet'!N10*'Output-Calculation-sheet'!N28</f>
        <v>3685.7631060841791</v>
      </c>
      <c r="O22" s="2">
        <f>O11/'Output-Calculation-sheet'!O10*'Output-Calculation-sheet'!O28</f>
        <v>2341.2987160442249</v>
      </c>
      <c r="P22" s="2">
        <f>P11/'Output-Calculation-sheet'!P10*'Output-Calculation-sheet'!P28</f>
        <v>0</v>
      </c>
      <c r="Q22" s="2">
        <f>Q11/'Output-Calculation-sheet'!Q10*'Output-Calculation-sheet'!Q28</f>
        <v>859.89916731547817</v>
      </c>
      <c r="R22" s="2">
        <f>R11/'Output-Calculation-sheet'!R10*'Output-Calculation-sheet'!R28</f>
        <v>0</v>
      </c>
      <c r="S22" s="2">
        <f>S11/'Output-Calculation-sheet'!S10*'Output-Calculation-sheet'!S28</f>
        <v>1912.3802270024839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65.956696893109253</v>
      </c>
      <c r="AA22" s="2">
        <f t="shared" si="0"/>
        <v>55.112026896651898</v>
      </c>
    </row>
    <row r="23" spans="1:27" x14ac:dyDescent="0.25">
      <c r="A23" s="2">
        <v>2035</v>
      </c>
      <c r="B23" s="2">
        <f>B12/'Output-Calculation-sheet'!B11*'Output-Calculation-sheet'!B29</f>
        <v>26654.51386966163</v>
      </c>
      <c r="C23" s="2">
        <f>C12/'Output-Calculation-sheet'!C11*'Output-Calculation-sheet'!C29</f>
        <v>137.94639801124586</v>
      </c>
      <c r="D23" s="2">
        <f>D12/'Output-Calculation-sheet'!D11*'Output-Calculation-sheet'!D29</f>
        <v>0</v>
      </c>
      <c r="E23" s="2">
        <f>E12/'Output-Calculation-sheet'!E11*'Output-Calculation-sheet'!E29</f>
        <v>4053.73781940544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8238.8120235890838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912.29541082807953</v>
      </c>
      <c r="M23" s="2">
        <f>M12/'Output-Calculation-sheet'!M11*'Output-Calculation-sheet'!M29</f>
        <v>6001.1909366273394</v>
      </c>
      <c r="N23" s="2">
        <f>N12/'Output-Calculation-sheet'!N11*'Output-Calculation-sheet'!N29</f>
        <v>3484.6054997337205</v>
      </c>
      <c r="O23" s="2">
        <f>O12/'Output-Calculation-sheet'!O11*'Output-Calculation-sheet'!O29</f>
        <v>2401.4642572187449</v>
      </c>
      <c r="P23" s="2">
        <f>P12/'Output-Calculation-sheet'!P11*'Output-Calculation-sheet'!P29</f>
        <v>419.18478607743725</v>
      </c>
      <c r="Q23" s="2">
        <f>Q12/'Output-Calculation-sheet'!Q11*'Output-Calculation-sheet'!Q29</f>
        <v>933.87661973645277</v>
      </c>
      <c r="R23" s="2">
        <f>R12/'Output-Calculation-sheet'!R11*'Output-Calculation-sheet'!R29</f>
        <v>0</v>
      </c>
      <c r="S23" s="2">
        <f>S12/'Output-Calculation-sheet'!S11*'Output-Calculation-sheet'!S29</f>
        <v>1892.9024383266617</v>
      </c>
      <c r="T23" s="2">
        <f>T12/'Output-Calculation-sheet'!T11*'Output-Calculation-sheet'!T29</f>
        <v>0</v>
      </c>
      <c r="U23" s="2">
        <f>U12/'Output-Calculation-sheet'!U11*'Output-Calculation-sheet'!U29</f>
        <v>83.345996689167052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61.834113419387542</v>
      </c>
      <c r="Y23" s="2">
        <f>Y12/'Output-Calculation-sheet'!Y11*'Output-Calculation-sheet'!Y29</f>
        <v>178.08059258667379</v>
      </c>
      <c r="AA23" s="2">
        <f t="shared" si="0"/>
        <v>55.453790761911065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18256.141807217089</v>
      </c>
      <c r="C30" s="2">
        <f>C8/'Output-Calculation-sheet'!C7*'Output-Calculation-sheet'!C16</f>
        <v>0</v>
      </c>
      <c r="D30" s="2">
        <f>D8/'Output-Calculation-sheet'!D7*'Output-Calculation-sheet'!D16</f>
        <v>3074.070023992012</v>
      </c>
      <c r="E30" s="2">
        <f>E8/'Output-Calculation-sheet'!E7*'Output-Calculation-sheet'!E16</f>
        <v>3307.5299172695659</v>
      </c>
      <c r="F30" s="2">
        <f>F8/'Output-Calculation-sheet'!F7*'Output-Calculation-sheet'!F16</f>
        <v>1668.693711818132</v>
      </c>
      <c r="G30" s="2">
        <f>G8/'Output-Calculation-sheet'!G7*'Output-Calculation-sheet'!G16</f>
        <v>1092.7816545593507</v>
      </c>
      <c r="H30" s="2">
        <f>H8/'Output-Calculation-sheet'!H7*'Output-Calculation-sheet'!H16</f>
        <v>0</v>
      </c>
      <c r="I30" s="2">
        <f>I8/'Output-Calculation-sheet'!I7*'Output-Calculation-sheet'!I16</f>
        <v>1065.3115059764084</v>
      </c>
      <c r="J30" s="2">
        <f>J8/'Output-Calculation-sheet'!J7*'Output-Calculation-sheet'!J16</f>
        <v>948.31902606091523</v>
      </c>
      <c r="K30" s="2">
        <f>K8/'Output-Calculation-sheet'!K7*'Output-Calculation-sheet'!K16</f>
        <v>1266.1882582167639</v>
      </c>
      <c r="L30" s="2">
        <f>L8/'Output-Calculation-sheet'!L7*'Output-Calculation-sheet'!L16</f>
        <v>1069.5181890015731</v>
      </c>
      <c r="M30" s="2">
        <f>M8/'Output-Calculation-sheet'!M7*'Output-Calculation-sheet'!M16</f>
        <v>0</v>
      </c>
      <c r="N30" s="2">
        <f>N8/'Output-Calculation-sheet'!N7*'Output-Calculation-sheet'!N16</f>
        <v>1520.2983471804782</v>
      </c>
      <c r="O30" s="2">
        <f>O8/'Output-Calculation-sheet'!O7*'Output-Calculation-sheet'!O16</f>
        <v>0</v>
      </c>
      <c r="P30" s="2">
        <f>P8/'Output-Calculation-sheet'!P7*'Output-Calculation-sheet'!P16</f>
        <v>1365.3783378439716</v>
      </c>
      <c r="Q30" s="2">
        <f>Q8/'Output-Calculation-sheet'!Q7*'Output-Calculation-sheet'!Q16</f>
        <v>1501.4722197065032</v>
      </c>
      <c r="R30" s="2">
        <f>R8/'Output-Calculation-sheet'!R7*'Output-Calculation-sheet'!R16</f>
        <v>952.68948872567637</v>
      </c>
      <c r="S30" s="2">
        <f>S8/'Output-Calculation-sheet'!S7*'Output-Calculation-sheet'!S16</f>
        <v>958.12767584795358</v>
      </c>
      <c r="T30" s="2">
        <f>T8/'Output-Calculation-sheet'!T7*'Output-Calculation-sheet'!T16</f>
        <v>285.98191224005194</v>
      </c>
      <c r="U30" s="2">
        <f>U8/'Output-Calculation-sheet'!U7*'Output-Calculation-sheet'!U16</f>
        <v>285.47203187433627</v>
      </c>
      <c r="V30" s="2">
        <f>V8/'Output-Calculation-sheet'!V7*'Output-Calculation-sheet'!V16</f>
        <v>222.17649114468159</v>
      </c>
      <c r="W30" s="2">
        <f>W8/'Output-Calculation-sheet'!W7*'Output-Calculation-sheet'!W16</f>
        <v>134.76291269304855</v>
      </c>
      <c r="X30" s="2">
        <f>X8/'Output-Calculation-sheet'!X7*'Output-Calculation-sheet'!X16</f>
        <v>0</v>
      </c>
      <c r="Y30" s="2">
        <f>Y8/'Output-Calculation-sheet'!Y7*'Output-Calculation-sheet'!Y16</f>
        <v>114.05944793649657</v>
      </c>
      <c r="AA30" s="2">
        <f t="shared" si="1"/>
        <v>39.088972959305003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1655.4103389925319</v>
      </c>
      <c r="O31" s="2">
        <f>O9/'Output-Calculation-sheet'!O8*'Output-Calculation-sheet'!O17</f>
        <v>0</v>
      </c>
      <c r="P31" s="2">
        <f>P9/'Output-Calculation-sheet'!P8*'Output-Calculation-sheet'!P17</f>
        <v>2049.4602490282246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1230.9840728122695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52.634182842877621</v>
      </c>
    </row>
    <row r="32" spans="1:27" x14ac:dyDescent="0.25">
      <c r="A32" s="2">
        <v>2033</v>
      </c>
      <c r="B32" s="2">
        <f>B10/'Output-Calculation-sheet'!B9*'Output-Calculation-sheet'!B18</f>
        <v>26418.624012340526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2516.2499255242064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1618.2947536657157</v>
      </c>
      <c r="O32" s="2">
        <f>O10/'Output-Calculation-sheet'!O9*'Output-Calculation-sheet'!O18</f>
        <v>0</v>
      </c>
      <c r="P32" s="2">
        <f>P10/'Output-Calculation-sheet'!P9*'Output-Calculation-sheet'!P18</f>
        <v>2589.7846234530139</v>
      </c>
      <c r="Q32" s="2">
        <f>Q10/'Output-Calculation-sheet'!Q9*'Output-Calculation-sheet'!Q18</f>
        <v>2820.3697129568427</v>
      </c>
      <c r="R32" s="2">
        <f>R10/'Output-Calculation-sheet'!R9*'Output-Calculation-sheet'!R18</f>
        <v>1859.7245150751296</v>
      </c>
      <c r="S32" s="2">
        <f>S10/'Output-Calculation-sheet'!S9*'Output-Calculation-sheet'!S18</f>
        <v>1217.9098102150892</v>
      </c>
      <c r="T32" s="2">
        <f>T10/'Output-Calculation-sheet'!T9*'Output-Calculation-sheet'!T18</f>
        <v>542.98027379044493</v>
      </c>
      <c r="U32" s="2">
        <f>U10/'Output-Calculation-sheet'!U9*'Output-Calculation-sheet'!U18</f>
        <v>600.26518790009868</v>
      </c>
      <c r="V32" s="2">
        <f>V10/'Output-Calculation-sheet'!V9*'Output-Calculation-sheet'!V18</f>
        <v>443.05700999059866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256.50736391799359</v>
      </c>
      <c r="AA32" s="2">
        <f t="shared" si="1"/>
        <v>63.458792905606451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7170.9680278052956</v>
      </c>
      <c r="E33" s="2">
        <f>E11/'Output-Calculation-sheet'!E10*'Output-Calculation-sheet'!E19</f>
        <v>8880.072088590714</v>
      </c>
      <c r="F33" s="2">
        <f>F11/'Output-Calculation-sheet'!F10*'Output-Calculation-sheet'!F19</f>
        <v>4070.1975128808631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2663.7642337041398</v>
      </c>
      <c r="J33" s="2">
        <f>J11/'Output-Calculation-sheet'!J10*'Output-Calculation-sheet'!J19</f>
        <v>2252.1590318503345</v>
      </c>
      <c r="K33" s="2">
        <f>K11/'Output-Calculation-sheet'!K10*'Output-Calculation-sheet'!K19</f>
        <v>3123.890819218077</v>
      </c>
      <c r="L33" s="2">
        <f>L11/'Output-Calculation-sheet'!L10*'Output-Calculation-sheet'!L19</f>
        <v>2541.483305469189</v>
      </c>
      <c r="M33" s="2">
        <f>M11/'Output-Calculation-sheet'!M10*'Output-Calculation-sheet'!M19</f>
        <v>0</v>
      </c>
      <c r="N33" s="2">
        <f>N11/'Output-Calculation-sheet'!N10*'Output-Calculation-sheet'!N19</f>
        <v>1445.1331393291223</v>
      </c>
      <c r="O33" s="2">
        <f>O11/'Output-Calculation-sheet'!O10*'Output-Calculation-sheet'!O19</f>
        <v>0</v>
      </c>
      <c r="P33" s="2">
        <f>P11/'Output-Calculation-sheet'!P10*'Output-Calculation-sheet'!P19</f>
        <v>3159.9983848714878</v>
      </c>
      <c r="Q33" s="2">
        <f>Q11/'Output-Calculation-sheet'!Q10*'Output-Calculation-sheet'!Q19</f>
        <v>2581.929880397518</v>
      </c>
      <c r="R33" s="2">
        <f>R11/'Output-Calculation-sheet'!R10*'Output-Calculation-sheet'!R19</f>
        <v>2256.5681238365678</v>
      </c>
      <c r="S33" s="2">
        <f>S11/'Output-Calculation-sheet'!S10*'Output-Calculation-sheet'!S19</f>
        <v>1051.2176635385624</v>
      </c>
      <c r="T33" s="2">
        <f>T11/'Output-Calculation-sheet'!T10*'Output-Calculation-sheet'!T19</f>
        <v>662.12115766023408</v>
      </c>
      <c r="U33" s="2">
        <f>U11/'Output-Calculation-sheet'!U10*'Output-Calculation-sheet'!U19</f>
        <v>761.57308525246344</v>
      </c>
      <c r="V33" s="2">
        <f>V11/'Output-Calculation-sheet'!V10*'Output-Calculation-sheet'!V19</f>
        <v>519.34996039323437</v>
      </c>
      <c r="W33" s="2">
        <f>W11/'Output-Calculation-sheet'!W10*'Output-Calculation-sheet'!W19</f>
        <v>323.34051321026772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70.23441582485637</v>
      </c>
    </row>
    <row r="34" spans="1:27" x14ac:dyDescent="0.25">
      <c r="A34" s="2">
        <v>2035</v>
      </c>
      <c r="B34" s="2">
        <f>B12/'Output-Calculation-sheet'!B11*'Output-Calculation-sheet'!B20</f>
        <v>20990.479426928399</v>
      </c>
      <c r="C34" s="2">
        <f>C12/'Output-Calculation-sheet'!C11*'Output-Calculation-sheet'!C20</f>
        <v>0</v>
      </c>
      <c r="D34" s="2">
        <f>D12/'Output-Calculation-sheet'!D11*'Output-Calculation-sheet'!D20</f>
        <v>6573.2948416601421</v>
      </c>
      <c r="E34" s="2">
        <f>E12/'Output-Calculation-sheet'!E11*'Output-Calculation-sheet'!E20</f>
        <v>7242.4387464341498</v>
      </c>
      <c r="F34" s="2">
        <f>F12/'Output-Calculation-sheet'!F11*'Output-Calculation-sheet'!F20</f>
        <v>4482.5198401496491</v>
      </c>
      <c r="G34" s="2">
        <f>G12/'Output-Calculation-sheet'!G11*'Output-Calculation-sheet'!G20</f>
        <v>2421.0641003311812</v>
      </c>
      <c r="H34" s="2">
        <f>H12/'Output-Calculation-sheet'!H11*'Output-Calculation-sheet'!H20</f>
        <v>0</v>
      </c>
      <c r="I34" s="2">
        <f>I12/'Output-Calculation-sheet'!I11*'Output-Calculation-sheet'!I20</f>
        <v>2637.0223608236765</v>
      </c>
      <c r="J34" s="2">
        <f>J12/'Output-Calculation-sheet'!J11*'Output-Calculation-sheet'!J20</f>
        <v>2259.7533714394372</v>
      </c>
      <c r="K34" s="2">
        <f>K12/'Output-Calculation-sheet'!K11*'Output-Calculation-sheet'!K20</f>
        <v>2970.2181379531448</v>
      </c>
      <c r="L34" s="2">
        <f>L12/'Output-Calculation-sheet'!L11*'Output-Calculation-sheet'!L20</f>
        <v>2351.7244468627168</v>
      </c>
      <c r="M34" s="2">
        <f>M12/'Output-Calculation-sheet'!M11*'Output-Calculation-sheet'!M20</f>
        <v>0</v>
      </c>
      <c r="N34" s="2">
        <f>N12/'Output-Calculation-sheet'!N11*'Output-Calculation-sheet'!N20</f>
        <v>1310.6358872581945</v>
      </c>
      <c r="O34" s="2">
        <f>O12/'Output-Calculation-sheet'!O11*'Output-Calculation-sheet'!O20</f>
        <v>0</v>
      </c>
      <c r="P34" s="2">
        <f>P12/'Output-Calculation-sheet'!P11*'Output-Calculation-sheet'!P20</f>
        <v>2932.8370297899137</v>
      </c>
      <c r="Q34" s="2">
        <f>Q12/'Output-Calculation-sheet'!Q11*'Output-Calculation-sheet'!Q20</f>
        <v>2311.2813731586248</v>
      </c>
      <c r="R34" s="2">
        <f>R12/'Output-Calculation-sheet'!R11*'Output-Calculation-sheet'!R20</f>
        <v>2332.3387846245796</v>
      </c>
      <c r="S34" s="2">
        <f>S12/'Output-Calculation-sheet'!S11*'Output-Calculation-sheet'!S20</f>
        <v>900.84259406488206</v>
      </c>
      <c r="T34" s="2">
        <f>T12/'Output-Calculation-sheet'!T11*'Output-Calculation-sheet'!T20</f>
        <v>727.92707201987537</v>
      </c>
      <c r="U34" s="2">
        <f>U12/'Output-Calculation-sheet'!U11*'Output-Calculation-sheet'!U20</f>
        <v>666.36381932644611</v>
      </c>
      <c r="V34" s="2">
        <f>V12/'Output-Calculation-sheet'!V11*'Output-Calculation-sheet'!V20</f>
        <v>610.51055586201551</v>
      </c>
      <c r="W34" s="2">
        <f>W12/'Output-Calculation-sheet'!W11*'Output-Calculation-sheet'!W20</f>
        <v>394.82382415211833</v>
      </c>
      <c r="X34" s="2">
        <f>X12/'Output-Calculation-sheet'!X11*'Output-Calculation-sheet'!X20</f>
        <v>0.93191718833486448</v>
      </c>
      <c r="Y34" s="2">
        <f>Y12/'Output-Calculation-sheet'!Y11*'Output-Calculation-sheet'!Y20</f>
        <v>220.13598839225014</v>
      </c>
      <c r="AA34" s="2">
        <f t="shared" si="1"/>
        <v>64.337144118419744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3.8665332841596123E-2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3.8665332841596123E-2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0.4282812255212522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0.4282812255212522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0.54414269419897876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0.54414269419897876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4.6939649861008577E-2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1.0766349082903063E-2</v>
      </c>
      <c r="N44" s="2">
        <f>N11/'Output-Calculation-sheet'!N10*'Output-Calculation-sheet'!N37*0.0114</f>
        <v>1.0581575116514417E-2</v>
      </c>
      <c r="O44" s="2">
        <f>O11/'Output-Calculation-sheet'!O10*'Output-Calculation-sheet'!O37*0.0114</f>
        <v>0.61222154283107688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2.7813239718420212E-2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6.0657241507394008E-3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0.71438808076066251</v>
      </c>
    </row>
    <row r="45" spans="1:27" x14ac:dyDescent="0.25">
      <c r="A45" s="2">
        <v>2035</v>
      </c>
      <c r="B45" s="2">
        <f>B12/'Output-Calculation-sheet'!B11*'Output-Calculation-sheet'!B38*0.0114</f>
        <v>0.49002340947018613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0.16373318611249019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0.20046388670428075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3.9471714929726807E-2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4.1559402247328833E-2</v>
      </c>
      <c r="M45" s="2">
        <f>M12/'Output-Calculation-sheet'!M11*'Output-Calculation-sheet'!M38*0.0114</f>
        <v>0.11823313980204202</v>
      </c>
      <c r="N45" s="2">
        <f>N12/'Output-Calculation-sheet'!N11*'Output-Calculation-sheet'!N38*0.0114</f>
        <v>8.7153001480097164E-2</v>
      </c>
      <c r="O45" s="2">
        <f>O12/'Output-Calculation-sheet'!O11*'Output-Calculation-sheet'!O38*0.0114</f>
        <v>0.61449075092497041</v>
      </c>
      <c r="P45" s="2">
        <f>P12/'Output-Calculation-sheet'!P11*'Output-Calculation-sheet'!P38*0.0114</f>
        <v>5.3676043236442018E-2</v>
      </c>
      <c r="Q45" s="2">
        <f>Q12/'Output-Calculation-sheet'!Q11*'Output-Calculation-sheet'!Q38*0.0114</f>
        <v>7.6359372955817711E-2</v>
      </c>
      <c r="R45" s="2">
        <f>R12/'Output-Calculation-sheet'!R11*'Output-Calculation-sheet'!R38*0.0114</f>
        <v>3.3655426713450204E-2</v>
      </c>
      <c r="S45" s="2">
        <f>S12/'Output-Calculation-sheet'!S11*'Output-Calculation-sheet'!S38*0.0114</f>
        <v>3.8857084869628689E-2</v>
      </c>
      <c r="T45" s="2">
        <f>T12/'Output-Calculation-sheet'!T11*'Output-Calculation-sheet'!T38*0.0114</f>
        <v>9.3384300412508673E-3</v>
      </c>
      <c r="U45" s="2">
        <f>U12/'Output-Calculation-sheet'!U11*'Output-Calculation-sheet'!U38*0.0114</f>
        <v>1.3535128468120418E-2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6.2583523477099971E-3</v>
      </c>
      <c r="AA45" s="2">
        <f t="shared" si="2"/>
        <v>2.4461531999974913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2885.0122971770174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6645.2709830961103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4544.8580530087056</v>
      </c>
      <c r="N52" s="2">
        <f>N8/'Output-Calculation-sheet'!N7*'Output-Calculation-sheet'!N43</f>
        <v>143.56461103305807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30.730239102893762</v>
      </c>
      <c r="Y52" s="2">
        <f>Y8/'Output-Calculation-sheet'!Y7*'Output-Calculation-sheet'!Y43</f>
        <v>0</v>
      </c>
      <c r="AA52" s="2">
        <f t="shared" si="3"/>
        <v>14.249436183417785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478.84784037164405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12411.718516886041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8500.4840276947707</v>
      </c>
      <c r="N53" s="2">
        <f>N9/'Output-Calculation-sheet'!N8*'Output-Calculation-sheet'!N44</f>
        <v>3013.636266975785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940.68537819874018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259.44961969216513</v>
      </c>
      <c r="Y53" s="2">
        <f>Y9/'Output-Calculation-sheet'!Y8*'Output-Calculation-sheet'!Y44</f>
        <v>0</v>
      </c>
      <c r="AA53" s="2">
        <f t="shared" si="3"/>
        <v>25.738534962454658</v>
      </c>
    </row>
    <row r="54" spans="1:27" x14ac:dyDescent="0.25">
      <c r="A54" s="2">
        <v>2033</v>
      </c>
      <c r="B54" s="2">
        <f>B10/'Output-Calculation-sheet'!B9*'Output-Calculation-sheet'!B45</f>
        <v>24867.42785291827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18129.016313647589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12426.412618461278</v>
      </c>
      <c r="N54" s="2">
        <f>N10/'Output-Calculation-sheet'!N9*'Output-Calculation-sheet'!N45</f>
        <v>6934.1344056793469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728.02893327616289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697.4904327459368</v>
      </c>
      <c r="Y54" s="2">
        <f>Y10/'Output-Calculation-sheet'!Y9*'Output-Calculation-sheet'!Y45</f>
        <v>15.3849510707853</v>
      </c>
      <c r="AA54" s="2">
        <f t="shared" si="3"/>
        <v>75.008155353742268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20426.982715830134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2959.5618667320114</v>
      </c>
      <c r="L55" s="2">
        <f>L11/'Output-Calculation-sheet'!L10*'Output-Calculation-sheet'!L46</f>
        <v>1093.4961797484236</v>
      </c>
      <c r="M55" s="2">
        <f>M11/'Output-Calculation-sheet'!M10*'Output-Calculation-sheet'!M46</f>
        <v>14340.965861744124</v>
      </c>
      <c r="N55" s="2">
        <f>N11/'Output-Calculation-sheet'!N10*'Output-Calculation-sheet'!N46</f>
        <v>10574.149449765986</v>
      </c>
      <c r="O55" s="2">
        <f>O11/'Output-Calculation-sheet'!O10*'Output-Calculation-sheet'!O46</f>
        <v>235.60308382859776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2392.5892178828144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5361.2488195482629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164.89151447194763</v>
      </c>
    </row>
    <row r="56" spans="1:27" x14ac:dyDescent="0.25">
      <c r="A56" s="2">
        <v>2035</v>
      </c>
      <c r="B56" s="2">
        <f>B12/'Output-Calculation-sheet'!B11*'Output-Calculation-sheet'!B47</f>
        <v>79667.490097547619</v>
      </c>
      <c r="C56" s="2">
        <f>C12/'Output-Calculation-sheet'!C11*'Output-Calculation-sheet'!C47</f>
        <v>273.37933822626223</v>
      </c>
      <c r="D56" s="2">
        <f>D12/'Output-Calculation-sheet'!D11*'Output-Calculation-sheet'!D47</f>
        <v>6412.0008518001741</v>
      </c>
      <c r="E56" s="2">
        <f>E12/'Output-Calculation-sheet'!E11*'Output-Calculation-sheet'!E47</f>
        <v>17711.909220519552</v>
      </c>
      <c r="F56" s="2">
        <f>F12/'Output-Calculation-sheet'!F11*'Output-Calculation-sheet'!F47</f>
        <v>2092.0572176289506</v>
      </c>
      <c r="G56" s="2">
        <f>G12/'Output-Calculation-sheet'!G11*'Output-Calculation-sheet'!G47</f>
        <v>5025.5369613444955</v>
      </c>
      <c r="H56" s="2">
        <f>H12/'Output-Calculation-sheet'!H11*'Output-Calculation-sheet'!H47</f>
        <v>19015.180330927986</v>
      </c>
      <c r="I56" s="2">
        <f>I12/'Output-Calculation-sheet'!I11*'Output-Calculation-sheet'!I47</f>
        <v>2500.3155111083429</v>
      </c>
      <c r="J56" s="2">
        <f>J12/'Output-Calculation-sheet'!J11*'Output-Calculation-sheet'!J47</f>
        <v>2295.5918419656905</v>
      </c>
      <c r="K56" s="2">
        <f>K12/'Output-Calculation-sheet'!K11*'Output-Calculation-sheet'!K47</f>
        <v>3267.762151831369</v>
      </c>
      <c r="L56" s="2">
        <f>L12/'Output-Calculation-sheet'!L11*'Output-Calculation-sheet'!L47</f>
        <v>1793.6163075162967</v>
      </c>
      <c r="M56" s="2">
        <f>M12/'Output-Calculation-sheet'!M11*'Output-Calculation-sheet'!M47</f>
        <v>13209.614829929898</v>
      </c>
      <c r="N56" s="2">
        <f>N12/'Output-Calculation-sheet'!N11*'Output-Calculation-sheet'!N47</f>
        <v>9950.392391207195</v>
      </c>
      <c r="O56" s="2">
        <f>O12/'Output-Calculation-sheet'!O11*'Output-Calculation-sheet'!O47</f>
        <v>978.96810809125191</v>
      </c>
      <c r="P56" s="2">
        <f>P12/'Output-Calculation-sheet'!P11*'Output-Calculation-sheet'!P47</f>
        <v>5243.6158027179181</v>
      </c>
      <c r="Q56" s="2">
        <f>Q12/'Output-Calculation-sheet'!Q11*'Output-Calculation-sheet'!Q47</f>
        <v>2517.7754260188235</v>
      </c>
      <c r="R56" s="2">
        <f>R12/'Output-Calculation-sheet'!R11*'Output-Calculation-sheet'!R47</f>
        <v>3868.159899236678</v>
      </c>
      <c r="S56" s="2">
        <f>S12/'Output-Calculation-sheet'!S11*'Output-Calculation-sheet'!S47</f>
        <v>5142.4771091246685</v>
      </c>
      <c r="T56" s="2">
        <f>T12/'Output-Calculation-sheet'!T11*'Output-Calculation-sheet'!T47</f>
        <v>1346.4268577019891</v>
      </c>
      <c r="U56" s="2">
        <f>U12/'Output-Calculation-sheet'!U11*'Output-Calculation-sheet'!U47</f>
        <v>1301.034541698803</v>
      </c>
      <c r="V56" s="2">
        <f>V12/'Output-Calculation-sheet'!V11*'Output-Calculation-sheet'!V47</f>
        <v>908.54798582822104</v>
      </c>
      <c r="W56" s="2">
        <f>W12/'Output-Calculation-sheet'!W11*'Output-Calculation-sheet'!W47</f>
        <v>525.28637803391905</v>
      </c>
      <c r="X56" s="2">
        <f>X12/'Output-Calculation-sheet'!X11*'Output-Calculation-sheet'!X47</f>
        <v>105.90614501679148</v>
      </c>
      <c r="Y56" s="2">
        <f>Y12/'Output-Calculation-sheet'!Y11*'Output-Calculation-sheet'!Y47</f>
        <v>698.0258780801106</v>
      </c>
      <c r="AA56" s="2">
        <f t="shared" si="3"/>
        <v>185.85107118310304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6.9403508021496512</v>
      </c>
      <c r="C63" s="2">
        <f>C8*'Output-Calculation-sheet'!C52/10^9</f>
        <v>3.7722526189312915</v>
      </c>
      <c r="D63" s="2">
        <f>D8*'Output-Calculation-sheet'!D52/10^9</f>
        <v>1.6250182488743328</v>
      </c>
      <c r="E63" s="2">
        <f>E8*'Output-Calculation-sheet'!E52/10^9</f>
        <v>1.859092506137654</v>
      </c>
      <c r="F63" s="2">
        <f>F8*'Output-Calculation-sheet'!F52/10^9</f>
        <v>0.86900631437631926</v>
      </c>
      <c r="G63" s="2">
        <f>G8*'Output-Calculation-sheet'!G52/10^9</f>
        <v>0.66284819311315568</v>
      </c>
      <c r="H63" s="2">
        <f>H8*'Output-Calculation-sheet'!H52/10^9</f>
        <v>0.99076032521032575</v>
      </c>
      <c r="I63" s="2">
        <f>I8*'Output-Calculation-sheet'!I52/10^9</f>
        <v>0.52360602537182577</v>
      </c>
      <c r="J63" s="2">
        <f>J8*'Output-Calculation-sheet'!J52/10^9</f>
        <v>0.74020498290120174</v>
      </c>
      <c r="K63" s="2">
        <f>K8*'Output-Calculation-sheet'!K52/10^9</f>
        <v>0.48590822602808081</v>
      </c>
      <c r="L63" s="2">
        <f>L8*'Output-Calculation-sheet'!L52/10^9</f>
        <v>0.57529542937420286</v>
      </c>
      <c r="M63" s="2">
        <f>M8*'Output-Calculation-sheet'!M52/10^9</f>
        <v>0.72541124302136706</v>
      </c>
      <c r="N63" s="2">
        <f>N8*'Output-Calculation-sheet'!N52/10^9</f>
        <v>0.57843984315182706</v>
      </c>
      <c r="O63" s="2">
        <f>O8*'Output-Calculation-sheet'!O52/10^9</f>
        <v>0.68533390559332208</v>
      </c>
      <c r="P63" s="2">
        <f>P8*'Output-Calculation-sheet'!P52/10^9</f>
        <v>0.49417703701726318</v>
      </c>
      <c r="Q63" s="2">
        <f>Q8*'Output-Calculation-sheet'!Q52/10^9</f>
        <v>0.46095966895273388</v>
      </c>
      <c r="R63" s="2">
        <f>R8*'Output-Calculation-sheet'!R52/10^9</f>
        <v>0.41752182015460049</v>
      </c>
      <c r="S63" s="2">
        <f>S8*'Output-Calculation-sheet'!S52/10^9</f>
        <v>0.35425173489623063</v>
      </c>
      <c r="T63" s="2">
        <f>T8*'Output-Calculation-sheet'!T52/10^9</f>
        <v>0.16958092657343882</v>
      </c>
      <c r="U63" s="2">
        <f>U8*'Output-Calculation-sheet'!U52/10^9</f>
        <v>0.13224763220104022</v>
      </c>
      <c r="V63" s="2">
        <f>V8*'Output-Calculation-sheet'!V52/10^9</f>
        <v>0.21896262992917337</v>
      </c>
      <c r="W63" s="2">
        <f>W8*'Output-Calculation-sheet'!W52/10^9</f>
        <v>9.1886669258332193E-2</v>
      </c>
      <c r="X63" s="2">
        <f>X8*'Output-Calculation-sheet'!X52/10^9</f>
        <v>9.6683778317172953E-2</v>
      </c>
      <c r="Y63" s="2">
        <f>Y8*'Output-Calculation-sheet'!Y52/10^9</f>
        <v>5.3061135780667359E-2</v>
      </c>
      <c r="AA63" s="2">
        <f t="shared" si="4"/>
        <v>23.522861697315204</v>
      </c>
    </row>
    <row r="64" spans="1:27" x14ac:dyDescent="0.25">
      <c r="A64" s="2">
        <v>2032</v>
      </c>
      <c r="B64" s="2">
        <f>B9*'Output-Calculation-sheet'!B53/10^9</f>
        <v>7.0226362140499115</v>
      </c>
      <c r="C64" s="2">
        <f>C9*'Output-Calculation-sheet'!C53/10^9</f>
        <v>4.1480756568985502</v>
      </c>
      <c r="D64" s="2">
        <f>D9*'Output-Calculation-sheet'!D53/10^9</f>
        <v>1.4746600762101705</v>
      </c>
      <c r="E64" s="2">
        <f>E9*'Output-Calculation-sheet'!E53/10^9</f>
        <v>1.7218380964177802</v>
      </c>
      <c r="F64" s="2">
        <f>F9*'Output-Calculation-sheet'!F53/10^9</f>
        <v>0.79012244784691454</v>
      </c>
      <c r="G64" s="2">
        <f>G9*'Output-Calculation-sheet'!G53/10^9</f>
        <v>0.59161101885749923</v>
      </c>
      <c r="H64" s="2">
        <f>H9*'Output-Calculation-sheet'!H53/10^9</f>
        <v>1.1017815946636074</v>
      </c>
      <c r="I64" s="2">
        <f>I9*'Output-Calculation-sheet'!I53/10^9</f>
        <v>0.47975595534845134</v>
      </c>
      <c r="J64" s="2">
        <f>J9*'Output-Calculation-sheet'!J53/10^9</f>
        <v>0.64393482100689259</v>
      </c>
      <c r="K64" s="2">
        <f>K9*'Output-Calculation-sheet'!K53/10^9</f>
        <v>0.47536795730314951</v>
      </c>
      <c r="L64" s="2">
        <f>L9*'Output-Calculation-sheet'!L53/10^9</f>
        <v>0.53368185875669982</v>
      </c>
      <c r="M64" s="2">
        <f>M9*'Output-Calculation-sheet'!M53/10^9</f>
        <v>0.79451337892122409</v>
      </c>
      <c r="N64" s="2">
        <f>N9*'Output-Calculation-sheet'!N53/10^9</f>
        <v>0.64939006222022821</v>
      </c>
      <c r="O64" s="2">
        <f>O9*'Output-Calculation-sheet'!O53/10^9</f>
        <v>0.76712576289287293</v>
      </c>
      <c r="P64" s="2">
        <f>P9*'Output-Calculation-sheet'!P53/10^9</f>
        <v>0.50724383960837915</v>
      </c>
      <c r="Q64" s="2">
        <f>Q9*'Output-Calculation-sheet'!Q53/10^9</f>
        <v>0.48113465777958531</v>
      </c>
      <c r="R64" s="2">
        <f>R9*'Output-Calculation-sheet'!R53/10^9</f>
        <v>0.40931051663629064</v>
      </c>
      <c r="S64" s="2">
        <f>S9*'Output-Calculation-sheet'!S53/10^9</f>
        <v>0.38480761962490745</v>
      </c>
      <c r="T64" s="2">
        <f>T9*'Output-Calculation-sheet'!T53/10^9</f>
        <v>0.15300803498112539</v>
      </c>
      <c r="U64" s="2">
        <f>U9*'Output-Calculation-sheet'!U53/10^9</f>
        <v>0.13036203252024572</v>
      </c>
      <c r="V64" s="2">
        <f>V9*'Output-Calculation-sheet'!V53/10^9</f>
        <v>0.18999802481126019</v>
      </c>
      <c r="W64" s="2">
        <f>W9*'Output-Calculation-sheet'!W53/10^9</f>
        <v>8.0983484508992204E-2</v>
      </c>
      <c r="X64" s="2">
        <f>X9*'Output-Calculation-sheet'!X53/10^9</f>
        <v>0.10340805241246544</v>
      </c>
      <c r="Y64" s="2">
        <f>Y9*'Output-Calculation-sheet'!Y53/10^9</f>
        <v>5.1510029082933097E-2</v>
      </c>
      <c r="AA64" s="2">
        <f t="shared" si="4"/>
        <v>23.686261193360139</v>
      </c>
    </row>
    <row r="65" spans="1:27" x14ac:dyDescent="0.25">
      <c r="A65" s="2">
        <v>2033</v>
      </c>
      <c r="B65" s="2">
        <f>B10*'Output-Calculation-sheet'!B54/10^9</f>
        <v>7.0780513068101909</v>
      </c>
      <c r="C65" s="2">
        <f>C10*'Output-Calculation-sheet'!C54/10^9</f>
        <v>4.37300610645595</v>
      </c>
      <c r="D65" s="2">
        <f>D10*'Output-Calculation-sheet'!D54/10^9</f>
        <v>1.2616488465906328</v>
      </c>
      <c r="E65" s="2">
        <f>E10*'Output-Calculation-sheet'!E54/10^9</f>
        <v>1.6067265077698119</v>
      </c>
      <c r="F65" s="2">
        <f>F10*'Output-Calculation-sheet'!F54/10^9</f>
        <v>0.69042345655978055</v>
      </c>
      <c r="G65" s="2">
        <f>G10*'Output-Calculation-sheet'!G54/10^9</f>
        <v>0.49154806174024818</v>
      </c>
      <c r="H65" s="2">
        <f>H10*'Output-Calculation-sheet'!H54/10^9</f>
        <v>1.1550234061400306</v>
      </c>
      <c r="I65" s="2">
        <f>I10*'Output-Calculation-sheet'!I54/10^9</f>
        <v>0.43098505088930977</v>
      </c>
      <c r="J65" s="2">
        <f>J10*'Output-Calculation-sheet'!J54/10^9</f>
        <v>0.50992311668334966</v>
      </c>
      <c r="K65" s="2">
        <f>K10*'Output-Calculation-sheet'!K54/10^9</f>
        <v>0.4771882555963185</v>
      </c>
      <c r="L65" s="2">
        <f>L10*'Output-Calculation-sheet'!L54/10^9</f>
        <v>0.49211022930769033</v>
      </c>
      <c r="M65" s="2">
        <f>M10*'Output-Calculation-sheet'!M54/10^9</f>
        <v>0.82126094634877844</v>
      </c>
      <c r="N65" s="2">
        <f>N10*'Output-Calculation-sheet'!N54/10^9</f>
        <v>0.69981356123599114</v>
      </c>
      <c r="O65" s="2">
        <f>O10*'Output-Calculation-sheet'!O54/10^9</f>
        <v>0.81427540969022039</v>
      </c>
      <c r="P65" s="2">
        <f>P10*'Output-Calculation-sheet'!P54/10^9</f>
        <v>0.5162255960437151</v>
      </c>
      <c r="Q65" s="2">
        <f>Q10*'Output-Calculation-sheet'!Q54/10^9</f>
        <v>0.50944589954285646</v>
      </c>
      <c r="R65" s="2">
        <f>R10*'Output-Calculation-sheet'!R54/10^9</f>
        <v>0.40383588800293618</v>
      </c>
      <c r="S65" s="2">
        <f>S10*'Output-Calculation-sheet'!S54/10^9</f>
        <v>0.40532208758796057</v>
      </c>
      <c r="T65" s="2">
        <f>T10*'Output-Calculation-sheet'!T54/10^9</f>
        <v>0.13675679579945596</v>
      </c>
      <c r="U65" s="2">
        <f>U10*'Output-Calculation-sheet'!U54/10^9</f>
        <v>0.13134508321449617</v>
      </c>
      <c r="V65" s="2">
        <f>V10*'Output-Calculation-sheet'!V54/10^9</f>
        <v>0.1547617148701686</v>
      </c>
      <c r="W65" s="2">
        <f>W10*'Output-Calculation-sheet'!W54/10^9</f>
        <v>6.6139562080145251E-2</v>
      </c>
      <c r="X65" s="2">
        <f>X10*'Output-Calculation-sheet'!X54/10^9</f>
        <v>0.10549001020705071</v>
      </c>
      <c r="Y65" s="2">
        <f>Y10*'Output-Calculation-sheet'!Y54/10^9</f>
        <v>5.130848863770434E-2</v>
      </c>
      <c r="AA65" s="2">
        <f t="shared" si="4"/>
        <v>23.382615387804798</v>
      </c>
    </row>
    <row r="66" spans="1:27" x14ac:dyDescent="0.25">
      <c r="A66" s="2">
        <v>2034</v>
      </c>
      <c r="B66" s="2">
        <f>B11*'Output-Calculation-sheet'!B55/10^9</f>
        <v>7.0288363561864786</v>
      </c>
      <c r="C66" s="2">
        <f>C11*'Output-Calculation-sheet'!C55/10^9</f>
        <v>4.4073012394712476</v>
      </c>
      <c r="D66" s="2">
        <f>D11*'Output-Calculation-sheet'!D55/10^9</f>
        <v>1.2716150958270827</v>
      </c>
      <c r="E66" s="2">
        <f>E11*'Output-Calculation-sheet'!E55/10^9</f>
        <v>1.6469899604896177</v>
      </c>
      <c r="F66" s="2">
        <f>F11*'Output-Calculation-sheet'!F55/10^9</f>
        <v>0.64822175895748546</v>
      </c>
      <c r="G66" s="2">
        <f>G11*'Output-Calculation-sheet'!G55/10^9</f>
        <v>0.47285259835210486</v>
      </c>
      <c r="H66" s="2">
        <f>H11*'Output-Calculation-sheet'!H55/10^9</f>
        <v>1.1799376106934296</v>
      </c>
      <c r="I66" s="2">
        <f>I11*'Output-Calculation-sheet'!I55/10^9</f>
        <v>0.43956562742166699</v>
      </c>
      <c r="J66" s="2">
        <f>J11*'Output-Calculation-sheet'!J55/10^9</f>
        <v>0.44256004793722975</v>
      </c>
      <c r="K66" s="2">
        <f>K11*'Output-Calculation-sheet'!K55/10^9</f>
        <v>0.50392652259292436</v>
      </c>
      <c r="L66" s="2">
        <f>L11*'Output-Calculation-sheet'!L55/10^9</f>
        <v>0.48853979800213077</v>
      </c>
      <c r="M66" s="2">
        <f>M11*'Output-Calculation-sheet'!M55/10^9</f>
        <v>0.82875656053572855</v>
      </c>
      <c r="N66" s="2">
        <f>N11*'Output-Calculation-sheet'!N55/10^9</f>
        <v>0.72066870436348585</v>
      </c>
      <c r="O66" s="2">
        <f>O11*'Output-Calculation-sheet'!O55/10^9</f>
        <v>0.82203317883478044</v>
      </c>
      <c r="P66" s="2">
        <f>P11*'Output-Calculation-sheet'!P55/10^9</f>
        <v>0.52711134666006554</v>
      </c>
      <c r="Q66" s="2">
        <f>Q11*'Output-Calculation-sheet'!Q55/10^9</f>
        <v>0.54217979271720462</v>
      </c>
      <c r="R66" s="2">
        <f>R11*'Output-Calculation-sheet'!R55/10^9</f>
        <v>0.4011386991768443</v>
      </c>
      <c r="S66" s="2">
        <f>S11*'Output-Calculation-sheet'!S55/10^9</f>
        <v>0.4164151455173834</v>
      </c>
      <c r="T66" s="2">
        <f>T11*'Output-Calculation-sheet'!T55/10^9</f>
        <v>0.12569068509102391</v>
      </c>
      <c r="U66" s="2">
        <f>U11*'Output-Calculation-sheet'!U55/10^9</f>
        <v>0.13679573361194416</v>
      </c>
      <c r="V66" s="2">
        <f>V11*'Output-Calculation-sheet'!V55/10^9</f>
        <v>0.11878600348502992</v>
      </c>
      <c r="W66" s="2">
        <f>W11*'Output-Calculation-sheet'!W55/10^9</f>
        <v>5.8194706006035567E-2</v>
      </c>
      <c r="X66" s="2">
        <f>X11*'Output-Calculation-sheet'!X55/10^9</f>
        <v>0.10279298871965825</v>
      </c>
      <c r="Y66" s="2">
        <f>Y11*'Output-Calculation-sheet'!Y55/10^9</f>
        <v>5.5837243868767893E-2</v>
      </c>
      <c r="AA66" s="2">
        <f t="shared" si="4"/>
        <v>23.386747404519351</v>
      </c>
    </row>
    <row r="67" spans="1:27" x14ac:dyDescent="0.25">
      <c r="A67" s="2">
        <v>2035</v>
      </c>
      <c r="B67" s="2">
        <f>B12*'Output-Calculation-sheet'!B56/10^9</f>
        <v>7.0460271285714464</v>
      </c>
      <c r="C67" s="2">
        <f>C12*'Output-Calculation-sheet'!C56/10^9</f>
        <v>4.2556308182574378</v>
      </c>
      <c r="D67" s="2">
        <f>D12*'Output-Calculation-sheet'!D56/10^9</f>
        <v>1.3957477825275961</v>
      </c>
      <c r="E67" s="2">
        <f>E12*'Output-Calculation-sheet'!E56/10^9</f>
        <v>1.9112676664629367</v>
      </c>
      <c r="F67" s="2">
        <f>F12*'Output-Calculation-sheet'!F56/10^9</f>
        <v>0.74936042897288302</v>
      </c>
      <c r="G67" s="2">
        <f>G12*'Output-Calculation-sheet'!G56/10^9</f>
        <v>0.55212852041920879</v>
      </c>
      <c r="H67" s="2">
        <f>H12*'Output-Calculation-sheet'!H56/10^9</f>
        <v>1.1757435876378641</v>
      </c>
      <c r="I67" s="2">
        <f>I12*'Output-Calculation-sheet'!I56/10^9</f>
        <v>0.50593722274572106</v>
      </c>
      <c r="J67" s="2">
        <f>J12*'Output-Calculation-sheet'!J56/10^9</f>
        <v>0.46326966560013366</v>
      </c>
      <c r="K67" s="2">
        <f>K12*'Output-Calculation-sheet'!K56/10^9</f>
        <v>0.55493069974354003</v>
      </c>
      <c r="L67" s="2">
        <f>L12*'Output-Calculation-sheet'!L56/10^9</f>
        <v>0.51716336915895256</v>
      </c>
      <c r="M67" s="2">
        <f>M12*'Output-Calculation-sheet'!M56/10^9</f>
        <v>0.8317842004822098</v>
      </c>
      <c r="N67" s="2">
        <f>N12*'Output-Calculation-sheet'!N56/10^9</f>
        <v>0.71042307290176854</v>
      </c>
      <c r="O67" s="2">
        <f>O12*'Output-Calculation-sheet'!O56/10^9</f>
        <v>0.78588189702152778</v>
      </c>
      <c r="P67" s="2">
        <f>P12*'Output-Calculation-sheet'!P56/10^9</f>
        <v>0.57657777081222095</v>
      </c>
      <c r="Q67" s="2">
        <f>Q12*'Output-Calculation-sheet'!Q56/10^9</f>
        <v>0.54465567380169688</v>
      </c>
      <c r="R67" s="2">
        <f>R12*'Output-Calculation-sheet'!R56/10^9</f>
        <v>0.42723713736136965</v>
      </c>
      <c r="S67" s="2">
        <f>S12*'Output-Calculation-sheet'!S56/10^9</f>
        <v>0.41270678715005027</v>
      </c>
      <c r="T67" s="2">
        <f>T12*'Output-Calculation-sheet'!T56/10^9</f>
        <v>0.13295335162445526</v>
      </c>
      <c r="U67" s="2">
        <f>U12*'Output-Calculation-sheet'!U56/10^9</f>
        <v>0.14373075915557817</v>
      </c>
      <c r="V67" s="2">
        <f>V12*'Output-Calculation-sheet'!V56/10^9</f>
        <v>0.10253737418334159</v>
      </c>
      <c r="W67" s="2">
        <f>W12*'Output-Calculation-sheet'!W56/10^9</f>
        <v>6.9603364994781425E-2</v>
      </c>
      <c r="X67" s="2">
        <f>X12*'Output-Calculation-sheet'!X56/10^9</f>
        <v>9.9285628497611148E-2</v>
      </c>
      <c r="Y67" s="2">
        <f>Y12*'Output-Calculation-sheet'!Y56/10^9</f>
        <v>6.4948207795744645E-2</v>
      </c>
      <c r="AA67" s="2">
        <f t="shared" si="4"/>
        <v>24.02953211588008</v>
      </c>
    </row>
    <row r="68" spans="1:27" x14ac:dyDescent="0.25">
      <c r="B68" s="2">
        <f>SUM(B60:B67)</f>
        <v>35.115901807767678</v>
      </c>
      <c r="C68" s="2">
        <f t="shared" ref="C68:Y68" si="5">SUM(C60:C67)</f>
        <v>20.956266440014478</v>
      </c>
      <c r="D68" s="2">
        <f t="shared" si="5"/>
        <v>7.0286900500298142</v>
      </c>
      <c r="E68" s="2">
        <f t="shared" si="5"/>
        <v>8.7459147372778006</v>
      </c>
      <c r="F68" s="2">
        <f t="shared" si="5"/>
        <v>3.7471344067133829</v>
      </c>
      <c r="G68" s="2">
        <f t="shared" si="5"/>
        <v>2.770988392482217</v>
      </c>
      <c r="H68" s="2">
        <f t="shared" si="5"/>
        <v>5.6032465243452583</v>
      </c>
      <c r="I68" s="2">
        <f t="shared" si="5"/>
        <v>2.3798498817769751</v>
      </c>
      <c r="J68" s="2">
        <f t="shared" si="5"/>
        <v>2.7998926341288071</v>
      </c>
      <c r="K68" s="2">
        <f t="shared" si="5"/>
        <v>2.4973216612640132</v>
      </c>
      <c r="L68" s="2">
        <f t="shared" si="5"/>
        <v>2.6067906845996767</v>
      </c>
      <c r="M68" s="2">
        <f t="shared" si="5"/>
        <v>4.0017263293093084</v>
      </c>
      <c r="N68" s="2">
        <f t="shared" si="5"/>
        <v>3.3587352438733014</v>
      </c>
      <c r="O68" s="2">
        <f t="shared" si="5"/>
        <v>3.8746501540327234</v>
      </c>
      <c r="P68" s="2">
        <f t="shared" si="5"/>
        <v>2.6213355901416442</v>
      </c>
      <c r="Q68" s="2">
        <f t="shared" si="5"/>
        <v>2.538375692794077</v>
      </c>
      <c r="R68" s="2">
        <f t="shared" si="5"/>
        <v>2.0590440613320413</v>
      </c>
      <c r="S68" s="2">
        <f t="shared" si="5"/>
        <v>1.9735033747765325</v>
      </c>
      <c r="T68" s="2">
        <f t="shared" si="5"/>
        <v>0.71798979406949925</v>
      </c>
      <c r="U68" s="2">
        <f t="shared" si="5"/>
        <v>0.67448124070330451</v>
      </c>
      <c r="V68" s="2">
        <f t="shared" si="5"/>
        <v>0.78504574727897369</v>
      </c>
      <c r="W68" s="2">
        <f t="shared" si="5"/>
        <v>0.36680778684828663</v>
      </c>
      <c r="X68" s="2">
        <f t="shared" si="5"/>
        <v>0.50766045815395844</v>
      </c>
      <c r="Y68" s="2">
        <f t="shared" si="5"/>
        <v>0.27666510516581733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773.58484047148966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1410.7872677301571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951.38874492437981</v>
      </c>
      <c r="N74" s="2">
        <f>N8/'Output-Calculation-sheet'!N7*'Output-Calculation-sheet'!N61</f>
        <v>39.441196652607289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8.4423978990200741</v>
      </c>
      <c r="Y74" s="2">
        <f>Y8/'Output-Calculation-sheet'!Y7*'Output-Calculation-sheet'!Y61</f>
        <v>0</v>
      </c>
      <c r="AA74" s="2">
        <f t="shared" si="6"/>
        <v>3.1836444476776538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131.54963122363696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2362.2673780338177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1605.2875405338727</v>
      </c>
      <c r="N75" s="2">
        <f>N9/'Output-Calculation-sheet'!N8*'Output-Calculation-sheet'!N62</f>
        <v>618.22390019165744</v>
      </c>
      <c r="O75" s="2">
        <f>O9/'Output-Calculation-sheet'!O8*'Output-Calculation-sheet'!O62</f>
        <v>0</v>
      </c>
      <c r="P75" s="2">
        <f>P9/'Output-Calculation-sheet'!P8*'Output-Calculation-sheet'!P62</f>
        <v>48.978920762800897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207.74311282718227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56.380595644552301</v>
      </c>
      <c r="Y75" s="2">
        <f>Y9/'Output-Calculation-sheet'!Y8*'Output-Calculation-sheet'!Y62</f>
        <v>0</v>
      </c>
      <c r="AA75" s="2">
        <f t="shared" si="6"/>
        <v>5.0304310792175198</v>
      </c>
    </row>
    <row r="76" spans="1:27" x14ac:dyDescent="0.25">
      <c r="A76" s="2">
        <v>2033</v>
      </c>
      <c r="B76" s="2">
        <f>B10/'Output-Calculation-sheet'!B9*'Output-Calculation-sheet'!B63</f>
        <v>5006.6551640591097</v>
      </c>
      <c r="C76" s="2">
        <f>C10/'Output-Calculation-sheet'!C9*'Output-Calculation-sheet'!C63</f>
        <v>1009.5536489404633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3264.087717933744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2227.7558007394205</v>
      </c>
      <c r="N76" s="2">
        <f>N10/'Output-Calculation-sheet'!N9*'Output-Calculation-sheet'!N63</f>
        <v>1268.8230653828241</v>
      </c>
      <c r="O76" s="2">
        <f>O10/'Output-Calculation-sheet'!O9*'Output-Calculation-sheet'!O63</f>
        <v>0</v>
      </c>
      <c r="P76" s="2">
        <f>P10/'Output-Calculation-sheet'!P9*'Output-Calculation-sheet'!P63</f>
        <v>440.00260209774132</v>
      </c>
      <c r="Q76" s="2">
        <f>Q10/'Output-Calculation-sheet'!Q9*'Output-Calculation-sheet'!Q63</f>
        <v>200.00755844283046</v>
      </c>
      <c r="R76" s="2">
        <f>R10/'Output-Calculation-sheet'!R9*'Output-Calculation-sheet'!R63</f>
        <v>333.90262114730558</v>
      </c>
      <c r="S76" s="2">
        <f>S10/'Output-Calculation-sheet'!S9*'Output-Calculation-sheet'!S63</f>
        <v>567.4127904999732</v>
      </c>
      <c r="T76" s="2">
        <f>T10/'Output-Calculation-sheet'!T9*'Output-Calculation-sheet'!T63</f>
        <v>22.000300568195353</v>
      </c>
      <c r="U76" s="2">
        <f>U10/'Output-Calculation-sheet'!U9*'Output-Calculation-sheet'!U63</f>
        <v>118.65824841544777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127.80232998773715</v>
      </c>
      <c r="Y76" s="2">
        <f>Y10/'Output-Calculation-sheet'!Y9*'Output-Calculation-sheet'!Y63</f>
        <v>5.6354659962798159</v>
      </c>
      <c r="AA76" s="2">
        <f t="shared" si="6"/>
        <v>14.684553767018787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1686.0217514935582</v>
      </c>
      <c r="D77" s="2">
        <f>D11/'Output-Calculation-sheet'!D10*'Output-Calculation-sheet'!D64</f>
        <v>1432.831001963634</v>
      </c>
      <c r="E77" s="2">
        <f>E11/'Output-Calculation-sheet'!E10*'Output-Calculation-sheet'!E64</f>
        <v>1792.0803732372274</v>
      </c>
      <c r="F77" s="2">
        <f>F11/'Output-Calculation-sheet'!F10*'Output-Calculation-sheet'!F64</f>
        <v>127.51095178678496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3788.9314791623015</v>
      </c>
      <c r="I77" s="2">
        <f>I11/'Output-Calculation-sheet'!I10*'Output-Calculation-sheet'!I64</f>
        <v>444.73337189574494</v>
      </c>
      <c r="J77" s="2">
        <f>J11/'Output-Calculation-sheet'!J10*'Output-Calculation-sheet'!J64</f>
        <v>313.58252073933858</v>
      </c>
      <c r="K77" s="2">
        <f>K11/'Output-Calculation-sheet'!K10*'Output-Calculation-sheet'!K64</f>
        <v>682.62551210377262</v>
      </c>
      <c r="L77" s="2">
        <f>L11/'Output-Calculation-sheet'!L10*'Output-Calculation-sheet'!L64</f>
        <v>279.62031819701673</v>
      </c>
      <c r="M77" s="2">
        <f>M11/'Output-Calculation-sheet'!M10*'Output-Calculation-sheet'!M64</f>
        <v>2677.7251240732348</v>
      </c>
      <c r="N77" s="2">
        <f>N11/'Output-Calculation-sheet'!N10*'Output-Calculation-sheet'!N64</f>
        <v>1855.9210238523347</v>
      </c>
      <c r="O77" s="2">
        <f>O11/'Output-Calculation-sheet'!O10*'Output-Calculation-sheet'!O64</f>
        <v>67.437051806895141</v>
      </c>
      <c r="P77" s="2">
        <f>P11/'Output-Calculation-sheet'!P10*'Output-Calculation-sheet'!P64</f>
        <v>841.71658167251769</v>
      </c>
      <c r="Q77" s="2">
        <f>Q11/'Output-Calculation-sheet'!Q10*'Output-Calculation-sheet'!Q64</f>
        <v>481.89609497394054</v>
      </c>
      <c r="R77" s="2">
        <f>R11/'Output-Calculation-sheet'!R10*'Output-Calculation-sheet'!R64</f>
        <v>718.90486037005758</v>
      </c>
      <c r="S77" s="2">
        <f>S11/'Output-Calculation-sheet'!S10*'Output-Calculation-sheet'!S64</f>
        <v>952.50332379593726</v>
      </c>
      <c r="T77" s="2">
        <f>T11/'Output-Calculation-sheet'!T10*'Output-Calculation-sheet'!T64</f>
        <v>198.7910234064104</v>
      </c>
      <c r="U77" s="2">
        <f>U11/'Output-Calculation-sheet'!U10*'Output-Calculation-sheet'!U64</f>
        <v>263.64938622903003</v>
      </c>
      <c r="V77" s="2">
        <f>V11/'Output-Calculation-sheet'!V10*'Output-Calculation-sheet'!V64</f>
        <v>103.76499059959347</v>
      </c>
      <c r="W77" s="2">
        <f>W11/'Output-Calculation-sheet'!W10*'Output-Calculation-sheet'!W64</f>
        <v>22.608360544354873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31.373126388840983</v>
      </c>
    </row>
    <row r="78" spans="1:27" x14ac:dyDescent="0.25">
      <c r="A78" s="2">
        <v>2035</v>
      </c>
      <c r="B78" s="2">
        <f>B12/'Output-Calculation-sheet'!B11*'Output-Calculation-sheet'!B65</f>
        <v>13654.261591632961</v>
      </c>
      <c r="C78" s="2">
        <f>C12/'Output-Calculation-sheet'!C11*'Output-Calculation-sheet'!C65</f>
        <v>50.212031883766905</v>
      </c>
      <c r="D78" s="2">
        <f>D12/'Output-Calculation-sheet'!D11*'Output-Calculation-sheet'!D65</f>
        <v>1426.3991071896396</v>
      </c>
      <c r="E78" s="2">
        <f>E12/'Output-Calculation-sheet'!E11*'Output-Calculation-sheet'!E65</f>
        <v>2710.3845851774581</v>
      </c>
      <c r="F78" s="2">
        <f>F12/'Output-Calculation-sheet'!F11*'Output-Calculation-sheet'!F65</f>
        <v>579.44023107235421</v>
      </c>
      <c r="G78" s="2">
        <f>G12/'Output-Calculation-sheet'!G11*'Output-Calculation-sheet'!G65</f>
        <v>1104.5134469005709</v>
      </c>
      <c r="H78" s="2">
        <f>H12/'Output-Calculation-sheet'!H11*'Output-Calculation-sheet'!H65</f>
        <v>3535.914169033972</v>
      </c>
      <c r="I78" s="2">
        <f>I12/'Output-Calculation-sheet'!I11*'Output-Calculation-sheet'!I65</f>
        <v>639.42537097561876</v>
      </c>
      <c r="J78" s="2">
        <f>J12/'Output-Calculation-sheet'!J11*'Output-Calculation-sheet'!J65</f>
        <v>585.77640756910534</v>
      </c>
      <c r="K78" s="2">
        <f>K12/'Output-Calculation-sheet'!K11*'Output-Calculation-sheet'!K65</f>
        <v>728.20434783766234</v>
      </c>
      <c r="L78" s="2">
        <f>L12/'Output-Calculation-sheet'!L11*'Output-Calculation-sheet'!L65</f>
        <v>426.39035315359217</v>
      </c>
      <c r="M78" s="2">
        <f>M12/'Output-Calculation-sheet'!M11*'Output-Calculation-sheet'!M65</f>
        <v>2476.3939774311075</v>
      </c>
      <c r="N78" s="2">
        <f>N12/'Output-Calculation-sheet'!N11*'Output-Calculation-sheet'!N65</f>
        <v>1743.291078494756</v>
      </c>
      <c r="O78" s="2">
        <f>O12/'Output-Calculation-sheet'!O11*'Output-Calculation-sheet'!O65</f>
        <v>257.55818602817277</v>
      </c>
      <c r="P78" s="2">
        <f>P12/'Output-Calculation-sheet'!P11*'Output-Calculation-sheet'!P65</f>
        <v>999.64567890605304</v>
      </c>
      <c r="Q78" s="2">
        <f>Q12/'Output-Calculation-sheet'!Q11*'Output-Calculation-sheet'!Q65</f>
        <v>487.45412346374371</v>
      </c>
      <c r="R78" s="2">
        <f>R12/'Output-Calculation-sheet'!R11*'Output-Calculation-sheet'!R65</f>
        <v>835.29152620526907</v>
      </c>
      <c r="S78" s="2">
        <f>S12/'Output-Calculation-sheet'!S11*'Output-Calculation-sheet'!S65</f>
        <v>939.68799259319667</v>
      </c>
      <c r="T78" s="2">
        <f>T12/'Output-Calculation-sheet'!T11*'Output-Calculation-sheet'!T65</f>
        <v>295.91791868962133</v>
      </c>
      <c r="U78" s="2">
        <f>U12/'Output-Calculation-sheet'!U11*'Output-Calculation-sheet'!U65</f>
        <v>255.49549634088382</v>
      </c>
      <c r="V78" s="2">
        <f>V12/'Output-Calculation-sheet'!V11*'Output-Calculation-sheet'!V65</f>
        <v>161.37090274448079</v>
      </c>
      <c r="W78" s="2">
        <f>W12/'Output-Calculation-sheet'!W11*'Output-Calculation-sheet'!W65</f>
        <v>115.44757651994973</v>
      </c>
      <c r="X78" s="2">
        <f>X12/'Output-Calculation-sheet'!X11*'Output-Calculation-sheet'!X65</f>
        <v>21.169377375670653</v>
      </c>
      <c r="Y78" s="2">
        <f>Y12/'Output-Calculation-sheet'!Y11*'Output-Calculation-sheet'!Y65</f>
        <v>110.54629151919019</v>
      </c>
      <c r="AA78" s="2">
        <f t="shared" si="6"/>
        <v>34.140191768738788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25.437718974734292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2.5437718974734291E-2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280.86947538361153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0.28086947538361151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354.83651359549424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0.35483651359549423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21.960070110413369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4.7220829310978347</v>
      </c>
      <c r="N88" s="2">
        <f>N11/'Output-Calculation-sheet'!N10*'Output-Calculation-sheet'!N73</f>
        <v>4.6410417177694816</v>
      </c>
      <c r="O88" s="2">
        <f>O11/'Output-Calculation-sheet'!O10*'Output-Calculation-sheet'!O73</f>
        <v>399.31257957714547</v>
      </c>
      <c r="P88" s="2">
        <f>P11/'Output-Calculation-sheet'!P10*'Output-Calculation-sheet'!P73</f>
        <v>0</v>
      </c>
      <c r="Q88" s="2">
        <f>Q11/'Output-Calculation-sheet'!Q10*'Output-Calculation-sheet'!Q73</f>
        <v>17.078305090258024</v>
      </c>
      <c r="R88" s="2">
        <f>R11/'Output-Calculation-sheet'!R10*'Output-Calculation-sheet'!R73</f>
        <v>0</v>
      </c>
      <c r="S88" s="2">
        <f>S11/'Output-Calculation-sheet'!S10*'Output-Calculation-sheet'!S73</f>
        <v>0.53208106585433335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0.44824616049253851</v>
      </c>
    </row>
    <row r="89" spans="1:27" x14ac:dyDescent="0.25">
      <c r="A89" s="2">
        <v>2035</v>
      </c>
      <c r="B89" s="2">
        <f>B12/'Output-Calculation-sheet'!B11*'Output-Calculation-sheet'!B74</f>
        <v>266.50395953641697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90.360778633035153</v>
      </c>
      <c r="E89" s="2">
        <f>E12/'Output-Calculation-sheet'!E11*'Output-Calculation-sheet'!E74</f>
        <v>97.665409260081873</v>
      </c>
      <c r="F89" s="2">
        <f>F12/'Output-Calculation-sheet'!F11*'Output-Calculation-sheet'!F74</f>
        <v>37.938861459592367</v>
      </c>
      <c r="G89" s="2">
        <f>G12/'Output-Calculation-sheet'!G11*'Output-Calculation-sheet'!G74</f>
        <v>33.711032248440887</v>
      </c>
      <c r="H89" s="2">
        <f>H12/'Output-Calculation-sheet'!H11*'Output-Calculation-sheet'!H74</f>
        <v>129.37205720890299</v>
      </c>
      <c r="I89" s="2">
        <f>I12/'Output-Calculation-sheet'!I11*'Output-Calculation-sheet'!I74</f>
        <v>31.487182276084543</v>
      </c>
      <c r="J89" s="2">
        <f>J12/'Output-Calculation-sheet'!J11*'Output-Calculation-sheet'!J74</f>
        <v>18.46629938232833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24.60754080433944</v>
      </c>
      <c r="M89" s="2">
        <f>M12/'Output-Calculation-sheet'!M11*'Output-Calculation-sheet'!M74</f>
        <v>75.192128382877598</v>
      </c>
      <c r="N89" s="2">
        <f>N12/'Output-Calculation-sheet'!N11*'Output-Calculation-sheet'!N74</f>
        <v>56.063334285442622</v>
      </c>
      <c r="O89" s="2">
        <f>O12/'Output-Calculation-sheet'!O11*'Output-Calculation-sheet'!O74</f>
        <v>403.47754414449167</v>
      </c>
      <c r="P89" s="2">
        <f>P12/'Output-Calculation-sheet'!P11*'Output-Calculation-sheet'!P74</f>
        <v>30.604761494462554</v>
      </c>
      <c r="Q89" s="2">
        <f>Q12/'Output-Calculation-sheet'!Q11*'Output-Calculation-sheet'!Q74</f>
        <v>46.887334271116138</v>
      </c>
      <c r="R89" s="2">
        <f>R12/'Output-Calculation-sheet'!R11*'Output-Calculation-sheet'!R74</f>
        <v>18.4514400841284</v>
      </c>
      <c r="S89" s="2">
        <f>S12/'Output-Calculation-sheet'!S11*'Output-Calculation-sheet'!S74</f>
        <v>24.833475292619838</v>
      </c>
      <c r="T89" s="2">
        <f>T12/'Output-Calculation-sheet'!T11*'Output-Calculation-sheet'!T74</f>
        <v>4.3688561596495283</v>
      </c>
      <c r="U89" s="2">
        <f>U12/'Output-Calculation-sheet'!U11*'Output-Calculation-sheet'!U74</f>
        <v>8.0735854020367395</v>
      </c>
      <c r="V89" s="2">
        <f>V12/'Output-Calculation-sheet'!V11*'Output-Calculation-sheet'!V74</f>
        <v>1.0986069961647171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0.37925208600462484</v>
      </c>
      <c r="Y89" s="2">
        <f>Y12/'Output-Calculation-sheet'!Y11*'Output-Calculation-sheet'!Y74</f>
        <v>3.5683587947469282</v>
      </c>
      <c r="AA89" s="2">
        <f t="shared" si="7"/>
        <v>1.4467238357597962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11516943440.462141</v>
      </c>
      <c r="C96" s="2">
        <f>C8/'Output-Calculation-sheet'!C7*'Output-Calculation-sheet'!C79</f>
        <v>3896241841.9702835</v>
      </c>
      <c r="D96" s="2">
        <f>D8/'Output-Calculation-sheet'!D7*'Output-Calculation-sheet'!D79</f>
        <v>4067399203.3897028</v>
      </c>
      <c r="E96" s="2">
        <f>E8/'Output-Calculation-sheet'!E7*'Output-Calculation-sheet'!E79</f>
        <v>7231500679.8527422</v>
      </c>
      <c r="F96" s="2">
        <f>F8/'Output-Calculation-sheet'!F7*'Output-Calculation-sheet'!F79</f>
        <v>2993046193.2467251</v>
      </c>
      <c r="G96" s="2">
        <f>G8/'Output-Calculation-sheet'!G7*'Output-Calculation-sheet'!G79</f>
        <v>2331341961.5483146</v>
      </c>
      <c r="H96" s="2">
        <f>H8/'Output-Calculation-sheet'!H7*'Output-Calculation-sheet'!H79</f>
        <v>1995499905.3137624</v>
      </c>
      <c r="I96" s="2">
        <f>I8/'Output-Calculation-sheet'!I7*'Output-Calculation-sheet'!I79</f>
        <v>1624023503.4754567</v>
      </c>
      <c r="J96" s="2">
        <f>J8/'Output-Calculation-sheet'!J7*'Output-Calculation-sheet'!J79</f>
        <v>1098203550.723882</v>
      </c>
      <c r="K96" s="2">
        <f>K8/'Output-Calculation-sheet'!K7*'Output-Calculation-sheet'!K79</f>
        <v>1571204006.3606844</v>
      </c>
      <c r="L96" s="2">
        <f>L8/'Output-Calculation-sheet'!L7*'Output-Calculation-sheet'!L79</f>
        <v>1108642849.0787899</v>
      </c>
      <c r="M96" s="2">
        <f>M8/'Output-Calculation-sheet'!M7*'Output-Calculation-sheet'!M79</f>
        <v>1489600339.4552398</v>
      </c>
      <c r="N96" s="2">
        <f>N8/'Output-Calculation-sheet'!N7*'Output-Calculation-sheet'!N79</f>
        <v>1108379675.8393805</v>
      </c>
      <c r="O96" s="2">
        <f>O8/'Output-Calculation-sheet'!O7*'Output-Calculation-sheet'!O79</f>
        <v>560322910.49381936</v>
      </c>
      <c r="P96" s="2">
        <f>P8/'Output-Calculation-sheet'!P7*'Output-Calculation-sheet'!P79</f>
        <v>1874174776.7109206</v>
      </c>
      <c r="Q96" s="2">
        <f>Q8/'Output-Calculation-sheet'!Q7*'Output-Calculation-sheet'!Q79</f>
        <v>873444142.21583247</v>
      </c>
      <c r="R96" s="2">
        <f>R8/'Output-Calculation-sheet'!R7*'Output-Calculation-sheet'!R79</f>
        <v>1089727252.3738737</v>
      </c>
      <c r="S96" s="2">
        <f>S8/'Output-Calculation-sheet'!S7*'Output-Calculation-sheet'!S79</f>
        <v>634965117.3823278</v>
      </c>
      <c r="T96" s="2">
        <f>T8/'Output-Calculation-sheet'!T7*'Output-Calculation-sheet'!T79</f>
        <v>484964913.82888615</v>
      </c>
      <c r="U96" s="2">
        <f>U8/'Output-Calculation-sheet'!U7*'Output-Calculation-sheet'!U79</f>
        <v>304643085.06827968</v>
      </c>
      <c r="V96" s="2">
        <f>V8/'Output-Calculation-sheet'!V7*'Output-Calculation-sheet'!V79</f>
        <v>158064008.68932822</v>
      </c>
      <c r="W96" s="2">
        <f>W8/'Output-Calculation-sheet'!W7*'Output-Calculation-sheet'!W79</f>
        <v>467070174.16412807</v>
      </c>
      <c r="X96" s="2">
        <f>X8/'Output-Calculation-sheet'!X7*'Output-Calculation-sheet'!X79</f>
        <v>164161038.70758951</v>
      </c>
      <c r="Y96" s="2">
        <f>Y8/'Output-Calculation-sheet'!Y7*'Output-Calculation-sheet'!Y79</f>
        <v>256745625.75134635</v>
      </c>
      <c r="AA96" s="2">
        <f t="shared" si="8"/>
        <v>48.90031019610344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1344.3022504243895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261.16058147393875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31.237338758057025</v>
      </c>
      <c r="Y107" s="2">
        <f>Y8/'Output-Calculation-sheet'!Y7*'Output-Calculation-sheet'!Y88</f>
        <v>0</v>
      </c>
      <c r="AA107" s="2">
        <f t="shared" si="9"/>
        <v>1.6367001706563851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2481.7210188491936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2.522911989398259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3.2540573138359585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3.8402793644256614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102.2084371782464</v>
      </c>
      <c r="Y111" s="2">
        <f>Y12/'Output-Calculation-sheet'!Y11*'Output-Calculation-sheet'!Y92</f>
        <v>0</v>
      </c>
      <c r="AA111" s="2">
        <f t="shared" si="9"/>
        <v>4.8149418051085879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1347538965.3049378</v>
      </c>
      <c r="C118" s="2">
        <f>C8/'Output-Calculation-sheet'!C7*'Output-Calculation-sheet'!C97</f>
        <v>11126313983.433788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6924200388.1051445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4777111763.3579416</v>
      </c>
      <c r="N118" s="2">
        <f>N8/'Output-Calculation-sheet'!N7*'Output-Calculation-sheet'!N97</f>
        <v>1598978114.484045</v>
      </c>
      <c r="O118" s="2">
        <f>O8/'Output-Calculation-sheet'!O7*'Output-Calculation-sheet'!O97</f>
        <v>1882531959.5086644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479237024.52874607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260115652.49675459</v>
      </c>
      <c r="Y118" s="2">
        <f>Y8/'Output-Calculation-sheet'!Y7*'Output-Calculation-sheet'!Y97</f>
        <v>0</v>
      </c>
      <c r="AA118" s="2">
        <f t="shared" si="10"/>
        <v>28396.027851220024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8613611643.0344391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2958534841.7826862</v>
      </c>
      <c r="O119" s="2">
        <f>O9/'Output-Calculation-sheet'!O8*'Output-Calculation-sheet'!O98</f>
        <v>3195191725.205792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886979496.05160153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346494271.66691625</v>
      </c>
      <c r="Y119" s="2">
        <f>Y9/'Output-Calculation-sheet'!Y8*'Output-Calculation-sheet'!Y98</f>
        <v>0</v>
      </c>
      <c r="AA119" s="2">
        <f t="shared" si="10"/>
        <v>37268.74046779154</v>
      </c>
    </row>
    <row r="120" spans="1:27" x14ac:dyDescent="0.25">
      <c r="A120" s="2">
        <v>2033</v>
      </c>
      <c r="B120" s="2">
        <f>B10/'Output-Calculation-sheet'!B9*'Output-Calculation-sheet'!B99</f>
        <v>14888244309.135517</v>
      </c>
      <c r="C120" s="2">
        <f>C10/'Output-Calculation-sheet'!C9*'Output-Calculation-sheet'!C99</f>
        <v>8616356701.5321808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4466690474.6267014</v>
      </c>
      <c r="O120" s="2">
        <f>O10/'Output-Calculation-sheet'!O9*'Output-Calculation-sheet'!O99</f>
        <v>3482783422.9599581</v>
      </c>
      <c r="P120" s="2">
        <f>P10/'Output-Calculation-sheet'!P9*'Output-Calculation-sheet'!P99</f>
        <v>0</v>
      </c>
      <c r="Q120" s="2">
        <f>Q10/'Output-Calculation-sheet'!Q9*'Output-Calculation-sheet'!Q99</f>
        <v>146453547.17614162</v>
      </c>
      <c r="R120" s="2">
        <f>R10/'Output-Calculation-sheet'!R9*'Output-Calculation-sheet'!R99</f>
        <v>0</v>
      </c>
      <c r="S120" s="2">
        <f>S10/'Output-Calculation-sheet'!S9*'Output-Calculation-sheet'!S99</f>
        <v>1799213953.2356024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489474225.42022341</v>
      </c>
      <c r="Y120" s="2">
        <f>Y10/'Output-Calculation-sheet'!Y9*'Output-Calculation-sheet'!Y99</f>
        <v>0</v>
      </c>
      <c r="AA120" s="2">
        <f t="shared" si="10"/>
        <v>52532.209332444443</v>
      </c>
    </row>
    <row r="121" spans="1:27" x14ac:dyDescent="0.25">
      <c r="A121" s="2">
        <v>2034</v>
      </c>
      <c r="B121" s="2">
        <f>B11/'Output-Calculation-sheet'!B10*'Output-Calculation-sheet'!B100</f>
        <v>33044065356.260563</v>
      </c>
      <c r="C121" s="2">
        <f>C11/'Output-Calculation-sheet'!C10*'Output-Calculation-sheet'!C100</f>
        <v>8210926999.8446598</v>
      </c>
      <c r="D121" s="2">
        <f>D11/'Output-Calculation-sheet'!D10*'Output-Calculation-sheet'!D100</f>
        <v>0</v>
      </c>
      <c r="E121" s="2">
        <f>E11/'Output-Calculation-sheet'!E10*'Output-Calculation-sheet'!E100</f>
        <v>683503703.74518037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12125232123.899014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561802484.82097781</v>
      </c>
      <c r="M121" s="2">
        <f>M11/'Output-Calculation-sheet'!M10*'Output-Calculation-sheet'!M100</f>
        <v>8485972126.8163309</v>
      </c>
      <c r="N121" s="2">
        <f>N11/'Output-Calculation-sheet'!N10*'Output-Calculation-sheet'!N100</f>
        <v>5762741587.9955921</v>
      </c>
      <c r="O121" s="2">
        <f>O11/'Output-Calculation-sheet'!O10*'Output-Calculation-sheet'!O100</f>
        <v>3653831369.4240284</v>
      </c>
      <c r="P121" s="2">
        <f>P11/'Output-Calculation-sheet'!P10*'Output-Calculation-sheet'!P100</f>
        <v>0</v>
      </c>
      <c r="Q121" s="2">
        <f>Q11/'Output-Calculation-sheet'!Q10*'Output-Calculation-sheet'!Q100</f>
        <v>742484925.24206865</v>
      </c>
      <c r="R121" s="2">
        <f>R11/'Output-Calculation-sheet'!R10*'Output-Calculation-sheet'!R100</f>
        <v>0</v>
      </c>
      <c r="S121" s="2">
        <f>S11/'Output-Calculation-sheet'!S10*'Output-Calculation-sheet'!S100</f>
        <v>2865276226.6250215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37491048.785191439</v>
      </c>
      <c r="AA121" s="2">
        <f t="shared" si="10"/>
        <v>76582.475552937525</v>
      </c>
    </row>
    <row r="122" spans="1:27" x14ac:dyDescent="0.25">
      <c r="A122" s="2">
        <v>2035</v>
      </c>
      <c r="B122" s="2">
        <f>B12/'Output-Calculation-sheet'!B11*'Output-Calculation-sheet'!B101</f>
        <v>38220897473.267097</v>
      </c>
      <c r="C122" s="2">
        <f>C12/'Output-Calculation-sheet'!C11*'Output-Calculation-sheet'!C101</f>
        <v>224626458.35955641</v>
      </c>
      <c r="D122" s="2">
        <f>D12/'Output-Calculation-sheet'!D11*'Output-Calculation-sheet'!D101</f>
        <v>0</v>
      </c>
      <c r="E122" s="2">
        <f>E12/'Output-Calculation-sheet'!E11*'Output-Calculation-sheet'!E101</f>
        <v>3057728740.6989026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11720945098.005861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785699820.96223485</v>
      </c>
      <c r="M122" s="2">
        <f>M12/'Output-Calculation-sheet'!M11*'Output-Calculation-sheet'!M101</f>
        <v>8222018105.2904367</v>
      </c>
      <c r="N122" s="2">
        <f>N12/'Output-Calculation-sheet'!N11*'Output-Calculation-sheet'!N101</f>
        <v>5532383342.2883863</v>
      </c>
      <c r="O122" s="2">
        <f>O12/'Output-Calculation-sheet'!O11*'Output-Calculation-sheet'!O101</f>
        <v>3750628957.2130218</v>
      </c>
      <c r="P122" s="2">
        <f>P12/'Output-Calculation-sheet'!P11*'Output-Calculation-sheet'!P101</f>
        <v>235159296.89620295</v>
      </c>
      <c r="Q122" s="2">
        <f>Q12/'Output-Calculation-sheet'!Q11*'Output-Calculation-sheet'!Q101</f>
        <v>884140321.72581553</v>
      </c>
      <c r="R122" s="2">
        <f>R12/'Output-Calculation-sheet'!R11*'Output-Calculation-sheet'!R101</f>
        <v>0</v>
      </c>
      <c r="S122" s="2">
        <f>S12/'Output-Calculation-sheet'!S11*'Output-Calculation-sheet'!S101</f>
        <v>2905821914.9033537</v>
      </c>
      <c r="T122" s="2">
        <f>T12/'Output-Calculation-sheet'!T11*'Output-Calculation-sheet'!T101</f>
        <v>0</v>
      </c>
      <c r="U122" s="2">
        <f>U12/'Output-Calculation-sheet'!U11*'Output-Calculation-sheet'!U101</f>
        <v>42928654.587154999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100688774.06962587</v>
      </c>
      <c r="Y122" s="2">
        <f>Y12/'Output-Calculation-sheet'!Y11*'Output-Calculation-sheet'!Y101</f>
        <v>155944965.02630636</v>
      </c>
      <c r="AA122" s="2">
        <f t="shared" si="10"/>
        <v>75839.611923293967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45756058146.037415</v>
      </c>
      <c r="C129" s="2">
        <f>C8/'Output-Calculation-sheet'!C7*'Output-Calculation-sheet'!C106</f>
        <v>0</v>
      </c>
      <c r="D129" s="2">
        <f>D8/'Output-Calculation-sheet'!D7*'Output-Calculation-sheet'!D106</f>
        <v>19783991738.622147</v>
      </c>
      <c r="E129" s="2">
        <f>E8/'Output-Calculation-sheet'!E7*'Output-Calculation-sheet'!E106</f>
        <v>15696608202.558275</v>
      </c>
      <c r="F129" s="2">
        <f>F8/'Output-Calculation-sheet'!F7*'Output-Calculation-sheet'!F106</f>
        <v>10104466375.252199</v>
      </c>
      <c r="G129" s="2">
        <f>G8/'Output-Calculation-sheet'!G7*'Output-Calculation-sheet'!G106</f>
        <v>7099691795.2011757</v>
      </c>
      <c r="H129" s="2">
        <f>H8/'Output-Calculation-sheet'!H7*'Output-Calculation-sheet'!H106</f>
        <v>0</v>
      </c>
      <c r="I129" s="2">
        <f>I8/'Output-Calculation-sheet'!I7*'Output-Calculation-sheet'!I106</f>
        <v>6468363059.2410936</v>
      </c>
      <c r="J129" s="2">
        <f>J8/'Output-Calculation-sheet'!J7*'Output-Calculation-sheet'!J106</f>
        <v>6295839172.0158968</v>
      </c>
      <c r="K129" s="2">
        <f>K8/'Output-Calculation-sheet'!K7*'Output-Calculation-sheet'!K106</f>
        <v>6235490766.6243563</v>
      </c>
      <c r="L129" s="2">
        <f>L8/'Output-Calculation-sheet'!L7*'Output-Calculation-sheet'!L106</f>
        <v>5002203608.9130688</v>
      </c>
      <c r="M129" s="2">
        <f>M8/'Output-Calculation-sheet'!M7*'Output-Calculation-sheet'!M106</f>
        <v>0</v>
      </c>
      <c r="N129" s="2">
        <f>N8/'Output-Calculation-sheet'!N7*'Output-Calculation-sheet'!N106</f>
        <v>3090549001.2694526</v>
      </c>
      <c r="O129" s="2">
        <f>O8/'Output-Calculation-sheet'!O7*'Output-Calculation-sheet'!O106</f>
        <v>0</v>
      </c>
      <c r="P129" s="2">
        <f>P8/'Output-Calculation-sheet'!P7*'Output-Calculation-sheet'!P106</f>
        <v>4269144672.9258242</v>
      </c>
      <c r="Q129" s="2">
        <f>Q8/'Output-Calculation-sheet'!Q7*'Output-Calculation-sheet'!Q106</f>
        <v>4200140575.9513068</v>
      </c>
      <c r="R129" s="2">
        <f>R8/'Output-Calculation-sheet'!R7*'Output-Calculation-sheet'!R106</f>
        <v>4040736624.9443212</v>
      </c>
      <c r="S129" s="2">
        <f>S8/'Output-Calculation-sheet'!S7*'Output-Calculation-sheet'!S106</f>
        <v>2206437451.1318073</v>
      </c>
      <c r="T129" s="2">
        <f>T8/'Output-Calculation-sheet'!T7*'Output-Calculation-sheet'!T106</f>
        <v>1485329858.4002571</v>
      </c>
      <c r="U129" s="2">
        <f>U8/'Output-Calculation-sheet'!U7*'Output-Calculation-sheet'!U106</f>
        <v>1293673845.7623544</v>
      </c>
      <c r="V129" s="2">
        <f>V8/'Output-Calculation-sheet'!V7*'Output-Calculation-sheet'!V106</f>
        <v>996150424.97379947</v>
      </c>
      <c r="W129" s="2">
        <f>W8/'Output-Calculation-sheet'!W7*'Output-Calculation-sheet'!W106</f>
        <v>862452282.54339838</v>
      </c>
      <c r="X129" s="2">
        <f>X8/'Output-Calculation-sheet'!X7*'Output-Calculation-sheet'!X106</f>
        <v>0</v>
      </c>
      <c r="Y129" s="2">
        <f>Y8/'Output-Calculation-sheet'!Y7*'Output-Calculation-sheet'!Y106</f>
        <v>503233366.87779719</v>
      </c>
      <c r="AA129" s="2">
        <f t="shared" si="11"/>
        <v>145390.56096924597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3.0690195726363209E-8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3224772927.4486718</v>
      </c>
      <c r="O130" s="2">
        <f>O9/'Output-Calculation-sheet'!O8*'Output-Calculation-sheet'!O107</f>
        <v>0</v>
      </c>
      <c r="P130" s="2">
        <f>P9/'Output-Calculation-sheet'!P8*'Output-Calculation-sheet'!P107</f>
        <v>5629443808.3393755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2654283358.8903518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186551.68571820977</v>
      </c>
    </row>
    <row r="131" spans="1:27" x14ac:dyDescent="0.25">
      <c r="A131" s="2">
        <v>2033</v>
      </c>
      <c r="B131" s="2">
        <f>B10/'Output-Calculation-sheet'!B9*'Output-Calculation-sheet'!B108</f>
        <v>60151983369.834984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3003534070.2786427</v>
      </c>
      <c r="O131" s="2">
        <f>O10/'Output-Calculation-sheet'!O9*'Output-Calculation-sheet'!O108</f>
        <v>0</v>
      </c>
      <c r="P131" s="2">
        <f>P10/'Output-Calculation-sheet'!P9*'Output-Calculation-sheet'!P108</f>
        <v>6801140410.2014465</v>
      </c>
      <c r="Q131" s="2">
        <f>Q10/'Output-Calculation-sheet'!Q9*'Output-Calculation-sheet'!Q108</f>
        <v>6545084959.8480892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2479047672.7839208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215784.95726840736</v>
      </c>
    </row>
    <row r="132" spans="1:27" x14ac:dyDescent="0.25">
      <c r="A132" s="2">
        <v>2034</v>
      </c>
      <c r="B132" s="2">
        <f>B11/'Output-Calculation-sheet'!B10*'Output-Calculation-sheet'!B109</f>
        <v>51152103373.939903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27376037907.427803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11254749155.678623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8380352554.2654257</v>
      </c>
      <c r="M132" s="2">
        <f>M11/'Output-Calculation-sheet'!M10*'Output-Calculation-sheet'!M109</f>
        <v>0</v>
      </c>
      <c r="N132" s="2">
        <f>N11/'Output-Calculation-sheet'!N10*'Output-Calculation-sheet'!N109</f>
        <v>2547822374.4709058</v>
      </c>
      <c r="O132" s="2">
        <f>O11/'Output-Calculation-sheet'!O10*'Output-Calculation-sheet'!O109</f>
        <v>0</v>
      </c>
      <c r="P132" s="2">
        <f>P11/'Output-Calculation-sheet'!P10*'Output-Calculation-sheet'!P109</f>
        <v>7631159390.4717131</v>
      </c>
      <c r="Q132" s="2">
        <f>Q11/'Output-Calculation-sheet'!Q10*'Output-Calculation-sheet'!Q109</f>
        <v>6385904387.5494356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1925809953.1046472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862121136.1629014</v>
      </c>
      <c r="AA132" s="2">
        <f t="shared" si="11"/>
        <v>221863.86937965851</v>
      </c>
    </row>
    <row r="133" spans="1:27" x14ac:dyDescent="0.25">
      <c r="A133" s="2">
        <v>2035</v>
      </c>
      <c r="B133" s="2">
        <f>B12/'Output-Calculation-sheet'!B11*'Output-Calculation-sheet'!B110</f>
        <v>44560433484.405945</v>
      </c>
      <c r="C133" s="2">
        <f>C12/'Output-Calculation-sheet'!C11*'Output-Calculation-sheet'!C110</f>
        <v>0</v>
      </c>
      <c r="D133" s="2">
        <f>D12/'Output-Calculation-sheet'!D11*'Output-Calculation-sheet'!D110</f>
        <v>33466444477.406048</v>
      </c>
      <c r="E133" s="2">
        <f>E12/'Output-Calculation-sheet'!E11*'Output-Calculation-sheet'!E110</f>
        <v>25359929431.514526</v>
      </c>
      <c r="F133" s="2">
        <f>F12/'Output-Calculation-sheet'!F11*'Output-Calculation-sheet'!F110</f>
        <v>18047478457.466629</v>
      </c>
      <c r="G133" s="2">
        <f>G12/'Output-Calculation-sheet'!G11*'Output-Calculation-sheet'!G110</f>
        <v>12508999740.205677</v>
      </c>
      <c r="H133" s="2">
        <f>H12/'Output-Calculation-sheet'!H11*'Output-Calculation-sheet'!H110</f>
        <v>0</v>
      </c>
      <c r="I133" s="2">
        <f>I12/'Output-Calculation-sheet'!I11*'Output-Calculation-sheet'!I110</f>
        <v>11291532137.823402</v>
      </c>
      <c r="J133" s="2">
        <f>J12/'Output-Calculation-sheet'!J11*'Output-Calculation-sheet'!J110</f>
        <v>10876057106.323729</v>
      </c>
      <c r="K133" s="2">
        <f>K12/'Output-Calculation-sheet'!K11*'Output-Calculation-sheet'!K110</f>
        <v>10758318885.438145</v>
      </c>
      <c r="L133" s="2">
        <f>L12/'Output-Calculation-sheet'!L11*'Output-Calculation-sheet'!L110</f>
        <v>7910559712.0493946</v>
      </c>
      <c r="M133" s="2">
        <f>M12/'Output-Calculation-sheet'!M11*'Output-Calculation-sheet'!M110</f>
        <v>0</v>
      </c>
      <c r="N133" s="2">
        <f>N12/'Output-Calculation-sheet'!N11*'Output-Calculation-sheet'!N110</f>
        <v>2423140553.3737993</v>
      </c>
      <c r="O133" s="2">
        <f>O12/'Output-Calculation-sheet'!O11*'Output-Calculation-sheet'!O110</f>
        <v>0</v>
      </c>
      <c r="P133" s="2">
        <f>P12/'Output-Calculation-sheet'!P11*'Output-Calculation-sheet'!P110</f>
        <v>7432728092.9058456</v>
      </c>
      <c r="Q133" s="2">
        <f>Q12/'Output-Calculation-sheet'!Q11*'Output-Calculation-sheet'!Q110</f>
        <v>5930554150.4463396</v>
      </c>
      <c r="R133" s="2">
        <f>R12/'Output-Calculation-sheet'!R11*'Output-Calculation-sheet'!R110</f>
        <v>7155932702.8575106</v>
      </c>
      <c r="S133" s="2">
        <f>S12/'Output-Calculation-sheet'!S11*'Output-Calculation-sheet'!S110</f>
        <v>1690180449.4114606</v>
      </c>
      <c r="T133" s="2">
        <f>T12/'Output-Calculation-sheet'!T11*'Output-Calculation-sheet'!T110</f>
        <v>2687117407.2663584</v>
      </c>
      <c r="U133" s="2">
        <f>U12/'Output-Calculation-sheet'!U11*'Output-Calculation-sheet'!U110</f>
        <v>2181545227.1879959</v>
      </c>
      <c r="V133" s="2">
        <f>V12/'Output-Calculation-sheet'!V11*'Output-Calculation-sheet'!V110</f>
        <v>1809047027.4990413</v>
      </c>
      <c r="W133" s="2">
        <f>W12/'Output-Calculation-sheet'!W11*'Output-Calculation-sheet'!W110</f>
        <v>1588479959.8462484</v>
      </c>
      <c r="X133" s="2">
        <f>X12/'Output-Calculation-sheet'!X11*'Output-Calculation-sheet'!X110</f>
        <v>864850.83093406737</v>
      </c>
      <c r="Y133" s="2">
        <f>Y12/'Output-Calculation-sheet'!Y11*'Output-Calculation-sheet'!Y110</f>
        <v>756126627.94721496</v>
      </c>
      <c r="AA133" s="2">
        <f t="shared" si="11"/>
        <v>208435.47048220629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11070608367.777403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2192607578.7230854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257345367.0805977</v>
      </c>
      <c r="Y140" s="2">
        <f>Y8/'Output-Calculation-sheet'!Y7*'Output-Calculation-sheet'!Y115</f>
        <v>0</v>
      </c>
      <c r="AA140" s="2">
        <f t="shared" si="12"/>
        <v>13520.561313581085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20657063028.853928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335812008.64483601</v>
      </c>
      <c r="Y141" s="2">
        <f>Y9/'Output-Calculation-sheet'!Y8*'Output-Calculation-sheet'!Y116</f>
        <v>0</v>
      </c>
      <c r="AA141" s="2">
        <f t="shared" si="12"/>
        <v>20992.875037498765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26747662090.623272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334845174.60298073</v>
      </c>
      <c r="Y142" s="2">
        <f>Y10/'Output-Calculation-sheet'!Y9*'Output-Calculation-sheet'!Y117</f>
        <v>0</v>
      </c>
      <c r="AA142" s="2">
        <f t="shared" si="12"/>
        <v>27082.507265226253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31470097944.113548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31985.937523952434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41235396897.232925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861251241.9626441</v>
      </c>
      <c r="Y144" s="2">
        <f>Y12/'Output-Calculation-sheet'!Y11*'Output-Calculation-sheet'!Y119</f>
        <v>0</v>
      </c>
      <c r="AA144" s="2">
        <f t="shared" si="12"/>
        <v>42096.648139195575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47103598030.93882</v>
      </c>
      <c r="C151" s="2">
        <f>C8/'Output-Calculation-sheet'!C7*'Output-Calculation-sheet'!C124</f>
        <v>22197625054.660275</v>
      </c>
      <c r="D151" s="2">
        <f>D8/'Output-Calculation-sheet'!D7*'Output-Calculation-sheet'!D124</f>
        <v>19783991738.622147</v>
      </c>
      <c r="E151" s="2">
        <f>E8/'Output-Calculation-sheet'!E7*'Output-Calculation-sheet'!E124</f>
        <v>15696608202.558275</v>
      </c>
      <c r="F151" s="2">
        <f>F8/'Output-Calculation-sheet'!F7*'Output-Calculation-sheet'!F124</f>
        <v>10104466375.252199</v>
      </c>
      <c r="G151" s="2">
        <f>G8/'Output-Calculation-sheet'!G7*'Output-Calculation-sheet'!G124</f>
        <v>7099691795.2011757</v>
      </c>
      <c r="H151" s="2">
        <f>H8/'Output-Calculation-sheet'!H7*'Output-Calculation-sheet'!H124</f>
        <v>6925484835.9538794</v>
      </c>
      <c r="I151" s="2">
        <f>I8/'Output-Calculation-sheet'!I7*'Output-Calculation-sheet'!I124</f>
        <v>6468363059.2410936</v>
      </c>
      <c r="J151" s="2">
        <f>J8/'Output-Calculation-sheet'!J7*'Output-Calculation-sheet'!J124</f>
        <v>6295839172.0158968</v>
      </c>
      <c r="K151" s="2">
        <f>K8/'Output-Calculation-sheet'!K7*'Output-Calculation-sheet'!K124</f>
        <v>6235490766.6243563</v>
      </c>
      <c r="L151" s="2">
        <f>L8/'Output-Calculation-sheet'!L7*'Output-Calculation-sheet'!L124</f>
        <v>5002203608.9130688</v>
      </c>
      <c r="M151" s="2">
        <f>M8/'Output-Calculation-sheet'!M7*'Output-Calculation-sheet'!M124</f>
        <v>4777977098.4144144</v>
      </c>
      <c r="N151" s="2">
        <f>N8/'Output-Calculation-sheet'!N7*'Output-Calculation-sheet'!N124</f>
        <v>4689562552.5878668</v>
      </c>
      <c r="O151" s="2">
        <f>O8/'Output-Calculation-sheet'!O7*'Output-Calculation-sheet'!O124</f>
        <v>4596545791.2205029</v>
      </c>
      <c r="P151" s="2">
        <f>P8/'Output-Calculation-sheet'!P7*'Output-Calculation-sheet'!P124</f>
        <v>4269144672.9258242</v>
      </c>
      <c r="Q151" s="2">
        <f>Q8/'Output-Calculation-sheet'!Q7*'Output-Calculation-sheet'!Q124</f>
        <v>4200140575.9513068</v>
      </c>
      <c r="R151" s="2">
        <f>R8/'Output-Calculation-sheet'!R7*'Output-Calculation-sheet'!R124</f>
        <v>4040736624.9443212</v>
      </c>
      <c r="S151" s="2">
        <f>S8/'Output-Calculation-sheet'!S7*'Output-Calculation-sheet'!S124</f>
        <v>2685674215.229569</v>
      </c>
      <c r="T151" s="2">
        <f>T8/'Output-Calculation-sheet'!T7*'Output-Calculation-sheet'!T124</f>
        <v>1485329858.4002571</v>
      </c>
      <c r="U151" s="2">
        <f>U8/'Output-Calculation-sheet'!U7*'Output-Calculation-sheet'!U124</f>
        <v>1293673845.7623544</v>
      </c>
      <c r="V151" s="2">
        <f>V8/'Output-Calculation-sheet'!V7*'Output-Calculation-sheet'!V124</f>
        <v>996150424.97379947</v>
      </c>
      <c r="W151" s="2">
        <f>W8/'Output-Calculation-sheet'!W7*'Output-Calculation-sheet'!W124</f>
        <v>862452282.54339838</v>
      </c>
      <c r="X151" s="2">
        <f>X8/'Output-Calculation-sheet'!X7*'Output-Calculation-sheet'!X124</f>
        <v>517468626.07217973</v>
      </c>
      <c r="Y151" s="2">
        <f>Y8/'Output-Calculation-sheet'!Y7*'Output-Calculation-sheet'!Y124</f>
        <v>503233366.87779719</v>
      </c>
      <c r="AA151" s="2">
        <f t="shared" si="13"/>
        <v>187831.45257588473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17562476630.309074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6379026126.4340506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151352.13586563378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6319522129.6985598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103628.60064534334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2154517576.0808563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1307219884.315331</v>
      </c>
      <c r="N154" s="2">
        <f>N11/'Output-Calculation-sheet'!N10*'Output-Calculation-sheet'!N127</f>
        <v>1295837324.7268832</v>
      </c>
      <c r="O154" s="2">
        <f>O11/'Output-Calculation-sheet'!O10*'Output-Calculation-sheet'!O127</f>
        <v>5919834977.865428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1572410935.1967828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699006601.99628651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53799.191910849739</v>
      </c>
    </row>
    <row r="155" spans="1:27" x14ac:dyDescent="0.25">
      <c r="A155" s="2">
        <v>2035</v>
      </c>
      <c r="B155" s="2">
        <f>B12/'Output-Calculation-sheet'!B11*'Output-Calculation-sheet'!B128</f>
        <v>7570504045.1944809</v>
      </c>
      <c r="C155" s="2">
        <f>C12/'Output-Calculation-sheet'!C11*'Output-Calculation-sheet'!C128</f>
        <v>55419173.825023763</v>
      </c>
      <c r="D155" s="2">
        <f>D12/'Output-Calculation-sheet'!D11*'Output-Calculation-sheet'!D128</f>
        <v>4505330591.7448072</v>
      </c>
      <c r="E155" s="2">
        <f>E12/'Output-Calculation-sheet'!E11*'Output-Calculation-sheet'!E128</f>
        <v>2044178954.4892545</v>
      </c>
      <c r="F155" s="2">
        <f>F12/'Output-Calculation-sheet'!F11*'Output-Calculation-sheet'!F128</f>
        <v>1297785473.6229787</v>
      </c>
      <c r="G155" s="2">
        <f>G12/'Output-Calculation-sheet'!G11*'Output-Calculation-sheet'!G128</f>
        <v>1160351233.7965412</v>
      </c>
      <c r="H155" s="2">
        <f>H12/'Output-Calculation-sheet'!H11*'Output-Calculation-sheet'!H128</f>
        <v>1851761288.6823764</v>
      </c>
      <c r="I155" s="2">
        <f>I12/'Output-Calculation-sheet'!I11*'Output-Calculation-sheet'!I128</f>
        <v>1157346953.41154</v>
      </c>
      <c r="J155" s="2">
        <f>J12/'Output-Calculation-sheet'!J11*'Output-Calculation-sheet'!J128</f>
        <v>1106322459.200074</v>
      </c>
      <c r="K155" s="2">
        <f>K12/'Output-Calculation-sheet'!K11*'Output-Calculation-sheet'!K128</f>
        <v>1257962348.540415</v>
      </c>
      <c r="L155" s="2">
        <f>L12/'Output-Calculation-sheet'!L11*'Output-Calculation-sheet'!L128</f>
        <v>913048219.29861224</v>
      </c>
      <c r="M155" s="2">
        <f>M12/'Output-Calculation-sheet'!M11*'Output-Calculation-sheet'!M128</f>
        <v>1127647706.5846379</v>
      </c>
      <c r="N155" s="2">
        <f>N12/'Output-Calculation-sheet'!N11*'Output-Calculation-sheet'!N128</f>
        <v>1098014842.5361946</v>
      </c>
      <c r="O155" s="2">
        <f>O12/'Output-Calculation-sheet'!O11*'Output-Calculation-sheet'!O128</f>
        <v>5119372226.6823969</v>
      </c>
      <c r="P155" s="2">
        <f>P12/'Output-Calculation-sheet'!P11*'Output-Calculation-sheet'!P128</f>
        <v>606153276.20822752</v>
      </c>
      <c r="Q155" s="2">
        <f>Q12/'Output-Calculation-sheet'!Q11*'Output-Calculation-sheet'!Q128</f>
        <v>1355762899.5607469</v>
      </c>
      <c r="R155" s="2">
        <f>R12/'Output-Calculation-sheet'!R11*'Output-Calculation-sheet'!R128</f>
        <v>584782228.64388478</v>
      </c>
      <c r="S155" s="2">
        <f>S12/'Output-Calculation-sheet'!S11*'Output-Calculation-sheet'!S128</f>
        <v>586239955.78577173</v>
      </c>
      <c r="T155" s="2">
        <f>T12/'Output-Calculation-sheet'!T11*'Output-Calculation-sheet'!T128</f>
        <v>139862649.72045016</v>
      </c>
      <c r="U155" s="2">
        <f>U12/'Output-Calculation-sheet'!U11*'Output-Calculation-sheet'!U128</f>
        <v>270653178.01641941</v>
      </c>
      <c r="V155" s="2">
        <f>V12/'Output-Calculation-sheet'!V11*'Output-Calculation-sheet'!V128</f>
        <v>67484333.364692703</v>
      </c>
      <c r="W155" s="2">
        <f>W12/'Output-Calculation-sheet'!W11*'Output-Calculation-sheet'!W128</f>
        <v>62703385.79445187</v>
      </c>
      <c r="X155" s="2">
        <f>X12/'Output-Calculation-sheet'!X11*'Output-Calculation-sheet'!X128</f>
        <v>7714524.071035766</v>
      </c>
      <c r="Y155" s="2">
        <f>Y12/'Output-Calculation-sheet'!Y11*'Output-Calculation-sheet'!Y128</f>
        <v>67448578.109668255</v>
      </c>
      <c r="AA155" s="2">
        <f t="shared" si="13"/>
        <v>34013.850526884678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1064.1262224923735</v>
      </c>
      <c r="C19" s="2">
        <f>C8/'Output-Calculation-sheet'!C7*'Output-Calculation-sheet'!C25</f>
        <v>7587.2853317115905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4781.088720159426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3318.7403893887108</v>
      </c>
      <c r="N19" s="2">
        <f>N8/'Output-Calculation-sheet'!N7*'Output-Calculation-sheet'!N25</f>
        <v>1134.7731728622789</v>
      </c>
      <c r="O19" s="2">
        <f>O8/'Output-Calculation-sheet'!O7*'Output-Calculation-sheet'!O25</f>
        <v>1237.8796197283286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405.29592878787639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175.20814318835662</v>
      </c>
      <c r="Y19" s="2">
        <f>Y8/'Output-Calculation-sheet'!Y7*'Output-Calculation-sheet'!Y25</f>
        <v>0</v>
      </c>
      <c r="AA19" s="2">
        <f t="shared" si="0"/>
        <v>19.704397528318939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5824.0975250067331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6564.7808952374025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4561.6028903601691</v>
      </c>
      <c r="N20" s="2">
        <f>N9/'Output-Calculation-sheet'!N8*'Output-Calculation-sheet'!N26</f>
        <v>2055.0822636109442</v>
      </c>
      <c r="O20" s="2">
        <f>O9/'Output-Calculation-sheet'!O8*'Output-Calculation-sheet'!O26</f>
        <v>2168.3316606316857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746.98272753595813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243.76577067706012</v>
      </c>
      <c r="Y20" s="2">
        <f>Y9/'Output-Calculation-sheet'!Y8*'Output-Calculation-sheet'!Y26</f>
        <v>0</v>
      </c>
      <c r="AA20" s="2">
        <f t="shared" si="0"/>
        <v>28.198487214348937</v>
      </c>
    </row>
    <row r="21" spans="1:27" x14ac:dyDescent="0.25">
      <c r="A21" s="2">
        <v>2033</v>
      </c>
      <c r="B21" s="2">
        <f>B10/'Output-Calculation-sheet'!B9*'Output-Calculation-sheet'!B27</f>
        <v>14632.682124265113</v>
      </c>
      <c r="C21" s="2">
        <f>C10/'Output-Calculation-sheet'!C9*'Output-Calculation-sheet'!C27</f>
        <v>6068.6981861289623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8483.5085257126448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5893.5405878532347</v>
      </c>
      <c r="N21" s="2">
        <f>N10/'Output-Calculation-sheet'!N9*'Output-Calculation-sheet'!N27</f>
        <v>3215.0544671842758</v>
      </c>
      <c r="O21" s="2">
        <f>O10/'Output-Calculation-sheet'!O9*'Output-Calculation-sheet'!O27</f>
        <v>2519.1715502969437</v>
      </c>
      <c r="P21" s="2">
        <f>P10/'Output-Calculation-sheet'!P9*'Output-Calculation-sheet'!P27</f>
        <v>0</v>
      </c>
      <c r="Q21" s="2">
        <f>Q10/'Output-Calculation-sheet'!Q9*'Output-Calculation-sheet'!Q27</f>
        <v>219.40472687631049</v>
      </c>
      <c r="R21" s="2">
        <f>R10/'Output-Calculation-sheet'!R9*'Output-Calculation-sheet'!R27</f>
        <v>0</v>
      </c>
      <c r="S21" s="2">
        <f>S10/'Output-Calculation-sheet'!S9*'Output-Calculation-sheet'!S27</f>
        <v>1401.5383534933803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373.51923010910446</v>
      </c>
      <c r="Y21" s="2">
        <f>Y10/'Output-Calculation-sheet'!Y9*'Output-Calculation-sheet'!Y27</f>
        <v>0</v>
      </c>
      <c r="AA21" s="2">
        <f t="shared" si="0"/>
        <v>42.807117751919961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6292.8817402863988</v>
      </c>
      <c r="D22" s="2">
        <f>D11/'Output-Calculation-sheet'!D10*'Output-Calculation-sheet'!D28</f>
        <v>0</v>
      </c>
      <c r="E22" s="2">
        <f>E11/'Output-Calculation-sheet'!E10*'Output-Calculation-sheet'!E28</f>
        <v>1501.5919690737005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10939.281401581387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900.30601035505549</v>
      </c>
      <c r="M22" s="2">
        <f>M11/'Output-Calculation-sheet'!M10*'Output-Calculation-sheet'!M28</f>
        <v>7954.1585057600169</v>
      </c>
      <c r="N22" s="2">
        <f>N11/'Output-Calculation-sheet'!N10*'Output-Calculation-sheet'!N28</f>
        <v>4581.5112382658317</v>
      </c>
      <c r="O22" s="2">
        <f>O11/'Output-Calculation-sheet'!O10*'Output-Calculation-sheet'!O28</f>
        <v>2910.3027164136452</v>
      </c>
      <c r="P22" s="2">
        <f>P11/'Output-Calculation-sheet'!P10*'Output-Calculation-sheet'!P28</f>
        <v>0</v>
      </c>
      <c r="Q22" s="2">
        <f>Q11/'Output-Calculation-sheet'!Q10*'Output-Calculation-sheet'!Q28</f>
        <v>1068.8797910880485</v>
      </c>
      <c r="R22" s="2">
        <f>R11/'Output-Calculation-sheet'!R10*'Output-Calculation-sheet'!R28</f>
        <v>0</v>
      </c>
      <c r="S22" s="2">
        <f>S11/'Output-Calculation-sheet'!S10*'Output-Calculation-sheet'!S28</f>
        <v>2377.1445016057251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81.986101482174746</v>
      </c>
      <c r="AA22" s="2">
        <f t="shared" si="0"/>
        <v>68.50585979707094</v>
      </c>
    </row>
    <row r="23" spans="1:27" x14ac:dyDescent="0.25">
      <c r="A23" s="2">
        <v>2035</v>
      </c>
      <c r="B23" s="2">
        <f>B12/'Output-Calculation-sheet'!B11*'Output-Calculation-sheet'!B29</f>
        <v>37996.454808754163</v>
      </c>
      <c r="C23" s="2">
        <f>C12/'Output-Calculation-sheet'!C11*'Output-Calculation-sheet'!C29</f>
        <v>196.6448948832867</v>
      </c>
      <c r="D23" s="2">
        <f>D12/'Output-Calculation-sheet'!D11*'Output-Calculation-sheet'!D29</f>
        <v>0</v>
      </c>
      <c r="E23" s="2">
        <f>E12/'Output-Calculation-sheet'!E11*'Output-Calculation-sheet'!E29</f>
        <v>5778.670982887139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11744.564176367665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1300.4923488481907</v>
      </c>
      <c r="M23" s="2">
        <f>M12/'Output-Calculation-sheet'!M11*'Output-Calculation-sheet'!M29</f>
        <v>8554.7979354372837</v>
      </c>
      <c r="N23" s="2">
        <f>N12/'Output-Calculation-sheet'!N11*'Output-Calculation-sheet'!N29</f>
        <v>4967.3633533294415</v>
      </c>
      <c r="O23" s="2">
        <f>O12/'Output-Calculation-sheet'!O11*'Output-Calculation-sheet'!O29</f>
        <v>3423.3274172787892</v>
      </c>
      <c r="P23" s="2">
        <f>P12/'Output-Calculation-sheet'!P11*'Output-Calculation-sheet'!P29</f>
        <v>597.55491541106164</v>
      </c>
      <c r="Q23" s="2">
        <f>Q12/'Output-Calculation-sheet'!Q11*'Output-Calculation-sheet'!Q29</f>
        <v>1331.2567226805206</v>
      </c>
      <c r="R23" s="2">
        <f>R12/'Output-Calculation-sheet'!R11*'Output-Calculation-sheet'!R29</f>
        <v>0</v>
      </c>
      <c r="S23" s="2">
        <f>S12/'Output-Calculation-sheet'!S11*'Output-Calculation-sheet'!S29</f>
        <v>2698.364048466985</v>
      </c>
      <c r="T23" s="2">
        <f>T12/'Output-Calculation-sheet'!T11*'Output-Calculation-sheet'!T29</f>
        <v>0</v>
      </c>
      <c r="U23" s="2">
        <f>U12/'Output-Calculation-sheet'!U11*'Output-Calculation-sheet'!U29</f>
        <v>118.81111065000684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88.145561673639477</v>
      </c>
      <c r="Y23" s="2">
        <f>Y12/'Output-Calculation-sheet'!Y11*'Output-Calculation-sheet'!Y29</f>
        <v>253.85685972826218</v>
      </c>
      <c r="AA23" s="2">
        <f t="shared" si="0"/>
        <v>79.050305136396432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18548.783988053703</v>
      </c>
      <c r="C30" s="2">
        <f>C8/'Output-Calculation-sheet'!C7*'Output-Calculation-sheet'!C16</f>
        <v>0</v>
      </c>
      <c r="D30" s="2">
        <f>D8/'Output-Calculation-sheet'!D7*'Output-Calculation-sheet'!D16</f>
        <v>3123.3467312703183</v>
      </c>
      <c r="E30" s="2">
        <f>E8/'Output-Calculation-sheet'!E7*'Output-Calculation-sheet'!E16</f>
        <v>3360.5489383964432</v>
      </c>
      <c r="F30" s="2">
        <f>F8/'Output-Calculation-sheet'!F7*'Output-Calculation-sheet'!F16</f>
        <v>1695.4425272103169</v>
      </c>
      <c r="G30" s="2">
        <f>G8/'Output-Calculation-sheet'!G7*'Output-Calculation-sheet'!G16</f>
        <v>1110.2987186764833</v>
      </c>
      <c r="H30" s="2">
        <f>H8/'Output-Calculation-sheet'!H7*'Output-Calculation-sheet'!H16</f>
        <v>0</v>
      </c>
      <c r="I30" s="2">
        <f>I8/'Output-Calculation-sheet'!I7*'Output-Calculation-sheet'!I16</f>
        <v>1082.3882292880135</v>
      </c>
      <c r="J30" s="2">
        <f>J8/'Output-Calculation-sheet'!J7*'Output-Calculation-sheet'!J16</f>
        <v>963.52038409405725</v>
      </c>
      <c r="K30" s="2">
        <f>K8/'Output-Calculation-sheet'!K7*'Output-Calculation-sheet'!K16</f>
        <v>1286.4849943588868</v>
      </c>
      <c r="L30" s="2">
        <f>L8/'Output-Calculation-sheet'!L7*'Output-Calculation-sheet'!L16</f>
        <v>1086.6623445728294</v>
      </c>
      <c r="M30" s="2">
        <f>M8/'Output-Calculation-sheet'!M7*'Output-Calculation-sheet'!M16</f>
        <v>0</v>
      </c>
      <c r="N30" s="2">
        <f>N8/'Output-Calculation-sheet'!N7*'Output-Calculation-sheet'!N16</f>
        <v>1544.6684155409962</v>
      </c>
      <c r="O30" s="2">
        <f>O8/'Output-Calculation-sheet'!O7*'Output-Calculation-sheet'!O16</f>
        <v>0</v>
      </c>
      <c r="P30" s="2">
        <f>P8/'Output-Calculation-sheet'!P7*'Output-Calculation-sheet'!P16</f>
        <v>1387.2650704665111</v>
      </c>
      <c r="Q30" s="2">
        <f>Q8/'Output-Calculation-sheet'!Q7*'Output-Calculation-sheet'!Q16</f>
        <v>1525.540509133725</v>
      </c>
      <c r="R30" s="2">
        <f>R8/'Output-Calculation-sheet'!R7*'Output-Calculation-sheet'!R16</f>
        <v>967.96090437224996</v>
      </c>
      <c r="S30" s="2">
        <f>S8/'Output-Calculation-sheet'!S7*'Output-Calculation-sheet'!S16</f>
        <v>973.48626451038479</v>
      </c>
      <c r="T30" s="2">
        <f>T8/'Output-Calculation-sheet'!T7*'Output-Calculation-sheet'!T16</f>
        <v>290.56614319977581</v>
      </c>
      <c r="U30" s="2">
        <f>U8/'Output-Calculation-sheet'!U7*'Output-Calculation-sheet'!U16</f>
        <v>290.04808955715606</v>
      </c>
      <c r="V30" s="2">
        <f>V8/'Output-Calculation-sheet'!V7*'Output-Calculation-sheet'!V16</f>
        <v>225.7379343885932</v>
      </c>
      <c r="W30" s="2">
        <f>W8/'Output-Calculation-sheet'!W7*'Output-Calculation-sheet'!W16</f>
        <v>136.9231343369666</v>
      </c>
      <c r="X30" s="2">
        <f>X8/'Output-Calculation-sheet'!X7*'Output-Calculation-sheet'!X16</f>
        <v>0</v>
      </c>
      <c r="Y30" s="2">
        <f>Y8/'Output-Calculation-sheet'!Y7*'Output-Calculation-sheet'!Y16</f>
        <v>115.88779731839944</v>
      </c>
      <c r="AA30" s="2">
        <f t="shared" si="1"/>
        <v>39.715561118745804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1749.8732503459264</v>
      </c>
      <c r="O31" s="2">
        <f>O9/'Output-Calculation-sheet'!O8*'Output-Calculation-sheet'!O17</f>
        <v>0</v>
      </c>
      <c r="P31" s="2">
        <f>P9/'Output-Calculation-sheet'!P8*'Output-Calculation-sheet'!P17</f>
        <v>2166.4088854273914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1301.2278888671303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55.637654568849214</v>
      </c>
    </row>
    <row r="32" spans="1:27" x14ac:dyDescent="0.25">
      <c r="A32" s="2">
        <v>2033</v>
      </c>
      <c r="B32" s="2">
        <f>B10/'Output-Calculation-sheet'!B9*'Output-Calculation-sheet'!B18</f>
        <v>29794.206074983467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2837.7582716726874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1825.0688362216988</v>
      </c>
      <c r="O32" s="2">
        <f>O10/'Output-Calculation-sheet'!O9*'Output-Calculation-sheet'!O18</f>
        <v>0</v>
      </c>
      <c r="P32" s="2">
        <f>P10/'Output-Calculation-sheet'!P9*'Output-Calculation-sheet'!P18</f>
        <v>2920.6887052459551</v>
      </c>
      <c r="Q32" s="2">
        <f>Q10/'Output-Calculation-sheet'!Q9*'Output-Calculation-sheet'!Q18</f>
        <v>3180.7363016418331</v>
      </c>
      <c r="R32" s="2">
        <f>R10/'Output-Calculation-sheet'!R9*'Output-Calculation-sheet'!R18</f>
        <v>2097.3467588230465</v>
      </c>
      <c r="S32" s="2">
        <f>S10/'Output-Calculation-sheet'!S9*'Output-Calculation-sheet'!S18</f>
        <v>1373.5255798841886</v>
      </c>
      <c r="T32" s="2">
        <f>T10/'Output-Calculation-sheet'!T9*'Output-Calculation-sheet'!T18</f>
        <v>612.35839400290615</v>
      </c>
      <c r="U32" s="2">
        <f>U10/'Output-Calculation-sheet'!U9*'Output-Calculation-sheet'!U18</f>
        <v>676.96276307123844</v>
      </c>
      <c r="V32" s="2">
        <f>V10/'Output-Calculation-sheet'!V9*'Output-Calculation-sheet'!V18</f>
        <v>499.66765310940275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289.28203288534593</v>
      </c>
      <c r="AA32" s="2">
        <f t="shared" si="1"/>
        <v>71.567101761854104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8913.7227930905938</v>
      </c>
      <c r="E33" s="2">
        <f>E11/'Output-Calculation-sheet'!E10*'Output-Calculation-sheet'!E19</f>
        <v>11038.189080391732</v>
      </c>
      <c r="F33" s="2">
        <f>F11/'Output-Calculation-sheet'!F10*'Output-Calculation-sheet'!F19</f>
        <v>5059.3744390254424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3311.1367772553099</v>
      </c>
      <c r="J33" s="2">
        <f>J11/'Output-Calculation-sheet'!J10*'Output-Calculation-sheet'!J19</f>
        <v>2799.4994843134514</v>
      </c>
      <c r="K33" s="2">
        <f>K11/'Output-Calculation-sheet'!K10*'Output-Calculation-sheet'!K19</f>
        <v>3883.0875678737134</v>
      </c>
      <c r="L33" s="2">
        <f>L11/'Output-Calculation-sheet'!L10*'Output-Calculation-sheet'!L19</f>
        <v>3159.1380104302739</v>
      </c>
      <c r="M33" s="2">
        <f>M11/'Output-Calculation-sheet'!M10*'Output-Calculation-sheet'!M19</f>
        <v>0</v>
      </c>
      <c r="N33" s="2">
        <f>N11/'Output-Calculation-sheet'!N10*'Output-Calculation-sheet'!N19</f>
        <v>1796.3427187432326</v>
      </c>
      <c r="O33" s="2">
        <f>O11/'Output-Calculation-sheet'!O10*'Output-Calculation-sheet'!O19</f>
        <v>0</v>
      </c>
      <c r="P33" s="2">
        <f>P11/'Output-Calculation-sheet'!P10*'Output-Calculation-sheet'!P19</f>
        <v>3927.9703270381451</v>
      </c>
      <c r="Q33" s="2">
        <f>Q11/'Output-Calculation-sheet'!Q10*'Output-Calculation-sheet'!Q19</f>
        <v>3209.4142849085806</v>
      </c>
      <c r="R33" s="2">
        <f>R11/'Output-Calculation-sheet'!R10*'Output-Calculation-sheet'!R19</f>
        <v>2804.9801144852959</v>
      </c>
      <c r="S33" s="2">
        <f>S11/'Output-Calculation-sheet'!S10*'Output-Calculation-sheet'!S19</f>
        <v>1306.6942721889297</v>
      </c>
      <c r="T33" s="2">
        <f>T11/'Output-Calculation-sheet'!T10*'Output-Calculation-sheet'!T19</f>
        <v>823.03594604505304</v>
      </c>
      <c r="U33" s="2">
        <f>U11/'Output-Calculation-sheet'!U10*'Output-Calculation-sheet'!U19</f>
        <v>946.65759801146999</v>
      </c>
      <c r="V33" s="2">
        <f>V11/'Output-Calculation-sheet'!V10*'Output-Calculation-sheet'!V19</f>
        <v>645.56717609082682</v>
      </c>
      <c r="W33" s="2">
        <f>W11/'Output-Calculation-sheet'!W10*'Output-Calculation-sheet'!W19</f>
        <v>401.92170587798211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87.303431108593358</v>
      </c>
    </row>
    <row r="34" spans="1:27" x14ac:dyDescent="0.25">
      <c r="A34" s="2">
        <v>2035</v>
      </c>
      <c r="B34" s="2">
        <f>B12/'Output-Calculation-sheet'!B11*'Output-Calculation-sheet'!B20</f>
        <v>29922.279087864441</v>
      </c>
      <c r="C34" s="2">
        <f>C12/'Output-Calculation-sheet'!C11*'Output-Calculation-sheet'!C20</f>
        <v>0</v>
      </c>
      <c r="D34" s="2">
        <f>D12/'Output-Calculation-sheet'!D11*'Output-Calculation-sheet'!D20</f>
        <v>9370.3416095702014</v>
      </c>
      <c r="E34" s="2">
        <f>E12/'Output-Calculation-sheet'!E11*'Output-Calculation-sheet'!E20</f>
        <v>10324.217424474406</v>
      </c>
      <c r="F34" s="2">
        <f>F12/'Output-Calculation-sheet'!F11*'Output-Calculation-sheet'!F20</f>
        <v>6389.9069166460922</v>
      </c>
      <c r="G34" s="2">
        <f>G12/'Output-Calculation-sheet'!G11*'Output-Calculation-sheet'!G20</f>
        <v>3451.267321068518</v>
      </c>
      <c r="H34" s="2">
        <f>H12/'Output-Calculation-sheet'!H11*'Output-Calculation-sheet'!H20</f>
        <v>0</v>
      </c>
      <c r="I34" s="2">
        <f>I12/'Output-Calculation-sheet'!I11*'Output-Calculation-sheet'!I20</f>
        <v>3759.1194291769311</v>
      </c>
      <c r="J34" s="2">
        <f>J12/'Output-Calculation-sheet'!J11*'Output-Calculation-sheet'!J20</f>
        <v>3221.3161821929875</v>
      </c>
      <c r="K34" s="2">
        <f>K12/'Output-Calculation-sheet'!K11*'Output-Calculation-sheet'!K20</f>
        <v>4234.0955758091759</v>
      </c>
      <c r="L34" s="2">
        <f>L12/'Output-Calculation-sheet'!L11*'Output-Calculation-sheet'!L20</f>
        <v>3352.4224866681443</v>
      </c>
      <c r="M34" s="2">
        <f>M12/'Output-Calculation-sheet'!M11*'Output-Calculation-sheet'!M20</f>
        <v>0</v>
      </c>
      <c r="N34" s="2">
        <f>N12/'Output-Calculation-sheet'!N11*'Output-Calculation-sheet'!N20</f>
        <v>1868.3333526341137</v>
      </c>
      <c r="O34" s="2">
        <f>O12/'Output-Calculation-sheet'!O11*'Output-Calculation-sheet'!O20</f>
        <v>0</v>
      </c>
      <c r="P34" s="2">
        <f>P12/'Output-Calculation-sheet'!P11*'Output-Calculation-sheet'!P20</f>
        <v>4180.8081816375634</v>
      </c>
      <c r="Q34" s="2">
        <f>Q12/'Output-Calculation-sheet'!Q11*'Output-Calculation-sheet'!Q20</f>
        <v>3294.7702094651563</v>
      </c>
      <c r="R34" s="2">
        <f>R12/'Output-Calculation-sheet'!R11*'Output-Calculation-sheet'!R20</f>
        <v>3324.787901292812</v>
      </c>
      <c r="S34" s="2">
        <f>S12/'Output-Calculation-sheet'!S11*'Output-Calculation-sheet'!S20</f>
        <v>1284.1661672226808</v>
      </c>
      <c r="T34" s="2">
        <f>T12/'Output-Calculation-sheet'!T11*'Output-Calculation-sheet'!T20</f>
        <v>1037.672201838699</v>
      </c>
      <c r="U34" s="2">
        <f>U12/'Output-Calculation-sheet'!U11*'Output-Calculation-sheet'!U20</f>
        <v>949.91275665488456</v>
      </c>
      <c r="V34" s="2">
        <f>V12/'Output-Calculation-sheet'!V11*'Output-Calculation-sheet'!V20</f>
        <v>870.2929965074967</v>
      </c>
      <c r="W34" s="2">
        <f>W12/'Output-Calculation-sheet'!W11*'Output-Calculation-sheet'!W20</f>
        <v>562.82795721480954</v>
      </c>
      <c r="X34" s="2">
        <f>X12/'Output-Calculation-sheet'!X11*'Output-Calculation-sheet'!X20</f>
        <v>1.328463520483498</v>
      </c>
      <c r="Y34" s="2">
        <f>Y12/'Output-Calculation-sheet'!Y11*'Output-Calculation-sheet'!Y20</f>
        <v>313.80752902220331</v>
      </c>
      <c r="AA34" s="2">
        <f t="shared" si="1"/>
        <v>91.713673750481803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3.9285130137488349E-2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3.9285130137488349E-2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0.45272029690300941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0.45272029690300941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0.6136693401438349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0.6136693401438349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5.8347356346228077E-2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1.3382886501031373E-2</v>
      </c>
      <c r="N44" s="2">
        <f>N11/'Output-Calculation-sheet'!N10*'Output-Calculation-sheet'!N37*0.0114</f>
        <v>1.3153207061744802E-2</v>
      </c>
      <c r="O44" s="2">
        <f>O11/'Output-Calculation-sheet'!O10*'Output-Calculation-sheet'!O37*0.0114</f>
        <v>0.76100926675371749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3.4572669668372732E-2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7.5398723588499502E-3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0.88800525868994429</v>
      </c>
    </row>
    <row r="45" spans="1:27" x14ac:dyDescent="0.25">
      <c r="A45" s="2">
        <v>2035</v>
      </c>
      <c r="B45" s="2">
        <f>B12/'Output-Calculation-sheet'!B11*'Output-Calculation-sheet'!B38*0.0114</f>
        <v>0.6985365564801399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0.23340439211302508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0.28576461942590714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5.6267589042712153E-2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5.9243622190642192E-2</v>
      </c>
      <c r="M45" s="2">
        <f>M12/'Output-Calculation-sheet'!M11*'Output-Calculation-sheet'!M38*0.0114</f>
        <v>0.16854331597841413</v>
      </c>
      <c r="N45" s="2">
        <f>N12/'Output-Calculation-sheet'!N11*'Output-Calculation-sheet'!N38*0.0114</f>
        <v>0.12423805957890593</v>
      </c>
      <c r="O45" s="2">
        <f>O12/'Output-Calculation-sheet'!O11*'Output-Calculation-sheet'!O38*0.0114</f>
        <v>0.8759668310624662</v>
      </c>
      <c r="P45" s="2">
        <f>P12/'Output-Calculation-sheet'!P11*'Output-Calculation-sheet'!P38*0.0114</f>
        <v>7.6516096339974055E-2</v>
      </c>
      <c r="Q45" s="2">
        <f>Q12/'Output-Calculation-sheet'!Q11*'Output-Calculation-sheet'!Q38*0.0114</f>
        <v>0.10885156180030399</v>
      </c>
      <c r="R45" s="2">
        <f>R12/'Output-Calculation-sheet'!R11*'Output-Calculation-sheet'!R38*0.0114</f>
        <v>4.7976373024100551E-2</v>
      </c>
      <c r="S45" s="2">
        <f>S12/'Output-Calculation-sheet'!S11*'Output-Calculation-sheet'!S38*0.0114</f>
        <v>5.5391423624096069E-2</v>
      </c>
      <c r="T45" s="2">
        <f>T12/'Output-Calculation-sheet'!T11*'Output-Calculation-sheet'!T38*0.0114</f>
        <v>1.3312088030649392E-2</v>
      </c>
      <c r="U45" s="2">
        <f>U12/'Output-Calculation-sheet'!U11*'Output-Calculation-sheet'!U38*0.0114</f>
        <v>1.9294551747761745E-2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8.9213858230475437E-3</v>
      </c>
      <c r="AA45" s="2">
        <f t="shared" si="2"/>
        <v>3.4870322517787486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2931.2584481601657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6751.7933038185947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4617.7111884778615</v>
      </c>
      <c r="N52" s="2">
        <f>N8/'Output-Calculation-sheet'!N7*'Output-Calculation-sheet'!N43</f>
        <v>145.86592208263949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31.222838485811916</v>
      </c>
      <c r="Y52" s="2">
        <f>Y8/'Output-Calculation-sheet'!Y7*'Output-Calculation-sheet'!Y43</f>
        <v>0</v>
      </c>
      <c r="AA52" s="2">
        <f t="shared" si="3"/>
        <v>14.477851701025072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506.17240155828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13119.970143922174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8985.5483348669513</v>
      </c>
      <c r="N53" s="2">
        <f>N9/'Output-Calculation-sheet'!N8*'Output-Calculation-sheet'!N44</f>
        <v>3185.6038141350955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994.36383930240913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274.25462957301954</v>
      </c>
      <c r="Y53" s="2">
        <f>Y9/'Output-Calculation-sheet'!Y8*'Output-Calculation-sheet'!Y44</f>
        <v>0</v>
      </c>
      <c r="AA53" s="2">
        <f t="shared" si="3"/>
        <v>27.207256577425547</v>
      </c>
    </row>
    <row r="54" spans="1:27" x14ac:dyDescent="0.25">
      <c r="A54" s="2">
        <v>2033</v>
      </c>
      <c r="B54" s="2">
        <f>B10/'Output-Calculation-sheet'!B9*'Output-Calculation-sheet'!B45</f>
        <v>28044.809209538806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20445.41183269977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14014.17038806669</v>
      </c>
      <c r="N54" s="2">
        <f>N10/'Output-Calculation-sheet'!N9*'Output-Calculation-sheet'!N45</f>
        <v>7820.1283056202701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821.05124235267442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786.61075152341948</v>
      </c>
      <c r="Y54" s="2">
        <f>Y10/'Output-Calculation-sheet'!Y9*'Output-Calculation-sheet'!Y45</f>
        <v>17.350729638394402</v>
      </c>
      <c r="AA54" s="2">
        <f t="shared" si="3"/>
        <v>84.592158806978773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25391.33638891557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3678.8218782680597</v>
      </c>
      <c r="L55" s="2">
        <f>L11/'Output-Calculation-sheet'!L10*'Output-Calculation-sheet'!L46</f>
        <v>1359.2477032092077</v>
      </c>
      <c r="M55" s="2">
        <f>M11/'Output-Calculation-sheet'!M10*'Output-Calculation-sheet'!M46</f>
        <v>17826.239606856263</v>
      </c>
      <c r="N55" s="2">
        <f>N11/'Output-Calculation-sheet'!N10*'Output-Calculation-sheet'!N46</f>
        <v>13143.976740999718</v>
      </c>
      <c r="O55" s="2">
        <f>O11/'Output-Calculation-sheet'!O10*'Output-Calculation-sheet'!O46</f>
        <v>292.86151748303786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2974.0583088991984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6664.1889375238679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204.96497059207559</v>
      </c>
    </row>
    <row r="56" spans="1:27" x14ac:dyDescent="0.25">
      <c r="A56" s="2">
        <v>2035</v>
      </c>
      <c r="B56" s="2">
        <f>B12/'Output-Calculation-sheet'!B11*'Output-Calculation-sheet'!B47</f>
        <v>113567.33805090273</v>
      </c>
      <c r="C56" s="2">
        <f>C12/'Output-Calculation-sheet'!C11*'Output-Calculation-sheet'!C47</f>
        <v>389.70681368848227</v>
      </c>
      <c r="D56" s="2">
        <f>D12/'Output-Calculation-sheet'!D11*'Output-Calculation-sheet'!D47</f>
        <v>9140.4143324641082</v>
      </c>
      <c r="E56" s="2">
        <f>E12/'Output-Calculation-sheet'!E11*'Output-Calculation-sheet'!E47</f>
        <v>25248.622487173903</v>
      </c>
      <c r="F56" s="2">
        <f>F12/'Output-Calculation-sheet'!F11*'Output-Calculation-sheet'!F47</f>
        <v>2982.2625134215396</v>
      </c>
      <c r="G56" s="2">
        <f>G12/'Output-Calculation-sheet'!G11*'Output-Calculation-sheet'!G47</f>
        <v>7163.9868944972004</v>
      </c>
      <c r="H56" s="2">
        <f>H12/'Output-Calculation-sheet'!H11*'Output-Calculation-sheet'!H47</f>
        <v>27106.457227373485</v>
      </c>
      <c r="I56" s="2">
        <f>I12/'Output-Calculation-sheet'!I11*'Output-Calculation-sheet'!I47</f>
        <v>3564.2415310972333</v>
      </c>
      <c r="J56" s="2">
        <f>J12/'Output-Calculation-sheet'!J11*'Output-Calculation-sheet'!J47</f>
        <v>3272.4045206419432</v>
      </c>
      <c r="K56" s="2">
        <f>K12/'Output-Calculation-sheet'!K11*'Output-Calculation-sheet'!K47</f>
        <v>4658.2495383321011</v>
      </c>
      <c r="L56" s="2">
        <f>L12/'Output-Calculation-sheet'!L11*'Output-Calculation-sheet'!L47</f>
        <v>2556.8300103329784</v>
      </c>
      <c r="M56" s="2">
        <f>M12/'Output-Calculation-sheet'!M11*'Output-Calculation-sheet'!M47</f>
        <v>18830.526618523989</v>
      </c>
      <c r="N56" s="2">
        <f>N12/'Output-Calculation-sheet'!N11*'Output-Calculation-sheet'!N47</f>
        <v>14184.450583891852</v>
      </c>
      <c r="O56" s="2">
        <f>O12/'Output-Calculation-sheet'!O11*'Output-Calculation-sheet'!O47</f>
        <v>1395.5353926240268</v>
      </c>
      <c r="P56" s="2">
        <f>P12/'Output-Calculation-sheet'!P11*'Output-Calculation-sheet'!P47</f>
        <v>7474.8619260775813</v>
      </c>
      <c r="Q56" s="2">
        <f>Q12/'Output-Calculation-sheet'!Q11*'Output-Calculation-sheet'!Q47</f>
        <v>3589.1309314856567</v>
      </c>
      <c r="R56" s="2">
        <f>R12/'Output-Calculation-sheet'!R11*'Output-Calculation-sheet'!R47</f>
        <v>5514.1265574410299</v>
      </c>
      <c r="S56" s="2">
        <f>S12/'Output-Calculation-sheet'!S11*'Output-Calculation-sheet'!S47</f>
        <v>7330.6870287478514</v>
      </c>
      <c r="T56" s="2">
        <f>T12/'Output-Calculation-sheet'!T11*'Output-Calculation-sheet'!T47</f>
        <v>1919.3539789219928</v>
      </c>
      <c r="U56" s="2">
        <f>U12/'Output-Calculation-sheet'!U11*'Output-Calculation-sheet'!U47</f>
        <v>1854.6464741401155</v>
      </c>
      <c r="V56" s="2">
        <f>V12/'Output-Calculation-sheet'!V11*'Output-Calculation-sheet'!V47</f>
        <v>1295.1503319067979</v>
      </c>
      <c r="W56" s="2">
        <f>W12/'Output-Calculation-sheet'!W11*'Output-Calculation-sheet'!W47</f>
        <v>748.80450726724621</v>
      </c>
      <c r="X56" s="2">
        <f>X12/'Output-Calculation-sheet'!X11*'Output-Calculation-sheet'!X47</f>
        <v>150.97097897853976</v>
      </c>
      <c r="Y56" s="2">
        <f>Y12/'Output-Calculation-sheet'!Y11*'Output-Calculation-sheet'!Y47</f>
        <v>995.04755035131143</v>
      </c>
      <c r="AA56" s="2">
        <f t="shared" si="3"/>
        <v>264.9338067802837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7.0516031913981454</v>
      </c>
      <c r="C63" s="2">
        <f>C8*'Output-Calculation-sheet'!C52/10^9</f>
        <v>3.832721048938462</v>
      </c>
      <c r="D63" s="2">
        <f>D8*'Output-Calculation-sheet'!D52/10^9</f>
        <v>1.651066955620349</v>
      </c>
      <c r="E63" s="2">
        <f>E8*'Output-Calculation-sheet'!E52/10^9</f>
        <v>1.8888933748599845</v>
      </c>
      <c r="F63" s="2">
        <f>F8*'Output-Calculation-sheet'!F52/10^9</f>
        <v>0.88293630602983175</v>
      </c>
      <c r="G63" s="2">
        <f>G8*'Output-Calculation-sheet'!G52/10^9</f>
        <v>0.67347351268202316</v>
      </c>
      <c r="H63" s="2">
        <f>H8*'Output-Calculation-sheet'!H52/10^9</f>
        <v>1.0066420084990326</v>
      </c>
      <c r="I63" s="2">
        <f>I8*'Output-Calculation-sheet'!I52/10^9</f>
        <v>0.53199932176391607</v>
      </c>
      <c r="J63" s="2">
        <f>J8*'Output-Calculation-sheet'!J52/10^9</f>
        <v>0.75207031582585626</v>
      </c>
      <c r="K63" s="2">
        <f>K8*'Output-Calculation-sheet'!K52/10^9</f>
        <v>0.49369723448632435</v>
      </c>
      <c r="L63" s="2">
        <f>L8*'Output-Calculation-sheet'!L52/10^9</f>
        <v>0.58451729623168136</v>
      </c>
      <c r="M63" s="2">
        <f>M8*'Output-Calculation-sheet'!M52/10^9</f>
        <v>0.73703943535263228</v>
      </c>
      <c r="N63" s="2">
        <f>N8*'Output-Calculation-sheet'!N52/10^9</f>
        <v>0.58771211431241921</v>
      </c>
      <c r="O63" s="2">
        <f>O8*'Output-Calculation-sheet'!O52/10^9</f>
        <v>0.69631966648694166</v>
      </c>
      <c r="P63" s="2">
        <f>P8*'Output-Calculation-sheet'!P52/10^9</f>
        <v>0.50209859280704872</v>
      </c>
      <c r="Q63" s="2">
        <f>Q8*'Output-Calculation-sheet'!Q52/10^9</f>
        <v>0.46834875719627089</v>
      </c>
      <c r="R63" s="2">
        <f>R8*'Output-Calculation-sheet'!R52/10^9</f>
        <v>0.42421460865762428</v>
      </c>
      <c r="S63" s="2">
        <f>S8*'Output-Calculation-sheet'!S52/10^9</f>
        <v>0.35993031700629091</v>
      </c>
      <c r="T63" s="2">
        <f>T8*'Output-Calculation-sheet'!T52/10^9</f>
        <v>0.17229927378528651</v>
      </c>
      <c r="U63" s="2">
        <f>U8*'Output-Calculation-sheet'!U52/10^9</f>
        <v>0.13436753441841295</v>
      </c>
      <c r="V63" s="2">
        <f>V8*'Output-Calculation-sheet'!V52/10^9</f>
        <v>0.22247255564189225</v>
      </c>
      <c r="W63" s="2">
        <f>W8*'Output-Calculation-sheet'!W52/10^9</f>
        <v>9.3359593579666111E-2</v>
      </c>
      <c r="X63" s="2">
        <f>X8*'Output-Calculation-sheet'!X52/10^9</f>
        <v>9.8233599305475983E-2</v>
      </c>
      <c r="Y63" s="2">
        <f>Y8*'Output-Calculation-sheet'!Y52/10^9</f>
        <v>5.39116948230157E-2</v>
      </c>
      <c r="AA63" s="2">
        <f t="shared" si="4"/>
        <v>23.899928309708585</v>
      </c>
    </row>
    <row r="64" spans="1:27" x14ac:dyDescent="0.25">
      <c r="A64" s="2">
        <v>2032</v>
      </c>
      <c r="B64" s="2">
        <f>B9*'Output-Calculation-sheet'!B53/10^9</f>
        <v>7.4233698850493708</v>
      </c>
      <c r="C64" s="2">
        <f>C9*'Output-Calculation-sheet'!C53/10^9</f>
        <v>4.3847778773904516</v>
      </c>
      <c r="D64" s="2">
        <f>D9*'Output-Calculation-sheet'!D53/10^9</f>
        <v>1.558808810076487</v>
      </c>
      <c r="E64" s="2">
        <f>E9*'Output-Calculation-sheet'!E53/10^9</f>
        <v>1.8200915841698251</v>
      </c>
      <c r="F64" s="2">
        <f>F9*'Output-Calculation-sheet'!F53/10^9</f>
        <v>0.83520931542967591</v>
      </c>
      <c r="G64" s="2">
        <f>G9*'Output-Calculation-sheet'!G53/10^9</f>
        <v>0.62537020104554752</v>
      </c>
      <c r="H64" s="2">
        <f>H9*'Output-Calculation-sheet'!H53/10^9</f>
        <v>1.1646527116646352</v>
      </c>
      <c r="I64" s="2">
        <f>I9*'Output-Calculation-sheet'!I53/10^9</f>
        <v>0.50713233642682776</v>
      </c>
      <c r="J64" s="2">
        <f>J9*'Output-Calculation-sheet'!J53/10^9</f>
        <v>0.68067976362405513</v>
      </c>
      <c r="K64" s="2">
        <f>K9*'Output-Calculation-sheet'!K53/10^9</f>
        <v>0.50249394543627934</v>
      </c>
      <c r="L64" s="2">
        <f>L9*'Output-Calculation-sheet'!L53/10^9</f>
        <v>0.56413542119205962</v>
      </c>
      <c r="M64" s="2">
        <f>M9*'Output-Calculation-sheet'!M53/10^9</f>
        <v>0.83985080681707602</v>
      </c>
      <c r="N64" s="2">
        <f>N9*'Output-Calculation-sheet'!N53/10^9</f>
        <v>0.68644629802857637</v>
      </c>
      <c r="O64" s="2">
        <f>O9*'Output-Calculation-sheet'!O53/10^9</f>
        <v>0.81090036743059513</v>
      </c>
      <c r="P64" s="2">
        <f>P9*'Output-Calculation-sheet'!P53/10^9</f>
        <v>0.53618876566498641</v>
      </c>
      <c r="Q64" s="2">
        <f>Q9*'Output-Calculation-sheet'!Q53/10^9</f>
        <v>0.50858971194732661</v>
      </c>
      <c r="R64" s="2">
        <f>R9*'Output-Calculation-sheet'!R53/10^9</f>
        <v>0.43266705980766962</v>
      </c>
      <c r="S64" s="2">
        <f>S9*'Output-Calculation-sheet'!S53/10^9</f>
        <v>0.40676595056227544</v>
      </c>
      <c r="T64" s="2">
        <f>T9*'Output-Calculation-sheet'!T53/10^9</f>
        <v>0.16173915384895579</v>
      </c>
      <c r="U64" s="2">
        <f>U9*'Output-Calculation-sheet'!U53/10^9</f>
        <v>0.1378008993871174</v>
      </c>
      <c r="V64" s="2">
        <f>V9*'Output-Calculation-sheet'!V53/10^9</f>
        <v>0.2008399086344512</v>
      </c>
      <c r="W64" s="2">
        <f>W9*'Output-Calculation-sheet'!W53/10^9</f>
        <v>8.5604656394941428E-2</v>
      </c>
      <c r="X64" s="2">
        <f>X9*'Output-Calculation-sheet'!X53/10^9</f>
        <v>0.10930884054830056</v>
      </c>
      <c r="Y64" s="2">
        <f>Y9*'Output-Calculation-sheet'!Y53/10^9</f>
        <v>5.4449353065911948E-2</v>
      </c>
      <c r="AA64" s="2">
        <f t="shared" si="4"/>
        <v>25.037873623643399</v>
      </c>
    </row>
    <row r="65" spans="1:27" x14ac:dyDescent="0.25">
      <c r="A65" s="2">
        <v>2033</v>
      </c>
      <c r="B65" s="2">
        <f>B10*'Output-Calculation-sheet'!B54/10^9</f>
        <v>7.9824338749020933</v>
      </c>
      <c r="C65" s="2">
        <f>C10*'Output-Calculation-sheet'!C54/10^9</f>
        <v>4.9317574239312849</v>
      </c>
      <c r="D65" s="2">
        <f>D10*'Output-Calculation-sheet'!D54/10^9</f>
        <v>1.4228532762352712</v>
      </c>
      <c r="E65" s="2">
        <f>E10*'Output-Calculation-sheet'!E54/10^9</f>
        <v>1.8120224829374527</v>
      </c>
      <c r="F65" s="2">
        <f>F10*'Output-Calculation-sheet'!F54/10^9</f>
        <v>0.77864080786855761</v>
      </c>
      <c r="G65" s="2">
        <f>G10*'Output-Calculation-sheet'!G54/10^9</f>
        <v>0.55435454323459932</v>
      </c>
      <c r="H65" s="2">
        <f>H10*'Output-Calculation-sheet'!H54/10^9</f>
        <v>1.3026040026872927</v>
      </c>
      <c r="I65" s="2">
        <f>I10*'Output-Calculation-sheet'!I54/10^9</f>
        <v>0.48605322576358173</v>
      </c>
      <c r="J65" s="2">
        <f>J10*'Output-Calculation-sheet'!J54/10^9</f>
        <v>0.57507743074600703</v>
      </c>
      <c r="K65" s="2">
        <f>K10*'Output-Calculation-sheet'!K54/10^9</f>
        <v>0.53815994418018964</v>
      </c>
      <c r="L65" s="2">
        <f>L10*'Output-Calculation-sheet'!L54/10^9</f>
        <v>0.55498854053685176</v>
      </c>
      <c r="M65" s="2">
        <f>M10*'Output-Calculation-sheet'!M54/10^9</f>
        <v>0.92619577255127683</v>
      </c>
      <c r="N65" s="2">
        <f>N10*'Output-Calculation-sheet'!N54/10^9</f>
        <v>0.78923071268941414</v>
      </c>
      <c r="O65" s="2">
        <f>O10*'Output-Calculation-sheet'!O54/10^9</f>
        <v>0.91831767418202737</v>
      </c>
      <c r="P65" s="2">
        <f>P10*'Output-Calculation-sheet'!P54/10^9</f>
        <v>0.58218519566057447</v>
      </c>
      <c r="Q65" s="2">
        <f>Q10*'Output-Calculation-sheet'!Q54/10^9</f>
        <v>0.57453923822622532</v>
      </c>
      <c r="R65" s="2">
        <f>R10*'Output-Calculation-sheet'!R54/10^9</f>
        <v>0.45543513780328276</v>
      </c>
      <c r="S65" s="2">
        <f>S10*'Output-Calculation-sheet'!S54/10^9</f>
        <v>0.45711123329879721</v>
      </c>
      <c r="T65" s="2">
        <f>T10*'Output-Calculation-sheet'!T54/10^9</f>
        <v>0.15423059710831788</v>
      </c>
      <c r="U65" s="2">
        <f>U10*'Output-Calculation-sheet'!U54/10^9</f>
        <v>0.1481274147510703</v>
      </c>
      <c r="V65" s="2">
        <f>V10*'Output-Calculation-sheet'!V54/10^9</f>
        <v>0.17453605544352987</v>
      </c>
      <c r="W65" s="2">
        <f>W10*'Output-Calculation-sheet'!W54/10^9</f>
        <v>7.4590400370758342E-2</v>
      </c>
      <c r="X65" s="2">
        <f>X10*'Output-Calculation-sheet'!X54/10^9</f>
        <v>0.11896876618149534</v>
      </c>
      <c r="Y65" s="2">
        <f>Y10*'Output-Calculation-sheet'!Y54/10^9</f>
        <v>5.7864318866631168E-2</v>
      </c>
      <c r="AA65" s="2">
        <f t="shared" si="4"/>
        <v>26.37027807015658</v>
      </c>
    </row>
    <row r="66" spans="1:27" x14ac:dyDescent="0.25">
      <c r="A66" s="2">
        <v>2034</v>
      </c>
      <c r="B66" s="2">
        <f>B11*'Output-Calculation-sheet'!B55/10^9</f>
        <v>8.737048972203894</v>
      </c>
      <c r="C66" s="2">
        <f>C11*'Output-Calculation-sheet'!C55/10^9</f>
        <v>5.4784042212937836</v>
      </c>
      <c r="D66" s="2">
        <f>D11*'Output-Calculation-sheet'!D55/10^9</f>
        <v>1.5806547205009664</v>
      </c>
      <c r="E66" s="2">
        <f>E11*'Output-Calculation-sheet'!E55/10^9</f>
        <v>2.0472566456694694</v>
      </c>
      <c r="F66" s="2">
        <f>F11*'Output-Calculation-sheet'!F55/10^9</f>
        <v>0.80575858731934913</v>
      </c>
      <c r="G66" s="2">
        <f>G11*'Output-Calculation-sheet'!G55/10^9</f>
        <v>0.58776959642828719</v>
      </c>
      <c r="H66" s="2">
        <f>H11*'Output-Calculation-sheet'!H55/10^9</f>
        <v>1.4666969276785145</v>
      </c>
      <c r="I66" s="2">
        <f>I11*'Output-Calculation-sheet'!I55/10^9</f>
        <v>0.54639291892183373</v>
      </c>
      <c r="J66" s="2">
        <f>J11*'Output-Calculation-sheet'!J55/10^9</f>
        <v>0.55011507111916258</v>
      </c>
      <c r="K66" s="2">
        <f>K11*'Output-Calculation-sheet'!K55/10^9</f>
        <v>0.62639539223467788</v>
      </c>
      <c r="L66" s="2">
        <f>L11*'Output-Calculation-sheet'!L55/10^9</f>
        <v>0.60726924397071158</v>
      </c>
      <c r="M66" s="2">
        <f>M11*'Output-Calculation-sheet'!M55/10^9</f>
        <v>1.0301686208788752</v>
      </c>
      <c r="N66" s="2">
        <f>N11*'Output-Calculation-sheet'!N55/10^9</f>
        <v>0.89581225734706171</v>
      </c>
      <c r="O66" s="2">
        <f>O11*'Output-Calculation-sheet'!O55/10^9</f>
        <v>1.0218112609684682</v>
      </c>
      <c r="P66" s="2">
        <f>P11*'Output-Calculation-sheet'!P55/10^9</f>
        <v>0.65521480600695237</v>
      </c>
      <c r="Q66" s="2">
        <f>Q11*'Output-Calculation-sheet'!Q55/10^9</f>
        <v>0.6739453247535383</v>
      </c>
      <c r="R66" s="2">
        <f>R11*'Output-Calculation-sheet'!R55/10^9</f>
        <v>0.49862712428487665</v>
      </c>
      <c r="S66" s="2">
        <f>S11*'Output-Calculation-sheet'!S55/10^9</f>
        <v>0.5176161934614637</v>
      </c>
      <c r="T66" s="2">
        <f>T11*'Output-Calculation-sheet'!T55/10^9</f>
        <v>0.15623719422967869</v>
      </c>
      <c r="U66" s="2">
        <f>U11*'Output-Calculation-sheet'!U55/10^9</f>
        <v>0.17004109402890835</v>
      </c>
      <c r="V66" s="2">
        <f>V11*'Output-Calculation-sheet'!V55/10^9</f>
        <v>0.14765447323974584</v>
      </c>
      <c r="W66" s="2">
        <f>W11*'Output-Calculation-sheet'!W55/10^9</f>
        <v>7.2337720005420963E-2</v>
      </c>
      <c r="X66" s="2">
        <f>X11*'Output-Calculation-sheet'!X55/10^9</f>
        <v>0.12777468857307817</v>
      </c>
      <c r="Y66" s="2">
        <f>Y11*'Output-Calculation-sheet'!Y55/10^9</f>
        <v>6.9407325684134033E-2</v>
      </c>
      <c r="AA66" s="2">
        <f t="shared" si="4"/>
        <v>29.070410380802858</v>
      </c>
    </row>
    <row r="67" spans="1:27" x14ac:dyDescent="0.25">
      <c r="A67" s="2">
        <v>2035</v>
      </c>
      <c r="B67" s="2">
        <f>B12*'Output-Calculation-sheet'!B56/10^9</f>
        <v>10.044229381978951</v>
      </c>
      <c r="C67" s="2">
        <f>C12*'Output-Calculation-sheet'!C56/10^9</f>
        <v>6.0664728255542162</v>
      </c>
      <c r="D67" s="2">
        <f>D12*'Output-Calculation-sheet'!D56/10^9</f>
        <v>1.9896617812111643</v>
      </c>
      <c r="E67" s="2">
        <f>E12*'Output-Calculation-sheet'!E56/10^9</f>
        <v>2.7245439879828468</v>
      </c>
      <c r="F67" s="2">
        <f>F12*'Output-Calculation-sheet'!F56/10^9</f>
        <v>1.0682258102386557</v>
      </c>
      <c r="G67" s="2">
        <f>G12*'Output-Calculation-sheet'!G56/10^9</f>
        <v>0.78706842965953083</v>
      </c>
      <c r="H67" s="2">
        <f>H12*'Output-Calculation-sheet'!H56/10^9</f>
        <v>1.6760421260285294</v>
      </c>
      <c r="I67" s="2">
        <f>I12*'Output-Calculation-sheet'!I56/10^9</f>
        <v>0.72122196315893328</v>
      </c>
      <c r="J67" s="2">
        <f>J12*'Output-Calculation-sheet'!J56/10^9</f>
        <v>0.66039864764810252</v>
      </c>
      <c r="K67" s="2">
        <f>K12*'Output-Calculation-sheet'!K56/10^9</f>
        <v>0.79106298309928302</v>
      </c>
      <c r="L67" s="2">
        <f>L12*'Output-Calculation-sheet'!L56/10^9</f>
        <v>0.73722502241383547</v>
      </c>
      <c r="M67" s="2">
        <f>M12*'Output-Calculation-sheet'!M56/10^9</f>
        <v>1.1857222734882018</v>
      </c>
      <c r="N67" s="2">
        <f>N12*'Output-Calculation-sheet'!N56/10^9</f>
        <v>1.0127199586758393</v>
      </c>
      <c r="O67" s="2">
        <f>O12*'Output-Calculation-sheet'!O56/10^9</f>
        <v>1.1202877730658662</v>
      </c>
      <c r="P67" s="2">
        <f>P12*'Output-Calculation-sheet'!P56/10^9</f>
        <v>0.82192124454141757</v>
      </c>
      <c r="Q67" s="2">
        <f>Q12*'Output-Calculation-sheet'!Q56/10^9</f>
        <v>0.77641576196566509</v>
      </c>
      <c r="R67" s="2">
        <f>R12*'Output-Calculation-sheet'!R56/10^9</f>
        <v>0.60903367668805497</v>
      </c>
      <c r="S67" s="2">
        <f>S12*'Output-Calculation-sheet'!S56/10^9</f>
        <v>0.58832041971929161</v>
      </c>
      <c r="T67" s="2">
        <f>T12*'Output-Calculation-sheet'!T56/10^9</f>
        <v>0.18952722384560025</v>
      </c>
      <c r="U67" s="2">
        <f>U12*'Output-Calculation-sheet'!U56/10^9</f>
        <v>0.20489059832747131</v>
      </c>
      <c r="V67" s="2">
        <f>V12*'Output-Calculation-sheet'!V56/10^9</f>
        <v>0.14616873987711987</v>
      </c>
      <c r="W67" s="2">
        <f>W12*'Output-Calculation-sheet'!W56/10^9</f>
        <v>9.9220759586676602E-2</v>
      </c>
      <c r="X67" s="2">
        <f>X12*'Output-Calculation-sheet'!X56/10^9</f>
        <v>0.14153332207878405</v>
      </c>
      <c r="Y67" s="2">
        <f>Y12*'Output-Calculation-sheet'!Y56/10^9</f>
        <v>9.2584755230875018E-2</v>
      </c>
      <c r="AA67" s="2">
        <f t="shared" si="4"/>
        <v>34.254499466064914</v>
      </c>
    </row>
    <row r="68" spans="1:27" x14ac:dyDescent="0.25">
      <c r="B68" s="2">
        <f>SUM(B60:B67)</f>
        <v>41.238685305532456</v>
      </c>
      <c r="C68" s="2">
        <f t="shared" ref="C68:Y68" si="5">SUM(C60:C67)</f>
        <v>24.694133397108196</v>
      </c>
      <c r="D68" s="2">
        <f t="shared" si="5"/>
        <v>8.2030455436442384</v>
      </c>
      <c r="E68" s="2">
        <f t="shared" si="5"/>
        <v>10.292808075619577</v>
      </c>
      <c r="F68" s="2">
        <f t="shared" si="5"/>
        <v>4.3707708268860701</v>
      </c>
      <c r="G68" s="2">
        <f t="shared" si="5"/>
        <v>3.2280362830499878</v>
      </c>
      <c r="H68" s="2">
        <f t="shared" si="5"/>
        <v>6.6166377765580044</v>
      </c>
      <c r="I68" s="2">
        <f t="shared" si="5"/>
        <v>2.7927997660350927</v>
      </c>
      <c r="J68" s="2">
        <f t="shared" si="5"/>
        <v>3.2183412289631836</v>
      </c>
      <c r="K68" s="2">
        <f t="shared" si="5"/>
        <v>2.9518094994367541</v>
      </c>
      <c r="L68" s="2">
        <f t="shared" si="5"/>
        <v>3.04813552434514</v>
      </c>
      <c r="M68" s="2">
        <f t="shared" si="5"/>
        <v>4.7189769090880622</v>
      </c>
      <c r="N68" s="2">
        <f t="shared" si="5"/>
        <v>3.9719213410533105</v>
      </c>
      <c r="O68" s="2">
        <f t="shared" si="5"/>
        <v>4.5676367421338986</v>
      </c>
      <c r="P68" s="2">
        <f t="shared" si="5"/>
        <v>3.0976086046809792</v>
      </c>
      <c r="Q68" s="2">
        <f t="shared" si="5"/>
        <v>3.0018387940890259</v>
      </c>
      <c r="R68" s="2">
        <f t="shared" si="5"/>
        <v>2.4199776072415085</v>
      </c>
      <c r="S68" s="2">
        <f t="shared" si="5"/>
        <v>2.3297441140481188</v>
      </c>
      <c r="T68" s="2">
        <f t="shared" si="5"/>
        <v>0.83403344281783909</v>
      </c>
      <c r="U68" s="2">
        <f t="shared" si="5"/>
        <v>0.79522754091298031</v>
      </c>
      <c r="V68" s="2">
        <f t="shared" si="5"/>
        <v>0.89167173283673895</v>
      </c>
      <c r="W68" s="2">
        <f t="shared" si="5"/>
        <v>0.42511312993746336</v>
      </c>
      <c r="X68" s="2">
        <f t="shared" si="5"/>
        <v>0.59581921668713411</v>
      </c>
      <c r="Y68" s="2">
        <f t="shared" si="5"/>
        <v>0.32821744767056787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785.98524561559429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1433.4018961157601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966.63930991659606</v>
      </c>
      <c r="N74" s="2">
        <f>N8/'Output-Calculation-sheet'!N7*'Output-Calculation-sheet'!N61</f>
        <v>40.073430885070451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8.5777277928579387</v>
      </c>
      <c r="Y74" s="2">
        <f>Y8/'Output-Calculation-sheet'!Y7*'Output-Calculation-sheet'!Y61</f>
        <v>0</v>
      </c>
      <c r="AA74" s="2">
        <f t="shared" si="6"/>
        <v>3.2346776103258787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139.05626620116942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2497.0657713192136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1696.8902876391292</v>
      </c>
      <c r="N75" s="2">
        <f>N9/'Output-Calculation-sheet'!N8*'Output-Calculation-sheet'!N62</f>
        <v>653.50169694378826</v>
      </c>
      <c r="O75" s="2">
        <f>O9/'Output-Calculation-sheet'!O8*'Output-Calculation-sheet'!O62</f>
        <v>0</v>
      </c>
      <c r="P75" s="2">
        <f>P9/'Output-Calculation-sheet'!P8*'Output-Calculation-sheet'!P62</f>
        <v>51.773811758236604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219.59758708594245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59.597849447415598</v>
      </c>
      <c r="Y75" s="2">
        <f>Y9/'Output-Calculation-sheet'!Y8*'Output-Calculation-sheet'!Y62</f>
        <v>0</v>
      </c>
      <c r="AA75" s="2">
        <f t="shared" si="6"/>
        <v>5.3174832703948951</v>
      </c>
    </row>
    <row r="76" spans="1:27" x14ac:dyDescent="0.25">
      <c r="A76" s="2">
        <v>2033</v>
      </c>
      <c r="B76" s="2">
        <f>B10/'Output-Calculation-sheet'!B9*'Output-Calculation-sheet'!B63</f>
        <v>5646.3696078447574</v>
      </c>
      <c r="C76" s="2">
        <f>C10/'Output-Calculation-sheet'!C9*'Output-Calculation-sheet'!C63</f>
        <v>1138.547164539433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3681.1494069302453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2512.4024393157542</v>
      </c>
      <c r="N76" s="2">
        <f>N10/'Output-Calculation-sheet'!N9*'Output-Calculation-sheet'!N63</f>
        <v>1430.9441651862521</v>
      </c>
      <c r="O76" s="2">
        <f>O10/'Output-Calculation-sheet'!O9*'Output-Calculation-sheet'!O63</f>
        <v>0</v>
      </c>
      <c r="P76" s="2">
        <f>P10/'Output-Calculation-sheet'!P9*'Output-Calculation-sheet'!P63</f>
        <v>496.22297490987438</v>
      </c>
      <c r="Q76" s="2">
        <f>Q10/'Output-Calculation-sheet'!Q9*'Output-Calculation-sheet'!Q63</f>
        <v>225.5630879949093</v>
      </c>
      <c r="R76" s="2">
        <f>R10/'Output-Calculation-sheet'!R9*'Output-Calculation-sheet'!R63</f>
        <v>376.56630030363914</v>
      </c>
      <c r="S76" s="2">
        <f>S10/'Output-Calculation-sheet'!S9*'Output-Calculation-sheet'!S63</f>
        <v>639.91272224627448</v>
      </c>
      <c r="T76" s="2">
        <f>T10/'Output-Calculation-sheet'!T9*'Output-Calculation-sheet'!T63</f>
        <v>24.811340989379428</v>
      </c>
      <c r="U76" s="2">
        <f>U10/'Output-Calculation-sheet'!U9*'Output-Calculation-sheet'!U63</f>
        <v>133.81954730628769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144.13199395771011</v>
      </c>
      <c r="Y76" s="2">
        <f>Y10/'Output-Calculation-sheet'!Y9*'Output-Calculation-sheet'!Y63</f>
        <v>6.3555253726799821</v>
      </c>
      <c r="AA76" s="2">
        <f t="shared" si="6"/>
        <v>16.560840596745809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2095.774302390003</v>
      </c>
      <c r="D77" s="2">
        <f>D11/'Output-Calculation-sheet'!D10*'Output-Calculation-sheet'!D64</f>
        <v>1781.0508025314621</v>
      </c>
      <c r="E77" s="2">
        <f>E11/'Output-Calculation-sheet'!E10*'Output-Calculation-sheet'!E64</f>
        <v>2227.6082682331962</v>
      </c>
      <c r="F77" s="2">
        <f>F11/'Output-Calculation-sheet'!F10*'Output-Calculation-sheet'!F64</f>
        <v>158.49983892040879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4709.7525405651522</v>
      </c>
      <c r="I77" s="2">
        <f>I11/'Output-Calculation-sheet'!I10*'Output-Calculation-sheet'!I64</f>
        <v>552.81657630377231</v>
      </c>
      <c r="J77" s="2">
        <f>J11/'Output-Calculation-sheet'!J10*'Output-Calculation-sheet'!J64</f>
        <v>389.79223610965187</v>
      </c>
      <c r="K77" s="2">
        <f>K11/'Output-Calculation-sheet'!K10*'Output-Calculation-sheet'!K64</f>
        <v>848.52345775229969</v>
      </c>
      <c r="L77" s="2">
        <f>L11/'Output-Calculation-sheet'!L10*'Output-Calculation-sheet'!L64</f>
        <v>347.57622597946778</v>
      </c>
      <c r="M77" s="2">
        <f>M11/'Output-Calculation-sheet'!M10*'Output-Calculation-sheet'!M64</f>
        <v>3328.4905719190592</v>
      </c>
      <c r="N77" s="2">
        <f>N11/'Output-Calculation-sheet'!N10*'Output-Calculation-sheet'!N64</f>
        <v>2306.9640623612836</v>
      </c>
      <c r="O77" s="2">
        <f>O11/'Output-Calculation-sheet'!O10*'Output-Calculation-sheet'!O64</f>
        <v>83.826225895742326</v>
      </c>
      <c r="P77" s="2">
        <f>P11/'Output-Calculation-sheet'!P10*'Output-Calculation-sheet'!P64</f>
        <v>1046.2783058416305</v>
      </c>
      <c r="Q77" s="2">
        <f>Q11/'Output-Calculation-sheet'!Q10*'Output-Calculation-sheet'!Q64</f>
        <v>599.01092697874083</v>
      </c>
      <c r="R77" s="2">
        <f>R11/'Output-Calculation-sheet'!R10*'Output-Calculation-sheet'!R64</f>
        <v>893.61974772399378</v>
      </c>
      <c r="S77" s="2">
        <f>S11/'Output-Calculation-sheet'!S10*'Output-Calculation-sheet'!S64</f>
        <v>1183.9894634717684</v>
      </c>
      <c r="T77" s="2">
        <f>T11/'Output-Calculation-sheet'!T10*'Output-Calculation-sheet'!T64</f>
        <v>247.10305073579369</v>
      </c>
      <c r="U77" s="2">
        <f>U11/'Output-Calculation-sheet'!U10*'Output-Calculation-sheet'!U64</f>
        <v>327.72389087520548</v>
      </c>
      <c r="V77" s="2">
        <f>V11/'Output-Calculation-sheet'!V10*'Output-Calculation-sheet'!V64</f>
        <v>128.98291531157574</v>
      </c>
      <c r="W77" s="2">
        <f>W11/'Output-Calculation-sheet'!W10*'Output-Calculation-sheet'!W64</f>
        <v>28.102852769279956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38.997712819019839</v>
      </c>
    </row>
    <row r="78" spans="1:27" x14ac:dyDescent="0.25">
      <c r="A78" s="2">
        <v>2035</v>
      </c>
      <c r="B78" s="2">
        <f>B12/'Output-Calculation-sheet'!B11*'Output-Calculation-sheet'!B65</f>
        <v>19464.37800555451</v>
      </c>
      <c r="C78" s="2">
        <f>C12/'Output-Calculation-sheet'!C11*'Output-Calculation-sheet'!C65</f>
        <v>71.578090287320336</v>
      </c>
      <c r="D78" s="2">
        <f>D12/'Output-Calculation-sheet'!D11*'Output-Calculation-sheet'!D65</f>
        <v>2033.3557565747662</v>
      </c>
      <c r="E78" s="2">
        <f>E12/'Output-Calculation-sheet'!E11*'Output-Calculation-sheet'!E65</f>
        <v>3863.6985055749792</v>
      </c>
      <c r="F78" s="2">
        <f>F12/'Output-Calculation-sheet'!F11*'Output-Calculation-sheet'!F65</f>
        <v>826.00172946220266</v>
      </c>
      <c r="G78" s="2">
        <f>G12/'Output-Calculation-sheet'!G11*'Output-Calculation-sheet'!G65</f>
        <v>1574.5023704441542</v>
      </c>
      <c r="H78" s="2">
        <f>H12/'Output-Calculation-sheet'!H11*'Output-Calculation-sheet'!H65</f>
        <v>5040.5047185742733</v>
      </c>
      <c r="I78" s="2">
        <f>I12/'Output-Calculation-sheet'!I11*'Output-Calculation-sheet'!I65</f>
        <v>911.51154849984857</v>
      </c>
      <c r="J78" s="2">
        <f>J12/'Output-Calculation-sheet'!J11*'Output-Calculation-sheet'!J65</f>
        <v>835.03405490983062</v>
      </c>
      <c r="K78" s="2">
        <f>K12/'Output-Calculation-sheet'!K11*'Output-Calculation-sheet'!K65</f>
        <v>1038.0674631490958</v>
      </c>
      <c r="L78" s="2">
        <f>L12/'Output-Calculation-sheet'!L11*'Output-Calculation-sheet'!L65</f>
        <v>607.82657165357864</v>
      </c>
      <c r="M78" s="2">
        <f>M12/'Output-Calculation-sheet'!M11*'Output-Calculation-sheet'!M65</f>
        <v>3530.1409852096676</v>
      </c>
      <c r="N78" s="2">
        <f>N12/'Output-Calculation-sheet'!N11*'Output-Calculation-sheet'!N65</f>
        <v>2485.090555634702</v>
      </c>
      <c r="O78" s="2">
        <f>O12/'Output-Calculation-sheet'!O11*'Output-Calculation-sheet'!O65</f>
        <v>367.1534969235737</v>
      </c>
      <c r="P78" s="2">
        <f>P12/'Output-Calculation-sheet'!P11*'Output-Calculation-sheet'!P65</f>
        <v>1425.0116152578851</v>
      </c>
      <c r="Q78" s="2">
        <f>Q12/'Output-Calculation-sheet'!Q11*'Output-Calculation-sheet'!Q65</f>
        <v>694.87399635573001</v>
      </c>
      <c r="R78" s="2">
        <f>R12/'Output-Calculation-sheet'!R11*'Output-Calculation-sheet'!R65</f>
        <v>1190.7220248994436</v>
      </c>
      <c r="S78" s="2">
        <f>S12/'Output-Calculation-sheet'!S11*'Output-Calculation-sheet'!S65</f>
        <v>1339.5409317720028</v>
      </c>
      <c r="T78" s="2">
        <f>T12/'Output-Calculation-sheet'!T11*'Output-Calculation-sheet'!T65</f>
        <v>421.83593666619447</v>
      </c>
      <c r="U78" s="2">
        <f>U12/'Output-Calculation-sheet'!U11*'Output-Calculation-sheet'!U65</f>
        <v>364.21309831526276</v>
      </c>
      <c r="V78" s="2">
        <f>V12/'Output-Calculation-sheet'!V11*'Output-Calculation-sheet'!V65</f>
        <v>230.036917707866</v>
      </c>
      <c r="W78" s="2">
        <f>W12/'Output-Calculation-sheet'!W11*'Output-Calculation-sheet'!W65</f>
        <v>164.57244898445953</v>
      </c>
      <c r="X78" s="2">
        <f>X12/'Output-Calculation-sheet'!X11*'Output-Calculation-sheet'!X65</f>
        <v>30.177301102447149</v>
      </c>
      <c r="Y78" s="2">
        <f>Y12/'Output-Calculation-sheet'!Y11*'Output-Calculation-sheet'!Y65</f>
        <v>157.58558533551656</v>
      </c>
      <c r="AA78" s="2">
        <f t="shared" si="6"/>
        <v>48.66741370884931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25.845480353610757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2.5845480353610756E-2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296.89676948108803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0.29689676948108801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400.17497520137522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0.40017497520137524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27.297008816948807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5.8696870618558652</v>
      </c>
      <c r="N88" s="2">
        <f>N11/'Output-Calculation-sheet'!N10*'Output-Calculation-sheet'!N73</f>
        <v>5.7689504656775448</v>
      </c>
      <c r="O88" s="2">
        <f>O11/'Output-Calculation-sheet'!O10*'Output-Calculation-sheet'!O73</f>
        <v>496.35720426353106</v>
      </c>
      <c r="P88" s="2">
        <f>P11/'Output-Calculation-sheet'!P10*'Output-Calculation-sheet'!P73</f>
        <v>0</v>
      </c>
      <c r="Q88" s="2">
        <f>Q11/'Output-Calculation-sheet'!Q10*'Output-Calculation-sheet'!Q73</f>
        <v>21.228832252509573</v>
      </c>
      <c r="R88" s="2">
        <f>R11/'Output-Calculation-sheet'!R10*'Output-Calculation-sheet'!R73</f>
        <v>0</v>
      </c>
      <c r="S88" s="2">
        <f>S11/'Output-Calculation-sheet'!S10*'Output-Calculation-sheet'!S73</f>
        <v>0.6613923121798202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0.55718307517270271</v>
      </c>
    </row>
    <row r="89" spans="1:27" x14ac:dyDescent="0.25">
      <c r="A89" s="2">
        <v>2035</v>
      </c>
      <c r="B89" s="2">
        <f>B12/'Output-Calculation-sheet'!B11*'Output-Calculation-sheet'!B74</f>
        <v>379.90584650674271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128.81079949921235</v>
      </c>
      <c r="E89" s="2">
        <f>E12/'Output-Calculation-sheet'!E11*'Output-Calculation-sheet'!E74</f>
        <v>139.2236724884711</v>
      </c>
      <c r="F89" s="2">
        <f>F12/'Output-Calculation-sheet'!F11*'Output-Calculation-sheet'!F74</f>
        <v>54.082480813343984</v>
      </c>
      <c r="G89" s="2">
        <f>G12/'Output-Calculation-sheet'!G11*'Output-Calculation-sheet'!G74</f>
        <v>48.055639643170075</v>
      </c>
      <c r="H89" s="2">
        <f>H12/'Output-Calculation-sheet'!H11*'Output-Calculation-sheet'!H74</f>
        <v>184.42202882749646</v>
      </c>
      <c r="I89" s="2">
        <f>I12/'Output-Calculation-sheet'!I11*'Output-Calculation-sheet'!I74</f>
        <v>44.885504356168518</v>
      </c>
      <c r="J89" s="2">
        <f>J12/'Output-Calculation-sheet'!J11*'Output-Calculation-sheet'!J74</f>
        <v>26.324018265596326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35.078460507617088</v>
      </c>
      <c r="M89" s="2">
        <f>M12/'Output-Calculation-sheet'!M11*'Output-Calculation-sheet'!M74</f>
        <v>107.18763516171074</v>
      </c>
      <c r="N89" s="2">
        <f>N12/'Output-Calculation-sheet'!N11*'Output-Calculation-sheet'!N74</f>
        <v>79.919219612161712</v>
      </c>
      <c r="O89" s="2">
        <f>O12/'Output-Calculation-sheet'!O11*'Output-Calculation-sheet'!O74</f>
        <v>575.16397963208874</v>
      </c>
      <c r="P89" s="2">
        <f>P12/'Output-Calculation-sheet'!P11*'Output-Calculation-sheet'!P74</f>
        <v>43.62759879033608</v>
      </c>
      <c r="Q89" s="2">
        <f>Q12/'Output-Calculation-sheet'!Q11*'Output-Calculation-sheet'!Q74</f>
        <v>66.838678298432271</v>
      </c>
      <c r="R89" s="2">
        <f>R12/'Output-Calculation-sheet'!R11*'Output-Calculation-sheet'!R74</f>
        <v>26.302836087774423</v>
      </c>
      <c r="S89" s="2">
        <f>S12/'Output-Calculation-sheet'!S11*'Output-Calculation-sheet'!S74</f>
        <v>35.400533895098988</v>
      </c>
      <c r="T89" s="2">
        <f>T12/'Output-Calculation-sheet'!T11*'Output-Calculation-sheet'!T74</f>
        <v>6.2278774412394817</v>
      </c>
      <c r="U89" s="2">
        <f>U12/'Output-Calculation-sheet'!U11*'Output-Calculation-sheet'!U74</f>
        <v>11.509030867085951</v>
      </c>
      <c r="V89" s="2">
        <f>V12/'Output-Calculation-sheet'!V11*'Output-Calculation-sheet'!V74</f>
        <v>1.5660826262476397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0.54063018434571086</v>
      </c>
      <c r="Y89" s="2">
        <f>Y12/'Output-Calculation-sheet'!Y11*'Output-Calculation-sheet'!Y74</f>
        <v>5.0867550745446515</v>
      </c>
      <c r="AA89" s="2">
        <f t="shared" si="7"/>
        <v>2.0623289966943381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11701557664.024778</v>
      </c>
      <c r="C96" s="2">
        <f>C8/'Output-Calculation-sheet'!C7*'Output-Calculation-sheet'!C79</f>
        <v>3958697793.6024237</v>
      </c>
      <c r="D96" s="2">
        <f>D8/'Output-Calculation-sheet'!D7*'Output-Calculation-sheet'!D79</f>
        <v>4132598772.1585279</v>
      </c>
      <c r="E96" s="2">
        <f>E8/'Output-Calculation-sheet'!E7*'Output-Calculation-sheet'!E79</f>
        <v>7347420141.4794569</v>
      </c>
      <c r="F96" s="2">
        <f>F8/'Output-Calculation-sheet'!F7*'Output-Calculation-sheet'!F79</f>
        <v>3041024105.2604332</v>
      </c>
      <c r="G96" s="2">
        <f>G8/'Output-Calculation-sheet'!G7*'Output-Calculation-sheet'!G79</f>
        <v>2368712891.4582529</v>
      </c>
      <c r="H96" s="2">
        <f>H8/'Output-Calculation-sheet'!H7*'Output-Calculation-sheet'!H79</f>
        <v>2027487356.4585288</v>
      </c>
      <c r="I96" s="2">
        <f>I8/'Output-Calculation-sheet'!I7*'Output-Calculation-sheet'!I79</f>
        <v>1650056264.6582763</v>
      </c>
      <c r="J96" s="2">
        <f>J8/'Output-Calculation-sheet'!J7*'Output-Calculation-sheet'!J79</f>
        <v>1115807526.716186</v>
      </c>
      <c r="K96" s="2">
        <f>K8/'Output-Calculation-sheet'!K7*'Output-Calculation-sheet'!K79</f>
        <v>1596390081.9190395</v>
      </c>
      <c r="L96" s="2">
        <f>L8/'Output-Calculation-sheet'!L7*'Output-Calculation-sheet'!L79</f>
        <v>1126414164.8666129</v>
      </c>
      <c r="M96" s="2">
        <f>M8/'Output-Calculation-sheet'!M7*'Output-Calculation-sheet'!M79</f>
        <v>1513478325.0951636</v>
      </c>
      <c r="N96" s="2">
        <f>N8/'Output-Calculation-sheet'!N7*'Output-Calculation-sheet'!N79</f>
        <v>1126146773.0145562</v>
      </c>
      <c r="O96" s="2">
        <f>O8/'Output-Calculation-sheet'!O7*'Output-Calculation-sheet'!O79</f>
        <v>569304770.96747136</v>
      </c>
      <c r="P96" s="2">
        <f>P8/'Output-Calculation-sheet'!P7*'Output-Calculation-sheet'!P79</f>
        <v>1904217411.1140361</v>
      </c>
      <c r="Q96" s="2">
        <f>Q8/'Output-Calculation-sheet'!Q7*'Output-Calculation-sheet'!Q79</f>
        <v>887445271.33260787</v>
      </c>
      <c r="R96" s="2">
        <f>R8/'Output-Calculation-sheet'!R7*'Output-Calculation-sheet'!R79</f>
        <v>1107195355.0551157</v>
      </c>
      <c r="S96" s="2">
        <f>S8/'Output-Calculation-sheet'!S7*'Output-Calculation-sheet'!S79</f>
        <v>645143477.00881159</v>
      </c>
      <c r="T96" s="2">
        <f>T8/'Output-Calculation-sheet'!T7*'Output-Calculation-sheet'!T79</f>
        <v>492738801.1874966</v>
      </c>
      <c r="U96" s="2">
        <f>U8/'Output-Calculation-sheet'!U7*'Output-Calculation-sheet'!U79</f>
        <v>309526450.77241385</v>
      </c>
      <c r="V96" s="2">
        <f>V8/'Output-Calculation-sheet'!V7*'Output-Calculation-sheet'!V79</f>
        <v>160597742.08727631</v>
      </c>
      <c r="W96" s="2">
        <f>W8/'Output-Calculation-sheet'!W7*'Output-Calculation-sheet'!W79</f>
        <v>474557212.54356772</v>
      </c>
      <c r="X96" s="2">
        <f>X8/'Output-Calculation-sheet'!X7*'Output-Calculation-sheet'!X79</f>
        <v>166792506.23687881</v>
      </c>
      <c r="Y96" s="2">
        <f>Y8/'Output-Calculation-sheet'!Y7*'Output-Calculation-sheet'!Y79</f>
        <v>260861205.07985663</v>
      </c>
      <c r="AA96" s="2">
        <f t="shared" si="8"/>
        <v>49.684172064097773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1365.8511377206219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265.34693163040379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31.738066843663596</v>
      </c>
      <c r="Y107" s="2">
        <f>Y8/'Output-Calculation-sheet'!Y7*'Output-Calculation-sheet'!Y88</f>
        <v>0</v>
      </c>
      <c r="AA107" s="2">
        <f t="shared" si="9"/>
        <v>1.6629361361946893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2623.3358119222398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2.6668772685761004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3.6698373898257532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4.7735794623244301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145.69983468116908</v>
      </c>
      <c r="Y111" s="2">
        <f>Y12/'Output-Calculation-sheet'!Y11*'Output-Calculation-sheet'!Y92</f>
        <v>0</v>
      </c>
      <c r="AA111" s="2">
        <f t="shared" si="9"/>
        <v>6.8637799811020193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1369139736.4718914</v>
      </c>
      <c r="C118" s="2">
        <f>C8/'Output-Calculation-sheet'!C7*'Output-Calculation-sheet'!C97</f>
        <v>11304666497.517447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7035193889.5537252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4853687877.8125668</v>
      </c>
      <c r="N118" s="2">
        <f>N8/'Output-Calculation-sheet'!N7*'Output-Calculation-sheet'!N97</f>
        <v>1624609403.256552</v>
      </c>
      <c r="O118" s="2">
        <f>O8/'Output-Calculation-sheet'!O7*'Output-Calculation-sheet'!O97</f>
        <v>1912708557.8251526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486919095.00544995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264285252.65763289</v>
      </c>
      <c r="Y118" s="2">
        <f>Y8/'Output-Calculation-sheet'!Y7*'Output-Calculation-sheet'!Y97</f>
        <v>0</v>
      </c>
      <c r="AA118" s="2">
        <f t="shared" si="10"/>
        <v>28851.210310100421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9105131367.1191177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3127358128.621242</v>
      </c>
      <c r="O119" s="2">
        <f>O9/'Output-Calculation-sheet'!O8*'Output-Calculation-sheet'!O98</f>
        <v>3377519396.8324566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937593330.90223622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366266322.67926568</v>
      </c>
      <c r="Y119" s="2">
        <f>Y9/'Output-Calculation-sheet'!Y8*'Output-Calculation-sheet'!Y98</f>
        <v>0</v>
      </c>
      <c r="AA119" s="2">
        <f t="shared" si="10"/>
        <v>39395.41180971649</v>
      </c>
    </row>
    <row r="120" spans="1:27" x14ac:dyDescent="0.25">
      <c r="A120" s="2">
        <v>2033</v>
      </c>
      <c r="B120" s="2">
        <f>B10/'Output-Calculation-sheet'!B9*'Output-Calculation-sheet'!B99</f>
        <v>16790557253.620747</v>
      </c>
      <c r="C120" s="2">
        <f>C10/'Output-Calculation-sheet'!C9*'Output-Calculation-sheet'!C99</f>
        <v>9717292886.302412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5037412107.9140749</v>
      </c>
      <c r="O120" s="2">
        <f>O10/'Output-Calculation-sheet'!O9*'Output-Calculation-sheet'!O99</f>
        <v>3927788478.6783104</v>
      </c>
      <c r="P120" s="2">
        <f>P10/'Output-Calculation-sheet'!P9*'Output-Calculation-sheet'!P99</f>
        <v>0</v>
      </c>
      <c r="Q120" s="2">
        <f>Q10/'Output-Calculation-sheet'!Q9*'Output-Calculation-sheet'!Q99</f>
        <v>165166329.74298877</v>
      </c>
      <c r="R120" s="2">
        <f>R10/'Output-Calculation-sheet'!R9*'Output-Calculation-sheet'!R99</f>
        <v>0</v>
      </c>
      <c r="S120" s="2">
        <f>S10/'Output-Calculation-sheet'!S9*'Output-Calculation-sheet'!S99</f>
        <v>2029104591.9214787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552015727.0019393</v>
      </c>
      <c r="Y120" s="2">
        <f>Y10/'Output-Calculation-sheet'!Y9*'Output-Calculation-sheet'!Y99</f>
        <v>0</v>
      </c>
      <c r="AA120" s="2">
        <f t="shared" si="10"/>
        <v>59244.397804136664</v>
      </c>
    </row>
    <row r="121" spans="1:27" x14ac:dyDescent="0.25">
      <c r="A121" s="2">
        <v>2034</v>
      </c>
      <c r="B121" s="2">
        <f>B11/'Output-Calculation-sheet'!B10*'Output-Calculation-sheet'!B100</f>
        <v>41074738780.089348</v>
      </c>
      <c r="C121" s="2">
        <f>C11/'Output-Calculation-sheet'!C10*'Output-Calculation-sheet'!C100</f>
        <v>10206422182.768871</v>
      </c>
      <c r="D121" s="2">
        <f>D11/'Output-Calculation-sheet'!D10*'Output-Calculation-sheet'!D100</f>
        <v>0</v>
      </c>
      <c r="E121" s="2">
        <f>E11/'Output-Calculation-sheet'!E10*'Output-Calculation-sheet'!E100</f>
        <v>849615075.62318754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15072017827.332518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698336904.41042495</v>
      </c>
      <c r="M121" s="2">
        <f>M11/'Output-Calculation-sheet'!M10*'Output-Calculation-sheet'!M100</f>
        <v>10548311312.368887</v>
      </c>
      <c r="N121" s="2">
        <f>N11/'Output-Calculation-sheet'!N10*'Output-Calculation-sheet'!N100</f>
        <v>7163256180.257803</v>
      </c>
      <c r="O121" s="2">
        <f>O11/'Output-Calculation-sheet'!O10*'Output-Calculation-sheet'!O100</f>
        <v>4541819156.5570726</v>
      </c>
      <c r="P121" s="2">
        <f>P11/'Output-Calculation-sheet'!P10*'Output-Calculation-sheet'!P100</f>
        <v>0</v>
      </c>
      <c r="Q121" s="2">
        <f>Q11/'Output-Calculation-sheet'!Q10*'Output-Calculation-sheet'!Q100</f>
        <v>922930457.36559379</v>
      </c>
      <c r="R121" s="2">
        <f>R11/'Output-Calculation-sheet'!R10*'Output-Calculation-sheet'!R100</f>
        <v>0</v>
      </c>
      <c r="S121" s="2">
        <f>S11/'Output-Calculation-sheet'!S10*'Output-Calculation-sheet'!S100</f>
        <v>3561622072.6038823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46602469.122388624</v>
      </c>
      <c r="AA121" s="2">
        <f t="shared" si="10"/>
        <v>95194.254839879082</v>
      </c>
    </row>
    <row r="122" spans="1:27" x14ac:dyDescent="0.25">
      <c r="A122" s="2">
        <v>2035</v>
      </c>
      <c r="B122" s="2">
        <f>B12/'Output-Calculation-sheet'!B11*'Output-Calculation-sheet'!B101</f>
        <v>54484527862.501793</v>
      </c>
      <c r="C122" s="2">
        <f>C12/'Output-Calculation-sheet'!C11*'Output-Calculation-sheet'!C101</f>
        <v>320208768.97792518</v>
      </c>
      <c r="D122" s="2">
        <f>D12/'Output-Calculation-sheet'!D11*'Output-Calculation-sheet'!D101</f>
        <v>0</v>
      </c>
      <c r="E122" s="2">
        <f>E12/'Output-Calculation-sheet'!E11*'Output-Calculation-sheet'!E101</f>
        <v>4358843401.9663296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16708403046.103727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1120028220.6016002</v>
      </c>
      <c r="M122" s="2">
        <f>M12/'Output-Calculation-sheet'!M11*'Output-Calculation-sheet'!M101</f>
        <v>11720624165.275482</v>
      </c>
      <c r="N122" s="2">
        <f>N12/'Output-Calculation-sheet'!N11*'Output-Calculation-sheet'!N101</f>
        <v>7886504877.8559294</v>
      </c>
      <c r="O122" s="2">
        <f>O12/'Output-Calculation-sheet'!O11*'Output-Calculation-sheet'!O101</f>
        <v>5346584236.1265488</v>
      </c>
      <c r="P122" s="2">
        <f>P12/'Output-Calculation-sheet'!P11*'Output-Calculation-sheet'!P101</f>
        <v>335223506.27242589</v>
      </c>
      <c r="Q122" s="2">
        <f>Q12/'Output-Calculation-sheet'!Q11*'Output-Calculation-sheet'!Q101</f>
        <v>1260356798.9769075</v>
      </c>
      <c r="R122" s="2">
        <f>R12/'Output-Calculation-sheet'!R11*'Output-Calculation-sheet'!R101</f>
        <v>0</v>
      </c>
      <c r="S122" s="2">
        <f>S12/'Output-Calculation-sheet'!S11*'Output-Calculation-sheet'!S101</f>
        <v>4142297684.055057</v>
      </c>
      <c r="T122" s="2">
        <f>T12/'Output-Calculation-sheet'!T11*'Output-Calculation-sheet'!T101</f>
        <v>0</v>
      </c>
      <c r="U122" s="2">
        <f>U12/'Output-Calculation-sheet'!U11*'Output-Calculation-sheet'!U101</f>
        <v>61195514.275652349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143533529.53249583</v>
      </c>
      <c r="Y122" s="2">
        <f>Y12/'Output-Calculation-sheet'!Y11*'Output-Calculation-sheet'!Y101</f>
        <v>222302152.84545416</v>
      </c>
      <c r="AA122" s="2">
        <f t="shared" si="10"/>
        <v>108110.63376536734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46489518303.377441</v>
      </c>
      <c r="C129" s="2">
        <f>C8/'Output-Calculation-sheet'!C7*'Output-Calculation-sheet'!C106</f>
        <v>0</v>
      </c>
      <c r="D129" s="2">
        <f>D8/'Output-Calculation-sheet'!D7*'Output-Calculation-sheet'!D106</f>
        <v>20101125038.153988</v>
      </c>
      <c r="E129" s="2">
        <f>E8/'Output-Calculation-sheet'!E7*'Output-Calculation-sheet'!E106</f>
        <v>15948221588.597961</v>
      </c>
      <c r="F129" s="2">
        <f>F8/'Output-Calculation-sheet'!F7*'Output-Calculation-sheet'!F106</f>
        <v>10266438883.324802</v>
      </c>
      <c r="G129" s="2">
        <f>G8/'Output-Calculation-sheet'!G7*'Output-Calculation-sheet'!G106</f>
        <v>7213498387.643075</v>
      </c>
      <c r="H129" s="2">
        <f>H8/'Output-Calculation-sheet'!H7*'Output-Calculation-sheet'!H106</f>
        <v>0</v>
      </c>
      <c r="I129" s="2">
        <f>I8/'Output-Calculation-sheet'!I7*'Output-Calculation-sheet'!I106</f>
        <v>6572049582.4993086</v>
      </c>
      <c r="J129" s="2">
        <f>J8/'Output-Calculation-sheet'!J7*'Output-Calculation-sheet'!J106</f>
        <v>6396760173.0111322</v>
      </c>
      <c r="K129" s="2">
        <f>K8/'Output-Calculation-sheet'!K7*'Output-Calculation-sheet'!K106</f>
        <v>6335444395.1511755</v>
      </c>
      <c r="L129" s="2">
        <f>L8/'Output-Calculation-sheet'!L7*'Output-Calculation-sheet'!L106</f>
        <v>5082387899.1403933</v>
      </c>
      <c r="M129" s="2">
        <f>M8/'Output-Calculation-sheet'!M7*'Output-Calculation-sheet'!M106</f>
        <v>0</v>
      </c>
      <c r="N129" s="2">
        <f>N8/'Output-Calculation-sheet'!N7*'Output-Calculation-sheet'!N106</f>
        <v>3140089863.1484046</v>
      </c>
      <c r="O129" s="2">
        <f>O8/'Output-Calculation-sheet'!O7*'Output-Calculation-sheet'!O106</f>
        <v>0</v>
      </c>
      <c r="P129" s="2">
        <f>P8/'Output-Calculation-sheet'!P7*'Output-Calculation-sheet'!P106</f>
        <v>4337578179.8839111</v>
      </c>
      <c r="Q129" s="2">
        <f>Q8/'Output-Calculation-sheet'!Q7*'Output-Calculation-sheet'!Q106</f>
        <v>4267467961.4934616</v>
      </c>
      <c r="R129" s="2">
        <f>R8/'Output-Calculation-sheet'!R7*'Output-Calculation-sheet'!R106</f>
        <v>4105508798.0900521</v>
      </c>
      <c r="S129" s="2">
        <f>S8/'Output-Calculation-sheet'!S7*'Output-Calculation-sheet'!S106</f>
        <v>2241806187.5492435</v>
      </c>
      <c r="T129" s="2">
        <f>T8/'Output-Calculation-sheet'!T7*'Output-Calculation-sheet'!T106</f>
        <v>1509139389.1112943</v>
      </c>
      <c r="U129" s="2">
        <f>U8/'Output-Calculation-sheet'!U7*'Output-Calculation-sheet'!U106</f>
        <v>1314411170.1933858</v>
      </c>
      <c r="V129" s="2">
        <f>V8/'Output-Calculation-sheet'!V7*'Output-Calculation-sheet'!V106</f>
        <v>1012118510.4479388</v>
      </c>
      <c r="W129" s="2">
        <f>W8/'Output-Calculation-sheet'!W7*'Output-Calculation-sheet'!W106</f>
        <v>876277214.4209125</v>
      </c>
      <c r="X129" s="2">
        <f>X8/'Output-Calculation-sheet'!X7*'Output-Calculation-sheet'!X106</f>
        <v>0</v>
      </c>
      <c r="Y129" s="2">
        <f>Y8/'Output-Calculation-sheet'!Y7*'Output-Calculation-sheet'!Y106</f>
        <v>511300093.76390469</v>
      </c>
      <c r="AA129" s="2">
        <f t="shared" si="11"/>
        <v>147721.14161900184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3.2441474651008656E-8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3408788595.3499613</v>
      </c>
      <c r="O130" s="2">
        <f>O9/'Output-Calculation-sheet'!O8*'Output-Calculation-sheet'!O107</f>
        <v>0</v>
      </c>
      <c r="P130" s="2">
        <f>P9/'Output-Calculation-sheet'!P8*'Output-Calculation-sheet'!P107</f>
        <v>5950677546.5312681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2805745100.871644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197196.91061244978</v>
      </c>
    </row>
    <row r="131" spans="1:27" x14ac:dyDescent="0.25">
      <c r="A131" s="2">
        <v>2033</v>
      </c>
      <c r="B131" s="2">
        <f>B10/'Output-Calculation-sheet'!B9*'Output-Calculation-sheet'!B108</f>
        <v>67837771849.990677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3387304085.2284603</v>
      </c>
      <c r="O131" s="2">
        <f>O10/'Output-Calculation-sheet'!O9*'Output-Calculation-sheet'!O108</f>
        <v>0</v>
      </c>
      <c r="P131" s="2">
        <f>P10/'Output-Calculation-sheet'!P9*'Output-Calculation-sheet'!P108</f>
        <v>7670141292.4377098</v>
      </c>
      <c r="Q131" s="2">
        <f>Q10/'Output-Calculation-sheet'!Q9*'Output-Calculation-sheet'!Q108</f>
        <v>7381368915.3870716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2795802582.2287579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243356.40954401274</v>
      </c>
    </row>
    <row r="132" spans="1:27" x14ac:dyDescent="0.25">
      <c r="A132" s="2">
        <v>2034</v>
      </c>
      <c r="B132" s="2">
        <f>B11/'Output-Calculation-sheet'!B10*'Output-Calculation-sheet'!B109</f>
        <v>63583559150.013596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34029215042.342815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13989982062.462709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10417023097.50124</v>
      </c>
      <c r="M132" s="2">
        <f>M11/'Output-Calculation-sheet'!M10*'Output-Calculation-sheet'!M109</f>
        <v>0</v>
      </c>
      <c r="N132" s="2">
        <f>N11/'Output-Calculation-sheet'!N10*'Output-Calculation-sheet'!N109</f>
        <v>3167017658.425982</v>
      </c>
      <c r="O132" s="2">
        <f>O11/'Output-Calculation-sheet'!O10*'Output-Calculation-sheet'!O109</f>
        <v>0</v>
      </c>
      <c r="P132" s="2">
        <f>P11/'Output-Calculation-sheet'!P10*'Output-Calculation-sheet'!P109</f>
        <v>9485754103.6023102</v>
      </c>
      <c r="Q132" s="2">
        <f>Q11/'Output-Calculation-sheet'!Q10*'Output-Calculation-sheet'!Q109</f>
        <v>7937865748.8196754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2393838043.5651436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1071641763.2909669</v>
      </c>
      <c r="AA132" s="2">
        <f t="shared" si="11"/>
        <v>275783.27246537735</v>
      </c>
    </row>
    <row r="133" spans="1:27" x14ac:dyDescent="0.25">
      <c r="A133" s="2">
        <v>2035</v>
      </c>
      <c r="B133" s="2">
        <f>B12/'Output-Calculation-sheet'!B11*'Output-Calculation-sheet'!B110</f>
        <v>63521642354.013039</v>
      </c>
      <c r="C133" s="2">
        <f>C12/'Output-Calculation-sheet'!C11*'Output-Calculation-sheet'!C110</f>
        <v>0</v>
      </c>
      <c r="D133" s="2">
        <f>D12/'Output-Calculation-sheet'!D11*'Output-Calculation-sheet'!D110</f>
        <v>47706975689.501923</v>
      </c>
      <c r="E133" s="2">
        <f>E12/'Output-Calculation-sheet'!E11*'Output-Calculation-sheet'!E110</f>
        <v>36151003064.981758</v>
      </c>
      <c r="F133" s="2">
        <f>F12/'Output-Calculation-sheet'!F11*'Output-Calculation-sheet'!F110</f>
        <v>25726982040.426918</v>
      </c>
      <c r="G133" s="2">
        <f>G12/'Output-Calculation-sheet'!G11*'Output-Calculation-sheet'!G110</f>
        <v>17831788103.718895</v>
      </c>
      <c r="H133" s="2">
        <f>H12/'Output-Calculation-sheet'!H11*'Output-Calculation-sheet'!H110</f>
        <v>0</v>
      </c>
      <c r="I133" s="2">
        <f>I12/'Output-Calculation-sheet'!I11*'Output-Calculation-sheet'!I110</f>
        <v>16096267697.635134</v>
      </c>
      <c r="J133" s="2">
        <f>J12/'Output-Calculation-sheet'!J11*'Output-Calculation-sheet'!J110</f>
        <v>15504001099.349453</v>
      </c>
      <c r="K133" s="2">
        <f>K12/'Output-Calculation-sheet'!K11*'Output-Calculation-sheet'!K110</f>
        <v>15336163298.554514</v>
      </c>
      <c r="L133" s="2">
        <f>L12/'Output-Calculation-sheet'!L11*'Output-Calculation-sheet'!L110</f>
        <v>11276635022.518675</v>
      </c>
      <c r="M133" s="2">
        <f>M12/'Output-Calculation-sheet'!M11*'Output-Calculation-sheet'!M110</f>
        <v>0</v>
      </c>
      <c r="N133" s="2">
        <f>N12/'Output-Calculation-sheet'!N11*'Output-Calculation-sheet'!N110</f>
        <v>3454227339.5697803</v>
      </c>
      <c r="O133" s="2">
        <f>O12/'Output-Calculation-sheet'!O11*'Output-Calculation-sheet'!O110</f>
        <v>0</v>
      </c>
      <c r="P133" s="2">
        <f>P12/'Output-Calculation-sheet'!P11*'Output-Calculation-sheet'!P110</f>
        <v>10595478066.823946</v>
      </c>
      <c r="Q133" s="2">
        <f>Q12/'Output-Calculation-sheet'!Q11*'Output-Calculation-sheet'!Q110</f>
        <v>8454104016.6854258</v>
      </c>
      <c r="R133" s="2">
        <f>R12/'Output-Calculation-sheet'!R11*'Output-Calculation-sheet'!R110</f>
        <v>10200901614.194889</v>
      </c>
      <c r="S133" s="2">
        <f>S12/'Output-Calculation-sheet'!S11*'Output-Calculation-sheet'!S110</f>
        <v>2409380466.6157894</v>
      </c>
      <c r="T133" s="2">
        <f>T12/'Output-Calculation-sheet'!T11*'Output-Calculation-sheet'!T110</f>
        <v>3830530754.763638</v>
      </c>
      <c r="U133" s="2">
        <f>U12/'Output-Calculation-sheet'!U11*'Output-Calculation-sheet'!U110</f>
        <v>3109829166.0253901</v>
      </c>
      <c r="V133" s="2">
        <f>V12/'Output-Calculation-sheet'!V11*'Output-Calculation-sheet'!V110</f>
        <v>2578826759.4523926</v>
      </c>
      <c r="W133" s="2">
        <f>W12/'Output-Calculation-sheet'!W11*'Output-Calculation-sheet'!W110</f>
        <v>2264404719.7427201</v>
      </c>
      <c r="X133" s="2">
        <f>X12/'Output-Calculation-sheet'!X11*'Output-Calculation-sheet'!X110</f>
        <v>1232859.3076050326</v>
      </c>
      <c r="Y133" s="2">
        <f>Y12/'Output-Calculation-sheet'!Y11*'Output-Calculation-sheet'!Y110</f>
        <v>1077871139.9119859</v>
      </c>
      <c r="AA133" s="2">
        <f t="shared" si="11"/>
        <v>297128.24527379387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11248067932.352743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2227754625.1435261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261470560.13868916</v>
      </c>
      <c r="Y140" s="2">
        <f>Y8/'Output-Calculation-sheet'!Y7*'Output-Calculation-sheet'!Y115</f>
        <v>0</v>
      </c>
      <c r="AA140" s="2">
        <f t="shared" si="12"/>
        <v>13737.293117634958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21835819901.245869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354974496.19056934</v>
      </c>
      <c r="Y141" s="2">
        <f>Y9/'Output-Calculation-sheet'!Y8*'Output-Calculation-sheet'!Y116</f>
        <v>0</v>
      </c>
      <c r="AA141" s="2">
        <f t="shared" si="12"/>
        <v>22190.794397436439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30165286276.067879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377629286.47135007</v>
      </c>
      <c r="Y142" s="2">
        <f>Y10/'Output-Calculation-sheet'!Y9*'Output-Calculation-sheet'!Y117</f>
        <v>0</v>
      </c>
      <c r="AA142" s="2">
        <f t="shared" si="12"/>
        <v>30542.91556253923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39118251295.71682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39759.454966205842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58781747151.280624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1227728033.3919077</v>
      </c>
      <c r="Y144" s="2">
        <f>Y12/'Output-Calculation-sheet'!Y11*'Output-Calculation-sheet'!Y119</f>
        <v>0</v>
      </c>
      <c r="AA144" s="2">
        <f t="shared" si="12"/>
        <v>60009.475184672534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47858658974.186745</v>
      </c>
      <c r="C151" s="2">
        <f>C8/'Output-Calculation-sheet'!C7*'Output-Calculation-sheet'!C124</f>
        <v>22553448397.510361</v>
      </c>
      <c r="D151" s="2">
        <f>D8/'Output-Calculation-sheet'!D7*'Output-Calculation-sheet'!D124</f>
        <v>20101125038.153988</v>
      </c>
      <c r="E151" s="2">
        <f>E8/'Output-Calculation-sheet'!E7*'Output-Calculation-sheet'!E124</f>
        <v>15948221588.597961</v>
      </c>
      <c r="F151" s="2">
        <f>F8/'Output-Calculation-sheet'!F7*'Output-Calculation-sheet'!F124</f>
        <v>10266438883.324802</v>
      </c>
      <c r="G151" s="2">
        <f>G8/'Output-Calculation-sheet'!G7*'Output-Calculation-sheet'!G124</f>
        <v>7213498387.643075</v>
      </c>
      <c r="H151" s="2">
        <f>H8/'Output-Calculation-sheet'!H7*'Output-Calculation-sheet'!H124</f>
        <v>7036498926.8360643</v>
      </c>
      <c r="I151" s="2">
        <f>I8/'Output-Calculation-sheet'!I7*'Output-Calculation-sheet'!I124</f>
        <v>6572049582.4993086</v>
      </c>
      <c r="J151" s="2">
        <f>J8/'Output-Calculation-sheet'!J7*'Output-Calculation-sheet'!J124</f>
        <v>6396760173.0111322</v>
      </c>
      <c r="K151" s="2">
        <f>K8/'Output-Calculation-sheet'!K7*'Output-Calculation-sheet'!K124</f>
        <v>6335444395.1511755</v>
      </c>
      <c r="L151" s="2">
        <f>L8/'Output-Calculation-sheet'!L7*'Output-Calculation-sheet'!L124</f>
        <v>5082387899.1403933</v>
      </c>
      <c r="M151" s="2">
        <f>M8/'Output-Calculation-sheet'!M7*'Output-Calculation-sheet'!M124</f>
        <v>4854567084.0111866</v>
      </c>
      <c r="N151" s="2">
        <f>N8/'Output-Calculation-sheet'!N7*'Output-Calculation-sheet'!N124</f>
        <v>4764735271.2844582</v>
      </c>
      <c r="O151" s="2">
        <f>O8/'Output-Calculation-sheet'!O7*'Output-Calculation-sheet'!O124</f>
        <v>4670227470.4527683</v>
      </c>
      <c r="P151" s="2">
        <f>P8/'Output-Calculation-sheet'!P7*'Output-Calculation-sheet'!P124</f>
        <v>4337578179.8839111</v>
      </c>
      <c r="Q151" s="2">
        <f>Q8/'Output-Calculation-sheet'!Q7*'Output-Calculation-sheet'!Q124</f>
        <v>4267467961.4934616</v>
      </c>
      <c r="R151" s="2">
        <f>R8/'Output-Calculation-sheet'!R7*'Output-Calculation-sheet'!R124</f>
        <v>4105508798.0900521</v>
      </c>
      <c r="S151" s="2">
        <f>S8/'Output-Calculation-sheet'!S7*'Output-Calculation-sheet'!S124</f>
        <v>2728725017.9490538</v>
      </c>
      <c r="T151" s="2">
        <f>T8/'Output-Calculation-sheet'!T7*'Output-Calculation-sheet'!T124</f>
        <v>1509139389.1112943</v>
      </c>
      <c r="U151" s="2">
        <f>U8/'Output-Calculation-sheet'!U7*'Output-Calculation-sheet'!U124</f>
        <v>1314411170.1933858</v>
      </c>
      <c r="V151" s="2">
        <f>V8/'Output-Calculation-sheet'!V7*'Output-Calculation-sheet'!V124</f>
        <v>1012118510.4479388</v>
      </c>
      <c r="W151" s="2">
        <f>W8/'Output-Calculation-sheet'!W7*'Output-Calculation-sheet'!W124</f>
        <v>876277214.4209125</v>
      </c>
      <c r="X151" s="2">
        <f>X8/'Output-Calculation-sheet'!X7*'Output-Calculation-sheet'!X124</f>
        <v>525763541.22168982</v>
      </c>
      <c r="Y151" s="2">
        <f>Y8/'Output-Calculation-sheet'!Y7*'Output-Calculation-sheet'!Y124</f>
        <v>511300093.76390469</v>
      </c>
      <c r="AA151" s="2">
        <f t="shared" si="13"/>
        <v>190842.35194837907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18564646686.879223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6743033385.123189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159988.76393098914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7126985286.5806532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116869.51907288178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2678128301.7244091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1624912512.9580333</v>
      </c>
      <c r="N154" s="2">
        <f>N11/'Output-Calculation-sheet'!N10*'Output-Calculation-sheet'!N127</f>
        <v>1610763658.7930381</v>
      </c>
      <c r="O154" s="2">
        <f>O11/'Output-Calculation-sheet'!O10*'Output-Calculation-sheet'!O127</f>
        <v>7358527854.1095114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1954552738.0433915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868885631.14149773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66873.967548892382</v>
      </c>
    </row>
    <row r="155" spans="1:27" x14ac:dyDescent="0.25">
      <c r="A155" s="2">
        <v>2035</v>
      </c>
      <c r="B155" s="2">
        <f>B12/'Output-Calculation-sheet'!B11*'Output-Calculation-sheet'!B128</f>
        <v>10791879988.482203</v>
      </c>
      <c r="C155" s="2">
        <f>C12/'Output-Calculation-sheet'!C11*'Output-Calculation-sheet'!C128</f>
        <v>79000958.114556611</v>
      </c>
      <c r="D155" s="2">
        <f>D12/'Output-Calculation-sheet'!D11*'Output-Calculation-sheet'!D128</f>
        <v>6422424024.1190481</v>
      </c>
      <c r="E155" s="2">
        <f>E12/'Output-Calculation-sheet'!E11*'Output-Calculation-sheet'!E128</f>
        <v>2914011249.4665918</v>
      </c>
      <c r="F155" s="2">
        <f>F12/'Output-Calculation-sheet'!F11*'Output-Calculation-sheet'!F128</f>
        <v>1850014873.319433</v>
      </c>
      <c r="G155" s="2">
        <f>G12/'Output-Calculation-sheet'!G11*'Output-Calculation-sheet'!G128</f>
        <v>1654100068.4846518</v>
      </c>
      <c r="H155" s="2">
        <f>H12/'Output-Calculation-sheet'!H11*'Output-Calculation-sheet'!H128</f>
        <v>2639716652.3492665</v>
      </c>
      <c r="I155" s="2">
        <f>I12/'Output-Calculation-sheet'!I11*'Output-Calculation-sheet'!I128</f>
        <v>1649817416.6066353</v>
      </c>
      <c r="J155" s="2">
        <f>J12/'Output-Calculation-sheet'!J11*'Output-Calculation-sheet'!J128</f>
        <v>1577081147.6982689</v>
      </c>
      <c r="K155" s="2">
        <f>K12/'Output-Calculation-sheet'!K11*'Output-Calculation-sheet'!K128</f>
        <v>1793246343.2332301</v>
      </c>
      <c r="L155" s="2">
        <f>L12/'Output-Calculation-sheet'!L11*'Output-Calculation-sheet'!L128</f>
        <v>1301565489.8992755</v>
      </c>
      <c r="M155" s="2">
        <f>M12/'Output-Calculation-sheet'!M11*'Output-Calculation-sheet'!M128</f>
        <v>1607480644.1023414</v>
      </c>
      <c r="N155" s="2">
        <f>N12/'Output-Calculation-sheet'!N11*'Output-Calculation-sheet'!N128</f>
        <v>1565238501.3577235</v>
      </c>
      <c r="O155" s="2">
        <f>O12/'Output-Calculation-sheet'!O11*'Output-Calculation-sheet'!O128</f>
        <v>7297750632.8386164</v>
      </c>
      <c r="P155" s="2">
        <f>P12/'Output-Calculation-sheet'!P11*'Output-Calculation-sheet'!P128</f>
        <v>864081621.56875885</v>
      </c>
      <c r="Q155" s="2">
        <f>Q12/'Output-Calculation-sheet'!Q11*'Output-Calculation-sheet'!Q128</f>
        <v>1932662662.5586019</v>
      </c>
      <c r="R155" s="2">
        <f>R12/'Output-Calculation-sheet'!R11*'Output-Calculation-sheet'!R128</f>
        <v>833616836.24327826</v>
      </c>
      <c r="S155" s="2">
        <f>S12/'Output-Calculation-sheet'!S11*'Output-Calculation-sheet'!S128</f>
        <v>835694850.63667715</v>
      </c>
      <c r="T155" s="2">
        <f>T12/'Output-Calculation-sheet'!T11*'Output-Calculation-sheet'!T128</f>
        <v>199376543.70746022</v>
      </c>
      <c r="U155" s="2">
        <f>U12/'Output-Calculation-sheet'!U11*'Output-Calculation-sheet'!U128</f>
        <v>385820626.76640087</v>
      </c>
      <c r="V155" s="2">
        <f>V12/'Output-Calculation-sheet'!V11*'Output-Calculation-sheet'!V128</f>
        <v>96200044.597661898</v>
      </c>
      <c r="W155" s="2">
        <f>W12/'Output-Calculation-sheet'!W11*'Output-Calculation-sheet'!W128</f>
        <v>89384723.966268033</v>
      </c>
      <c r="X155" s="2">
        <f>X12/'Output-Calculation-sheet'!X11*'Output-Calculation-sheet'!X128</f>
        <v>10997182.941302609</v>
      </c>
      <c r="Y155" s="2">
        <f>Y12/'Output-Calculation-sheet'!Y11*'Output-Calculation-sheet'!Y128</f>
        <v>96149074.884300962</v>
      </c>
      <c r="AA155" s="2">
        <f t="shared" si="13"/>
        <v>48487.312157942557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1066.052887653877</v>
      </c>
      <c r="C19" s="2">
        <f>C8/'Output-Calculation-sheet'!C7*'Output-Calculation-sheet'!C25</f>
        <v>7601.0225726610297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4789.7451716935429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3324.7491704460303</v>
      </c>
      <c r="N19" s="2">
        <f>N8/'Output-Calculation-sheet'!N7*'Output-Calculation-sheet'!N25</f>
        <v>1136.8277486185661</v>
      </c>
      <c r="O19" s="2">
        <f>O8/'Output-Calculation-sheet'!O7*'Output-Calculation-sheet'!O25</f>
        <v>1240.1208759694161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406.02974168487077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175.52536817384947</v>
      </c>
      <c r="Y19" s="2">
        <f>Y8/'Output-Calculation-sheet'!Y7*'Output-Calculation-sheet'!Y25</f>
        <v>0</v>
      </c>
      <c r="AA19" s="2">
        <f t="shared" si="0"/>
        <v>19.740073536901182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5846.1769955871414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6589.6683367716241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4578.8961750939425</v>
      </c>
      <c r="N20" s="2">
        <f>N9/'Output-Calculation-sheet'!N8*'Output-Calculation-sheet'!N26</f>
        <v>2062.8731922801312</v>
      </c>
      <c r="O20" s="2">
        <f>O9/'Output-Calculation-sheet'!O8*'Output-Calculation-sheet'!O26</f>
        <v>2176.5519239263717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749.81457969603741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244.68989997590253</v>
      </c>
      <c r="Y20" s="2">
        <f>Y9/'Output-Calculation-sheet'!Y8*'Output-Calculation-sheet'!Y26</f>
        <v>0</v>
      </c>
      <c r="AA20" s="2">
        <f t="shared" si="0"/>
        <v>28.305389213532152</v>
      </c>
    </row>
    <row r="21" spans="1:27" x14ac:dyDescent="0.25">
      <c r="A21" s="2">
        <v>2033</v>
      </c>
      <c r="B21" s="2">
        <f>B10/'Output-Calculation-sheet'!B9*'Output-Calculation-sheet'!B27</f>
        <v>14711.667114194448</v>
      </c>
      <c r="C21" s="2">
        <f>C10/'Output-Calculation-sheet'!C9*'Output-Calculation-sheet'!C27</f>
        <v>6101.4560948325698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8529.301212916429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5925.3530225133027</v>
      </c>
      <c r="N21" s="2">
        <f>N10/'Output-Calculation-sheet'!N9*'Output-Calculation-sheet'!N27</f>
        <v>3232.4088416288423</v>
      </c>
      <c r="O21" s="2">
        <f>O10/'Output-Calculation-sheet'!O9*'Output-Calculation-sheet'!O27</f>
        <v>2532.7696547210476</v>
      </c>
      <c r="P21" s="2">
        <f>P10/'Output-Calculation-sheet'!P9*'Output-Calculation-sheet'!P27</f>
        <v>0</v>
      </c>
      <c r="Q21" s="2">
        <f>Q10/'Output-Calculation-sheet'!Q9*'Output-Calculation-sheet'!Q27</f>
        <v>220.5890401823473</v>
      </c>
      <c r="R21" s="2">
        <f>R10/'Output-Calculation-sheet'!R9*'Output-Calculation-sheet'!R27</f>
        <v>0</v>
      </c>
      <c r="S21" s="2">
        <f>S10/'Output-Calculation-sheet'!S9*'Output-Calculation-sheet'!S27</f>
        <v>1409.1036441076474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375.5354300359557</v>
      </c>
      <c r="Y21" s="2">
        <f>Y10/'Output-Calculation-sheet'!Y9*'Output-Calculation-sheet'!Y27</f>
        <v>0</v>
      </c>
      <c r="AA21" s="2">
        <f t="shared" si="0"/>
        <v>43.038184055132596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6341.8228809348839</v>
      </c>
      <c r="D22" s="2">
        <f>D11/'Output-Calculation-sheet'!D10*'Output-Calculation-sheet'!D28</f>
        <v>0</v>
      </c>
      <c r="E22" s="2">
        <f>E11/'Output-Calculation-sheet'!E10*'Output-Calculation-sheet'!E28</f>
        <v>1513.2701837276636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11024.358625620207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907.3078903995164</v>
      </c>
      <c r="M22" s="2">
        <f>M11/'Output-Calculation-sheet'!M10*'Output-Calculation-sheet'!M28</f>
        <v>8016.0197652333318</v>
      </c>
      <c r="N22" s="2">
        <f>N11/'Output-Calculation-sheet'!N10*'Output-Calculation-sheet'!N28</f>
        <v>4617.1426699609665</v>
      </c>
      <c r="O22" s="2">
        <f>O11/'Output-Calculation-sheet'!O10*'Output-Calculation-sheet'!O28</f>
        <v>2932.9367878060602</v>
      </c>
      <c r="P22" s="2">
        <f>P11/'Output-Calculation-sheet'!P10*'Output-Calculation-sheet'!P28</f>
        <v>0</v>
      </c>
      <c r="Q22" s="2">
        <f>Q11/'Output-Calculation-sheet'!Q10*'Output-Calculation-sheet'!Q28</f>
        <v>1077.1927069111864</v>
      </c>
      <c r="R22" s="2">
        <f>R11/'Output-Calculation-sheet'!R10*'Output-Calculation-sheet'!R28</f>
        <v>0</v>
      </c>
      <c r="S22" s="2">
        <f>S11/'Output-Calculation-sheet'!S10*'Output-Calculation-sheet'!S28</f>
        <v>2395.6320830026643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82.62372562473135</v>
      </c>
      <c r="AA22" s="2">
        <f t="shared" si="0"/>
        <v>69.038645102427907</v>
      </c>
    </row>
    <row r="23" spans="1:27" x14ac:dyDescent="0.25">
      <c r="A23" s="2">
        <v>2035</v>
      </c>
      <c r="B23" s="2">
        <f>B12/'Output-Calculation-sheet'!B11*'Output-Calculation-sheet'!B29</f>
        <v>38456.994662509649</v>
      </c>
      <c r="C23" s="2">
        <f>C12/'Output-Calculation-sheet'!C11*'Output-Calculation-sheet'!C29</f>
        <v>199.02834911834984</v>
      </c>
      <c r="D23" s="2">
        <f>D12/'Output-Calculation-sheet'!D11*'Output-Calculation-sheet'!D29</f>
        <v>0</v>
      </c>
      <c r="E23" s="2">
        <f>E12/'Output-Calculation-sheet'!E11*'Output-Calculation-sheet'!E29</f>
        <v>5848.7119459915903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11886.915348218572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1316.2550972194067</v>
      </c>
      <c r="M23" s="2">
        <f>M12/'Output-Calculation-sheet'!M11*'Output-Calculation-sheet'!M29</f>
        <v>8658.4872246071318</v>
      </c>
      <c r="N23" s="2">
        <f>N12/'Output-Calculation-sheet'!N11*'Output-Calculation-sheet'!N29</f>
        <v>5027.5707806751534</v>
      </c>
      <c r="O23" s="2">
        <f>O12/'Output-Calculation-sheet'!O11*'Output-Calculation-sheet'!O29</f>
        <v>3464.8202016989685</v>
      </c>
      <c r="P23" s="2">
        <f>P12/'Output-Calculation-sheet'!P11*'Output-Calculation-sheet'!P29</f>
        <v>604.79763988994853</v>
      </c>
      <c r="Q23" s="2">
        <f>Q12/'Output-Calculation-sheet'!Q11*'Output-Calculation-sheet'!Q29</f>
        <v>1347.392353740317</v>
      </c>
      <c r="R23" s="2">
        <f>R12/'Output-Calculation-sheet'!R11*'Output-Calculation-sheet'!R29</f>
        <v>0</v>
      </c>
      <c r="S23" s="2">
        <f>S12/'Output-Calculation-sheet'!S11*'Output-Calculation-sheet'!S29</f>
        <v>2731.0698414288513</v>
      </c>
      <c r="T23" s="2">
        <f>T12/'Output-Calculation-sheet'!T11*'Output-Calculation-sheet'!T29</f>
        <v>0</v>
      </c>
      <c r="U23" s="2">
        <f>U12/'Output-Calculation-sheet'!U11*'Output-Calculation-sheet'!U29</f>
        <v>120.25117267154769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89.213938823210285</v>
      </c>
      <c r="Y23" s="2">
        <f>Y12/'Output-Calculation-sheet'!Y11*'Output-Calculation-sheet'!Y29</f>
        <v>256.93375733996106</v>
      </c>
      <c r="AA23" s="2">
        <f t="shared" si="0"/>
        <v>80.008442313932662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18582.367688128619</v>
      </c>
      <c r="C30" s="2">
        <f>C8/'Output-Calculation-sheet'!C7*'Output-Calculation-sheet'!C16</f>
        <v>0</v>
      </c>
      <c r="D30" s="2">
        <f>D8/'Output-Calculation-sheet'!D7*'Output-Calculation-sheet'!D16</f>
        <v>3129.0017402412836</v>
      </c>
      <c r="E30" s="2">
        <f>E8/'Output-Calculation-sheet'!E7*'Output-Calculation-sheet'!E16</f>
        <v>3366.6334163712186</v>
      </c>
      <c r="F30" s="2">
        <f>F8/'Output-Calculation-sheet'!F7*'Output-Calculation-sheet'!F16</f>
        <v>1698.512228888053</v>
      </c>
      <c r="G30" s="2">
        <f>G8/'Output-Calculation-sheet'!G7*'Output-Calculation-sheet'!G16</f>
        <v>1112.3089819468739</v>
      </c>
      <c r="H30" s="2">
        <f>H8/'Output-Calculation-sheet'!H7*'Output-Calculation-sheet'!H16</f>
        <v>0</v>
      </c>
      <c r="I30" s="2">
        <f>I8/'Output-Calculation-sheet'!I7*'Output-Calculation-sheet'!I16</f>
        <v>1084.3479589220658</v>
      </c>
      <c r="J30" s="2">
        <f>J8/'Output-Calculation-sheet'!J7*'Output-Calculation-sheet'!J16</f>
        <v>965.26489627427998</v>
      </c>
      <c r="K30" s="2">
        <f>K8/'Output-Calculation-sheet'!K7*'Output-Calculation-sheet'!K16</f>
        <v>1288.814253583063</v>
      </c>
      <c r="L30" s="2">
        <f>L8/'Output-Calculation-sheet'!L7*'Output-Calculation-sheet'!L16</f>
        <v>1088.6298127522173</v>
      </c>
      <c r="M30" s="2">
        <f>M8/'Output-Calculation-sheet'!M7*'Output-Calculation-sheet'!M16</f>
        <v>0</v>
      </c>
      <c r="N30" s="2">
        <f>N8/'Output-Calculation-sheet'!N7*'Output-Calculation-sheet'!N16</f>
        <v>1547.4651315314425</v>
      </c>
      <c r="O30" s="2">
        <f>O8/'Output-Calculation-sheet'!O7*'Output-Calculation-sheet'!O16</f>
        <v>0</v>
      </c>
      <c r="P30" s="2">
        <f>P8/'Output-Calculation-sheet'!P7*'Output-Calculation-sheet'!P16</f>
        <v>1389.7767981399243</v>
      </c>
      <c r="Q30" s="2">
        <f>Q8/'Output-Calculation-sheet'!Q7*'Output-Calculation-sheet'!Q16</f>
        <v>1528.3025928877801</v>
      </c>
      <c r="R30" s="2">
        <f>R8/'Output-Calculation-sheet'!R7*'Output-Calculation-sheet'!R16</f>
        <v>969.71345638415653</v>
      </c>
      <c r="S30" s="2">
        <f>S8/'Output-Calculation-sheet'!S7*'Output-Calculation-sheet'!S16</f>
        <v>975.24882052243515</v>
      </c>
      <c r="T30" s="2">
        <f>T8/'Output-Calculation-sheet'!T7*'Output-Calculation-sheet'!T16</f>
        <v>291.09223085120516</v>
      </c>
      <c r="U30" s="2">
        <f>U8/'Output-Calculation-sheet'!U7*'Output-Calculation-sheet'!U16</f>
        <v>290.57323924099859</v>
      </c>
      <c r="V30" s="2">
        <f>V8/'Output-Calculation-sheet'!V7*'Output-Calculation-sheet'!V16</f>
        <v>226.14664663026474</v>
      </c>
      <c r="W30" s="2">
        <f>W8/'Output-Calculation-sheet'!W7*'Output-Calculation-sheet'!W16</f>
        <v>137.17104198847903</v>
      </c>
      <c r="X30" s="2">
        <f>X8/'Output-Calculation-sheet'!X7*'Output-Calculation-sheet'!X16</f>
        <v>0</v>
      </c>
      <c r="Y30" s="2">
        <f>Y8/'Output-Calculation-sheet'!Y7*'Output-Calculation-sheet'!Y16</f>
        <v>116.09761921454047</v>
      </c>
      <c r="AA30" s="2">
        <f t="shared" si="1"/>
        <v>39.787468554498894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1756.507115040768</v>
      </c>
      <c r="O31" s="2">
        <f>O9/'Output-Calculation-sheet'!O8*'Output-Calculation-sheet'!O17</f>
        <v>0</v>
      </c>
      <c r="P31" s="2">
        <f>P9/'Output-Calculation-sheet'!P8*'Output-Calculation-sheet'!P17</f>
        <v>2174.6218593766685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1306.1609145878174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55.848579944315752</v>
      </c>
    </row>
    <row r="32" spans="1:27" x14ac:dyDescent="0.25">
      <c r="A32" s="2">
        <v>2033</v>
      </c>
      <c r="B32" s="2">
        <f>B10/'Output-Calculation-sheet'!B9*'Output-Calculation-sheet'!B18</f>
        <v>29955.03066249246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2853.0760587062941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1834.9202798890401</v>
      </c>
      <c r="O32" s="2">
        <f>O10/'Output-Calculation-sheet'!O9*'Output-Calculation-sheet'!O18</f>
        <v>0</v>
      </c>
      <c r="P32" s="2">
        <f>P10/'Output-Calculation-sheet'!P9*'Output-Calculation-sheet'!P18</f>
        <v>2936.4541381318395</v>
      </c>
      <c r="Q32" s="2">
        <f>Q10/'Output-Calculation-sheet'!Q9*'Output-Calculation-sheet'!Q18</f>
        <v>3197.9054318545673</v>
      </c>
      <c r="R32" s="2">
        <f>R10/'Output-Calculation-sheet'!R9*'Output-Calculation-sheet'!R18</f>
        <v>2108.6679172557347</v>
      </c>
      <c r="S32" s="2">
        <f>S10/'Output-Calculation-sheet'!S9*'Output-Calculation-sheet'!S18</f>
        <v>1380.9396618121314</v>
      </c>
      <c r="T32" s="2">
        <f>T10/'Output-Calculation-sheet'!T9*'Output-Calculation-sheet'!T18</f>
        <v>615.66381136745485</v>
      </c>
      <c r="U32" s="2">
        <f>U10/'Output-Calculation-sheet'!U9*'Output-Calculation-sheet'!U18</f>
        <v>680.61690498245036</v>
      </c>
      <c r="V32" s="2">
        <f>V10/'Output-Calculation-sheet'!V9*'Output-Calculation-sheet'!V18</f>
        <v>502.36478301448113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290.84353324872063</v>
      </c>
      <c r="AA32" s="2">
        <f t="shared" si="1"/>
        <v>71.953410079353773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8983.0467974057283</v>
      </c>
      <c r="E33" s="2">
        <f>E11/'Output-Calculation-sheet'!E10*'Output-Calculation-sheet'!E19</f>
        <v>11124.035531442858</v>
      </c>
      <c r="F33" s="2">
        <f>F11/'Output-Calculation-sheet'!F10*'Output-Calculation-sheet'!F19</f>
        <v>5098.7223190957939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3336.8882242727532</v>
      </c>
      <c r="J33" s="2">
        <f>J11/'Output-Calculation-sheet'!J10*'Output-Calculation-sheet'!J19</f>
        <v>2821.2718143304</v>
      </c>
      <c r="K33" s="2">
        <f>K11/'Output-Calculation-sheet'!K10*'Output-Calculation-sheet'!K19</f>
        <v>3913.2872033750537</v>
      </c>
      <c r="L33" s="2">
        <f>L11/'Output-Calculation-sheet'!L10*'Output-Calculation-sheet'!L19</f>
        <v>3183.7073292380046</v>
      </c>
      <c r="M33" s="2">
        <f>M11/'Output-Calculation-sheet'!M10*'Output-Calculation-sheet'!M19</f>
        <v>0</v>
      </c>
      <c r="N33" s="2">
        <f>N11/'Output-Calculation-sheet'!N10*'Output-Calculation-sheet'!N19</f>
        <v>1810.3132755213887</v>
      </c>
      <c r="O33" s="2">
        <f>O11/'Output-Calculation-sheet'!O10*'Output-Calculation-sheet'!O19</f>
        <v>0</v>
      </c>
      <c r="P33" s="2">
        <f>P11/'Output-Calculation-sheet'!P10*'Output-Calculation-sheet'!P19</f>
        <v>3958.51902573813</v>
      </c>
      <c r="Q33" s="2">
        <f>Q11/'Output-Calculation-sheet'!Q10*'Output-Calculation-sheet'!Q19</f>
        <v>3234.374613482913</v>
      </c>
      <c r="R33" s="2">
        <f>R11/'Output-Calculation-sheet'!R10*'Output-Calculation-sheet'!R19</f>
        <v>2826.7950685818237</v>
      </c>
      <c r="S33" s="2">
        <f>S11/'Output-Calculation-sheet'!S10*'Output-Calculation-sheet'!S19</f>
        <v>1316.8567241146284</v>
      </c>
      <c r="T33" s="2">
        <f>T11/'Output-Calculation-sheet'!T10*'Output-Calculation-sheet'!T19</f>
        <v>829.43687961675494</v>
      </c>
      <c r="U33" s="2">
        <f>U11/'Output-Calculation-sheet'!U10*'Output-Calculation-sheet'!U19</f>
        <v>954.0199646603827</v>
      </c>
      <c r="V33" s="2">
        <f>V11/'Output-Calculation-sheet'!V10*'Output-Calculation-sheet'!V19</f>
        <v>650.58789557469061</v>
      </c>
      <c r="W33" s="2">
        <f>W11/'Output-Calculation-sheet'!W10*'Output-Calculation-sheet'!W19</f>
        <v>405.04754036031869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87.982409306074373</v>
      </c>
    </row>
    <row r="34" spans="1:27" x14ac:dyDescent="0.25">
      <c r="A34" s="2">
        <v>2035</v>
      </c>
      <c r="B34" s="2">
        <f>B12/'Output-Calculation-sheet'!B11*'Output-Calculation-sheet'!B20</f>
        <v>30284.955082362249</v>
      </c>
      <c r="C34" s="2">
        <f>C12/'Output-Calculation-sheet'!C11*'Output-Calculation-sheet'!C20</f>
        <v>0</v>
      </c>
      <c r="D34" s="2">
        <f>D12/'Output-Calculation-sheet'!D11*'Output-Calculation-sheet'!D20</f>
        <v>9483.9157779032994</v>
      </c>
      <c r="E34" s="2">
        <f>E12/'Output-Calculation-sheet'!E11*'Output-Calculation-sheet'!E20</f>
        <v>10449.353140602105</v>
      </c>
      <c r="F34" s="2">
        <f>F12/'Output-Calculation-sheet'!F11*'Output-Calculation-sheet'!F20</f>
        <v>6467.3564263889157</v>
      </c>
      <c r="G34" s="2">
        <f>G12/'Output-Calculation-sheet'!G11*'Output-Calculation-sheet'!G20</f>
        <v>3493.0987539039252</v>
      </c>
      <c r="H34" s="2">
        <f>H12/'Output-Calculation-sheet'!H11*'Output-Calculation-sheet'!H20</f>
        <v>0</v>
      </c>
      <c r="I34" s="2">
        <f>I12/'Output-Calculation-sheet'!I11*'Output-Calculation-sheet'!I20</f>
        <v>3804.6822144650905</v>
      </c>
      <c r="J34" s="2">
        <f>J12/'Output-Calculation-sheet'!J11*'Output-Calculation-sheet'!J20</f>
        <v>3260.3604691117112</v>
      </c>
      <c r="K34" s="2">
        <f>K12/'Output-Calculation-sheet'!K11*'Output-Calculation-sheet'!K20</f>
        <v>4285.4153572752248</v>
      </c>
      <c r="L34" s="2">
        <f>L12/'Output-Calculation-sheet'!L11*'Output-Calculation-sheet'!L20</f>
        <v>3393.0558607423231</v>
      </c>
      <c r="M34" s="2">
        <f>M12/'Output-Calculation-sheet'!M11*'Output-Calculation-sheet'!M20</f>
        <v>0</v>
      </c>
      <c r="N34" s="2">
        <f>N12/'Output-Calculation-sheet'!N11*'Output-Calculation-sheet'!N20</f>
        <v>1890.9786750285168</v>
      </c>
      <c r="O34" s="2">
        <f>O12/'Output-Calculation-sheet'!O11*'Output-Calculation-sheet'!O20</f>
        <v>0</v>
      </c>
      <c r="P34" s="2">
        <f>P12/'Output-Calculation-sheet'!P11*'Output-Calculation-sheet'!P20</f>
        <v>4231.4820878807186</v>
      </c>
      <c r="Q34" s="2">
        <f>Q12/'Output-Calculation-sheet'!Q11*'Output-Calculation-sheet'!Q20</f>
        <v>3334.7048033124588</v>
      </c>
      <c r="R34" s="2">
        <f>R12/'Output-Calculation-sheet'!R11*'Output-Calculation-sheet'!R20</f>
        <v>3365.0863275943252</v>
      </c>
      <c r="S34" s="2">
        <f>S12/'Output-Calculation-sheet'!S11*'Output-Calculation-sheet'!S20</f>
        <v>1299.7310324667458</v>
      </c>
      <c r="T34" s="2">
        <f>T12/'Output-Calculation-sheet'!T11*'Output-Calculation-sheet'!T20</f>
        <v>1050.249412172828</v>
      </c>
      <c r="U34" s="2">
        <f>U12/'Output-Calculation-sheet'!U11*'Output-Calculation-sheet'!U20</f>
        <v>961.42626980320892</v>
      </c>
      <c r="V34" s="2">
        <f>V12/'Output-Calculation-sheet'!V11*'Output-Calculation-sheet'!V20</f>
        <v>880.84147034152511</v>
      </c>
      <c r="W34" s="2">
        <f>W12/'Output-Calculation-sheet'!W11*'Output-Calculation-sheet'!W20</f>
        <v>569.64977010261305</v>
      </c>
      <c r="X34" s="2">
        <f>X12/'Output-Calculation-sheet'!X11*'Output-Calculation-sheet'!X20</f>
        <v>1.3445652962550105</v>
      </c>
      <c r="Y34" s="2">
        <f>Y12/'Output-Calculation-sheet'!Y11*'Output-Calculation-sheet'!Y20</f>
        <v>317.61106475338312</v>
      </c>
      <c r="AA34" s="2">
        <f t="shared" si="1"/>
        <v>92.82529856150741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3.9356258251805235E-2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3.9356258251805235E-2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0.45443658417905602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0.45443658417905602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0.616981833796029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0.616981833796029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5.8801136711291481E-2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1.3486968185315475E-2</v>
      </c>
      <c r="N44" s="2">
        <f>N11/'Output-Calculation-sheet'!N10*'Output-Calculation-sheet'!N37*0.0114</f>
        <v>1.325550247795553E-2</v>
      </c>
      <c r="O44" s="2">
        <f>O11/'Output-Calculation-sheet'!O10*'Output-Calculation-sheet'!O37*0.0114</f>
        <v>0.76692780504763736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3.484154900834209E-2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7.5985116228335292E-3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0.89491147305337548</v>
      </c>
    </row>
    <row r="45" spans="1:27" x14ac:dyDescent="0.25">
      <c r="A45" s="2">
        <v>2035</v>
      </c>
      <c r="B45" s="2">
        <f>B12/'Output-Calculation-sheet'!B11*'Output-Calculation-sheet'!B38*0.0114</f>
        <v>0.70700323910049057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0.23623339353304321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0.2892282582496159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5.6949586017412381E-2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5.9961690474563706E-2</v>
      </c>
      <c r="M45" s="2">
        <f>M12/'Output-Calculation-sheet'!M11*'Output-Calculation-sheet'!M38*0.0114</f>
        <v>0.17058616219874834</v>
      </c>
      <c r="N45" s="2">
        <f>N12/'Output-Calculation-sheet'!N11*'Output-Calculation-sheet'!N38*0.0114</f>
        <v>0.1257438994810052</v>
      </c>
      <c r="O45" s="2">
        <f>O12/'Output-Calculation-sheet'!O11*'Output-Calculation-sheet'!O38*0.0114</f>
        <v>0.88658407517912552</v>
      </c>
      <c r="P45" s="2">
        <f>P12/'Output-Calculation-sheet'!P11*'Output-Calculation-sheet'!P38*0.0114</f>
        <v>7.7443517384798294E-2</v>
      </c>
      <c r="Q45" s="2">
        <f>Q12/'Output-Calculation-sheet'!Q11*'Output-Calculation-sheet'!Q38*0.0114</f>
        <v>0.110170908107871</v>
      </c>
      <c r="R45" s="2">
        <f>R12/'Output-Calculation-sheet'!R11*'Output-Calculation-sheet'!R38*0.0114</f>
        <v>4.8557875480775711E-2</v>
      </c>
      <c r="S45" s="2">
        <f>S12/'Output-Calculation-sheet'!S11*'Output-Calculation-sheet'!S38*0.0114</f>
        <v>5.6062800947679202E-2</v>
      </c>
      <c r="T45" s="2">
        <f>T12/'Output-Calculation-sheet'!T11*'Output-Calculation-sheet'!T38*0.0114</f>
        <v>1.3473438533102136E-2</v>
      </c>
      <c r="U45" s="2">
        <f>U12/'Output-Calculation-sheet'!U11*'Output-Calculation-sheet'!U38*0.0114</f>
        <v>1.9528413303659963E-2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9.0295183775956581E-3</v>
      </c>
      <c r="AA45" s="2">
        <f t="shared" si="2"/>
        <v>3.5292971770555353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2936.5656696269998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6764.0178357032346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4626.0718350672169</v>
      </c>
      <c r="N52" s="2">
        <f>N8/'Output-Calculation-sheet'!N7*'Output-Calculation-sheet'!N43</f>
        <v>146.13002119455589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31.279369331384881</v>
      </c>
      <c r="Y52" s="2">
        <f>Y8/'Output-Calculation-sheet'!Y7*'Output-Calculation-sheet'!Y43</f>
        <v>0</v>
      </c>
      <c r="AA52" s="2">
        <f t="shared" si="3"/>
        <v>14.504064730923393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508.09132867116477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13169.708664536696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9019.6130374679415</v>
      </c>
      <c r="N53" s="2">
        <f>N9/'Output-Calculation-sheet'!N8*'Output-Calculation-sheet'!N44</f>
        <v>3197.680611508943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998.13352671609528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275.29434379469905</v>
      </c>
      <c r="Y53" s="2">
        <f>Y9/'Output-Calculation-sheet'!Y8*'Output-Calculation-sheet'!Y44</f>
        <v>0</v>
      </c>
      <c r="AA53" s="2">
        <f t="shared" si="3"/>
        <v>27.310400767335743</v>
      </c>
    </row>
    <row r="54" spans="1:27" x14ac:dyDescent="0.25">
      <c r="A54" s="2">
        <v>2033</v>
      </c>
      <c r="B54" s="2">
        <f>B10/'Output-Calculation-sheet'!B9*'Output-Calculation-sheet'!B45</f>
        <v>28196.190819155832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20555.773052467473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14089.8167458273</v>
      </c>
      <c r="N54" s="2">
        <f>N10/'Output-Calculation-sheet'!N9*'Output-Calculation-sheet'!N45</f>
        <v>7862.3401674115703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825.48315193411429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790.85675657975526</v>
      </c>
      <c r="Y54" s="2">
        <f>Y10/'Output-Calculation-sheet'!Y9*'Output-Calculation-sheet'!Y45</f>
        <v>17.444386234916966</v>
      </c>
      <c r="AA54" s="2">
        <f t="shared" si="3"/>
        <v>85.048774399030108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25588.810458308508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3707.4328940785749</v>
      </c>
      <c r="L55" s="2">
        <f>L11/'Output-Calculation-sheet'!L10*'Output-Calculation-sheet'!L46</f>
        <v>1369.8188748543091</v>
      </c>
      <c r="M55" s="2">
        <f>M11/'Output-Calculation-sheet'!M10*'Output-Calculation-sheet'!M46</f>
        <v>17964.878236317149</v>
      </c>
      <c r="N55" s="2">
        <f>N11/'Output-Calculation-sheet'!N10*'Output-Calculation-sheet'!N46</f>
        <v>13246.200370953457</v>
      </c>
      <c r="O55" s="2">
        <f>O11/'Output-Calculation-sheet'!O10*'Output-Calculation-sheet'!O46</f>
        <v>295.13916662840597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2997.1882217117673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6716.0178168132134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206.55902874663144</v>
      </c>
    </row>
    <row r="56" spans="1:27" x14ac:dyDescent="0.25">
      <c r="A56" s="2">
        <v>2035</v>
      </c>
      <c r="B56" s="2">
        <f>B12/'Output-Calculation-sheet'!B11*'Output-Calculation-sheet'!B47</f>
        <v>114943.84239902187</v>
      </c>
      <c r="C56" s="2">
        <f>C12/'Output-Calculation-sheet'!C11*'Output-Calculation-sheet'!C47</f>
        <v>394.43029433653101</v>
      </c>
      <c r="D56" s="2">
        <f>D12/'Output-Calculation-sheet'!D11*'Output-Calculation-sheet'!D47</f>
        <v>9251.2016440994994</v>
      </c>
      <c r="E56" s="2">
        <f>E12/'Output-Calculation-sheet'!E11*'Output-Calculation-sheet'!E47</f>
        <v>25554.65095657446</v>
      </c>
      <c r="F56" s="2">
        <f>F12/'Output-Calculation-sheet'!F11*'Output-Calculation-sheet'!F47</f>
        <v>3018.4093262940705</v>
      </c>
      <c r="G56" s="2">
        <f>G12/'Output-Calculation-sheet'!G11*'Output-Calculation-sheet'!G47</f>
        <v>7250.8187185003653</v>
      </c>
      <c r="H56" s="2">
        <f>H12/'Output-Calculation-sheet'!H11*'Output-Calculation-sheet'!H47</f>
        <v>27435.003769680043</v>
      </c>
      <c r="I56" s="2">
        <f>I12/'Output-Calculation-sheet'!I11*'Output-Calculation-sheet'!I47</f>
        <v>3607.4422792128844</v>
      </c>
      <c r="J56" s="2">
        <f>J12/'Output-Calculation-sheet'!J11*'Output-Calculation-sheet'!J47</f>
        <v>3312.0680289074039</v>
      </c>
      <c r="K56" s="2">
        <f>K12/'Output-Calculation-sheet'!K11*'Output-Calculation-sheet'!K47</f>
        <v>4714.7103205797575</v>
      </c>
      <c r="L56" s="2">
        <f>L12/'Output-Calculation-sheet'!L11*'Output-Calculation-sheet'!L47</f>
        <v>2587.8203257443283</v>
      </c>
      <c r="M56" s="2">
        <f>M12/'Output-Calculation-sheet'!M11*'Output-Calculation-sheet'!M47</f>
        <v>19058.763911152553</v>
      </c>
      <c r="N56" s="2">
        <f>N12/'Output-Calculation-sheet'!N11*'Output-Calculation-sheet'!N47</f>
        <v>14356.37464444927</v>
      </c>
      <c r="O56" s="2">
        <f>O12/'Output-Calculation-sheet'!O11*'Output-Calculation-sheet'!O47</f>
        <v>1412.4501197706657</v>
      </c>
      <c r="P56" s="2">
        <f>P12/'Output-Calculation-sheet'!P11*'Output-Calculation-sheet'!P47</f>
        <v>7565.461742181611</v>
      </c>
      <c r="Q56" s="2">
        <f>Q12/'Output-Calculation-sheet'!Q11*'Output-Calculation-sheet'!Q47</f>
        <v>3632.6333540831151</v>
      </c>
      <c r="R56" s="2">
        <f>R12/'Output-Calculation-sheet'!R11*'Output-Calculation-sheet'!R47</f>
        <v>5580.9610832181033</v>
      </c>
      <c r="S56" s="2">
        <f>S12/'Output-Calculation-sheet'!S11*'Output-Calculation-sheet'!S47</f>
        <v>7419.5393585017546</v>
      </c>
      <c r="T56" s="2">
        <f>T12/'Output-Calculation-sheet'!T11*'Output-Calculation-sheet'!T47</f>
        <v>1942.6177019510708</v>
      </c>
      <c r="U56" s="2">
        <f>U12/'Output-Calculation-sheet'!U11*'Output-Calculation-sheet'!U47</f>
        <v>1877.1259033465428</v>
      </c>
      <c r="V56" s="2">
        <f>V12/'Output-Calculation-sheet'!V11*'Output-Calculation-sheet'!V47</f>
        <v>1310.8483318241563</v>
      </c>
      <c r="W56" s="2">
        <f>W12/'Output-Calculation-sheet'!W11*'Output-Calculation-sheet'!W47</f>
        <v>757.88046764312969</v>
      </c>
      <c r="X56" s="2">
        <f>X12/'Output-Calculation-sheet'!X11*'Output-Calculation-sheet'!X47</f>
        <v>152.80083792011868</v>
      </c>
      <c r="Y56" s="2">
        <f>Y12/'Output-Calculation-sheet'!Y11*'Output-Calculation-sheet'!Y47</f>
        <v>1007.1081243081472</v>
      </c>
      <c r="AA56" s="2">
        <f t="shared" si="3"/>
        <v>268.14496364330154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7.0643705472948852</v>
      </c>
      <c r="C63" s="2">
        <f>C8*'Output-Calculation-sheet'!C52/10^9</f>
        <v>3.8396604231993976</v>
      </c>
      <c r="D63" s="2">
        <f>D8*'Output-Calculation-sheet'!D52/10^9</f>
        <v>1.6540563126303212</v>
      </c>
      <c r="E63" s="2">
        <f>E8*'Output-Calculation-sheet'!E52/10^9</f>
        <v>1.8923133310477138</v>
      </c>
      <c r="F63" s="2">
        <f>F8*'Output-Calculation-sheet'!F52/10^9</f>
        <v>0.88453491584199295</v>
      </c>
      <c r="G63" s="2">
        <f>G8*'Output-Calculation-sheet'!G52/10^9</f>
        <v>0.67469287738392925</v>
      </c>
      <c r="H63" s="2">
        <f>H8*'Output-Calculation-sheet'!H52/10^9</f>
        <v>1.0084645949994748</v>
      </c>
      <c r="I63" s="2">
        <f>I8*'Output-Calculation-sheet'!I52/10^9</f>
        <v>0.5329625388499355</v>
      </c>
      <c r="J63" s="2">
        <f>J8*'Output-Calculation-sheet'!J52/10^9</f>
        <v>0.7534319848138723</v>
      </c>
      <c r="K63" s="2">
        <f>K8*'Output-Calculation-sheet'!K52/10^9</f>
        <v>0.49459110331683542</v>
      </c>
      <c r="L63" s="2">
        <f>L8*'Output-Calculation-sheet'!L52/10^9</f>
        <v>0.58557560030044864</v>
      </c>
      <c r="M63" s="2">
        <f>M8*'Output-Calculation-sheet'!M52/10^9</f>
        <v>0.73837389001856657</v>
      </c>
      <c r="N63" s="2">
        <f>N8*'Output-Calculation-sheet'!N52/10^9</f>
        <v>0.58877620279337695</v>
      </c>
      <c r="O63" s="2">
        <f>O8*'Output-Calculation-sheet'!O52/10^9</f>
        <v>0.69758039553800111</v>
      </c>
      <c r="P63" s="2">
        <f>P8*'Output-Calculation-sheet'!P52/10^9</f>
        <v>0.50300767280710312</v>
      </c>
      <c r="Q63" s="2">
        <f>Q8*'Output-Calculation-sheet'!Q52/10^9</f>
        <v>0.46919673106896614</v>
      </c>
      <c r="R63" s="2">
        <f>R8*'Output-Calculation-sheet'!R52/10^9</f>
        <v>0.42498267497365511</v>
      </c>
      <c r="S63" s="2">
        <f>S8*'Output-Calculation-sheet'!S52/10^9</f>
        <v>0.36058199270761954</v>
      </c>
      <c r="T63" s="2">
        <f>T8*'Output-Calculation-sheet'!T52/10^9</f>
        <v>0.1726112320860386</v>
      </c>
      <c r="U63" s="2">
        <f>U8*'Output-Calculation-sheet'!U52/10^9</f>
        <v>0.13461081500104416</v>
      </c>
      <c r="V63" s="2">
        <f>V8*'Output-Calculation-sheet'!V52/10^9</f>
        <v>0.22287535571700173</v>
      </c>
      <c r="W63" s="2">
        <f>W8*'Output-Calculation-sheet'!W52/10^9</f>
        <v>9.3528626794561198E-2</v>
      </c>
      <c r="X63" s="2">
        <f>X8*'Output-Calculation-sheet'!X52/10^9</f>
        <v>9.8411457203787758E-2</v>
      </c>
      <c r="Y63" s="2">
        <f>Y8*'Output-Calculation-sheet'!Y52/10^9</f>
        <v>5.400930522112226E-2</v>
      </c>
      <c r="AA63" s="2">
        <f t="shared" si="4"/>
        <v>23.943200581609648</v>
      </c>
    </row>
    <row r="64" spans="1:27" x14ac:dyDescent="0.25">
      <c r="A64" s="2">
        <v>2032</v>
      </c>
      <c r="B64" s="2">
        <f>B9*'Output-Calculation-sheet'!B53/10^9</f>
        <v>7.4515122841559593</v>
      </c>
      <c r="C64" s="2">
        <f>C9*'Output-Calculation-sheet'!C53/10^9</f>
        <v>4.4014008088797985</v>
      </c>
      <c r="D64" s="2">
        <f>D9*'Output-Calculation-sheet'!D53/10^9</f>
        <v>1.5647183390833048</v>
      </c>
      <c r="E64" s="2">
        <f>E9*'Output-Calculation-sheet'!E53/10^9</f>
        <v>1.8269916503884582</v>
      </c>
      <c r="F64" s="2">
        <f>F9*'Output-Calculation-sheet'!F53/10^9</f>
        <v>0.83837563938447435</v>
      </c>
      <c r="G64" s="2">
        <f>G9*'Output-Calculation-sheet'!G53/10^9</f>
        <v>0.62774101350130773</v>
      </c>
      <c r="H64" s="2">
        <f>H9*'Output-Calculation-sheet'!H53/10^9</f>
        <v>1.1690679734581024</v>
      </c>
      <c r="I64" s="2">
        <f>I9*'Output-Calculation-sheet'!I53/10^9</f>
        <v>0.50905490270502507</v>
      </c>
      <c r="J64" s="2">
        <f>J9*'Output-Calculation-sheet'!J53/10^9</f>
        <v>0.68326025764069664</v>
      </c>
      <c r="K64" s="2">
        <f>K9*'Output-Calculation-sheet'!K53/10^9</f>
        <v>0.50439892732187719</v>
      </c>
      <c r="L64" s="2">
        <f>L9*'Output-Calculation-sheet'!L53/10^9</f>
        <v>0.56627408926588463</v>
      </c>
      <c r="M64" s="2">
        <f>M9*'Output-Calculation-sheet'!M53/10^9</f>
        <v>0.84303472691824699</v>
      </c>
      <c r="N64" s="2">
        <f>N9*'Output-Calculation-sheet'!N53/10^9</f>
        <v>0.68904865329087672</v>
      </c>
      <c r="O64" s="2">
        <f>O9*'Output-Calculation-sheet'!O53/10^9</f>
        <v>0.81397453484098803</v>
      </c>
      <c r="P64" s="2">
        <f>P9*'Output-Calculation-sheet'!P53/10^9</f>
        <v>0.53822148644725587</v>
      </c>
      <c r="Q64" s="2">
        <f>Q9*'Output-Calculation-sheet'!Q53/10^9</f>
        <v>0.51051780321541129</v>
      </c>
      <c r="R64" s="2">
        <f>R9*'Output-Calculation-sheet'!R53/10^9</f>
        <v>0.4343073241708808</v>
      </c>
      <c r="S64" s="2">
        <f>S9*'Output-Calculation-sheet'!S53/10^9</f>
        <v>0.4083080224111737</v>
      </c>
      <c r="T64" s="2">
        <f>T9*'Output-Calculation-sheet'!T53/10^9</f>
        <v>0.16235231578070136</v>
      </c>
      <c r="U64" s="2">
        <f>U9*'Output-Calculation-sheet'!U53/10^9</f>
        <v>0.13832331009382481</v>
      </c>
      <c r="V64" s="2">
        <f>V9*'Output-Calculation-sheet'!V53/10^9</f>
        <v>0.2016013036548859</v>
      </c>
      <c r="W64" s="2">
        <f>W9*'Output-Calculation-sheet'!W53/10^9</f>
        <v>8.5929188304701282E-2</v>
      </c>
      <c r="X64" s="2">
        <f>X9*'Output-Calculation-sheet'!X53/10^9</f>
        <v>0.10972323630982445</v>
      </c>
      <c r="Y64" s="2">
        <f>Y9*'Output-Calculation-sheet'!Y53/10^9</f>
        <v>5.4655773525730686E-2</v>
      </c>
      <c r="AA64" s="2">
        <f t="shared" si="4"/>
        <v>25.132793564749385</v>
      </c>
    </row>
    <row r="65" spans="1:27" x14ac:dyDescent="0.25">
      <c r="A65" s="2">
        <v>2033</v>
      </c>
      <c r="B65" s="2">
        <f>B10*'Output-Calculation-sheet'!B54/10^9</f>
        <v>8.0255218374414561</v>
      </c>
      <c r="C65" s="2">
        <f>C10*'Output-Calculation-sheet'!C54/10^9</f>
        <v>4.958378299527098</v>
      </c>
      <c r="D65" s="2">
        <f>D10*'Output-Calculation-sheet'!D54/10^9</f>
        <v>1.4305336215567896</v>
      </c>
      <c r="E65" s="2">
        <f>E10*'Output-Calculation-sheet'!E54/10^9</f>
        <v>1.8218035043763874</v>
      </c>
      <c r="F65" s="2">
        <f>F10*'Output-Calculation-sheet'!F54/10^9</f>
        <v>0.78284379238265978</v>
      </c>
      <c r="G65" s="2">
        <f>G10*'Output-Calculation-sheet'!G54/10^9</f>
        <v>0.55734686464518057</v>
      </c>
      <c r="H65" s="2">
        <f>H10*'Output-Calculation-sheet'!H54/10^9</f>
        <v>1.3096352607410406</v>
      </c>
      <c r="I65" s="2">
        <f>I10*'Output-Calculation-sheet'!I54/10^9</f>
        <v>0.48867686706297109</v>
      </c>
      <c r="J65" s="2">
        <f>J10*'Output-Calculation-sheet'!J54/10^9</f>
        <v>0.5781816111478173</v>
      </c>
      <c r="K65" s="2">
        <f>K10*'Output-Calculation-sheet'!K54/10^9</f>
        <v>0.5410648496110918</v>
      </c>
      <c r="L65" s="2">
        <f>L10*'Output-Calculation-sheet'!L54/10^9</f>
        <v>0.55798428416832913</v>
      </c>
      <c r="M65" s="2">
        <f>M10*'Output-Calculation-sheet'!M54/10^9</f>
        <v>0.93119523629594769</v>
      </c>
      <c r="N65" s="2">
        <f>N10*'Output-Calculation-sheet'!N54/10^9</f>
        <v>0.79349085989717183</v>
      </c>
      <c r="O65" s="2">
        <f>O10*'Output-Calculation-sheet'!O54/10^9</f>
        <v>0.92327461315133086</v>
      </c>
      <c r="P65" s="2">
        <f>P10*'Output-Calculation-sheet'!P54/10^9</f>
        <v>0.58532774269506549</v>
      </c>
      <c r="Q65" s="2">
        <f>Q10*'Output-Calculation-sheet'!Q54/10^9</f>
        <v>0.57764051354676638</v>
      </c>
      <c r="R65" s="2">
        <f>R10*'Output-Calculation-sheet'!R54/10^9</f>
        <v>0.4578935073262021</v>
      </c>
      <c r="S65" s="2">
        <f>S10*'Output-Calculation-sheet'!S54/10^9</f>
        <v>0.45957865012997551</v>
      </c>
      <c r="T65" s="2">
        <f>T10*'Output-Calculation-sheet'!T54/10^9</f>
        <v>0.15506311038619436</v>
      </c>
      <c r="U65" s="2">
        <f>U10*'Output-Calculation-sheet'!U54/10^9</f>
        <v>0.1489269839799385</v>
      </c>
      <c r="V65" s="2">
        <f>V10*'Output-Calculation-sheet'!V54/10^9</f>
        <v>0.17547817449350586</v>
      </c>
      <c r="W65" s="2">
        <f>W10*'Output-Calculation-sheet'!W54/10^9</f>
        <v>7.499302799377898E-2</v>
      </c>
      <c r="X65" s="2">
        <f>X10*'Output-Calculation-sheet'!X54/10^9</f>
        <v>0.11961094146548983</v>
      </c>
      <c r="Y65" s="2">
        <f>Y10*'Output-Calculation-sheet'!Y54/10^9</f>
        <v>5.817666164864034E-2</v>
      </c>
      <c r="AA65" s="2">
        <f t="shared" si="4"/>
        <v>26.512620815670825</v>
      </c>
    </row>
    <row r="66" spans="1:27" x14ac:dyDescent="0.25">
      <c r="A66" s="2">
        <v>2034</v>
      </c>
      <c r="B66" s="2">
        <f>B11*'Output-Calculation-sheet'!B55/10^9</f>
        <v>8.8049989449268651</v>
      </c>
      <c r="C66" s="2">
        <f>C11*'Output-Calculation-sheet'!C55/10^9</f>
        <v>5.5210109891608994</v>
      </c>
      <c r="D66" s="2">
        <f>D11*'Output-Calculation-sheet'!D55/10^9</f>
        <v>1.5929478237540411</v>
      </c>
      <c r="E66" s="2">
        <f>E11*'Output-Calculation-sheet'!E55/10^9</f>
        <v>2.0631786158533072</v>
      </c>
      <c r="F66" s="2">
        <f>F11*'Output-Calculation-sheet'!F55/10^9</f>
        <v>0.8120251510302583</v>
      </c>
      <c r="G66" s="2">
        <f>G11*'Output-Calculation-sheet'!G55/10^9</f>
        <v>0.59234081128261074</v>
      </c>
      <c r="H66" s="2">
        <f>H11*'Output-Calculation-sheet'!H55/10^9</f>
        <v>1.4781037558359027</v>
      </c>
      <c r="I66" s="2">
        <f>I11*'Output-Calculation-sheet'!I55/10^9</f>
        <v>0.55064233815421748</v>
      </c>
      <c r="J66" s="2">
        <f>J11*'Output-Calculation-sheet'!J55/10^9</f>
        <v>0.55439343835688348</v>
      </c>
      <c r="K66" s="2">
        <f>K11*'Output-Calculation-sheet'!K55/10^9</f>
        <v>0.63126700849224404</v>
      </c>
      <c r="L66" s="2">
        <f>L11*'Output-Calculation-sheet'!L55/10^9</f>
        <v>0.61199211192012859</v>
      </c>
      <c r="M66" s="2">
        <f>M11*'Output-Calculation-sheet'!M55/10^9</f>
        <v>1.0381804713230556</v>
      </c>
      <c r="N66" s="2">
        <f>N11*'Output-Calculation-sheet'!N55/10^9</f>
        <v>0.90277918847509908</v>
      </c>
      <c r="O66" s="2">
        <f>O11*'Output-Calculation-sheet'!O55/10^9</f>
        <v>1.0297581143661911</v>
      </c>
      <c r="P66" s="2">
        <f>P11*'Output-Calculation-sheet'!P55/10^9</f>
        <v>0.66031055725402676</v>
      </c>
      <c r="Q66" s="2">
        <f>Q11*'Output-Calculation-sheet'!Q55/10^9</f>
        <v>0.67918674741002871</v>
      </c>
      <c r="R66" s="2">
        <f>R11*'Output-Calculation-sheet'!R55/10^9</f>
        <v>0.50250505831064229</v>
      </c>
      <c r="S66" s="2">
        <f>S11*'Output-Calculation-sheet'!S55/10^9</f>
        <v>0.52164180970083363</v>
      </c>
      <c r="T66" s="2">
        <f>T11*'Output-Calculation-sheet'!T55/10^9</f>
        <v>0.15745228563182082</v>
      </c>
      <c r="U66" s="2">
        <f>U11*'Output-Calculation-sheet'!U55/10^9</f>
        <v>0.17136354142937585</v>
      </c>
      <c r="V66" s="2">
        <f>V11*'Output-Calculation-sheet'!V55/10^9</f>
        <v>0.14880281491220124</v>
      </c>
      <c r="W66" s="2">
        <f>W11*'Output-Calculation-sheet'!W55/10^9</f>
        <v>7.29003065397128E-2</v>
      </c>
      <c r="X66" s="2">
        <f>X11*'Output-Calculation-sheet'!X55/10^9</f>
        <v>0.12876842073949368</v>
      </c>
      <c r="Y66" s="2">
        <f>Y11*'Output-Calculation-sheet'!Y55/10^9</f>
        <v>6.9947121890154562E-2</v>
      </c>
      <c r="AA66" s="2">
        <f t="shared" si="4"/>
        <v>29.296497426749994</v>
      </c>
    </row>
    <row r="67" spans="1:27" x14ac:dyDescent="0.25">
      <c r="A67" s="2">
        <v>2035</v>
      </c>
      <c r="B67" s="2">
        <f>B12*'Output-Calculation-sheet'!B56/10^9</f>
        <v>10.165971474864875</v>
      </c>
      <c r="C67" s="2">
        <f>C12*'Output-Calculation-sheet'!C56/10^9</f>
        <v>6.1400021198516574</v>
      </c>
      <c r="D67" s="2">
        <f>D12*'Output-Calculation-sheet'!D56/10^9</f>
        <v>2.0137776770323383</v>
      </c>
      <c r="E67" s="2">
        <f>E12*'Output-Calculation-sheet'!E56/10^9</f>
        <v>2.7575670975358704</v>
      </c>
      <c r="F67" s="2">
        <f>F12*'Output-Calculation-sheet'!F56/10^9</f>
        <v>1.0811733486577346</v>
      </c>
      <c r="G67" s="2">
        <f>G12*'Output-Calculation-sheet'!G56/10^9</f>
        <v>0.796608171756929</v>
      </c>
      <c r="H67" s="2">
        <f>H12*'Output-Calculation-sheet'!H56/10^9</f>
        <v>1.6963567632623</v>
      </c>
      <c r="I67" s="2">
        <f>I12*'Output-Calculation-sheet'!I56/10^9</f>
        <v>0.7299636065335654</v>
      </c>
      <c r="J67" s="2">
        <f>J12*'Output-Calculation-sheet'!J56/10^9</f>
        <v>0.66840307590697534</v>
      </c>
      <c r="K67" s="2">
        <f>K12*'Output-Calculation-sheet'!K56/10^9</f>
        <v>0.80065114158358408</v>
      </c>
      <c r="L67" s="2">
        <f>L12*'Output-Calculation-sheet'!L56/10^9</f>
        <v>0.74616063247841247</v>
      </c>
      <c r="M67" s="2">
        <f>M12*'Output-Calculation-sheet'!M56/10^9</f>
        <v>1.2000939396127228</v>
      </c>
      <c r="N67" s="2">
        <f>N12*'Output-Calculation-sheet'!N56/10^9</f>
        <v>1.0249947328359899</v>
      </c>
      <c r="O67" s="2">
        <f>O12*'Output-Calculation-sheet'!O56/10^9</f>
        <v>1.1338663337439256</v>
      </c>
      <c r="P67" s="2">
        <f>P12*'Output-Calculation-sheet'!P56/10^9</f>
        <v>0.8318834236885212</v>
      </c>
      <c r="Q67" s="2">
        <f>Q12*'Output-Calculation-sheet'!Q56/10^9</f>
        <v>0.78582638733239629</v>
      </c>
      <c r="R67" s="2">
        <f>R12*'Output-Calculation-sheet'!R56/10^9</f>
        <v>0.61641553064800525</v>
      </c>
      <c r="S67" s="2">
        <f>S12*'Output-Calculation-sheet'!S56/10^9</f>
        <v>0.59545121656396083</v>
      </c>
      <c r="T67" s="2">
        <f>T12*'Output-Calculation-sheet'!T56/10^9</f>
        <v>0.19182440763266306</v>
      </c>
      <c r="U67" s="2">
        <f>U12*'Output-Calculation-sheet'!U56/10^9</f>
        <v>0.20737399544082163</v>
      </c>
      <c r="V67" s="2">
        <f>V12*'Output-Calculation-sheet'!V56/10^9</f>
        <v>0.14794039279646334</v>
      </c>
      <c r="W67" s="2">
        <f>W12*'Output-Calculation-sheet'!W56/10^9</f>
        <v>0.10042337478695122</v>
      </c>
      <c r="X67" s="2">
        <f>X12*'Output-Calculation-sheet'!X56/10^9</f>
        <v>0.14324879095028187</v>
      </c>
      <c r="Y67" s="2">
        <f>Y12*'Output-Calculation-sheet'!Y56/10^9</f>
        <v>9.3706938072632959E-2</v>
      </c>
      <c r="AA67" s="2">
        <f t="shared" si="4"/>
        <v>34.669684573569576</v>
      </c>
    </row>
    <row r="68" spans="1:27" x14ac:dyDescent="0.25">
      <c r="B68" s="2">
        <f>SUM(B60:B67)</f>
        <v>41.512375088684038</v>
      </c>
      <c r="C68" s="2">
        <f t="shared" ref="C68:Y68" si="5">SUM(C60:C67)</f>
        <v>24.860452640618853</v>
      </c>
      <c r="D68" s="2">
        <f t="shared" si="5"/>
        <v>8.2560337740567959</v>
      </c>
      <c r="E68" s="2">
        <f t="shared" si="5"/>
        <v>10.361854199201737</v>
      </c>
      <c r="F68" s="2">
        <f t="shared" si="5"/>
        <v>4.39895284729712</v>
      </c>
      <c r="G68" s="2">
        <f t="shared" si="5"/>
        <v>3.2487297385699576</v>
      </c>
      <c r="H68" s="2">
        <f t="shared" si="5"/>
        <v>6.6616283482968202</v>
      </c>
      <c r="I68" s="2">
        <f t="shared" si="5"/>
        <v>2.8113002533057143</v>
      </c>
      <c r="J68" s="2">
        <f t="shared" si="5"/>
        <v>3.2376703678662451</v>
      </c>
      <c r="K68" s="2">
        <f t="shared" si="5"/>
        <v>2.9719730303256329</v>
      </c>
      <c r="L68" s="2">
        <f t="shared" si="5"/>
        <v>3.0679867181332034</v>
      </c>
      <c r="M68" s="2">
        <f t="shared" si="5"/>
        <v>4.7508782641685396</v>
      </c>
      <c r="N68" s="2">
        <f t="shared" si="5"/>
        <v>3.9990896372925144</v>
      </c>
      <c r="O68" s="2">
        <f t="shared" si="5"/>
        <v>4.5984539916404366</v>
      </c>
      <c r="P68" s="2">
        <f t="shared" si="5"/>
        <v>3.1187508828919723</v>
      </c>
      <c r="Q68" s="2">
        <f t="shared" si="5"/>
        <v>3.0223681825735689</v>
      </c>
      <c r="R68" s="2">
        <f t="shared" si="5"/>
        <v>2.4361040954293856</v>
      </c>
      <c r="S68" s="2">
        <f t="shared" si="5"/>
        <v>2.3455616915135629</v>
      </c>
      <c r="T68" s="2">
        <f t="shared" si="5"/>
        <v>0.83930335151741819</v>
      </c>
      <c r="U68" s="2">
        <f t="shared" si="5"/>
        <v>0.80059864594500496</v>
      </c>
      <c r="V68" s="2">
        <f t="shared" si="5"/>
        <v>0.89669804157405808</v>
      </c>
      <c r="W68" s="2">
        <f t="shared" si="5"/>
        <v>0.42777452441970548</v>
      </c>
      <c r="X68" s="2">
        <f t="shared" si="5"/>
        <v>0.59976284666887758</v>
      </c>
      <c r="Y68" s="2">
        <f t="shared" si="5"/>
        <v>0.3304958003582808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787.40831964400832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1435.9971573143901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968.38946910146592</v>
      </c>
      <c r="N74" s="2">
        <f>N8/'Output-Calculation-sheet'!N7*'Output-Calculation-sheet'!N61</f>
        <v>40.145986265772699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8.5932582900433676</v>
      </c>
      <c r="Y74" s="2">
        <f>Y8/'Output-Calculation-sheet'!Y7*'Output-Calculation-sheet'!Y61</f>
        <v>0</v>
      </c>
      <c r="AA74" s="2">
        <f t="shared" si="6"/>
        <v>3.2405341906156795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139.58343607176778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2506.5322835124684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1703.3232910397828</v>
      </c>
      <c r="N75" s="2">
        <f>N9/'Output-Calculation-sheet'!N8*'Output-Calculation-sheet'!N62</f>
        <v>655.97915743100771</v>
      </c>
      <c r="O75" s="2">
        <f>O9/'Output-Calculation-sheet'!O8*'Output-Calculation-sheet'!O62</f>
        <v>0</v>
      </c>
      <c r="P75" s="2">
        <f>P9/'Output-Calculation-sheet'!P8*'Output-Calculation-sheet'!P62</f>
        <v>51.97008909539371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220.43009348590815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59.823788137123273</v>
      </c>
      <c r="Y75" s="2">
        <f>Y9/'Output-Calculation-sheet'!Y8*'Output-Calculation-sheet'!Y62</f>
        <v>0</v>
      </c>
      <c r="AA75" s="2">
        <f t="shared" si="6"/>
        <v>5.3376421387734521</v>
      </c>
    </row>
    <row r="76" spans="1:27" x14ac:dyDescent="0.25">
      <c r="A76" s="2">
        <v>2033</v>
      </c>
      <c r="B76" s="2">
        <f>B10/'Output-Calculation-sheet'!B9*'Output-Calculation-sheet'!B63</f>
        <v>5676.8478511924604</v>
      </c>
      <c r="C76" s="2">
        <f>C10/'Output-Calculation-sheet'!C9*'Output-Calculation-sheet'!C63</f>
        <v>1144.6928687624541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3701.0196908854073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2525.9640051095412</v>
      </c>
      <c r="N76" s="2">
        <f>N10/'Output-Calculation-sheet'!N9*'Output-Calculation-sheet'!N63</f>
        <v>1438.6681838942955</v>
      </c>
      <c r="O76" s="2">
        <f>O10/'Output-Calculation-sheet'!O9*'Output-Calculation-sheet'!O63</f>
        <v>0</v>
      </c>
      <c r="P76" s="2">
        <f>P10/'Output-Calculation-sheet'!P9*'Output-Calculation-sheet'!P63</f>
        <v>498.90151096656672</v>
      </c>
      <c r="Q76" s="2">
        <f>Q10/'Output-Calculation-sheet'!Q9*'Output-Calculation-sheet'!Q63</f>
        <v>226.78064319650585</v>
      </c>
      <c r="R76" s="2">
        <f>R10/'Output-Calculation-sheet'!R9*'Output-Calculation-sheet'!R63</f>
        <v>378.59894785141091</v>
      </c>
      <c r="S76" s="2">
        <f>S10/'Output-Calculation-sheet'!S9*'Output-Calculation-sheet'!S63</f>
        <v>643.36687367887225</v>
      </c>
      <c r="T76" s="2">
        <f>T10/'Output-Calculation-sheet'!T9*'Output-Calculation-sheet'!T63</f>
        <v>24.945268829917275</v>
      </c>
      <c r="U76" s="2">
        <f>U10/'Output-Calculation-sheet'!U9*'Output-Calculation-sheet'!U63</f>
        <v>134.54188484540558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144.90999651353454</v>
      </c>
      <c r="Y76" s="2">
        <f>Y10/'Output-Calculation-sheet'!Y9*'Output-Calculation-sheet'!Y63</f>
        <v>6.3898315308602616</v>
      </c>
      <c r="AA76" s="2">
        <f t="shared" si="6"/>
        <v>16.65023349250114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2112.0736051790745</v>
      </c>
      <c r="D77" s="2">
        <f>D11/'Output-Calculation-sheet'!D10*'Output-Calculation-sheet'!D64</f>
        <v>1794.9024306767608</v>
      </c>
      <c r="E77" s="2">
        <f>E11/'Output-Calculation-sheet'!E10*'Output-Calculation-sheet'!E64</f>
        <v>2244.9328730906786</v>
      </c>
      <c r="F77" s="2">
        <f>F11/'Output-Calculation-sheet'!F10*'Output-Calculation-sheet'!F64</f>
        <v>159.73252741345729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4746.3813333854132</v>
      </c>
      <c r="I77" s="2">
        <f>I11/'Output-Calculation-sheet'!I10*'Output-Calculation-sheet'!I64</f>
        <v>557.1159537480504</v>
      </c>
      <c r="J77" s="2">
        <f>J11/'Output-Calculation-sheet'!J10*'Output-Calculation-sheet'!J64</f>
        <v>392.82373700835802</v>
      </c>
      <c r="K77" s="2">
        <f>K11/'Output-Calculation-sheet'!K10*'Output-Calculation-sheet'!K64</f>
        <v>855.12261337023176</v>
      </c>
      <c r="L77" s="2">
        <f>L11/'Output-Calculation-sheet'!L10*'Output-Calculation-sheet'!L64</f>
        <v>350.27940357977604</v>
      </c>
      <c r="M77" s="2">
        <f>M11/'Output-Calculation-sheet'!M10*'Output-Calculation-sheet'!M64</f>
        <v>3354.3769832565831</v>
      </c>
      <c r="N77" s="2">
        <f>N11/'Output-Calculation-sheet'!N10*'Output-Calculation-sheet'!N64</f>
        <v>2324.9058348761255</v>
      </c>
      <c r="O77" s="2">
        <f>O11/'Output-Calculation-sheet'!O10*'Output-Calculation-sheet'!O64</f>
        <v>84.478161095053494</v>
      </c>
      <c r="P77" s="2">
        <f>P11/'Output-Calculation-sheet'!P10*'Output-Calculation-sheet'!P64</f>
        <v>1054.4154448880927</v>
      </c>
      <c r="Q77" s="2">
        <f>Q11/'Output-Calculation-sheet'!Q10*'Output-Calculation-sheet'!Q64</f>
        <v>603.66956816050117</v>
      </c>
      <c r="R77" s="2">
        <f>R11/'Output-Calculation-sheet'!R10*'Output-Calculation-sheet'!R64</f>
        <v>900.56962721714194</v>
      </c>
      <c r="S77" s="2">
        <f>S11/'Output-Calculation-sheet'!S10*'Output-Calculation-sheet'!S64</f>
        <v>1193.1976128140852</v>
      </c>
      <c r="T77" s="2">
        <f>T11/'Output-Calculation-sheet'!T10*'Output-Calculation-sheet'!T64</f>
        <v>249.02482610991339</v>
      </c>
      <c r="U77" s="2">
        <f>U11/'Output-Calculation-sheet'!U10*'Output-Calculation-sheet'!U64</f>
        <v>330.27267245082464</v>
      </c>
      <c r="V77" s="2">
        <f>V11/'Output-Calculation-sheet'!V10*'Output-Calculation-sheet'!V64</f>
        <v>129.98604412601108</v>
      </c>
      <c r="W77" s="2">
        <f>W11/'Output-Calculation-sheet'!W10*'Output-Calculation-sheet'!W64</f>
        <v>28.321414904525547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39.301006703572945</v>
      </c>
    </row>
    <row r="78" spans="1:27" x14ac:dyDescent="0.25">
      <c r="A78" s="2">
        <v>2035</v>
      </c>
      <c r="B78" s="2">
        <f>B12/'Output-Calculation-sheet'!B11*'Output-Calculation-sheet'!B65</f>
        <v>19700.297957698422</v>
      </c>
      <c r="C78" s="2">
        <f>C12/'Output-Calculation-sheet'!C11*'Output-Calculation-sheet'!C65</f>
        <v>72.445659732915672</v>
      </c>
      <c r="D78" s="2">
        <f>D12/'Output-Calculation-sheet'!D11*'Output-Calculation-sheet'!D65</f>
        <v>2058.0012496208719</v>
      </c>
      <c r="E78" s="2">
        <f>E12/'Output-Calculation-sheet'!E11*'Output-Calculation-sheet'!E65</f>
        <v>3910.5288520814856</v>
      </c>
      <c r="F78" s="2">
        <f>F12/'Output-Calculation-sheet'!F11*'Output-Calculation-sheet'!F65</f>
        <v>836.01336653737144</v>
      </c>
      <c r="G78" s="2">
        <f>G12/'Output-Calculation-sheet'!G11*'Output-Calculation-sheet'!G65</f>
        <v>1593.5862848533204</v>
      </c>
      <c r="H78" s="2">
        <f>H12/'Output-Calculation-sheet'!H11*'Output-Calculation-sheet'!H65</f>
        <v>5101.598663197</v>
      </c>
      <c r="I78" s="2">
        <f>I12/'Output-Calculation-sheet'!I11*'Output-Calculation-sheet'!I65</f>
        <v>922.559615940757</v>
      </c>
      <c r="J78" s="2">
        <f>J12/'Output-Calculation-sheet'!J11*'Output-Calculation-sheet'!J65</f>
        <v>845.15516919443007</v>
      </c>
      <c r="K78" s="2">
        <f>K12/'Output-Calculation-sheet'!K11*'Output-Calculation-sheet'!K65</f>
        <v>1050.6494642877087</v>
      </c>
      <c r="L78" s="2">
        <f>L12/'Output-Calculation-sheet'!L11*'Output-Calculation-sheet'!L65</f>
        <v>615.19379477549842</v>
      </c>
      <c r="M78" s="2">
        <f>M12/'Output-Calculation-sheet'!M11*'Output-Calculation-sheet'!M65</f>
        <v>3572.9284142276533</v>
      </c>
      <c r="N78" s="2">
        <f>N12/'Output-Calculation-sheet'!N11*'Output-Calculation-sheet'!N65</f>
        <v>2515.2113457668765</v>
      </c>
      <c r="O78" s="2">
        <f>O12/'Output-Calculation-sheet'!O11*'Output-Calculation-sheet'!O65</f>
        <v>371.60361782643332</v>
      </c>
      <c r="P78" s="2">
        <f>P12/'Output-Calculation-sheet'!P11*'Output-Calculation-sheet'!P65</f>
        <v>1442.2836119268882</v>
      </c>
      <c r="Q78" s="2">
        <f>Q12/'Output-Calculation-sheet'!Q11*'Output-Calculation-sheet'!Q65</f>
        <v>703.29628654756175</v>
      </c>
      <c r="R78" s="2">
        <f>R12/'Output-Calculation-sheet'!R11*'Output-Calculation-sheet'!R65</f>
        <v>1205.1542910140249</v>
      </c>
      <c r="S78" s="2">
        <f>S12/'Output-Calculation-sheet'!S11*'Output-Calculation-sheet'!S65</f>
        <v>1355.7769724216587</v>
      </c>
      <c r="T78" s="2">
        <f>T12/'Output-Calculation-sheet'!T11*'Output-Calculation-sheet'!T65</f>
        <v>426.94884158216303</v>
      </c>
      <c r="U78" s="2">
        <f>U12/'Output-Calculation-sheet'!U11*'Output-Calculation-sheet'!U65</f>
        <v>368.62757982092404</v>
      </c>
      <c r="V78" s="2">
        <f>V12/'Output-Calculation-sheet'!V11*'Output-Calculation-sheet'!V65</f>
        <v>232.82510331551737</v>
      </c>
      <c r="W78" s="2">
        <f>W12/'Output-Calculation-sheet'!W11*'Output-Calculation-sheet'!W65</f>
        <v>166.56716591184042</v>
      </c>
      <c r="X78" s="2">
        <f>X12/'Output-Calculation-sheet'!X11*'Output-Calculation-sheet'!X65</f>
        <v>30.543068116933306</v>
      </c>
      <c r="Y78" s="2">
        <f>Y12/'Output-Calculation-sheet'!Y11*'Output-Calculation-sheet'!Y65</f>
        <v>159.49561727901437</v>
      </c>
      <c r="AA78" s="2">
        <f t="shared" si="6"/>
        <v>49.257291993677264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25.892275165661339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2.5892275165661338E-2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298.02232128701667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0.29802232128701667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402.33505878125692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0.40233505878125692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27.509303724580807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5.9153369233839808</v>
      </c>
      <c r="N88" s="2">
        <f>N11/'Output-Calculation-sheet'!N10*'Output-Calculation-sheet'!N73</f>
        <v>5.8138168762962845</v>
      </c>
      <c r="O88" s="2">
        <f>O11/'Output-Calculation-sheet'!O10*'Output-Calculation-sheet'!O73</f>
        <v>500.21748461652635</v>
      </c>
      <c r="P88" s="2">
        <f>P11/'Output-Calculation-sheet'!P10*'Output-Calculation-sheet'!P73</f>
        <v>0</v>
      </c>
      <c r="Q88" s="2">
        <f>Q11/'Output-Calculation-sheet'!Q10*'Output-Calculation-sheet'!Q73</f>
        <v>21.393933601613565</v>
      </c>
      <c r="R88" s="2">
        <f>R11/'Output-Calculation-sheet'!R10*'Output-Calculation-sheet'!R73</f>
        <v>0</v>
      </c>
      <c r="S88" s="2">
        <f>S11/'Output-Calculation-sheet'!S10*'Output-Calculation-sheet'!S73</f>
        <v>0.66653610726609902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0.56151641184966705</v>
      </c>
    </row>
    <row r="89" spans="1:27" x14ac:dyDescent="0.25">
      <c r="A89" s="2">
        <v>2035</v>
      </c>
      <c r="B89" s="2">
        <f>B12/'Output-Calculation-sheet'!B11*'Output-Calculation-sheet'!B74</f>
        <v>384.51053354588089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130.37206375562994</v>
      </c>
      <c r="E89" s="2">
        <f>E12/'Output-Calculation-sheet'!E11*'Output-Calculation-sheet'!E74</f>
        <v>140.91114701970997</v>
      </c>
      <c r="F89" s="2">
        <f>F12/'Output-Calculation-sheet'!F11*'Output-Calculation-sheet'!F74</f>
        <v>54.737992963882107</v>
      </c>
      <c r="G89" s="2">
        <f>G12/'Output-Calculation-sheet'!G11*'Output-Calculation-sheet'!G74</f>
        <v>48.638102858877581</v>
      </c>
      <c r="H89" s="2">
        <f>H12/'Output-Calculation-sheet'!H11*'Output-Calculation-sheet'!H74</f>
        <v>186.65733458465186</v>
      </c>
      <c r="I89" s="2">
        <f>I12/'Output-Calculation-sheet'!I11*'Output-Calculation-sheet'!I74</f>
        <v>45.429543628147329</v>
      </c>
      <c r="J89" s="2">
        <f>J12/'Output-Calculation-sheet'!J11*'Output-Calculation-sheet'!J74</f>
        <v>26.643081177736782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35.503632517833772</v>
      </c>
      <c r="M89" s="2">
        <f>M12/'Output-Calculation-sheet'!M11*'Output-Calculation-sheet'!M74</f>
        <v>108.48681367902853</v>
      </c>
      <c r="N89" s="2">
        <f>N12/'Output-Calculation-sheet'!N11*'Output-Calculation-sheet'!N74</f>
        <v>80.887888555032589</v>
      </c>
      <c r="O89" s="2">
        <f>O12/'Output-Calculation-sheet'!O11*'Output-Calculation-sheet'!O74</f>
        <v>582.13531252086545</v>
      </c>
      <c r="P89" s="2">
        <f>P12/'Output-Calculation-sheet'!P11*'Output-Calculation-sheet'!P74</f>
        <v>44.156391491332364</v>
      </c>
      <c r="Q89" s="2">
        <f>Q12/'Output-Calculation-sheet'!Q11*'Output-Calculation-sheet'!Q74</f>
        <v>67.648803224131314</v>
      </c>
      <c r="R89" s="2">
        <f>R12/'Output-Calculation-sheet'!R11*'Output-Calculation-sheet'!R74</f>
        <v>26.621642259197209</v>
      </c>
      <c r="S89" s="2">
        <f>S12/'Output-Calculation-sheet'!S11*'Output-Calculation-sheet'!S74</f>
        <v>35.829609628216026</v>
      </c>
      <c r="T89" s="2">
        <f>T12/'Output-Calculation-sheet'!T11*'Output-Calculation-sheet'!T74</f>
        <v>6.3033630564220511</v>
      </c>
      <c r="U89" s="2">
        <f>U12/'Output-Calculation-sheet'!U11*'Output-Calculation-sheet'!U74</f>
        <v>11.648527233762083</v>
      </c>
      <c r="V89" s="2">
        <f>V12/'Output-Calculation-sheet'!V11*'Output-Calculation-sheet'!V74</f>
        <v>1.585064488300068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0.54718294689388969</v>
      </c>
      <c r="Y89" s="2">
        <f>Y12/'Output-Calculation-sheet'!Y11*'Output-Calculation-sheet'!Y74</f>
        <v>5.1484096012606821</v>
      </c>
      <c r="AA89" s="2">
        <f t="shared" si="7"/>
        <v>2.0873256628126318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11722744044.935301</v>
      </c>
      <c r="C96" s="2">
        <f>C8/'Output-Calculation-sheet'!C7*'Output-Calculation-sheet'!C79</f>
        <v>3965865256.4114785</v>
      </c>
      <c r="D96" s="2">
        <f>D8/'Output-Calculation-sheet'!D7*'Output-Calculation-sheet'!D79</f>
        <v>4140081093.2521105</v>
      </c>
      <c r="E96" s="2">
        <f>E8/'Output-Calculation-sheet'!E7*'Output-Calculation-sheet'!E79</f>
        <v>7360723091.9324226</v>
      </c>
      <c r="F96" s="2">
        <f>F8/'Output-Calculation-sheet'!F7*'Output-Calculation-sheet'!F79</f>
        <v>3046530064.1166816</v>
      </c>
      <c r="G96" s="2">
        <f>G8/'Output-Calculation-sheet'!G7*'Output-Calculation-sheet'!G79</f>
        <v>2373001590.0253158</v>
      </c>
      <c r="H96" s="2">
        <f>H8/'Output-Calculation-sheet'!H7*'Output-Calculation-sheet'!H79</f>
        <v>2031158245.4682255</v>
      </c>
      <c r="I96" s="2">
        <f>I8/'Output-Calculation-sheet'!I7*'Output-Calculation-sheet'!I79</f>
        <v>1653043791.7508721</v>
      </c>
      <c r="J96" s="2">
        <f>J8/'Output-Calculation-sheet'!J7*'Output-Calculation-sheet'!J79</f>
        <v>1117827764.0181408</v>
      </c>
      <c r="K96" s="2">
        <f>K8/'Output-Calculation-sheet'!K7*'Output-Calculation-sheet'!K79</f>
        <v>1599280443.1280689</v>
      </c>
      <c r="L96" s="2">
        <f>L8/'Output-Calculation-sheet'!L7*'Output-Calculation-sheet'!L79</f>
        <v>1128453606.1311927</v>
      </c>
      <c r="M96" s="2">
        <f>M8/'Output-Calculation-sheet'!M7*'Output-Calculation-sheet'!M79</f>
        <v>1516218569.5323522</v>
      </c>
      <c r="N96" s="2">
        <f>N8/'Output-Calculation-sheet'!N7*'Output-Calculation-sheet'!N79</f>
        <v>1128185730.1499465</v>
      </c>
      <c r="O96" s="2">
        <f>O8/'Output-Calculation-sheet'!O7*'Output-Calculation-sheet'!O79</f>
        <v>570335531.83522987</v>
      </c>
      <c r="P96" s="2">
        <f>P8/'Output-Calculation-sheet'!P7*'Output-Calculation-sheet'!P79</f>
        <v>1907665112.4001946</v>
      </c>
      <c r="Q96" s="2">
        <f>Q8/'Output-Calculation-sheet'!Q7*'Output-Calculation-sheet'!Q79</f>
        <v>889052044.90032697</v>
      </c>
      <c r="R96" s="2">
        <f>R8/'Output-Calculation-sheet'!R7*'Output-Calculation-sheet'!R79</f>
        <v>1109199999.4971697</v>
      </c>
      <c r="S96" s="2">
        <f>S8/'Output-Calculation-sheet'!S7*'Output-Calculation-sheet'!S79</f>
        <v>646311548.46034753</v>
      </c>
      <c r="T96" s="2">
        <f>T8/'Output-Calculation-sheet'!T7*'Output-Calculation-sheet'!T79</f>
        <v>493630934.71630436</v>
      </c>
      <c r="U96" s="2">
        <f>U8/'Output-Calculation-sheet'!U7*'Output-Calculation-sheet'!U79</f>
        <v>310086867.21236426</v>
      </c>
      <c r="V96" s="2">
        <f>V8/'Output-Calculation-sheet'!V7*'Output-Calculation-sheet'!V79</f>
        <v>160888514.05413094</v>
      </c>
      <c r="W96" s="2">
        <f>W8/'Output-Calculation-sheet'!W7*'Output-Calculation-sheet'!W79</f>
        <v>475416427.20177466</v>
      </c>
      <c r="X96" s="2">
        <f>X8/'Output-Calculation-sheet'!X7*'Output-Calculation-sheet'!X79</f>
        <v>167094494.20050004</v>
      </c>
      <c r="Y96" s="2">
        <f>Y8/'Output-Calculation-sheet'!Y7*'Output-Calculation-sheet'!Y79</f>
        <v>261333510.13652372</v>
      </c>
      <c r="AA96" s="2">
        <f t="shared" si="8"/>
        <v>49.774128275466964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1368.3240941681029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265.82735836745644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31.795530541473742</v>
      </c>
      <c r="Y107" s="2">
        <f>Y8/'Output-Calculation-sheet'!Y7*'Output-Calculation-sheet'!Y88</f>
        <v>0</v>
      </c>
      <c r="AA107" s="2">
        <f t="shared" si="9"/>
        <v>1.6659469830770328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2633.2810207092098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2.6769875453941414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3.6896466132351113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4.8107046513084688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147.46580418790327</v>
      </c>
      <c r="Y111" s="2">
        <f>Y12/'Output-Calculation-sheet'!Y11*'Output-Calculation-sheet'!Y92</f>
        <v>0</v>
      </c>
      <c r="AA111" s="2">
        <f t="shared" si="9"/>
        <v>6.9469731170042204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1371618647.1271632</v>
      </c>
      <c r="C118" s="2">
        <f>C8/'Output-Calculation-sheet'!C7*'Output-Calculation-sheet'!C97</f>
        <v>11325134282.863594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7047931535.4127636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4862475774.5313311</v>
      </c>
      <c r="N118" s="2">
        <f>N8/'Output-Calculation-sheet'!N7*'Output-Calculation-sheet'!N97</f>
        <v>1627550857.2609222</v>
      </c>
      <c r="O118" s="2">
        <f>O8/'Output-Calculation-sheet'!O7*'Output-Calculation-sheet'!O97</f>
        <v>1916171632.8481891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487800691.60272259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264763757.16041824</v>
      </c>
      <c r="Y118" s="2">
        <f>Y8/'Output-Calculation-sheet'!Y7*'Output-Calculation-sheet'!Y97</f>
        <v>0</v>
      </c>
      <c r="AA118" s="2">
        <f t="shared" si="10"/>
        <v>28903.447178807102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9139649415.5013542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3139214113.4324188</v>
      </c>
      <c r="O119" s="2">
        <f>O9/'Output-Calculation-sheet'!O8*'Output-Calculation-sheet'!O98</f>
        <v>3390323756.6215782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941147798.22994769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367654858.23545575</v>
      </c>
      <c r="Y119" s="2">
        <f>Y9/'Output-Calculation-sheet'!Y8*'Output-Calculation-sheet'!Y98</f>
        <v>0</v>
      </c>
      <c r="AA119" s="2">
        <f t="shared" si="10"/>
        <v>39544.76195921535</v>
      </c>
    </row>
    <row r="120" spans="1:27" x14ac:dyDescent="0.25">
      <c r="A120" s="2">
        <v>2033</v>
      </c>
      <c r="B120" s="2">
        <f>B10/'Output-Calculation-sheet'!B9*'Output-Calculation-sheet'!B99</f>
        <v>16881190124.910006</v>
      </c>
      <c r="C120" s="2">
        <f>C10/'Output-Calculation-sheet'!C9*'Output-Calculation-sheet'!C99</f>
        <v>9769745353.6113434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5064603291.4055614</v>
      </c>
      <c r="O120" s="2">
        <f>O10/'Output-Calculation-sheet'!O9*'Output-Calculation-sheet'!O99</f>
        <v>3948990082.7860436</v>
      </c>
      <c r="P120" s="2">
        <f>P10/'Output-Calculation-sheet'!P9*'Output-Calculation-sheet'!P99</f>
        <v>0</v>
      </c>
      <c r="Q120" s="2">
        <f>Q10/'Output-Calculation-sheet'!Q9*'Output-Calculation-sheet'!Q99</f>
        <v>166057872.44039911</v>
      </c>
      <c r="R120" s="2">
        <f>R10/'Output-Calculation-sheet'!R9*'Output-Calculation-sheet'!R99</f>
        <v>0</v>
      </c>
      <c r="S120" s="2">
        <f>S10/'Output-Calculation-sheet'!S9*'Output-Calculation-sheet'!S99</f>
        <v>2040057389.5287418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554995423.83863747</v>
      </c>
      <c r="Y120" s="2">
        <f>Y10/'Output-Calculation-sheet'!Y9*'Output-Calculation-sheet'!Y99</f>
        <v>0</v>
      </c>
      <c r="AA120" s="2">
        <f t="shared" si="10"/>
        <v>59564.190042100301</v>
      </c>
    </row>
    <row r="121" spans="1:27" x14ac:dyDescent="0.25">
      <c r="A121" s="2">
        <v>2034</v>
      </c>
      <c r="B121" s="2">
        <f>B11/'Output-Calculation-sheet'!B10*'Output-Calculation-sheet'!B100</f>
        <v>41394186157.41201</v>
      </c>
      <c r="C121" s="2">
        <f>C11/'Output-Calculation-sheet'!C10*'Output-Calculation-sheet'!C100</f>
        <v>10285799797.696365</v>
      </c>
      <c r="D121" s="2">
        <f>D11/'Output-Calculation-sheet'!D10*'Output-Calculation-sheet'!D100</f>
        <v>0</v>
      </c>
      <c r="E121" s="2">
        <f>E11/'Output-Calculation-sheet'!E10*'Output-Calculation-sheet'!E100</f>
        <v>856222720.99604571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15189236261.55505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703768025.80588651</v>
      </c>
      <c r="M121" s="2">
        <f>M11/'Output-Calculation-sheet'!M10*'Output-Calculation-sheet'!M100</f>
        <v>10630347875.0835</v>
      </c>
      <c r="N121" s="2">
        <f>N11/'Output-Calculation-sheet'!N10*'Output-Calculation-sheet'!N100</f>
        <v>7218966416.471961</v>
      </c>
      <c r="O121" s="2">
        <f>O11/'Output-Calculation-sheet'!O10*'Output-Calculation-sheet'!O100</f>
        <v>4577141894.1063919</v>
      </c>
      <c r="P121" s="2">
        <f>P11/'Output-Calculation-sheet'!P10*'Output-Calculation-sheet'!P100</f>
        <v>0</v>
      </c>
      <c r="Q121" s="2">
        <f>Q11/'Output-Calculation-sheet'!Q10*'Output-Calculation-sheet'!Q100</f>
        <v>930108292.76547599</v>
      </c>
      <c r="R121" s="2">
        <f>R11/'Output-Calculation-sheet'!R10*'Output-Calculation-sheet'!R100</f>
        <v>0</v>
      </c>
      <c r="S121" s="2">
        <f>S11/'Output-Calculation-sheet'!S10*'Output-Calculation-sheet'!S100</f>
        <v>3589321599.463912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46964906.887790166</v>
      </c>
      <c r="AA121" s="2">
        <f t="shared" si="10"/>
        <v>95934.601728208523</v>
      </c>
    </row>
    <row r="122" spans="1:27" x14ac:dyDescent="0.25">
      <c r="A122" s="2">
        <v>2035</v>
      </c>
      <c r="B122" s="2">
        <f>B12/'Output-Calculation-sheet'!B11*'Output-Calculation-sheet'!B101</f>
        <v>55144913064.753654</v>
      </c>
      <c r="C122" s="2">
        <f>C12/'Output-Calculation-sheet'!C11*'Output-Calculation-sheet'!C101</f>
        <v>324089891.58208823</v>
      </c>
      <c r="D122" s="2">
        <f>D12/'Output-Calculation-sheet'!D11*'Output-Calculation-sheet'!D101</f>
        <v>0</v>
      </c>
      <c r="E122" s="2">
        <f>E12/'Output-Calculation-sheet'!E11*'Output-Calculation-sheet'!E101</f>
        <v>4411675202.0115833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16910918926.442312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1133603635.3479002</v>
      </c>
      <c r="M122" s="2">
        <f>M12/'Output-Calculation-sheet'!M11*'Output-Calculation-sheet'!M101</f>
        <v>11862685169.813076</v>
      </c>
      <c r="N122" s="2">
        <f>N12/'Output-Calculation-sheet'!N11*'Output-Calculation-sheet'!N101</f>
        <v>7982094053.7769642</v>
      </c>
      <c r="O122" s="2">
        <f>O12/'Output-Calculation-sheet'!O11*'Output-Calculation-sheet'!O101</f>
        <v>5411388048.3398342</v>
      </c>
      <c r="P122" s="2">
        <f>P12/'Output-Calculation-sheet'!P11*'Output-Calculation-sheet'!P101</f>
        <v>339286616.51076674</v>
      </c>
      <c r="Q122" s="2">
        <f>Q12/'Output-Calculation-sheet'!Q11*'Output-Calculation-sheet'!Q101</f>
        <v>1275633080.3774242</v>
      </c>
      <c r="R122" s="2">
        <f>R12/'Output-Calculation-sheet'!R11*'Output-Calculation-sheet'!R101</f>
        <v>0</v>
      </c>
      <c r="S122" s="2">
        <f>S12/'Output-Calculation-sheet'!S11*'Output-Calculation-sheet'!S101</f>
        <v>4192504819.9372926</v>
      </c>
      <c r="T122" s="2">
        <f>T12/'Output-Calculation-sheet'!T11*'Output-Calculation-sheet'!T101</f>
        <v>0</v>
      </c>
      <c r="U122" s="2">
        <f>U12/'Output-Calculation-sheet'!U11*'Output-Calculation-sheet'!U101</f>
        <v>61937240.663991794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145273242.11969945</v>
      </c>
      <c r="Y122" s="2">
        <f>Y12/'Output-Calculation-sheet'!Y11*'Output-Calculation-sheet'!Y101</f>
        <v>224996588.4573099</v>
      </c>
      <c r="AA122" s="2">
        <f t="shared" si="10"/>
        <v>109420.99958013388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46573690400.067627</v>
      </c>
      <c r="C129" s="2">
        <f>C8/'Output-Calculation-sheet'!C7*'Output-Calculation-sheet'!C106</f>
        <v>0</v>
      </c>
      <c r="D129" s="2">
        <f>D8/'Output-Calculation-sheet'!D7*'Output-Calculation-sheet'!D106</f>
        <v>20137519345.990257</v>
      </c>
      <c r="E129" s="2">
        <f>E8/'Output-Calculation-sheet'!E7*'Output-Calculation-sheet'!E106</f>
        <v>15977096812.488901</v>
      </c>
      <c r="F129" s="2">
        <f>F8/'Output-Calculation-sheet'!F7*'Output-Calculation-sheet'!F106</f>
        <v>10285026894.512873</v>
      </c>
      <c r="G129" s="2">
        <f>G8/'Output-Calculation-sheet'!G7*'Output-Calculation-sheet'!G106</f>
        <v>7226558864.6262302</v>
      </c>
      <c r="H129" s="2">
        <f>H8/'Output-Calculation-sheet'!H7*'Output-Calculation-sheet'!H106</f>
        <v>0</v>
      </c>
      <c r="I129" s="2">
        <f>I8/'Output-Calculation-sheet'!I7*'Output-Calculation-sheet'!I106</f>
        <v>6583948677.4587564</v>
      </c>
      <c r="J129" s="2">
        <f>J8/'Output-Calculation-sheet'!J7*'Output-Calculation-sheet'!J106</f>
        <v>6408341895.8475132</v>
      </c>
      <c r="K129" s="2">
        <f>K8/'Output-Calculation-sheet'!K7*'Output-Calculation-sheet'!K106</f>
        <v>6346915102.0473843</v>
      </c>
      <c r="L129" s="2">
        <f>L8/'Output-Calculation-sheet'!L7*'Output-Calculation-sheet'!L106</f>
        <v>5091589871.1391525</v>
      </c>
      <c r="M129" s="2">
        <f>M8/'Output-Calculation-sheet'!M7*'Output-Calculation-sheet'!M106</f>
        <v>0</v>
      </c>
      <c r="N129" s="2">
        <f>N8/'Output-Calculation-sheet'!N7*'Output-Calculation-sheet'!N106</f>
        <v>3145775186.5766234</v>
      </c>
      <c r="O129" s="2">
        <f>O8/'Output-Calculation-sheet'!O7*'Output-Calculation-sheet'!O106</f>
        <v>0</v>
      </c>
      <c r="P129" s="2">
        <f>P8/'Output-Calculation-sheet'!P7*'Output-Calculation-sheet'!P106</f>
        <v>4345431628.6457577</v>
      </c>
      <c r="Q129" s="2">
        <f>Q8/'Output-Calculation-sheet'!Q7*'Output-Calculation-sheet'!Q106</f>
        <v>4275194471.446373</v>
      </c>
      <c r="R129" s="2">
        <f>R8/'Output-Calculation-sheet'!R7*'Output-Calculation-sheet'!R106</f>
        <v>4112942071.1401234</v>
      </c>
      <c r="S129" s="2">
        <f>S8/'Output-Calculation-sheet'!S7*'Output-Calculation-sheet'!S106</f>
        <v>2245865113.8204875</v>
      </c>
      <c r="T129" s="2">
        <f>T8/'Output-Calculation-sheet'!T7*'Output-Calculation-sheet'!T106</f>
        <v>1511871777.6413348</v>
      </c>
      <c r="U129" s="2">
        <f>U8/'Output-Calculation-sheet'!U7*'Output-Calculation-sheet'!U106</f>
        <v>1316790991.4551635</v>
      </c>
      <c r="V129" s="2">
        <f>V8/'Output-Calculation-sheet'!V7*'Output-Calculation-sheet'!V106</f>
        <v>1013951012.4878056</v>
      </c>
      <c r="W129" s="2">
        <f>W8/'Output-Calculation-sheet'!W7*'Output-Calculation-sheet'!W106</f>
        <v>877863767.54323828</v>
      </c>
      <c r="X129" s="2">
        <f>X8/'Output-Calculation-sheet'!X7*'Output-Calculation-sheet'!X106</f>
        <v>0</v>
      </c>
      <c r="Y129" s="2">
        <f>Y8/'Output-Calculation-sheet'!Y7*'Output-Calculation-sheet'!Y106</f>
        <v>512225833.64034635</v>
      </c>
      <c r="AA129" s="2">
        <f t="shared" si="11"/>
        <v>147988.59971857598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3.2564462046406217E-8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3421711498.3718801</v>
      </c>
      <c r="O130" s="2">
        <f>O9/'Output-Calculation-sheet'!O8*'Output-Calculation-sheet'!O107</f>
        <v>0</v>
      </c>
      <c r="P130" s="2">
        <f>P9/'Output-Calculation-sheet'!P8*'Output-Calculation-sheet'!P107</f>
        <v>5973236888.8599291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2816381833.1970949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197944.49482918376</v>
      </c>
    </row>
    <row r="131" spans="1:27" x14ac:dyDescent="0.25">
      <c r="A131" s="2">
        <v>2033</v>
      </c>
      <c r="B131" s="2">
        <f>B10/'Output-Calculation-sheet'!B9*'Output-Calculation-sheet'!B108</f>
        <v>68203949812.506165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3405588236.8820858</v>
      </c>
      <c r="O131" s="2">
        <f>O10/'Output-Calculation-sheet'!O9*'Output-Calculation-sheet'!O108</f>
        <v>0</v>
      </c>
      <c r="P131" s="2">
        <f>P10/'Output-Calculation-sheet'!P9*'Output-Calculation-sheet'!P108</f>
        <v>7711543547.1709785</v>
      </c>
      <c r="Q131" s="2">
        <f>Q10/'Output-Calculation-sheet'!Q9*'Output-Calculation-sheet'!Q108</f>
        <v>7421212420.8015547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2810893898.839509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244670.01038587061</v>
      </c>
    </row>
    <row r="132" spans="1:27" x14ac:dyDescent="0.25">
      <c r="A132" s="2">
        <v>2034</v>
      </c>
      <c r="B132" s="2">
        <f>B11/'Output-Calculation-sheet'!B10*'Output-Calculation-sheet'!B109</f>
        <v>64078062628.661591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34293867814.837002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14098785263.928497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10498038602.574141</v>
      </c>
      <c r="M132" s="2">
        <f>M11/'Output-Calculation-sheet'!M10*'Output-Calculation-sheet'!M109</f>
        <v>0</v>
      </c>
      <c r="N132" s="2">
        <f>N11/'Output-Calculation-sheet'!N10*'Output-Calculation-sheet'!N109</f>
        <v>3191648259.0083799</v>
      </c>
      <c r="O132" s="2">
        <f>O11/'Output-Calculation-sheet'!O10*'Output-Calculation-sheet'!O109</f>
        <v>0</v>
      </c>
      <c r="P132" s="2">
        <f>P11/'Output-Calculation-sheet'!P10*'Output-Calculation-sheet'!P109</f>
        <v>9559526922.6224575</v>
      </c>
      <c r="Q132" s="2">
        <f>Q11/'Output-Calculation-sheet'!Q10*'Output-Calculation-sheet'!Q109</f>
        <v>7999600295.8992281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2412455454.3500605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1079976159.5861096</v>
      </c>
      <c r="AA132" s="2">
        <f t="shared" si="11"/>
        <v>277928.10030153696</v>
      </c>
    </row>
    <row r="133" spans="1:27" x14ac:dyDescent="0.25">
      <c r="A133" s="2">
        <v>2035</v>
      </c>
      <c r="B133" s="2">
        <f>B12/'Output-Calculation-sheet'!B11*'Output-Calculation-sheet'!B110</f>
        <v>64291562811.783882</v>
      </c>
      <c r="C133" s="2">
        <f>C12/'Output-Calculation-sheet'!C11*'Output-Calculation-sheet'!C110</f>
        <v>0</v>
      </c>
      <c r="D133" s="2">
        <f>D12/'Output-Calculation-sheet'!D11*'Output-Calculation-sheet'!D110</f>
        <v>48285212888.676025</v>
      </c>
      <c r="E133" s="2">
        <f>E12/'Output-Calculation-sheet'!E11*'Output-Calculation-sheet'!E110</f>
        <v>36589174935.185417</v>
      </c>
      <c r="F133" s="2">
        <f>F12/'Output-Calculation-sheet'!F11*'Output-Calculation-sheet'!F110</f>
        <v>26038808514.925755</v>
      </c>
      <c r="G133" s="2">
        <f>G12/'Output-Calculation-sheet'!G11*'Output-Calculation-sheet'!G110</f>
        <v>18047920085.684574</v>
      </c>
      <c r="H133" s="2">
        <f>H12/'Output-Calculation-sheet'!H11*'Output-Calculation-sheet'!H110</f>
        <v>0</v>
      </c>
      <c r="I133" s="2">
        <f>I12/'Output-Calculation-sheet'!I11*'Output-Calculation-sheet'!I110</f>
        <v>16291364129.888859</v>
      </c>
      <c r="J133" s="2">
        <f>J12/'Output-Calculation-sheet'!J11*'Output-Calculation-sheet'!J110</f>
        <v>15691918904.70413</v>
      </c>
      <c r="K133" s="2">
        <f>K12/'Output-Calculation-sheet'!K11*'Output-Calculation-sheet'!K110</f>
        <v>15522046808.956625</v>
      </c>
      <c r="L133" s="2">
        <f>L12/'Output-Calculation-sheet'!L11*'Output-Calculation-sheet'!L110</f>
        <v>11413314611.976799</v>
      </c>
      <c r="M133" s="2">
        <f>M12/'Output-Calculation-sheet'!M11*'Output-Calculation-sheet'!M110</f>
        <v>0</v>
      </c>
      <c r="N133" s="2">
        <f>N12/'Output-Calculation-sheet'!N11*'Output-Calculation-sheet'!N110</f>
        <v>3496094649.6072721</v>
      </c>
      <c r="O133" s="2">
        <f>O12/'Output-Calculation-sheet'!O11*'Output-Calculation-sheet'!O110</f>
        <v>0</v>
      </c>
      <c r="P133" s="2">
        <f>P12/'Output-Calculation-sheet'!P11*'Output-Calculation-sheet'!P110</f>
        <v>10723901624.861795</v>
      </c>
      <c r="Q133" s="2">
        <f>Q12/'Output-Calculation-sheet'!Q11*'Output-Calculation-sheet'!Q110</f>
        <v>8556572835.0811052</v>
      </c>
      <c r="R133" s="2">
        <f>R12/'Output-Calculation-sheet'!R11*'Output-Calculation-sheet'!R110</f>
        <v>10324542668.63592</v>
      </c>
      <c r="S133" s="2">
        <f>S12/'Output-Calculation-sheet'!S11*'Output-Calculation-sheet'!S110</f>
        <v>2438583604.9959755</v>
      </c>
      <c r="T133" s="2">
        <f>T12/'Output-Calculation-sheet'!T11*'Output-Calculation-sheet'!T110</f>
        <v>3876959088.2090597</v>
      </c>
      <c r="U133" s="2">
        <f>U12/'Output-Calculation-sheet'!U11*'Output-Calculation-sheet'!U110</f>
        <v>3147522163.3467054</v>
      </c>
      <c r="V133" s="2">
        <f>V12/'Output-Calculation-sheet'!V11*'Output-Calculation-sheet'!V110</f>
        <v>2610083688.6747818</v>
      </c>
      <c r="W133" s="2">
        <f>W12/'Output-Calculation-sheet'!W11*'Output-Calculation-sheet'!W110</f>
        <v>2291850664.9953094</v>
      </c>
      <c r="X133" s="2">
        <f>X12/'Output-Calculation-sheet'!X11*'Output-Calculation-sheet'!X110</f>
        <v>1247802.3028945483</v>
      </c>
      <c r="Y133" s="2">
        <f>Y12/'Output-Calculation-sheet'!Y11*'Output-Calculation-sheet'!Y110</f>
        <v>1090935585.5198944</v>
      </c>
      <c r="AA133" s="2">
        <f t="shared" si="11"/>
        <v>300729.61806801276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11268433242.558828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2231788110.2075348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261943968.46970281</v>
      </c>
      <c r="Y140" s="2">
        <f>Y8/'Output-Calculation-sheet'!Y7*'Output-Calculation-sheet'!Y115</f>
        <v>0</v>
      </c>
      <c r="AA140" s="2">
        <f t="shared" si="12"/>
        <v>13762.165321236067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21918600682.480827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356320223.81820303</v>
      </c>
      <c r="Y141" s="2">
        <f>Y9/'Output-Calculation-sheet'!Y8*'Output-Calculation-sheet'!Y116</f>
        <v>0</v>
      </c>
      <c r="AA141" s="2">
        <f t="shared" si="12"/>
        <v>22274.92090629903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30328113897.996449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379667671.85658985</v>
      </c>
      <c r="Y142" s="2">
        <f>Y10/'Output-Calculation-sheet'!Y9*'Output-Calculation-sheet'!Y117</f>
        <v>0</v>
      </c>
      <c r="AA142" s="2">
        <f t="shared" si="12"/>
        <v>30707.781569853039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39422482634.807472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40068.673088826974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59494217232.313164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1242608834.5560086</v>
      </c>
      <c r="Y144" s="2">
        <f>Y12/'Output-Calculation-sheet'!Y11*'Output-Calculation-sheet'!Y119</f>
        <v>0</v>
      </c>
      <c r="AA144" s="2">
        <f t="shared" si="12"/>
        <v>60736.826066869173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47945309983.223877</v>
      </c>
      <c r="C151" s="2">
        <f>C8/'Output-Calculation-sheet'!C7*'Output-Calculation-sheet'!C124</f>
        <v>22594282785.744373</v>
      </c>
      <c r="D151" s="2">
        <f>D8/'Output-Calculation-sheet'!D7*'Output-Calculation-sheet'!D124</f>
        <v>20137519345.990257</v>
      </c>
      <c r="E151" s="2">
        <f>E8/'Output-Calculation-sheet'!E7*'Output-Calculation-sheet'!E124</f>
        <v>15977096812.488901</v>
      </c>
      <c r="F151" s="2">
        <f>F8/'Output-Calculation-sheet'!F7*'Output-Calculation-sheet'!F124</f>
        <v>10285026894.512873</v>
      </c>
      <c r="G151" s="2">
        <f>G8/'Output-Calculation-sheet'!G7*'Output-Calculation-sheet'!G124</f>
        <v>7226558864.6262302</v>
      </c>
      <c r="H151" s="2">
        <f>H8/'Output-Calculation-sheet'!H7*'Output-Calculation-sheet'!H124</f>
        <v>7049238935.5443716</v>
      </c>
      <c r="I151" s="2">
        <f>I8/'Output-Calculation-sheet'!I7*'Output-Calculation-sheet'!I124</f>
        <v>6583948677.4587564</v>
      </c>
      <c r="J151" s="2">
        <f>J8/'Output-Calculation-sheet'!J7*'Output-Calculation-sheet'!J124</f>
        <v>6408341895.8475132</v>
      </c>
      <c r="K151" s="2">
        <f>K8/'Output-Calculation-sheet'!K7*'Output-Calculation-sheet'!K124</f>
        <v>6346915102.0473843</v>
      </c>
      <c r="L151" s="2">
        <f>L8/'Output-Calculation-sheet'!L7*'Output-Calculation-sheet'!L124</f>
        <v>5091589871.1391525</v>
      </c>
      <c r="M151" s="2">
        <f>M8/'Output-Calculation-sheet'!M7*'Output-Calculation-sheet'!M124</f>
        <v>4863356572.5861778</v>
      </c>
      <c r="N151" s="2">
        <f>N8/'Output-Calculation-sheet'!N7*'Output-Calculation-sheet'!N124</f>
        <v>4773362113.9060688</v>
      </c>
      <c r="O151" s="2">
        <f>O8/'Output-Calculation-sheet'!O7*'Output-Calculation-sheet'!O124</f>
        <v>4678683200.9605112</v>
      </c>
      <c r="P151" s="2">
        <f>P8/'Output-Calculation-sheet'!P7*'Output-Calculation-sheet'!P124</f>
        <v>4345431628.6457577</v>
      </c>
      <c r="Q151" s="2">
        <f>Q8/'Output-Calculation-sheet'!Q7*'Output-Calculation-sheet'!Q124</f>
        <v>4275194471.446373</v>
      </c>
      <c r="R151" s="2">
        <f>R8/'Output-Calculation-sheet'!R7*'Output-Calculation-sheet'!R124</f>
        <v>4112942071.1401234</v>
      </c>
      <c r="S151" s="2">
        <f>S8/'Output-Calculation-sheet'!S7*'Output-Calculation-sheet'!S124</f>
        <v>2733665540.3384862</v>
      </c>
      <c r="T151" s="2">
        <f>T8/'Output-Calculation-sheet'!T7*'Output-Calculation-sheet'!T124</f>
        <v>1511871777.6413348</v>
      </c>
      <c r="U151" s="2">
        <f>U8/'Output-Calculation-sheet'!U7*'Output-Calculation-sheet'!U124</f>
        <v>1316790991.4551635</v>
      </c>
      <c r="V151" s="2">
        <f>V8/'Output-Calculation-sheet'!V7*'Output-Calculation-sheet'!V124</f>
        <v>1013951012.4878056</v>
      </c>
      <c r="W151" s="2">
        <f>W8/'Output-Calculation-sheet'!W7*'Output-Calculation-sheet'!W124</f>
        <v>877863767.54323828</v>
      </c>
      <c r="X151" s="2">
        <f>X8/'Output-Calculation-sheet'!X7*'Output-Calculation-sheet'!X124</f>
        <v>526715468.04827237</v>
      </c>
      <c r="Y151" s="2">
        <f>Y8/'Output-Calculation-sheet'!Y7*'Output-Calculation-sheet'!Y124</f>
        <v>512225833.64034635</v>
      </c>
      <c r="AA151" s="2">
        <f t="shared" si="13"/>
        <v>191187.88361846341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18635026272.488609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6768596591.5444899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160595.2900393249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7165455667.9028597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117500.36294064482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2698956701.0649338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1637549818.9046953</v>
      </c>
      <c r="N154" s="2">
        <f>N11/'Output-Calculation-sheet'!N10*'Output-Calculation-sheet'!N127</f>
        <v>1623290925.9545641</v>
      </c>
      <c r="O154" s="2">
        <f>O11/'Output-Calculation-sheet'!O10*'Output-Calculation-sheet'!O127</f>
        <v>7415756761.5539694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1969753729.322962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875643147.90983415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67394.061265349825</v>
      </c>
    </row>
    <row r="155" spans="1:27" x14ac:dyDescent="0.25">
      <c r="A155" s="2">
        <v>2035</v>
      </c>
      <c r="B155" s="2">
        <f>B12/'Output-Calculation-sheet'!B11*'Output-Calculation-sheet'!B128</f>
        <v>10922684055.773693</v>
      </c>
      <c r="C155" s="2">
        <f>C12/'Output-Calculation-sheet'!C11*'Output-Calculation-sheet'!C128</f>
        <v>79958497.176549271</v>
      </c>
      <c r="D155" s="2">
        <f>D12/'Output-Calculation-sheet'!D11*'Output-Calculation-sheet'!D128</f>
        <v>6500267660.7349043</v>
      </c>
      <c r="E155" s="2">
        <f>E12/'Output-Calculation-sheet'!E11*'Output-Calculation-sheet'!E128</f>
        <v>2949330816.0268383</v>
      </c>
      <c r="F155" s="2">
        <f>F12/'Output-Calculation-sheet'!F11*'Output-Calculation-sheet'!F128</f>
        <v>1872438164.7420764</v>
      </c>
      <c r="G155" s="2">
        <f>G12/'Output-Calculation-sheet'!G11*'Output-Calculation-sheet'!G128</f>
        <v>1674148754.8021276</v>
      </c>
      <c r="H155" s="2">
        <f>H12/'Output-Calculation-sheet'!H11*'Output-Calculation-sheet'!H128</f>
        <v>2671711603.6453209</v>
      </c>
      <c r="I155" s="2">
        <f>I12/'Output-Calculation-sheet'!I11*'Output-Calculation-sheet'!I128</f>
        <v>1669814194.6110981</v>
      </c>
      <c r="J155" s="2">
        <f>J12/'Output-Calculation-sheet'!J11*'Output-Calculation-sheet'!J128</f>
        <v>1596196318.4366229</v>
      </c>
      <c r="K155" s="2">
        <f>K12/'Output-Calculation-sheet'!K11*'Output-Calculation-sheet'!K128</f>
        <v>1814981565.9748502</v>
      </c>
      <c r="L155" s="2">
        <f>L12/'Output-Calculation-sheet'!L11*'Output-Calculation-sheet'!L128</f>
        <v>1317341245.3845818</v>
      </c>
      <c r="M155" s="2">
        <f>M12/'Output-Calculation-sheet'!M11*'Output-Calculation-sheet'!M128</f>
        <v>1626964274.9956923</v>
      </c>
      <c r="N155" s="2">
        <f>N12/'Output-Calculation-sheet'!N11*'Output-Calculation-sheet'!N128</f>
        <v>1584210132.1094866</v>
      </c>
      <c r="O155" s="2">
        <f>O12/'Output-Calculation-sheet'!O11*'Output-Calculation-sheet'!O128</f>
        <v>7386203753.6918058</v>
      </c>
      <c r="P155" s="2">
        <f>P12/'Output-Calculation-sheet'!P11*'Output-Calculation-sheet'!P128</f>
        <v>874554809.80784678</v>
      </c>
      <c r="Q155" s="2">
        <f>Q12/'Output-Calculation-sheet'!Q11*'Output-Calculation-sheet'!Q128</f>
        <v>1956087694.8268318</v>
      </c>
      <c r="R155" s="2">
        <f>R12/'Output-Calculation-sheet'!R11*'Output-Calculation-sheet'!R128</f>
        <v>843720772.98642755</v>
      </c>
      <c r="S155" s="2">
        <f>S12/'Output-Calculation-sheet'!S11*'Output-Calculation-sheet'!S128</f>
        <v>845823974.16237366</v>
      </c>
      <c r="T155" s="2">
        <f>T12/'Output-Calculation-sheet'!T11*'Output-Calculation-sheet'!T128</f>
        <v>201793107.16695836</v>
      </c>
      <c r="U155" s="2">
        <f>U12/'Output-Calculation-sheet'!U11*'Output-Calculation-sheet'!U128</f>
        <v>390497004.49482799</v>
      </c>
      <c r="V155" s="2">
        <f>V12/'Output-Calculation-sheet'!V11*'Output-Calculation-sheet'!V128</f>
        <v>97366046.917964458</v>
      </c>
      <c r="W155" s="2">
        <f>W12/'Output-Calculation-sheet'!W11*'Output-Calculation-sheet'!W128</f>
        <v>90468120.50709255</v>
      </c>
      <c r="X155" s="2">
        <f>X12/'Output-Calculation-sheet'!X11*'Output-Calculation-sheet'!X128</f>
        <v>11130475.403691571</v>
      </c>
      <c r="Y155" s="2">
        <f>Y12/'Output-Calculation-sheet'!Y11*'Output-Calculation-sheet'!Y128</f>
        <v>97314459.421064094</v>
      </c>
      <c r="AA155" s="2">
        <f t="shared" si="13"/>
        <v>49075.007503800734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1037.5437039065912</v>
      </c>
      <c r="C19" s="2">
        <f>C8/'Output-Calculation-sheet'!C7*'Output-Calculation-sheet'!C25</f>
        <v>7397.7503413290933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4661.6542235014676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3235.8362411611793</v>
      </c>
      <c r="N19" s="2">
        <f>N8/'Output-Calculation-sheet'!N7*'Output-Calculation-sheet'!N25</f>
        <v>1106.4258505985665</v>
      </c>
      <c r="O19" s="2">
        <f>O8/'Output-Calculation-sheet'!O7*'Output-Calculation-sheet'!O25</f>
        <v>1206.9566358727882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395.17139061559897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170.83133748219123</v>
      </c>
      <c r="Y19" s="2">
        <f>Y8/'Output-Calculation-sheet'!Y7*'Output-Calculation-sheet'!Y25</f>
        <v>0</v>
      </c>
      <c r="AA19" s="2">
        <f t="shared" si="0"/>
        <v>19.212169724467479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5297.7350604701414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5971.4779437804036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4149.3404704233662</v>
      </c>
      <c r="N20" s="2">
        <f>N9/'Output-Calculation-sheet'!N8*'Output-Calculation-sheet'!N26</f>
        <v>1869.3507987006888</v>
      </c>
      <c r="O20" s="2">
        <f>O9/'Output-Calculation-sheet'!O8*'Output-Calculation-sheet'!O26</f>
        <v>1972.365093807842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679.47292576085158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221.7350352245162</v>
      </c>
      <c r="Y20" s="2">
        <f>Y9/'Output-Calculation-sheet'!Y8*'Output-Calculation-sheet'!Y26</f>
        <v>0</v>
      </c>
      <c r="AA20" s="2">
        <f t="shared" si="0"/>
        <v>25.650002206565503</v>
      </c>
    </row>
    <row r="21" spans="1:27" x14ac:dyDescent="0.25">
      <c r="A21" s="2">
        <v>2033</v>
      </c>
      <c r="B21" s="2">
        <f>B10/'Output-Calculation-sheet'!B9*'Output-Calculation-sheet'!B27</f>
        <v>11834.916687934276</v>
      </c>
      <c r="C21" s="2">
        <f>C10/'Output-Calculation-sheet'!C9*'Output-Calculation-sheet'!C27</f>
        <v>4908.3644971657041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6861.4636585793869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4766.6969911509095</v>
      </c>
      <c r="N21" s="2">
        <f>N10/'Output-Calculation-sheet'!N9*'Output-Calculation-sheet'!N27</f>
        <v>2600.3367969840165</v>
      </c>
      <c r="O21" s="2">
        <f>O10/'Output-Calculation-sheet'!O9*'Output-Calculation-sheet'!O27</f>
        <v>2037.5065327865102</v>
      </c>
      <c r="P21" s="2">
        <f>P10/'Output-Calculation-sheet'!P9*'Output-Calculation-sheet'!P27</f>
        <v>0</v>
      </c>
      <c r="Q21" s="2">
        <f>Q10/'Output-Calculation-sheet'!Q9*'Output-Calculation-sheet'!Q27</f>
        <v>177.45459386520486</v>
      </c>
      <c r="R21" s="2">
        <f>R10/'Output-Calculation-sheet'!R9*'Output-Calculation-sheet'!R27</f>
        <v>0</v>
      </c>
      <c r="S21" s="2">
        <f>S10/'Output-Calculation-sheet'!S9*'Output-Calculation-sheet'!S27</f>
        <v>1133.5645446047558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302.10243974015214</v>
      </c>
      <c r="Y21" s="2">
        <f>Y10/'Output-Calculation-sheet'!Y9*'Output-Calculation-sheet'!Y27</f>
        <v>0</v>
      </c>
      <c r="AA21" s="2">
        <f t="shared" si="0"/>
        <v>34.622406742810909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4273.9643804400594</v>
      </c>
      <c r="D22" s="2">
        <f>D11/'Output-Calculation-sheet'!D10*'Output-Calculation-sheet'!D28</f>
        <v>0</v>
      </c>
      <c r="E22" s="2">
        <f>E11/'Output-Calculation-sheet'!E10*'Output-Calculation-sheet'!E28</f>
        <v>1019.8428724140881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7429.680230387009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611.46482304281847</v>
      </c>
      <c r="M22" s="2">
        <f>M11/'Output-Calculation-sheet'!M10*'Output-Calculation-sheet'!M28</f>
        <v>5402.2610837186066</v>
      </c>
      <c r="N22" s="2">
        <f>N11/'Output-Calculation-sheet'!N10*'Output-Calculation-sheet'!N28</f>
        <v>3111.6452921047294</v>
      </c>
      <c r="O22" s="2">
        <f>O11/'Output-Calculation-sheet'!O10*'Output-Calculation-sheet'!O28</f>
        <v>1976.6031938308392</v>
      </c>
      <c r="P22" s="2">
        <f>P11/'Output-Calculation-sheet'!P10*'Output-Calculation-sheet'!P28</f>
        <v>0</v>
      </c>
      <c r="Q22" s="2">
        <f>Q11/'Output-Calculation-sheet'!Q10*'Output-Calculation-sheet'!Q28</f>
        <v>725.95582479111022</v>
      </c>
      <c r="R22" s="2">
        <f>R11/'Output-Calculation-sheet'!R10*'Output-Calculation-sheet'!R28</f>
        <v>0</v>
      </c>
      <c r="S22" s="2">
        <f>S11/'Output-Calculation-sheet'!S10*'Output-Calculation-sheet'!S28</f>
        <v>1614.4957662209963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55.682863890909751</v>
      </c>
      <c r="AA22" s="2">
        <f t="shared" si="0"/>
        <v>46.527428403696092</v>
      </c>
    </row>
    <row r="23" spans="1:27" x14ac:dyDescent="0.25">
      <c r="A23" s="2">
        <v>2035</v>
      </c>
      <c r="B23" s="2">
        <f>B12/'Output-Calculation-sheet'!B11*'Output-Calculation-sheet'!B29</f>
        <v>20256.731361247639</v>
      </c>
      <c r="C23" s="2">
        <f>C12/'Output-Calculation-sheet'!C11*'Output-Calculation-sheet'!C29</f>
        <v>104.83564398996955</v>
      </c>
      <c r="D23" s="2">
        <f>D12/'Output-Calculation-sheet'!D11*'Output-Calculation-sheet'!D29</f>
        <v>0</v>
      </c>
      <c r="E23" s="2">
        <f>E12/'Output-Calculation-sheet'!E11*'Output-Calculation-sheet'!E29</f>
        <v>3080.7344083693924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6261.2810240601739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693.32058163242914</v>
      </c>
      <c r="M23" s="2">
        <f>M12/'Output-Calculation-sheet'!M11*'Output-Calculation-sheet'!M29</f>
        <v>4560.7476934396373</v>
      </c>
      <c r="N23" s="2">
        <f>N12/'Output-Calculation-sheet'!N11*'Output-Calculation-sheet'!N29</f>
        <v>2648.2087744385535</v>
      </c>
      <c r="O23" s="2">
        <f>O12/'Output-Calculation-sheet'!O11*'Output-Calculation-sheet'!O29</f>
        <v>1825.0498422140518</v>
      </c>
      <c r="P23" s="2">
        <f>P12/'Output-Calculation-sheet'!P11*'Output-Calculation-sheet'!P29</f>
        <v>318.56944170186432</v>
      </c>
      <c r="Q23" s="2">
        <f>Q12/'Output-Calculation-sheet'!Q11*'Output-Calculation-sheet'!Q29</f>
        <v>709.72173430193891</v>
      </c>
      <c r="R23" s="2">
        <f>R12/'Output-Calculation-sheet'!R11*'Output-Calculation-sheet'!R29</f>
        <v>0</v>
      </c>
      <c r="S23" s="2">
        <f>S12/'Output-Calculation-sheet'!S11*'Output-Calculation-sheet'!S29</f>
        <v>1438.5562000392456</v>
      </c>
      <c r="T23" s="2">
        <f>T12/'Output-Calculation-sheet'!T11*'Output-Calculation-sheet'!T29</f>
        <v>0</v>
      </c>
      <c r="U23" s="2">
        <f>U12/'Output-Calculation-sheet'!U11*'Output-Calculation-sheet'!U29</f>
        <v>63.340771218849632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46.992304216177089</v>
      </c>
      <c r="Y23" s="2">
        <f>Y12/'Output-Calculation-sheet'!Y11*'Output-Calculation-sheet'!Y29</f>
        <v>135.33657909949463</v>
      </c>
      <c r="AA23" s="2">
        <f t="shared" si="0"/>
        <v>42.143426359969411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18085.424111486398</v>
      </c>
      <c r="C30" s="2">
        <f>C8/'Output-Calculation-sheet'!C7*'Output-Calculation-sheet'!C16</f>
        <v>0</v>
      </c>
      <c r="D30" s="2">
        <f>D8/'Output-Calculation-sheet'!D7*'Output-Calculation-sheet'!D16</f>
        <v>3045.3236351573655</v>
      </c>
      <c r="E30" s="2">
        <f>E8/'Output-Calculation-sheet'!E7*'Output-Calculation-sheet'!E16</f>
        <v>3276.6003872517094</v>
      </c>
      <c r="F30" s="2">
        <f>F8/'Output-Calculation-sheet'!F7*'Output-Calculation-sheet'!F16</f>
        <v>1653.0893443471664</v>
      </c>
      <c r="G30" s="2">
        <f>G8/'Output-Calculation-sheet'!G7*'Output-Calculation-sheet'!G16</f>
        <v>1082.562783125662</v>
      </c>
      <c r="H30" s="2">
        <f>H8/'Output-Calculation-sheet'!H7*'Output-Calculation-sheet'!H16</f>
        <v>0</v>
      </c>
      <c r="I30" s="2">
        <f>I8/'Output-Calculation-sheet'!I7*'Output-Calculation-sheet'!I16</f>
        <v>1055.3495146939026</v>
      </c>
      <c r="J30" s="2">
        <f>J8/'Output-Calculation-sheet'!J7*'Output-Calculation-sheet'!J16</f>
        <v>939.45106038359518</v>
      </c>
      <c r="K30" s="2">
        <f>K8/'Output-Calculation-sheet'!K7*'Output-Calculation-sheet'!K16</f>
        <v>1254.3478187588184</v>
      </c>
      <c r="L30" s="2">
        <f>L8/'Output-Calculation-sheet'!L7*'Output-Calculation-sheet'!L16</f>
        <v>1059.5168599860292</v>
      </c>
      <c r="M30" s="2">
        <f>M8/'Output-Calculation-sheet'!M7*'Output-Calculation-sheet'!M16</f>
        <v>0</v>
      </c>
      <c r="N30" s="2">
        <f>N8/'Output-Calculation-sheet'!N7*'Output-Calculation-sheet'!N16</f>
        <v>1506.0816614538578</v>
      </c>
      <c r="O30" s="2">
        <f>O8/'Output-Calculation-sheet'!O7*'Output-Calculation-sheet'!O16</f>
        <v>0</v>
      </c>
      <c r="P30" s="2">
        <f>P8/'Output-Calculation-sheet'!P7*'Output-Calculation-sheet'!P16</f>
        <v>1352.6103474274439</v>
      </c>
      <c r="Q30" s="2">
        <f>Q8/'Output-Calculation-sheet'!Q7*'Output-Calculation-sheet'!Q16</f>
        <v>1487.431581752508</v>
      </c>
      <c r="R30" s="2">
        <f>R8/'Output-Calculation-sheet'!R7*'Output-Calculation-sheet'!R16</f>
        <v>943.78065377141468</v>
      </c>
      <c r="S30" s="2">
        <f>S8/'Output-Calculation-sheet'!S7*'Output-Calculation-sheet'!S16</f>
        <v>949.16798706136149</v>
      </c>
      <c r="T30" s="2">
        <f>T8/'Output-Calculation-sheet'!T7*'Output-Calculation-sheet'!T16</f>
        <v>283.30762467185525</v>
      </c>
      <c r="U30" s="2">
        <f>U8/'Output-Calculation-sheet'!U7*'Output-Calculation-sheet'!U16</f>
        <v>282.80251232350327</v>
      </c>
      <c r="V30" s="2">
        <f>V8/'Output-Calculation-sheet'!V7*'Output-Calculation-sheet'!V16</f>
        <v>220.09886384454992</v>
      </c>
      <c r="W30" s="2">
        <f>W8/'Output-Calculation-sheet'!W7*'Output-Calculation-sheet'!W16</f>
        <v>133.50271137735663</v>
      </c>
      <c r="X30" s="2">
        <f>X8/'Output-Calculation-sheet'!X7*'Output-Calculation-sheet'!X16</f>
        <v>0</v>
      </c>
      <c r="Y30" s="2">
        <f>Y8/'Output-Calculation-sheet'!Y7*'Output-Calculation-sheet'!Y16</f>
        <v>112.99284983851646</v>
      </c>
      <c r="AA30" s="2">
        <f t="shared" si="1"/>
        <v>38.723442308713004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1591.7255557505009</v>
      </c>
      <c r="O31" s="2">
        <f>O9/'Output-Calculation-sheet'!O8*'Output-Calculation-sheet'!O17</f>
        <v>0</v>
      </c>
      <c r="P31" s="2">
        <f>P9/'Output-Calculation-sheet'!P8*'Output-Calculation-sheet'!P17</f>
        <v>1970.6160925987351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1183.6272622349279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50.60930934383321</v>
      </c>
    </row>
    <row r="32" spans="1:27" x14ac:dyDescent="0.25">
      <c r="A32" s="2">
        <v>2033</v>
      </c>
      <c r="B32" s="2">
        <f>B10/'Output-Calculation-sheet'!B9*'Output-Calculation-sheet'!B18</f>
        <v>24097.560767471645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2295.1795467523903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1476.1160970353371</v>
      </c>
      <c r="O32" s="2">
        <f>O10/'Output-Calculation-sheet'!O9*'Output-Calculation-sheet'!O18</f>
        <v>0</v>
      </c>
      <c r="P32" s="2">
        <f>P10/'Output-Calculation-sheet'!P9*'Output-Calculation-sheet'!P18</f>
        <v>2362.2537006155662</v>
      </c>
      <c r="Q32" s="2">
        <f>Q10/'Output-Calculation-sheet'!Q9*'Output-Calculation-sheet'!Q18</f>
        <v>2572.5802567524738</v>
      </c>
      <c r="R32" s="2">
        <f>R10/'Output-Calculation-sheet'!R9*'Output-Calculation-sheet'!R18</f>
        <v>1696.3345438371812</v>
      </c>
      <c r="S32" s="2">
        <f>S10/'Output-Calculation-sheet'!S9*'Output-Calculation-sheet'!S18</f>
        <v>1110.9078068278188</v>
      </c>
      <c r="T32" s="2">
        <f>T10/'Output-Calculation-sheet'!T9*'Output-Calculation-sheet'!T18</f>
        <v>495.27561076200158</v>
      </c>
      <c r="U32" s="2">
        <f>U10/'Output-Calculation-sheet'!U9*'Output-Calculation-sheet'!U18</f>
        <v>547.52763941315152</v>
      </c>
      <c r="V32" s="2">
        <f>V10/'Output-Calculation-sheet'!V9*'Output-Calculation-sheet'!V18</f>
        <v>404.13131345203851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233.97137513409041</v>
      </c>
      <c r="AA32" s="2">
        <f t="shared" si="1"/>
        <v>57.883488464764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6053.972613356631</v>
      </c>
      <c r="E33" s="2">
        <f>E11/'Output-Calculation-sheet'!E10*'Output-Calculation-sheet'!E19</f>
        <v>7496.8557969451986</v>
      </c>
      <c r="F33" s="2">
        <f>F11/'Output-Calculation-sheet'!F10*'Output-Calculation-sheet'!F19</f>
        <v>3436.1977599660913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2248.8394393552067</v>
      </c>
      <c r="J33" s="2">
        <f>J11/'Output-Calculation-sheet'!J10*'Output-Calculation-sheet'!J19</f>
        <v>1901.3484716258884</v>
      </c>
      <c r="K33" s="2">
        <f>K11/'Output-Calculation-sheet'!K10*'Output-Calculation-sheet'!K19</f>
        <v>2637.293792599788</v>
      </c>
      <c r="L33" s="2">
        <f>L11/'Output-Calculation-sheet'!L10*'Output-Calculation-sheet'!L19</f>
        <v>2145.6057632601833</v>
      </c>
      <c r="M33" s="2">
        <f>M11/'Output-Calculation-sheet'!M10*'Output-Calculation-sheet'!M19</f>
        <v>0</v>
      </c>
      <c r="N33" s="2">
        <f>N11/'Output-Calculation-sheet'!N10*'Output-Calculation-sheet'!N19</f>
        <v>1220.030045348034</v>
      </c>
      <c r="O33" s="2">
        <f>O11/'Output-Calculation-sheet'!O10*'Output-Calculation-sheet'!O19</f>
        <v>0</v>
      </c>
      <c r="P33" s="2">
        <f>P11/'Output-Calculation-sheet'!P10*'Output-Calculation-sheet'!P19</f>
        <v>2667.7770150535948</v>
      </c>
      <c r="Q33" s="2">
        <f>Q11/'Output-Calculation-sheet'!Q10*'Output-Calculation-sheet'!Q19</f>
        <v>2179.752123412778</v>
      </c>
      <c r="R33" s="2">
        <f>R11/'Output-Calculation-sheet'!R10*'Output-Calculation-sheet'!R19</f>
        <v>1905.0707755088408</v>
      </c>
      <c r="S33" s="2">
        <f>S11/'Output-Calculation-sheet'!S10*'Output-Calculation-sheet'!S19</f>
        <v>887.4733398702582</v>
      </c>
      <c r="T33" s="2">
        <f>T11/'Output-Calculation-sheet'!T10*'Output-Calculation-sheet'!T19</f>
        <v>558.98497101873875</v>
      </c>
      <c r="U33" s="2">
        <f>U11/'Output-Calculation-sheet'!U10*'Output-Calculation-sheet'!U19</f>
        <v>642.94563625310195</v>
      </c>
      <c r="V33" s="2">
        <f>V11/'Output-Calculation-sheet'!V10*'Output-Calculation-sheet'!V19</f>
        <v>438.45272002011222</v>
      </c>
      <c r="W33" s="2">
        <f>W11/'Output-Calculation-sheet'!W10*'Output-Calculation-sheet'!W19</f>
        <v>272.97494622392537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59.294258218707405</v>
      </c>
    </row>
    <row r="34" spans="1:27" x14ac:dyDescent="0.25">
      <c r="A34" s="2">
        <v>2035</v>
      </c>
      <c r="B34" s="2">
        <f>B12/'Output-Calculation-sheet'!B11*'Output-Calculation-sheet'!B20</f>
        <v>15952.213759150491</v>
      </c>
      <c r="C34" s="2">
        <f>C12/'Output-Calculation-sheet'!C11*'Output-Calculation-sheet'!C20</f>
        <v>0</v>
      </c>
      <c r="D34" s="2">
        <f>D12/'Output-Calculation-sheet'!D11*'Output-Calculation-sheet'!D20</f>
        <v>4995.5316542966702</v>
      </c>
      <c r="E34" s="2">
        <f>E12/'Output-Calculation-sheet'!E11*'Output-Calculation-sheet'!E20</f>
        <v>5504.0634694820665</v>
      </c>
      <c r="F34" s="2">
        <f>F12/'Output-Calculation-sheet'!F11*'Output-Calculation-sheet'!F20</f>
        <v>3406.5974966710887</v>
      </c>
      <c r="G34" s="2">
        <f>G12/'Output-Calculation-sheet'!G11*'Output-Calculation-sheet'!G20</f>
        <v>1839.9452088522373</v>
      </c>
      <c r="H34" s="2">
        <f>H12/'Output-Calculation-sheet'!H11*'Output-Calculation-sheet'!H20</f>
        <v>0</v>
      </c>
      <c r="I34" s="2">
        <f>I12/'Output-Calculation-sheet'!I11*'Output-Calculation-sheet'!I20</f>
        <v>2004.0678219837428</v>
      </c>
      <c r="J34" s="2">
        <f>J12/'Output-Calculation-sheet'!J11*'Output-Calculation-sheet'!J20</f>
        <v>1717.3532862673596</v>
      </c>
      <c r="K34" s="2">
        <f>K12/'Output-Calculation-sheet'!K11*'Output-Calculation-sheet'!K20</f>
        <v>2257.2878724794332</v>
      </c>
      <c r="L34" s="2">
        <f>L12/'Output-Calculation-sheet'!L11*'Output-Calculation-sheet'!L20</f>
        <v>1787.2488910780305</v>
      </c>
      <c r="M34" s="2">
        <f>M12/'Output-Calculation-sheet'!M11*'Output-Calculation-sheet'!M20</f>
        <v>0</v>
      </c>
      <c r="N34" s="2">
        <f>N12/'Output-Calculation-sheet'!N11*'Output-Calculation-sheet'!N20</f>
        <v>996.04889477343613</v>
      </c>
      <c r="O34" s="2">
        <f>O12/'Output-Calculation-sheet'!O11*'Output-Calculation-sheet'!O20</f>
        <v>0</v>
      </c>
      <c r="P34" s="2">
        <f>P12/'Output-Calculation-sheet'!P11*'Output-Calculation-sheet'!P20</f>
        <v>2228.8792108264361</v>
      </c>
      <c r="Q34" s="2">
        <f>Q12/'Output-Calculation-sheet'!Q11*'Output-Calculation-sheet'!Q20</f>
        <v>1756.5132159329892</v>
      </c>
      <c r="R34" s="2">
        <f>R12/'Output-Calculation-sheet'!R11*'Output-Calculation-sheet'!R20</f>
        <v>1772.5162962860927</v>
      </c>
      <c r="S34" s="2">
        <f>S12/'Output-Calculation-sheet'!S11*'Output-Calculation-sheet'!S20</f>
        <v>684.616741313445</v>
      </c>
      <c r="T34" s="2">
        <f>T12/'Output-Calculation-sheet'!T11*'Output-Calculation-sheet'!T20</f>
        <v>553.20548033965554</v>
      </c>
      <c r="U34" s="2">
        <f>U12/'Output-Calculation-sheet'!U11*'Output-Calculation-sheet'!U20</f>
        <v>506.41902317020691</v>
      </c>
      <c r="V34" s="2">
        <f>V12/'Output-Calculation-sheet'!V11*'Output-Calculation-sheet'!V20</f>
        <v>463.97200803496821</v>
      </c>
      <c r="W34" s="2">
        <f>W12/'Output-Calculation-sheet'!W11*'Output-Calculation-sheet'!W20</f>
        <v>300.05574965571361</v>
      </c>
      <c r="X34" s="2">
        <f>X12/'Output-Calculation-sheet'!X11*'Output-Calculation-sheet'!X20</f>
        <v>0.70823261783495484</v>
      </c>
      <c r="Y34" s="2">
        <f>Y12/'Output-Calculation-sheet'!Y11*'Output-Calculation-sheet'!Y20</f>
        <v>167.29757674853244</v>
      </c>
      <c r="AA34" s="2">
        <f t="shared" si="1"/>
        <v>48.894541889960436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3.830376375448661E-2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3.830376375448661E-2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0.41180494989852562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0.41180494989852562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0.49633590430412194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0.49633590430412194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3.9628032594375848E-2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9.0893143353869867E-3</v>
      </c>
      <c r="N44" s="2">
        <f>N11/'Output-Calculation-sheet'!N10*'Output-Calculation-sheet'!N37*0.0114</f>
        <v>8.9333219327098669E-3</v>
      </c>
      <c r="O44" s="2">
        <f>O11/'Output-Calculation-sheet'!O10*'Output-Calculation-sheet'!O37*0.0114</f>
        <v>0.51685803635365446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2.3480873278356029E-2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5.1208885252820024E-3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0.60311046701976523</v>
      </c>
    </row>
    <row r="45" spans="1:27" x14ac:dyDescent="0.25">
      <c r="A45" s="2">
        <v>2035</v>
      </c>
      <c r="B45" s="2">
        <f>B12/'Output-Calculation-sheet'!B11*'Output-Calculation-sheet'!B38*0.0114</f>
        <v>0.3724049372987579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0.12443292652870208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0.15234729548837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2.9997467956423617E-2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3.1584055555272383E-2</v>
      </c>
      <c r="M45" s="2">
        <f>M12/'Output-Calculation-sheet'!M11*'Output-Calculation-sheet'!M38*0.0114</f>
        <v>8.985408485325358E-2</v>
      </c>
      <c r="N45" s="2">
        <f>N12/'Output-Calculation-sheet'!N11*'Output-Calculation-sheet'!N38*0.0114</f>
        <v>6.6233994997679457E-2</v>
      </c>
      <c r="O45" s="2">
        <f>O12/'Output-Calculation-sheet'!O11*'Output-Calculation-sheet'!O38*0.0114</f>
        <v>0.46699685187754941</v>
      </c>
      <c r="P45" s="2">
        <f>P12/'Output-Calculation-sheet'!P11*'Output-Calculation-sheet'!P38*0.0114</f>
        <v>4.0792384873051223E-2</v>
      </c>
      <c r="Q45" s="2">
        <f>Q12/'Output-Calculation-sheet'!Q11*'Output-Calculation-sheet'!Q38*0.0114</f>
        <v>5.8031120448979068E-2</v>
      </c>
      <c r="R45" s="2">
        <f>R12/'Output-Calculation-sheet'!R11*'Output-Calculation-sheet'!R38*0.0114</f>
        <v>2.5577241480231612E-2</v>
      </c>
      <c r="S45" s="2">
        <f>S12/'Output-Calculation-sheet'!S11*'Output-Calculation-sheet'!S38*0.0114</f>
        <v>2.9530365233228714E-2</v>
      </c>
      <c r="T45" s="2">
        <f>T12/'Output-Calculation-sheet'!T11*'Output-Calculation-sheet'!T38*0.0114</f>
        <v>7.0969618731907816E-3</v>
      </c>
      <c r="U45" s="2">
        <f>U12/'Output-Calculation-sheet'!U11*'Output-Calculation-sheet'!U38*0.0114</f>
        <v>1.0286342593205626E-2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4.7561836202118738E-3</v>
      </c>
      <c r="AA45" s="2">
        <f t="shared" si="2"/>
        <v>1.8590122664816202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2858.0338338888951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6583.1294111407642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4502.3579616736361</v>
      </c>
      <c r="N52" s="2">
        <f>N8/'Output-Calculation-sheet'!N7*'Output-Calculation-sheet'!N43</f>
        <v>142.22210286003616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30.442873039226075</v>
      </c>
      <c r="Y52" s="2">
        <f>Y8/'Output-Calculation-sheet'!Y7*'Output-Calculation-sheet'!Y43</f>
        <v>0</v>
      </c>
      <c r="AA52" s="2">
        <f t="shared" si="3"/>
        <v>14.116186182602558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460.4262320237454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11934.231101959032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8173.4645147650954</v>
      </c>
      <c r="N53" s="2">
        <f>N9/'Output-Calculation-sheet'!N8*'Output-Calculation-sheet'!N44</f>
        <v>2897.6995907861956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904.49655963307021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249.4684129767482</v>
      </c>
      <c r="Y53" s="2">
        <f>Y9/'Output-Calculation-sheet'!Y8*'Output-Calculation-sheet'!Y44</f>
        <v>0</v>
      </c>
      <c r="AA53" s="2">
        <f t="shared" si="3"/>
        <v>24.748355680954624</v>
      </c>
    </row>
    <row r="54" spans="1:27" x14ac:dyDescent="0.25">
      <c r="A54" s="2">
        <v>2033</v>
      </c>
      <c r="B54" s="2">
        <f>B10/'Output-Calculation-sheet'!B9*'Output-Calculation-sheet'!B45</f>
        <v>22682.648177910367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16536.253821112768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11334.664252580727</v>
      </c>
      <c r="N54" s="2">
        <f>N10/'Output-Calculation-sheet'!N9*'Output-Calculation-sheet'!N45</f>
        <v>6324.921583070377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664.06643479633772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636.2109578445162</v>
      </c>
      <c r="Y54" s="2">
        <f>Y10/'Output-Calculation-sheet'!Y9*'Output-Calculation-sheet'!Y45</f>
        <v>14.033274146285919</v>
      </c>
      <c r="AA54" s="2">
        <f t="shared" si="3"/>
        <v>68.41815761670415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17245.146464973561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2498.5617589225021</v>
      </c>
      <c r="L55" s="2">
        <f>L11/'Output-Calculation-sheet'!L10*'Output-Calculation-sheet'!L46</f>
        <v>923.16628652340148</v>
      </c>
      <c r="M55" s="2">
        <f>M11/'Output-Calculation-sheet'!M10*'Output-Calculation-sheet'!M46</f>
        <v>12107.126156390474</v>
      </c>
      <c r="N55" s="2">
        <f>N11/'Output-Calculation-sheet'!N10*'Output-Calculation-sheet'!N46</f>
        <v>8927.0529348623513</v>
      </c>
      <c r="O55" s="2">
        <f>O11/'Output-Calculation-sheet'!O10*'Output-Calculation-sheet'!O46</f>
        <v>198.90405473711658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2019.9043621322642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4526.146735152759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139.2069674439181</v>
      </c>
    </row>
    <row r="56" spans="1:27" x14ac:dyDescent="0.25">
      <c r="A56" s="2">
        <v>2035</v>
      </c>
      <c r="B56" s="2">
        <f>B12/'Output-Calculation-sheet'!B11*'Output-Calculation-sheet'!B47</f>
        <v>60545.202700834896</v>
      </c>
      <c r="C56" s="2">
        <f>C12/'Output-Calculation-sheet'!C11*'Output-Calculation-sheet'!C47</f>
        <v>207.76112598580099</v>
      </c>
      <c r="D56" s="2">
        <f>D12/'Output-Calculation-sheet'!D11*'Output-Calculation-sheet'!D47</f>
        <v>4872.9524529368582</v>
      </c>
      <c r="E56" s="2">
        <f>E12/'Output-Calculation-sheet'!E11*'Output-Calculation-sheet'!E47</f>
        <v>13460.586403087316</v>
      </c>
      <c r="F56" s="2">
        <f>F12/'Output-Calculation-sheet'!F11*'Output-Calculation-sheet'!F47</f>
        <v>1589.9086082415506</v>
      </c>
      <c r="G56" s="2">
        <f>G12/'Output-Calculation-sheet'!G11*'Output-Calculation-sheet'!G47</f>
        <v>3819.2762647923132</v>
      </c>
      <c r="H56" s="2">
        <f>H12/'Output-Calculation-sheet'!H11*'Output-Calculation-sheet'!H47</f>
        <v>14451.038260641813</v>
      </c>
      <c r="I56" s="2">
        <f>I12/'Output-Calculation-sheet'!I11*'Output-Calculation-sheet'!I47</f>
        <v>1900.1742021838361</v>
      </c>
      <c r="J56" s="2">
        <f>J12/'Output-Calculation-sheet'!J11*'Output-Calculation-sheet'!J47</f>
        <v>1744.5895837814785</v>
      </c>
      <c r="K56" s="2">
        <f>K12/'Output-Calculation-sheet'!K11*'Output-Calculation-sheet'!K47</f>
        <v>2483.4135180924563</v>
      </c>
      <c r="L56" s="2">
        <f>L12/'Output-Calculation-sheet'!L11*'Output-Calculation-sheet'!L47</f>
        <v>1363.1013450170187</v>
      </c>
      <c r="M56" s="2">
        <f>M12/'Output-Calculation-sheet'!M11*'Output-Calculation-sheet'!M47</f>
        <v>10038.96076679187</v>
      </c>
      <c r="N56" s="2">
        <f>N12/'Output-Calculation-sheet'!N11*'Output-Calculation-sheet'!N47</f>
        <v>7562.0372066551372</v>
      </c>
      <c r="O56" s="2">
        <f>O12/'Output-Calculation-sheet'!O11*'Output-Calculation-sheet'!O47</f>
        <v>743.99008264805661</v>
      </c>
      <c r="P56" s="2">
        <f>P12/'Output-Calculation-sheet'!P11*'Output-Calculation-sheet'!P47</f>
        <v>3985.0104637679569</v>
      </c>
      <c r="Q56" s="2">
        <f>Q12/'Output-Calculation-sheet'!Q11*'Output-Calculation-sheet'!Q47</f>
        <v>1913.4432795214052</v>
      </c>
      <c r="R56" s="2">
        <f>R12/'Output-Calculation-sheet'!R11*'Output-Calculation-sheet'!R47</f>
        <v>2939.7000569713568</v>
      </c>
      <c r="S56" s="2">
        <f>S12/'Output-Calculation-sheet'!S11*'Output-Calculation-sheet'!S47</f>
        <v>3908.1477096256699</v>
      </c>
      <c r="T56" s="2">
        <f>T12/'Output-Calculation-sheet'!T11*'Output-Calculation-sheet'!T47</f>
        <v>1023.2490934708698</v>
      </c>
      <c r="U56" s="2">
        <f>U12/'Output-Calculation-sheet'!U11*'Output-Calculation-sheet'!U47</f>
        <v>988.75212400304599</v>
      </c>
      <c r="V56" s="2">
        <f>V12/'Output-Calculation-sheet'!V11*'Output-Calculation-sheet'!V47</f>
        <v>690.47263693196498</v>
      </c>
      <c r="W56" s="2">
        <f>W12/'Output-Calculation-sheet'!W11*'Output-Calculation-sheet'!W47</f>
        <v>399.20386841746387</v>
      </c>
      <c r="X56" s="2">
        <f>X12/'Output-Calculation-sheet'!X11*'Output-Calculation-sheet'!X47</f>
        <v>80.485892168241378</v>
      </c>
      <c r="Y56" s="2">
        <f>Y12/'Output-Calculation-sheet'!Y11*'Output-Calculation-sheet'!Y47</f>
        <v>530.48135728942077</v>
      </c>
      <c r="AA56" s="2">
        <f t="shared" si="3"/>
        <v>141.24193900385779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6.8754498658501078</v>
      </c>
      <c r="C63" s="2">
        <f>C8*'Output-Calculation-sheet'!C52/10^9</f>
        <v>3.736977352031063</v>
      </c>
      <c r="D63" s="2">
        <f>D8*'Output-Calculation-sheet'!D52/10^9</f>
        <v>1.6098223014557782</v>
      </c>
      <c r="E63" s="2">
        <f>E8*'Output-Calculation-sheet'!E52/10^9</f>
        <v>1.841707672466361</v>
      </c>
      <c r="F63" s="2">
        <f>F8*'Output-Calculation-sheet'!F52/10^9</f>
        <v>0.8608800214754232</v>
      </c>
      <c r="G63" s="2">
        <f>G8*'Output-Calculation-sheet'!G52/10^9</f>
        <v>0.6566497357752098</v>
      </c>
      <c r="H63" s="2">
        <f>H8*'Output-Calculation-sheet'!H52/10^9</f>
        <v>0.98149548045137314</v>
      </c>
      <c r="I63" s="2">
        <f>I8*'Output-Calculation-sheet'!I52/10^9</f>
        <v>0.51870965597098972</v>
      </c>
      <c r="J63" s="2">
        <f>J8*'Output-Calculation-sheet'!J52/10^9</f>
        <v>0.73328314309607312</v>
      </c>
      <c r="K63" s="2">
        <f>K8*'Output-Calculation-sheet'!K52/10^9</f>
        <v>0.48136437806940063</v>
      </c>
      <c r="L63" s="2">
        <f>L8*'Output-Calculation-sheet'!L52/10^9</f>
        <v>0.56991569957673094</v>
      </c>
      <c r="M63" s="2">
        <f>M8*'Output-Calculation-sheet'!M52/10^9</f>
        <v>0.71862774313549382</v>
      </c>
      <c r="N63" s="2">
        <f>N8*'Output-Calculation-sheet'!N52/10^9</f>
        <v>0.57303070916368826</v>
      </c>
      <c r="O63" s="2">
        <f>O8*'Output-Calculation-sheet'!O52/10^9</f>
        <v>0.67892517879855363</v>
      </c>
      <c r="P63" s="2">
        <f>P8*'Output-Calculation-sheet'!P52/10^9</f>
        <v>0.4895558653626228</v>
      </c>
      <c r="Q63" s="2">
        <f>Q8*'Output-Calculation-sheet'!Q52/10^9</f>
        <v>0.45664912111960515</v>
      </c>
      <c r="R63" s="2">
        <f>R8*'Output-Calculation-sheet'!R52/10^9</f>
        <v>0.41361747038525887</v>
      </c>
      <c r="S63" s="2">
        <f>S8*'Output-Calculation-sheet'!S52/10^9</f>
        <v>0.35093903933718462</v>
      </c>
      <c r="T63" s="2">
        <f>T8*'Output-Calculation-sheet'!T52/10^9</f>
        <v>0.1679951334014638</v>
      </c>
      <c r="U63" s="2">
        <f>U8*'Output-Calculation-sheet'!U52/10^9</f>
        <v>0.13101095189511294</v>
      </c>
      <c r="V63" s="2">
        <f>V8*'Output-Calculation-sheet'!V52/10^9</f>
        <v>0.21691505623987051</v>
      </c>
      <c r="W63" s="2">
        <f>W8*'Output-Calculation-sheet'!W52/10^9</f>
        <v>9.1027414295821493E-2</v>
      </c>
      <c r="X63" s="2">
        <f>X8*'Output-Calculation-sheet'!X52/10^9</f>
        <v>9.5779664401804535E-2</v>
      </c>
      <c r="Y63" s="2">
        <f>Y8*'Output-Calculation-sheet'!Y52/10^9</f>
        <v>5.2564947981022431E-2</v>
      </c>
      <c r="AA63" s="2">
        <f t="shared" si="4"/>
        <v>23.302893601736017</v>
      </c>
    </row>
    <row r="64" spans="1:27" x14ac:dyDescent="0.25">
      <c r="A64" s="2">
        <v>2032</v>
      </c>
      <c r="B64" s="2">
        <f>B9*'Output-Calculation-sheet'!B53/10^9</f>
        <v>6.7524705309289592</v>
      </c>
      <c r="C64" s="2">
        <f>C9*'Output-Calculation-sheet'!C53/10^9</f>
        <v>3.9884963110054348</v>
      </c>
      <c r="D64" s="2">
        <f>D9*'Output-Calculation-sheet'!D53/10^9</f>
        <v>1.4179288808702426</v>
      </c>
      <c r="E64" s="2">
        <f>E9*'Output-Calculation-sheet'!E53/10^9</f>
        <v>1.6555977913010609</v>
      </c>
      <c r="F64" s="2">
        <f>F9*'Output-Calculation-sheet'!F53/10^9</f>
        <v>0.75972588957942355</v>
      </c>
      <c r="G64" s="2">
        <f>G9*'Output-Calculation-sheet'!G53/10^9</f>
        <v>0.56885133286782097</v>
      </c>
      <c r="H64" s="2">
        <f>H9*'Output-Calculation-sheet'!H53/10^9</f>
        <v>1.0593952929815038</v>
      </c>
      <c r="I64" s="2">
        <f>I9*'Output-Calculation-sheet'!I53/10^9</f>
        <v>0.46129941118790563</v>
      </c>
      <c r="J64" s="2">
        <f>J9*'Output-Calculation-sheet'!J53/10^9</f>
        <v>0.61916220207859862</v>
      </c>
      <c r="K64" s="2">
        <f>K9*'Output-Calculation-sheet'!K53/10^9</f>
        <v>0.4570802224690888</v>
      </c>
      <c r="L64" s="2">
        <f>L9*'Output-Calculation-sheet'!L53/10^9</f>
        <v>0.51315074771156233</v>
      </c>
      <c r="M64" s="2">
        <f>M9*'Output-Calculation-sheet'!M53/10^9</f>
        <v>0.76394789849158906</v>
      </c>
      <c r="N64" s="2">
        <f>N9*'Output-Calculation-sheet'!N53/10^9</f>
        <v>0.62440757638098099</v>
      </c>
      <c r="O64" s="2">
        <f>O9*'Output-Calculation-sheet'!O53/10^9</f>
        <v>0.73761390303645658</v>
      </c>
      <c r="P64" s="2">
        <f>P9*'Output-Calculation-sheet'!P53/10^9</f>
        <v>0.48772981748624178</v>
      </c>
      <c r="Q64" s="2">
        <f>Q9*'Output-Calculation-sheet'!Q53/10^9</f>
        <v>0.46262507398082198</v>
      </c>
      <c r="R64" s="2">
        <f>R9*'Output-Calculation-sheet'!R53/10^9</f>
        <v>0.39356405733452637</v>
      </c>
      <c r="S64" s="2">
        <f>S9*'Output-Calculation-sheet'!S53/10^9</f>
        <v>0.37000380375614317</v>
      </c>
      <c r="T64" s="2">
        <f>T9*'Output-Calculation-sheet'!T53/10^9</f>
        <v>0.1471217098129545</v>
      </c>
      <c r="U64" s="2">
        <f>U9*'Output-Calculation-sheet'!U53/10^9</f>
        <v>0.12534691476455076</v>
      </c>
      <c r="V64" s="2">
        <f>V9*'Output-Calculation-sheet'!V53/10^9</f>
        <v>0.18268866909352138</v>
      </c>
      <c r="W64" s="2">
        <f>W9*'Output-Calculation-sheet'!W53/10^9</f>
        <v>7.7867993723620965E-2</v>
      </c>
      <c r="X64" s="2">
        <f>X9*'Output-Calculation-sheet'!X53/10^9</f>
        <v>9.9429872955536139E-2</v>
      </c>
      <c r="Y64" s="2">
        <f>Y9*'Output-Calculation-sheet'!Y53/10^9</f>
        <v>4.9528402558277146E-2</v>
      </c>
      <c r="AA64" s="2">
        <f t="shared" si="4"/>
        <v>22.775034306356826</v>
      </c>
    </row>
    <row r="65" spans="1:27" x14ac:dyDescent="0.25">
      <c r="A65" s="2">
        <v>2033</v>
      </c>
      <c r="B65" s="2">
        <f>B10*'Output-Calculation-sheet'!B54/10^9</f>
        <v>6.456194365061096</v>
      </c>
      <c r="C65" s="2">
        <f>C10*'Output-Calculation-sheet'!C54/10^9</f>
        <v>3.988806545625649</v>
      </c>
      <c r="D65" s="2">
        <f>D10*'Output-Calculation-sheet'!D54/10^9</f>
        <v>1.1508040590504167</v>
      </c>
      <c r="E65" s="2">
        <f>E10*'Output-Calculation-sheet'!E54/10^9</f>
        <v>1.4655642034802683</v>
      </c>
      <c r="F65" s="2">
        <f>F10*'Output-Calculation-sheet'!F54/10^9</f>
        <v>0.6297648655723137</v>
      </c>
      <c r="G65" s="2">
        <f>G10*'Output-Calculation-sheet'!G54/10^9</f>
        <v>0.44836208283919371</v>
      </c>
      <c r="H65" s="2">
        <f>H10*'Output-Calculation-sheet'!H54/10^9</f>
        <v>1.0535464187805599</v>
      </c>
      <c r="I65" s="2">
        <f>I10*'Output-Calculation-sheet'!I54/10^9</f>
        <v>0.39311996146452188</v>
      </c>
      <c r="J65" s="2">
        <f>J10*'Output-Calculation-sheet'!J54/10^9</f>
        <v>0.46512275905344991</v>
      </c>
      <c r="K65" s="2">
        <f>K10*'Output-Calculation-sheet'!K54/10^9</f>
        <v>0.43526388737674931</v>
      </c>
      <c r="L65" s="2">
        <f>L10*'Output-Calculation-sheet'!L54/10^9</f>
        <v>0.44887486000395477</v>
      </c>
      <c r="M65" s="2">
        <f>M10*'Output-Calculation-sheet'!M54/10^9</f>
        <v>0.74910735515016125</v>
      </c>
      <c r="N65" s="2">
        <f>N10*'Output-Calculation-sheet'!N54/10^9</f>
        <v>0.63832998304180055</v>
      </c>
      <c r="O65" s="2">
        <f>O10*'Output-Calculation-sheet'!O54/10^9</f>
        <v>0.74273554736621417</v>
      </c>
      <c r="P65" s="2">
        <f>P10*'Output-Calculation-sheet'!P54/10^9</f>
        <v>0.47087152096100432</v>
      </c>
      <c r="Q65" s="2">
        <f>Q10*'Output-Calculation-sheet'!Q54/10^9</f>
        <v>0.46468746881891915</v>
      </c>
      <c r="R65" s="2">
        <f>R10*'Output-Calculation-sheet'!R54/10^9</f>
        <v>0.36835604483757062</v>
      </c>
      <c r="S65" s="2">
        <f>S10*'Output-Calculation-sheet'!S54/10^9</f>
        <v>0.36971167126217119</v>
      </c>
      <c r="T65" s="2">
        <f>T10*'Output-Calculation-sheet'!T54/10^9</f>
        <v>0.12474174262833376</v>
      </c>
      <c r="U65" s="2">
        <f>U10*'Output-Calculation-sheet'!U54/10^9</f>
        <v>0.1198054873255881</v>
      </c>
      <c r="V65" s="2">
        <f>V10*'Output-Calculation-sheet'!V54/10^9</f>
        <v>0.14116480202829487</v>
      </c>
      <c r="W65" s="2">
        <f>W10*'Output-Calculation-sheet'!W54/10^9</f>
        <v>6.0328733079201058E-2</v>
      </c>
      <c r="X65" s="2">
        <f>X10*'Output-Calculation-sheet'!X54/10^9</f>
        <v>9.6221965615551311E-2</v>
      </c>
      <c r="Y65" s="2">
        <f>Y10*'Output-Calculation-sheet'!Y54/10^9</f>
        <v>4.6800674488446624E-2</v>
      </c>
      <c r="AA65" s="2">
        <f t="shared" si="4"/>
        <v>21.328287004911431</v>
      </c>
    </row>
    <row r="66" spans="1:27" x14ac:dyDescent="0.25">
      <c r="A66" s="2">
        <v>2034</v>
      </c>
      <c r="B66" s="2">
        <f>B11*'Output-Calculation-sheet'!B55/10^9</f>
        <v>5.933980271439264</v>
      </c>
      <c r="C66" s="2">
        <f>C11*'Output-Calculation-sheet'!C55/10^9</f>
        <v>3.7207920742518925</v>
      </c>
      <c r="D66" s="2">
        <f>D11*'Output-Calculation-sheet'!D55/10^9</f>
        <v>1.0735402716924578</v>
      </c>
      <c r="E66" s="2">
        <f>E11*'Output-Calculation-sheet'!E55/10^9</f>
        <v>1.3904443691027137</v>
      </c>
      <c r="F66" s="2">
        <f>F11*'Output-Calculation-sheet'!F55/10^9</f>
        <v>0.54725063072293922</v>
      </c>
      <c r="G66" s="2">
        <f>G11*'Output-Calculation-sheet'!G55/10^9</f>
        <v>0.3991980816925057</v>
      </c>
      <c r="H66" s="2">
        <f>H11*'Output-Calculation-sheet'!H55/10^9</f>
        <v>0.99614305250134028</v>
      </c>
      <c r="I66" s="2">
        <f>I11*'Output-Calculation-sheet'!I55/10^9</f>
        <v>0.37109610025665424</v>
      </c>
      <c r="J66" s="2">
        <f>J11*'Output-Calculation-sheet'!J55/10^9</f>
        <v>0.37362409086040521</v>
      </c>
      <c r="K66" s="2">
        <f>K11*'Output-Calculation-sheet'!K55/10^9</f>
        <v>0.42543173461272599</v>
      </c>
      <c r="L66" s="2">
        <f>L11*'Output-Calculation-sheet'!L55/10^9</f>
        <v>0.41244174373273113</v>
      </c>
      <c r="M66" s="2">
        <f>M11*'Output-Calculation-sheet'!M55/10^9</f>
        <v>0.69966418775938866</v>
      </c>
      <c r="N66" s="2">
        <f>N11*'Output-Calculation-sheet'!N55/10^9</f>
        <v>0.60841278089689588</v>
      </c>
      <c r="O66" s="2">
        <f>O11*'Output-Calculation-sheet'!O55/10^9</f>
        <v>0.69398808259076195</v>
      </c>
      <c r="P66" s="2">
        <f>P11*'Output-Calculation-sheet'!P55/10^9</f>
        <v>0.44500514358676135</v>
      </c>
      <c r="Q66" s="2">
        <f>Q11*'Output-Calculation-sheet'!Q55/10^9</f>
        <v>0.45772643301408017</v>
      </c>
      <c r="R66" s="2">
        <f>R11*'Output-Calculation-sheet'!R55/10^9</f>
        <v>0.33865479382389141</v>
      </c>
      <c r="S66" s="2">
        <f>S11*'Output-Calculation-sheet'!S55/10^9</f>
        <v>0.35155168409260185</v>
      </c>
      <c r="T66" s="2">
        <f>T11*'Output-Calculation-sheet'!T55/10^9</f>
        <v>0.10611230761936286</v>
      </c>
      <c r="U66" s="2">
        <f>U11*'Output-Calculation-sheet'!U55/10^9</f>
        <v>0.11548756342234036</v>
      </c>
      <c r="V66" s="2">
        <f>V11*'Output-Calculation-sheet'!V55/10^9</f>
        <v>0.10028314296759573</v>
      </c>
      <c r="W66" s="2">
        <f>W11*'Output-Calculation-sheet'!W55/10^9</f>
        <v>4.9129929883497993E-2</v>
      </c>
      <c r="X66" s="2">
        <f>X11*'Output-Calculation-sheet'!X55/10^9</f>
        <v>8.6781301512000683E-2</v>
      </c>
      <c r="Y66" s="2">
        <f>Y11*'Output-Calculation-sheet'!Y55/10^9</f>
        <v>4.7139680985343053E-2</v>
      </c>
      <c r="AA66" s="2">
        <f t="shared" si="4"/>
        <v>19.743879453020153</v>
      </c>
    </row>
    <row r="67" spans="1:27" x14ac:dyDescent="0.25">
      <c r="A67" s="2">
        <v>2035</v>
      </c>
      <c r="B67" s="2">
        <f>B12*'Output-Calculation-sheet'!B56/10^9</f>
        <v>5.35479579201745</v>
      </c>
      <c r="C67" s="2">
        <f>C12*'Output-Calculation-sheet'!C56/10^9</f>
        <v>3.2341677916027107</v>
      </c>
      <c r="D67" s="2">
        <f>D12*'Output-Calculation-sheet'!D56/10^9</f>
        <v>1.0607317025916376</v>
      </c>
      <c r="E67" s="2">
        <f>E12*'Output-Calculation-sheet'!E56/10^9</f>
        <v>1.4525132916809729</v>
      </c>
      <c r="F67" s="2">
        <f>F12*'Output-Calculation-sheet'!F56/10^9</f>
        <v>0.56949426940142056</v>
      </c>
      <c r="G67" s="2">
        <f>G12*'Output-Calculation-sheet'!G56/10^9</f>
        <v>0.41960319252886918</v>
      </c>
      <c r="H67" s="2">
        <f>H12*'Output-Calculation-sheet'!H56/10^9</f>
        <v>0.89353428544791824</v>
      </c>
      <c r="I67" s="2">
        <f>I12*'Output-Calculation-sheet'!I56/10^9</f>
        <v>0.38449901794985841</v>
      </c>
      <c r="J67" s="2">
        <f>J12*'Output-Calculation-sheet'!J56/10^9</f>
        <v>0.3520727937401345</v>
      </c>
      <c r="K67" s="2">
        <f>K12*'Output-Calculation-sheet'!K56/10^9</f>
        <v>0.42173277531085457</v>
      </c>
      <c r="L67" s="2">
        <f>L12*'Output-Calculation-sheet'!L56/10^9</f>
        <v>0.39303059474870217</v>
      </c>
      <c r="M67" s="2">
        <f>M12*'Output-Calculation-sheet'!M56/10^9</f>
        <v>0.63213417367465818</v>
      </c>
      <c r="N67" s="2">
        <f>N12*'Output-Calculation-sheet'!N56/10^9</f>
        <v>0.53990290016067211</v>
      </c>
      <c r="O67" s="2">
        <f>O12*'Output-Calculation-sheet'!O56/10^9</f>
        <v>0.59724962711671681</v>
      </c>
      <c r="P67" s="2">
        <f>P12*'Output-Calculation-sheet'!P56/10^9</f>
        <v>0.43818398149455484</v>
      </c>
      <c r="Q67" s="2">
        <f>Q12*'Output-Calculation-sheet'!Q56/10^9</f>
        <v>0.41392402512124127</v>
      </c>
      <c r="R67" s="2">
        <f>R12*'Output-Calculation-sheet'!R56/10^9</f>
        <v>0.32468901745487311</v>
      </c>
      <c r="S67" s="2">
        <f>S12*'Output-Calculation-sheet'!S56/10^9</f>
        <v>0.3136463324426898</v>
      </c>
      <c r="T67" s="2">
        <f>T12*'Output-Calculation-sheet'!T56/10^9</f>
        <v>0.1010410597095717</v>
      </c>
      <c r="U67" s="2">
        <f>U12*'Output-Calculation-sheet'!U56/10^9</f>
        <v>0.1092316067289691</v>
      </c>
      <c r="V67" s="2">
        <f>V12*'Output-Calculation-sheet'!V56/10^9</f>
        <v>7.7925714701697069E-2</v>
      </c>
      <c r="W67" s="2">
        <f>W12*'Output-Calculation-sheet'!W56/10^9</f>
        <v>5.2896731616739599E-2</v>
      </c>
      <c r="X67" s="2">
        <f>X12*'Output-Calculation-sheet'!X56/10^9</f>
        <v>7.5454473277710293E-2</v>
      </c>
      <c r="Y67" s="2">
        <f>Y12*'Output-Calculation-sheet'!Y56/10^9</f>
        <v>4.9358934255798154E-2</v>
      </c>
      <c r="AA67" s="2">
        <f t="shared" si="4"/>
        <v>18.261814084776418</v>
      </c>
    </row>
    <row r="68" spans="1:27" x14ac:dyDescent="0.25">
      <c r="B68" s="2">
        <f>SUM(B60:B67)</f>
        <v>31.372890825296878</v>
      </c>
      <c r="C68" s="2">
        <f t="shared" ref="C68:Y68" si="5">SUM(C60:C67)</f>
        <v>18.66924007451675</v>
      </c>
      <c r="D68" s="2">
        <f t="shared" si="5"/>
        <v>6.3128272156605325</v>
      </c>
      <c r="E68" s="2">
        <f t="shared" si="5"/>
        <v>7.8058273280313752</v>
      </c>
      <c r="F68" s="2">
        <f t="shared" si="5"/>
        <v>3.3671156767515202</v>
      </c>
      <c r="G68" s="2">
        <f t="shared" si="5"/>
        <v>2.4926644257035995</v>
      </c>
      <c r="H68" s="2">
        <f t="shared" si="5"/>
        <v>4.9841145301626959</v>
      </c>
      <c r="I68" s="2">
        <f t="shared" si="5"/>
        <v>2.1287241468299296</v>
      </c>
      <c r="J68" s="2">
        <f t="shared" si="5"/>
        <v>2.5432649888286618</v>
      </c>
      <c r="K68" s="2">
        <f t="shared" si="5"/>
        <v>2.2208729978388195</v>
      </c>
      <c r="L68" s="2">
        <f t="shared" si="5"/>
        <v>2.3374136457736814</v>
      </c>
      <c r="M68" s="2">
        <f t="shared" si="5"/>
        <v>3.5634813582112912</v>
      </c>
      <c r="N68" s="2">
        <f t="shared" si="5"/>
        <v>2.9840839496440381</v>
      </c>
      <c r="O68" s="2">
        <f t="shared" si="5"/>
        <v>3.4505123389087031</v>
      </c>
      <c r="P68" s="2">
        <f t="shared" si="5"/>
        <v>2.3313463288911853</v>
      </c>
      <c r="Q68" s="2">
        <f t="shared" si="5"/>
        <v>2.2556121220546679</v>
      </c>
      <c r="R68" s="2">
        <f t="shared" si="5"/>
        <v>1.8388813838361202</v>
      </c>
      <c r="S68" s="2">
        <f t="shared" si="5"/>
        <v>1.7558525308907904</v>
      </c>
      <c r="T68" s="2">
        <f t="shared" si="5"/>
        <v>0.64701195317168658</v>
      </c>
      <c r="U68" s="2">
        <f t="shared" si="5"/>
        <v>0.60088252413656129</v>
      </c>
      <c r="V68" s="2">
        <f t="shared" si="5"/>
        <v>0.71897738503097963</v>
      </c>
      <c r="W68" s="2">
        <f t="shared" si="5"/>
        <v>0.33125080259888112</v>
      </c>
      <c r="X68" s="2">
        <f t="shared" si="5"/>
        <v>0.45366727776260296</v>
      </c>
      <c r="Y68" s="2">
        <f t="shared" si="5"/>
        <v>0.24539264026888741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766.35085736530687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1397.5946471832531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942.49207354700297</v>
      </c>
      <c r="N74" s="2">
        <f>N8/'Output-Calculation-sheet'!N7*'Output-Calculation-sheet'!N61</f>
        <v>39.072372271174615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8.363450948948044</v>
      </c>
      <c r="Y74" s="2">
        <f>Y8/'Output-Calculation-sheet'!Y7*'Output-Calculation-sheet'!Y61</f>
        <v>0</v>
      </c>
      <c r="AA74" s="2">
        <f t="shared" si="6"/>
        <v>3.1538734013156859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126.48882572260028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2271.3893145191482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1543.5310160927781</v>
      </c>
      <c r="N75" s="2">
        <f>N9/'Output-Calculation-sheet'!N8*'Output-Calculation-sheet'!N62</f>
        <v>594.44039820947842</v>
      </c>
      <c r="O75" s="2">
        <f>O9/'Output-Calculation-sheet'!O8*'Output-Calculation-sheet'!O62</f>
        <v>0</v>
      </c>
      <c r="P75" s="2">
        <f>P9/'Output-Calculation-sheet'!P8*'Output-Calculation-sheet'!P62</f>
        <v>47.094667729739669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199.75109127289161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54.211595048080795</v>
      </c>
      <c r="Y75" s="2">
        <f>Y9/'Output-Calculation-sheet'!Y8*'Output-Calculation-sheet'!Y62</f>
        <v>0</v>
      </c>
      <c r="AA75" s="2">
        <f t="shared" si="6"/>
        <v>4.8369069085947167</v>
      </c>
    </row>
    <row r="76" spans="1:27" x14ac:dyDescent="0.25">
      <c r="A76" s="2">
        <v>2033</v>
      </c>
      <c r="B76" s="2">
        <f>B10/'Output-Calculation-sheet'!B9*'Output-Calculation-sheet'!B63</f>
        <v>4566.7850453276287</v>
      </c>
      <c r="C76" s="2">
        <f>C10/'Output-Calculation-sheet'!C9*'Output-Calculation-sheet'!C63</f>
        <v>920.85721012576914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2977.3144920993846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2032.0316742586319</v>
      </c>
      <c r="N76" s="2">
        <f>N10/'Output-Calculation-sheet'!N9*'Output-Calculation-sheet'!N63</f>
        <v>1157.3479719061054</v>
      </c>
      <c r="O76" s="2">
        <f>O10/'Output-Calculation-sheet'!O9*'Output-Calculation-sheet'!O63</f>
        <v>0</v>
      </c>
      <c r="P76" s="2">
        <f>P10/'Output-Calculation-sheet'!P9*'Output-Calculation-sheet'!P63</f>
        <v>401.3452569272024</v>
      </c>
      <c r="Q76" s="2">
        <f>Q10/'Output-Calculation-sheet'!Q9*'Output-Calculation-sheet'!Q63</f>
        <v>182.4354777628991</v>
      </c>
      <c r="R76" s="2">
        <f>R10/'Output-Calculation-sheet'!R9*'Output-Calculation-sheet'!R63</f>
        <v>304.56691081854763</v>
      </c>
      <c r="S76" s="2">
        <f>S10/'Output-Calculation-sheet'!S9*'Output-Calculation-sheet'!S63</f>
        <v>517.56155782098176</v>
      </c>
      <c r="T76" s="2">
        <f>T10/'Output-Calculation-sheet'!T9*'Output-Calculation-sheet'!T63</f>
        <v>20.067418333259365</v>
      </c>
      <c r="U76" s="2">
        <f>U10/'Output-Calculation-sheet'!U9*'Output-Calculation-sheet'!U63</f>
        <v>108.23328082557752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116.57399006342551</v>
      </c>
      <c r="Y76" s="2">
        <f>Y10/'Output-Calculation-sheet'!Y9*'Output-Calculation-sheet'!Y63</f>
        <v>5.1403503920165692</v>
      </c>
      <c r="AA76" s="2">
        <f t="shared" si="6"/>
        <v>13.39441170662961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1423.3963210388927</v>
      </c>
      <c r="D77" s="2">
        <f>D11/'Output-Calculation-sheet'!D10*'Output-Calculation-sheet'!D64</f>
        <v>1209.6441668435373</v>
      </c>
      <c r="E77" s="2">
        <f>E11/'Output-Calculation-sheet'!E10*'Output-Calculation-sheet'!E64</f>
        <v>1512.9345798844049</v>
      </c>
      <c r="F77" s="2">
        <f>F11/'Output-Calculation-sheet'!F10*'Output-Calculation-sheet'!F64</f>
        <v>107.64903804158944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3198.7435057291286</v>
      </c>
      <c r="I77" s="2">
        <f>I11/'Output-Calculation-sheet'!I10*'Output-Calculation-sheet'!I64</f>
        <v>375.45888410920867</v>
      </c>
      <c r="J77" s="2">
        <f>J11/'Output-Calculation-sheet'!J10*'Output-Calculation-sheet'!J64</f>
        <v>264.73692048579846</v>
      </c>
      <c r="K77" s="2">
        <f>K11/'Output-Calculation-sheet'!K10*'Output-Calculation-sheet'!K64</f>
        <v>576.29543730089438</v>
      </c>
      <c r="L77" s="2">
        <f>L11/'Output-Calculation-sheet'!L10*'Output-Calculation-sheet'!L64</f>
        <v>236.06488579212066</v>
      </c>
      <c r="M77" s="2">
        <f>M11/'Output-Calculation-sheet'!M10*'Output-Calculation-sheet'!M64</f>
        <v>2260.6256929857987</v>
      </c>
      <c r="N77" s="2">
        <f>N11/'Output-Calculation-sheet'!N10*'Output-Calculation-sheet'!N64</f>
        <v>1566.8310062726023</v>
      </c>
      <c r="O77" s="2">
        <f>O11/'Output-Calculation-sheet'!O10*'Output-Calculation-sheet'!O64</f>
        <v>56.932629343964017</v>
      </c>
      <c r="P77" s="2">
        <f>P11/'Output-Calculation-sheet'!P10*'Output-Calculation-sheet'!P64</f>
        <v>710.60547389069188</v>
      </c>
      <c r="Q77" s="2">
        <f>Q11/'Output-Calculation-sheet'!Q10*'Output-Calculation-sheet'!Q64</f>
        <v>406.83290598195839</v>
      </c>
      <c r="R77" s="2">
        <f>R11/'Output-Calculation-sheet'!R10*'Output-Calculation-sheet'!R64</f>
        <v>606.92368441939902</v>
      </c>
      <c r="S77" s="2">
        <f>S11/'Output-Calculation-sheet'!S10*'Output-Calculation-sheet'!S64</f>
        <v>804.13537112877191</v>
      </c>
      <c r="T77" s="2">
        <f>T11/'Output-Calculation-sheet'!T10*'Output-Calculation-sheet'!T64</f>
        <v>167.82607408331651</v>
      </c>
      <c r="U77" s="2">
        <f>U11/'Output-Calculation-sheet'!U10*'Output-Calculation-sheet'!U64</f>
        <v>222.58168737747579</v>
      </c>
      <c r="V77" s="2">
        <f>V11/'Output-Calculation-sheet'!V10*'Output-Calculation-sheet'!V64</f>
        <v>87.601898220623838</v>
      </c>
      <c r="W77" s="2">
        <f>W11/'Output-Calculation-sheet'!W10*'Output-Calculation-sheet'!W64</f>
        <v>19.086739061965496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26.486249445955067</v>
      </c>
    </row>
    <row r="78" spans="1:27" x14ac:dyDescent="0.25">
      <c r="A78" s="2">
        <v>2035</v>
      </c>
      <c r="B78" s="2">
        <f>B12/'Output-Calculation-sheet'!B11*'Output-Calculation-sheet'!B65</f>
        <v>10376.880642071215</v>
      </c>
      <c r="C78" s="2">
        <f>C12/'Output-Calculation-sheet'!C11*'Output-Calculation-sheet'!C65</f>
        <v>38.159827110168166</v>
      </c>
      <c r="D78" s="2">
        <f>D12/'Output-Calculation-sheet'!D11*'Output-Calculation-sheet'!D65</f>
        <v>1084.0259053139807</v>
      </c>
      <c r="E78" s="2">
        <f>E12/'Output-Calculation-sheet'!E11*'Output-Calculation-sheet'!E65</f>
        <v>2059.8211881139578</v>
      </c>
      <c r="F78" s="2">
        <f>F12/'Output-Calculation-sheet'!F11*'Output-Calculation-sheet'!F65</f>
        <v>440.35937620650884</v>
      </c>
      <c r="G78" s="2">
        <f>G12/'Output-Calculation-sheet'!G11*'Output-Calculation-sheet'!G65</f>
        <v>839.40124693913788</v>
      </c>
      <c r="H78" s="2">
        <f>H12/'Output-Calculation-sheet'!H11*'Output-Calculation-sheet'!H65</f>
        <v>2687.2020172191419</v>
      </c>
      <c r="I78" s="2">
        <f>I12/'Output-Calculation-sheet'!I11*'Output-Calculation-sheet'!I65</f>
        <v>485.94650905121347</v>
      </c>
      <c r="J78" s="2">
        <f>J12/'Output-Calculation-sheet'!J11*'Output-Calculation-sheet'!J65</f>
        <v>445.17470413857171</v>
      </c>
      <c r="K78" s="2">
        <f>K12/'Output-Calculation-sheet'!K11*'Output-Calculation-sheet'!K65</f>
        <v>553.41620268789836</v>
      </c>
      <c r="L78" s="2">
        <f>L12/'Output-Calculation-sheet'!L11*'Output-Calculation-sheet'!L65</f>
        <v>324.04548366912201</v>
      </c>
      <c r="M78" s="2">
        <f>M12/'Output-Calculation-sheet'!M11*'Output-Calculation-sheet'!M65</f>
        <v>1881.9944640795018</v>
      </c>
      <c r="N78" s="2">
        <f>N12/'Output-Calculation-sheet'!N11*'Output-Calculation-sheet'!N65</f>
        <v>1324.8554910514385</v>
      </c>
      <c r="O78" s="2">
        <f>O12/'Output-Calculation-sheet'!O11*'Output-Calculation-sheet'!O65</f>
        <v>195.7374653229484</v>
      </c>
      <c r="P78" s="2">
        <f>P12/'Output-Calculation-sheet'!P11*'Output-Calculation-sheet'!P65</f>
        <v>759.70449406995647</v>
      </c>
      <c r="Q78" s="2">
        <f>Q12/'Output-Calculation-sheet'!Q11*'Output-Calculation-sheet'!Q65</f>
        <v>370.45234732929845</v>
      </c>
      <c r="R78" s="2">
        <f>R12/'Output-Calculation-sheet'!R11*'Output-Calculation-sheet'!R65</f>
        <v>634.79964922284569</v>
      </c>
      <c r="S78" s="2">
        <f>S12/'Output-Calculation-sheet'!S11*'Output-Calculation-sheet'!S65</f>
        <v>714.13822523382169</v>
      </c>
      <c r="T78" s="2">
        <f>T12/'Output-Calculation-sheet'!T11*'Output-Calculation-sheet'!T65</f>
        <v>224.88985592410191</v>
      </c>
      <c r="U78" s="2">
        <f>U12/'Output-Calculation-sheet'!U11*'Output-Calculation-sheet'!U65</f>
        <v>194.16987526741985</v>
      </c>
      <c r="V78" s="2">
        <f>V12/'Output-Calculation-sheet'!V11*'Output-Calculation-sheet'!V65</f>
        <v>122.63765313452566</v>
      </c>
      <c r="W78" s="2">
        <f>W12/'Output-Calculation-sheet'!W11*'Output-Calculation-sheet'!W65</f>
        <v>87.737129827511254</v>
      </c>
      <c r="X78" s="2">
        <f>X12/'Output-Calculation-sheet'!X11*'Output-Calculation-sheet'!X65</f>
        <v>16.088171507487999</v>
      </c>
      <c r="Y78" s="2">
        <f>Y12/'Output-Calculation-sheet'!Y11*'Output-Calculation-sheet'!Y65</f>
        <v>84.012281793486352</v>
      </c>
      <c r="AA78" s="2">
        <f t="shared" si="6"/>
        <v>25.945650206285254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25.199844575320135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2.5199844575320134E-2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270.0642319718819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0.2700642319718819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323.66161253860321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0.32366161253860321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18.539430453509169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3.9865413751697307</v>
      </c>
      <c r="N88" s="2">
        <f>N11/'Output-Calculation-sheet'!N10*'Output-Calculation-sheet'!N73</f>
        <v>3.9181236546973102</v>
      </c>
      <c r="O88" s="2">
        <f>O11/'Output-Calculation-sheet'!O10*'Output-Calculation-sheet'!O73</f>
        <v>337.11312218312776</v>
      </c>
      <c r="P88" s="2">
        <f>P11/'Output-Calculation-sheet'!P10*'Output-Calculation-sheet'!P73</f>
        <v>0</v>
      </c>
      <c r="Q88" s="2">
        <f>Q11/'Output-Calculation-sheet'!Q10*'Output-Calculation-sheet'!Q73</f>
        <v>14.418080083201069</v>
      </c>
      <c r="R88" s="2">
        <f>R11/'Output-Calculation-sheet'!R10*'Output-Calculation-sheet'!R73</f>
        <v>0</v>
      </c>
      <c r="S88" s="2">
        <f>S11/'Output-Calculation-sheet'!S10*'Output-Calculation-sheet'!S73</f>
        <v>0.44920074783175457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0.37842449849753679</v>
      </c>
    </row>
    <row r="89" spans="1:27" x14ac:dyDescent="0.25">
      <c r="A89" s="2">
        <v>2035</v>
      </c>
      <c r="B89" s="2">
        <f>B12/'Output-Calculation-sheet'!B11*'Output-Calculation-sheet'!B74</f>
        <v>202.53601853090339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68.671821490091006</v>
      </c>
      <c r="E89" s="2">
        <f>E12/'Output-Calculation-sheet'!E11*'Output-Calculation-sheet'!E74</f>
        <v>74.223149157471411</v>
      </c>
      <c r="F89" s="2">
        <f>F12/'Output-Calculation-sheet'!F11*'Output-Calculation-sheet'!F74</f>
        <v>28.832539527696511</v>
      </c>
      <c r="G89" s="2">
        <f>G12/'Output-Calculation-sheet'!G11*'Output-Calculation-sheet'!G74</f>
        <v>25.619500228225011</v>
      </c>
      <c r="H89" s="2">
        <f>H12/'Output-Calculation-sheet'!H11*'Output-Calculation-sheet'!H74</f>
        <v>98.319369895376624</v>
      </c>
      <c r="I89" s="2">
        <f>I12/'Output-Calculation-sheet'!I11*'Output-Calculation-sheet'!I74</f>
        <v>23.929432583471815</v>
      </c>
      <c r="J89" s="2">
        <f>J12/'Output-Calculation-sheet'!J11*'Output-Calculation-sheet'!J74</f>
        <v>14.033903137508123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18.701085526148123</v>
      </c>
      <c r="M89" s="2">
        <f>M12/'Output-Calculation-sheet'!M11*'Output-Calculation-sheet'!M74</f>
        <v>57.144045191762146</v>
      </c>
      <c r="N89" s="2">
        <f>N12/'Output-Calculation-sheet'!N11*'Output-Calculation-sheet'!N74</f>
        <v>42.606663448799644</v>
      </c>
      <c r="O89" s="2">
        <f>O12/'Output-Calculation-sheet'!O11*'Output-Calculation-sheet'!O74</f>
        <v>306.63234985251887</v>
      </c>
      <c r="P89" s="2">
        <f>P12/'Output-Calculation-sheet'!P11*'Output-Calculation-sheet'!P74</f>
        <v>23.258815936388853</v>
      </c>
      <c r="Q89" s="2">
        <f>Q12/'Output-Calculation-sheet'!Q11*'Output-Calculation-sheet'!Q74</f>
        <v>35.633144135338021</v>
      </c>
      <c r="R89" s="2">
        <f>R12/'Output-Calculation-sheet'!R11*'Output-Calculation-sheet'!R74</f>
        <v>14.022610460653295</v>
      </c>
      <c r="S89" s="2">
        <f>S12/'Output-Calculation-sheet'!S11*'Output-Calculation-sheet'!S74</f>
        <v>18.872789810710081</v>
      </c>
      <c r="T89" s="2">
        <f>T12/'Output-Calculation-sheet'!T11*'Output-Calculation-sheet'!T74</f>
        <v>3.320216081024927</v>
      </c>
      <c r="U89" s="2">
        <f>U12/'Output-Calculation-sheet'!U11*'Output-Calculation-sheet'!U74</f>
        <v>6.135713125771777</v>
      </c>
      <c r="V89" s="2">
        <f>V12/'Output-Calculation-sheet'!V11*'Output-Calculation-sheet'!V74</f>
        <v>0.83491249931313782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0.28822163712888588</v>
      </c>
      <c r="Y89" s="2">
        <f>Y12/'Output-Calculation-sheet'!Y11*'Output-Calculation-sheet'!Y74</f>
        <v>2.7118590816997523</v>
      </c>
      <c r="AA89" s="2">
        <f t="shared" si="7"/>
        <v>1.0994721658854236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11409245654.874218</v>
      </c>
      <c r="C96" s="2">
        <f>C8/'Output-Calculation-sheet'!C7*'Output-Calculation-sheet'!C79</f>
        <v>3859807121.1900306</v>
      </c>
      <c r="D96" s="2">
        <f>D8/'Output-Calculation-sheet'!D7*'Output-Calculation-sheet'!D79</f>
        <v>4029363947.8054681</v>
      </c>
      <c r="E96" s="2">
        <f>E8/'Output-Calculation-sheet'!E7*'Output-Calculation-sheet'!E79</f>
        <v>7163877129.0622187</v>
      </c>
      <c r="F96" s="2">
        <f>F8/'Output-Calculation-sheet'!F7*'Output-Calculation-sheet'!F79</f>
        <v>2965057478.2859011</v>
      </c>
      <c r="G96" s="2">
        <f>G8/'Output-Calculation-sheet'!G7*'Output-Calculation-sheet'!G79</f>
        <v>2309541006.4594116</v>
      </c>
      <c r="H96" s="2">
        <f>H8/'Output-Calculation-sheet'!H7*'Output-Calculation-sheet'!H79</f>
        <v>1976839492.3270876</v>
      </c>
      <c r="I96" s="2">
        <f>I8/'Output-Calculation-sheet'!I7*'Output-Calculation-sheet'!I79</f>
        <v>1608836858.1670702</v>
      </c>
      <c r="J96" s="2">
        <f>J8/'Output-Calculation-sheet'!J7*'Output-Calculation-sheet'!J79</f>
        <v>1087933977.7986362</v>
      </c>
      <c r="K96" s="2">
        <f>K8/'Output-Calculation-sheet'!K7*'Output-Calculation-sheet'!K79</f>
        <v>1556511289.2290351</v>
      </c>
      <c r="L96" s="2">
        <f>L8/'Output-Calculation-sheet'!L7*'Output-Calculation-sheet'!L79</f>
        <v>1098275655.6935911</v>
      </c>
      <c r="M96" s="2">
        <f>M8/'Output-Calculation-sheet'!M7*'Output-Calculation-sheet'!M79</f>
        <v>1475670718.3887055</v>
      </c>
      <c r="N96" s="2">
        <f>N8/'Output-Calculation-sheet'!N7*'Output-Calculation-sheet'!N79</f>
        <v>1098014943.4522109</v>
      </c>
      <c r="O96" s="2">
        <f>O8/'Output-Calculation-sheet'!O7*'Output-Calculation-sheet'!O79</f>
        <v>555083192.42223859</v>
      </c>
      <c r="P96" s="2">
        <f>P8/'Output-Calculation-sheet'!P7*'Output-Calculation-sheet'!P79</f>
        <v>1856648904.9985209</v>
      </c>
      <c r="Q96" s="2">
        <f>Q8/'Output-Calculation-sheet'!Q7*'Output-Calculation-sheet'!Q79</f>
        <v>865276350.08959007</v>
      </c>
      <c r="R96" s="2">
        <f>R8/'Output-Calculation-sheet'!R7*'Output-Calculation-sheet'!R79</f>
        <v>1079536943.4101989</v>
      </c>
      <c r="S96" s="2">
        <f>S8/'Output-Calculation-sheet'!S7*'Output-Calculation-sheet'!S79</f>
        <v>629027401.57941806</v>
      </c>
      <c r="T96" s="2">
        <f>T8/'Output-Calculation-sheet'!T7*'Output-Calculation-sheet'!T79</f>
        <v>480429887.01580739</v>
      </c>
      <c r="U96" s="2">
        <f>U8/'Output-Calculation-sheet'!U7*'Output-Calculation-sheet'!U79</f>
        <v>301794292.25913388</v>
      </c>
      <c r="V96" s="2">
        <f>V8/'Output-Calculation-sheet'!V7*'Output-Calculation-sheet'!V79</f>
        <v>156585913.06395739</v>
      </c>
      <c r="W96" s="2">
        <f>W8/'Output-Calculation-sheet'!W7*'Output-Calculation-sheet'!W79</f>
        <v>462702485.4859919</v>
      </c>
      <c r="X96" s="2">
        <f>X8/'Output-Calculation-sheet'!X7*'Output-Calculation-sheet'!X79</f>
        <v>162625928.24707389</v>
      </c>
      <c r="Y96" s="2">
        <f>Y8/'Output-Calculation-sheet'!Y7*'Output-Calculation-sheet'!Y79</f>
        <v>254344733.9265537</v>
      </c>
      <c r="AA96" s="2">
        <f t="shared" si="8"/>
        <v>48.443031305232054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1331.7313477122236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258.71840430662007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30.945230680137396</v>
      </c>
      <c r="Y107" s="2">
        <f>Y8/'Output-Calculation-sheet'!Y7*'Output-Calculation-sheet'!Y88</f>
        <v>0</v>
      </c>
      <c r="AA107" s="2">
        <f t="shared" si="9"/>
        <v>1.6213949826989813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2386.2474909692187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2.4258538163284138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2.9681653300478041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3.2420931190495073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77.675731206234744</v>
      </c>
      <c r="Y111" s="2">
        <f>Y12/'Output-Calculation-sheet'!Y11*'Output-Calculation-sheet'!Y92</f>
        <v>0</v>
      </c>
      <c r="AA111" s="2">
        <f t="shared" si="9"/>
        <v>3.659229470215192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1334937795.2716708</v>
      </c>
      <c r="C118" s="2">
        <f>C8/'Output-Calculation-sheet'!C7*'Output-Calculation-sheet'!C97</f>
        <v>11022269070.478682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6859450478.3203983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4732439810.1544437</v>
      </c>
      <c r="N118" s="2">
        <f>N8/'Output-Calculation-sheet'!N7*'Output-Calculation-sheet'!N97</f>
        <v>1584025674.8003981</v>
      </c>
      <c r="O118" s="2">
        <f>O8/'Output-Calculation-sheet'!O7*'Output-Calculation-sheet'!O97</f>
        <v>1864927937.7136736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474755560.62468976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257683246.71865231</v>
      </c>
      <c r="Y118" s="2">
        <f>Y8/'Output-Calculation-sheet'!Y7*'Output-Calculation-sheet'!Y97</f>
        <v>0</v>
      </c>
      <c r="AA118" s="2">
        <f t="shared" si="10"/>
        <v>28130.48957408261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8282240032.3245983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2844717955.6156025</v>
      </c>
      <c r="O119" s="2">
        <f>O9/'Output-Calculation-sheet'!O8*'Output-Calculation-sheet'!O98</f>
        <v>3072270484.6870813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852856780.00009382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333164396.85222685</v>
      </c>
      <c r="Y119" s="2">
        <f>Y9/'Output-Calculation-sheet'!Y8*'Output-Calculation-sheet'!Y98</f>
        <v>0</v>
      </c>
      <c r="AA119" s="2">
        <f t="shared" si="10"/>
        <v>35834.986187967916</v>
      </c>
    </row>
    <row r="120" spans="1:27" x14ac:dyDescent="0.25">
      <c r="A120" s="2">
        <v>2033</v>
      </c>
      <c r="B120" s="2">
        <f>B10/'Output-Calculation-sheet'!B9*'Output-Calculation-sheet'!B99</f>
        <v>13580206591.863758</v>
      </c>
      <c r="C120" s="2">
        <f>C10/'Output-Calculation-sheet'!C9*'Output-Calculation-sheet'!C99</f>
        <v>7859348734.9074192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4074260078.4781666</v>
      </c>
      <c r="O120" s="2">
        <f>O10/'Output-Calculation-sheet'!O9*'Output-Calculation-sheet'!O99</f>
        <v>3176796230.3985672</v>
      </c>
      <c r="P120" s="2">
        <f>P10/'Output-Calculation-sheet'!P9*'Output-Calculation-sheet'!P99</f>
        <v>0</v>
      </c>
      <c r="Q120" s="2">
        <f>Q10/'Output-Calculation-sheet'!Q9*'Output-Calculation-sheet'!Q99</f>
        <v>133586565.71365407</v>
      </c>
      <c r="R120" s="2">
        <f>R10/'Output-Calculation-sheet'!R9*'Output-Calculation-sheet'!R99</f>
        <v>0</v>
      </c>
      <c r="S120" s="2">
        <f>S10/'Output-Calculation-sheet'!S9*'Output-Calculation-sheet'!S99</f>
        <v>1641140263.4567671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446470447.7290439</v>
      </c>
      <c r="Y120" s="2">
        <f>Y10/'Output-Calculation-sheet'!Y9*'Output-Calculation-sheet'!Y99</f>
        <v>0</v>
      </c>
      <c r="AA120" s="2">
        <f t="shared" si="10"/>
        <v>47916.882652434928</v>
      </c>
    </row>
    <row r="121" spans="1:27" x14ac:dyDescent="0.25">
      <c r="A121" s="2">
        <v>2034</v>
      </c>
      <c r="B121" s="2">
        <f>B11/'Output-Calculation-sheet'!B10*'Output-Calculation-sheet'!B100</f>
        <v>27896912372.930149</v>
      </c>
      <c r="C121" s="2">
        <f>C11/'Output-Calculation-sheet'!C10*'Output-Calculation-sheet'!C100</f>
        <v>6931940986.8493948</v>
      </c>
      <c r="D121" s="2">
        <f>D11/'Output-Calculation-sheet'!D10*'Output-Calculation-sheet'!D100</f>
        <v>0</v>
      </c>
      <c r="E121" s="2">
        <f>E11/'Output-Calculation-sheet'!E10*'Output-Calculation-sheet'!E100</f>
        <v>577036836.24811423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10236529144.189037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474292570.26862454</v>
      </c>
      <c r="M121" s="2">
        <f>M11/'Output-Calculation-sheet'!M10*'Output-Calculation-sheet'!M100</f>
        <v>7164143342.1893206</v>
      </c>
      <c r="N121" s="2">
        <f>N11/'Output-Calculation-sheet'!N10*'Output-Calculation-sheet'!N100</f>
        <v>4865100446.1742201</v>
      </c>
      <c r="O121" s="2">
        <f>O11/'Output-Calculation-sheet'!O10*'Output-Calculation-sheet'!O100</f>
        <v>3084687445.0626159</v>
      </c>
      <c r="P121" s="2">
        <f>P11/'Output-Calculation-sheet'!P10*'Output-Calculation-sheet'!P100</f>
        <v>0</v>
      </c>
      <c r="Q121" s="2">
        <f>Q11/'Output-Calculation-sheet'!Q10*'Output-Calculation-sheet'!Q100</f>
        <v>626830768.98633671</v>
      </c>
      <c r="R121" s="2">
        <f>R11/'Output-Calculation-sheet'!R10*'Output-Calculation-sheet'!R100</f>
        <v>0</v>
      </c>
      <c r="S121" s="2">
        <f>S11/'Output-Calculation-sheet'!S10*'Output-Calculation-sheet'!S100</f>
        <v>2418962647.501668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31651205.487389602</v>
      </c>
      <c r="AA121" s="2">
        <f t="shared" si="10"/>
        <v>64653.50394295829</v>
      </c>
    </row>
    <row r="122" spans="1:27" x14ac:dyDescent="0.25">
      <c r="A122" s="2">
        <v>2035</v>
      </c>
      <c r="B122" s="2">
        <f>B12/'Output-Calculation-sheet'!B11*'Output-Calculation-sheet'!B101</f>
        <v>29046879499.948231</v>
      </c>
      <c r="C122" s="2">
        <f>C12/'Output-Calculation-sheet'!C11*'Output-Calculation-sheet'!C101</f>
        <v>170710216.13330123</v>
      </c>
      <c r="D122" s="2">
        <f>D12/'Output-Calculation-sheet'!D11*'Output-Calculation-sheet'!D101</f>
        <v>0</v>
      </c>
      <c r="E122" s="2">
        <f>E12/'Output-Calculation-sheet'!E11*'Output-Calculation-sheet'!E101</f>
        <v>2323793635.0587063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8907610820.1125164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597111254.08772647</v>
      </c>
      <c r="M122" s="2">
        <f>M12/'Output-Calculation-sheet'!M11*'Output-Calculation-sheet'!M101</f>
        <v>6248518086.6777134</v>
      </c>
      <c r="N122" s="2">
        <f>N12/'Output-Calculation-sheet'!N11*'Output-Calculation-sheet'!N101</f>
        <v>4204466219.1244774</v>
      </c>
      <c r="O122" s="2">
        <f>O12/'Output-Calculation-sheet'!O11*'Output-Calculation-sheet'!O101</f>
        <v>2850379624.010191</v>
      </c>
      <c r="P122" s="2">
        <f>P12/'Output-Calculation-sheet'!P11*'Output-Calculation-sheet'!P101</f>
        <v>178714897.13223305</v>
      </c>
      <c r="Q122" s="2">
        <f>Q12/'Output-Calculation-sheet'!Q11*'Output-Calculation-sheet'!Q101</f>
        <v>671923452.45628226</v>
      </c>
      <c r="R122" s="2">
        <f>R12/'Output-Calculation-sheet'!R11*'Output-Calculation-sheet'!R101</f>
        <v>0</v>
      </c>
      <c r="S122" s="2">
        <f>S12/'Output-Calculation-sheet'!S11*'Output-Calculation-sheet'!S101</f>
        <v>2208348432.1513405</v>
      </c>
      <c r="T122" s="2">
        <f>T12/'Output-Calculation-sheet'!T11*'Output-Calculation-sheet'!T101</f>
        <v>0</v>
      </c>
      <c r="U122" s="2">
        <f>U12/'Output-Calculation-sheet'!U11*'Output-Calculation-sheet'!U101</f>
        <v>32624651.416418009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76520827.106259301</v>
      </c>
      <c r="Y122" s="2">
        <f>Y12/'Output-Calculation-sheet'!Y11*'Output-Calculation-sheet'!Y101</f>
        <v>118514082.79753208</v>
      </c>
      <c r="AA122" s="2">
        <f t="shared" si="10"/>
        <v>57636.115698212932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45328181933.47847</v>
      </c>
      <c r="C129" s="2">
        <f>C8/'Output-Calculation-sheet'!C7*'Output-Calculation-sheet'!C106</f>
        <v>0</v>
      </c>
      <c r="D129" s="2">
        <f>D8/'Output-Calculation-sheet'!D7*'Output-Calculation-sheet'!D106</f>
        <v>19598986740.433678</v>
      </c>
      <c r="E129" s="2">
        <f>E8/'Output-Calculation-sheet'!E7*'Output-Calculation-sheet'!E106</f>
        <v>15549825338.389858</v>
      </c>
      <c r="F129" s="2">
        <f>F8/'Output-Calculation-sheet'!F7*'Output-Calculation-sheet'!F106</f>
        <v>10009977011.925207</v>
      </c>
      <c r="G129" s="2">
        <f>G8/'Output-Calculation-sheet'!G7*'Output-Calculation-sheet'!G106</f>
        <v>7033300821.8797665</v>
      </c>
      <c r="H129" s="2">
        <f>H8/'Output-Calculation-sheet'!H7*'Output-Calculation-sheet'!H106</f>
        <v>0</v>
      </c>
      <c r="I129" s="2">
        <f>I8/'Output-Calculation-sheet'!I7*'Output-Calculation-sheet'!I106</f>
        <v>6407875797.0208464</v>
      </c>
      <c r="J129" s="2">
        <f>J8/'Output-Calculation-sheet'!J7*'Output-Calculation-sheet'!J106</f>
        <v>6236965223.3203049</v>
      </c>
      <c r="K129" s="2">
        <f>K8/'Output-Calculation-sheet'!K7*'Output-Calculation-sheet'!K106</f>
        <v>6177181150.7882624</v>
      </c>
      <c r="L129" s="2">
        <f>L8/'Output-Calculation-sheet'!L7*'Output-Calculation-sheet'!L106</f>
        <v>4955426766.209548</v>
      </c>
      <c r="M129" s="2">
        <f>M8/'Output-Calculation-sheet'!M7*'Output-Calculation-sheet'!M106</f>
        <v>0</v>
      </c>
      <c r="N129" s="2">
        <f>N8/'Output-Calculation-sheet'!N7*'Output-Calculation-sheet'!N106</f>
        <v>3061648513.4439845</v>
      </c>
      <c r="O129" s="2">
        <f>O8/'Output-Calculation-sheet'!O7*'Output-Calculation-sheet'!O106</f>
        <v>0</v>
      </c>
      <c r="P129" s="2">
        <f>P8/'Output-Calculation-sheet'!P7*'Output-Calculation-sheet'!P106</f>
        <v>4229222845.5759339</v>
      </c>
      <c r="Q129" s="2">
        <f>Q8/'Output-Calculation-sheet'!Q7*'Output-Calculation-sheet'!Q106</f>
        <v>4160864022.9729605</v>
      </c>
      <c r="R129" s="2">
        <f>R8/'Output-Calculation-sheet'!R7*'Output-Calculation-sheet'!R106</f>
        <v>4002950697.723248</v>
      </c>
      <c r="S129" s="2">
        <f>S8/'Output-Calculation-sheet'!S7*'Output-Calculation-sheet'!S106</f>
        <v>2185804509.0014939</v>
      </c>
      <c r="T129" s="2">
        <f>T8/'Output-Calculation-sheet'!T7*'Output-Calculation-sheet'!T106</f>
        <v>1471440171.6579118</v>
      </c>
      <c r="U129" s="2">
        <f>U8/'Output-Calculation-sheet'!U7*'Output-Calculation-sheet'!U106</f>
        <v>1281576381.7796686</v>
      </c>
      <c r="V129" s="2">
        <f>V8/'Output-Calculation-sheet'!V7*'Output-Calculation-sheet'!V106</f>
        <v>986835176.05929768</v>
      </c>
      <c r="W129" s="2">
        <f>W8/'Output-Calculation-sheet'!W7*'Output-Calculation-sheet'!W106</f>
        <v>854387278.014606</v>
      </c>
      <c r="X129" s="2">
        <f>X8/'Output-Calculation-sheet'!X7*'Output-Calculation-sheet'!X106</f>
        <v>0</v>
      </c>
      <c r="Y129" s="2">
        <f>Y8/'Output-Calculation-sheet'!Y7*'Output-Calculation-sheet'!Y106</f>
        <v>498527507.2435227</v>
      </c>
      <c r="AA129" s="2">
        <f t="shared" si="11"/>
        <v>144030.97788691855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2.9509522622872491E-8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3100713677.5745144</v>
      </c>
      <c r="O130" s="2">
        <f>O9/'Output-Calculation-sheet'!O8*'Output-Calculation-sheet'!O107</f>
        <v>0</v>
      </c>
      <c r="P130" s="2">
        <f>P9/'Output-Calculation-sheet'!P8*'Output-Calculation-sheet'!P107</f>
        <v>5412875202.80229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2552171238.1718493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179374.91305432149</v>
      </c>
    </row>
    <row r="131" spans="1:27" x14ac:dyDescent="0.25">
      <c r="A131" s="2">
        <v>2033</v>
      </c>
      <c r="B131" s="2">
        <f>B10/'Output-Calculation-sheet'!B9*'Output-Calculation-sheet'!B108</f>
        <v>54867205569.126236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2739652327.9146662</v>
      </c>
      <c r="O131" s="2">
        <f>O10/'Output-Calculation-sheet'!O9*'Output-Calculation-sheet'!O108</f>
        <v>0</v>
      </c>
      <c r="P131" s="2">
        <f>P10/'Output-Calculation-sheet'!P9*'Output-Calculation-sheet'!P108</f>
        <v>6203612052.1031113</v>
      </c>
      <c r="Q131" s="2">
        <f>Q10/'Output-Calculation-sheet'!Q9*'Output-Calculation-sheet'!Q108</f>
        <v>5970052886.7260618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2261245775.4220929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196826.72034897699</v>
      </c>
    </row>
    <row r="132" spans="1:27" x14ac:dyDescent="0.25">
      <c r="A132" s="2">
        <v>2034</v>
      </c>
      <c r="B132" s="2">
        <f>B11/'Output-Calculation-sheet'!B10*'Output-Calculation-sheet'!B109</f>
        <v>43184327658.506699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23111772791.504753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9501638118.3797226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7074975743.4525404</v>
      </c>
      <c r="M132" s="2">
        <f>M11/'Output-Calculation-sheet'!M10*'Output-Calculation-sheet'!M109</f>
        <v>0</v>
      </c>
      <c r="N132" s="2">
        <f>N11/'Output-Calculation-sheet'!N10*'Output-Calculation-sheet'!N109</f>
        <v>2150957418.7105727</v>
      </c>
      <c r="O132" s="2">
        <f>O11/'Output-Calculation-sheet'!O10*'Output-Calculation-sheet'!O109</f>
        <v>0</v>
      </c>
      <c r="P132" s="2">
        <f>P11/'Output-Calculation-sheet'!P10*'Output-Calculation-sheet'!P109</f>
        <v>6442481653.6540012</v>
      </c>
      <c r="Q132" s="2">
        <f>Q11/'Output-Calculation-sheet'!Q10*'Output-Calculation-sheet'!Q109</f>
        <v>5391195459.7809448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1625833593.0962698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727831685.69271719</v>
      </c>
      <c r="AA132" s="2">
        <f t="shared" si="11"/>
        <v>187304.94738084398</v>
      </c>
    </row>
    <row r="133" spans="1:27" x14ac:dyDescent="0.25">
      <c r="A133" s="2">
        <v>2035</v>
      </c>
      <c r="B133" s="2">
        <f>B12/'Output-Calculation-sheet'!B11*'Output-Calculation-sheet'!B110</f>
        <v>33864760574.821693</v>
      </c>
      <c r="C133" s="2">
        <f>C12/'Output-Calculation-sheet'!C11*'Output-Calculation-sheet'!C110</f>
        <v>0</v>
      </c>
      <c r="D133" s="2">
        <f>D12/'Output-Calculation-sheet'!D11*'Output-Calculation-sheet'!D110</f>
        <v>25433619938.067539</v>
      </c>
      <c r="E133" s="2">
        <f>E12/'Output-Calculation-sheet'!E11*'Output-Calculation-sheet'!E110</f>
        <v>19272881146.749969</v>
      </c>
      <c r="F133" s="2">
        <f>F12/'Output-Calculation-sheet'!F11*'Output-Calculation-sheet'!F110</f>
        <v>13715610220.785704</v>
      </c>
      <c r="G133" s="2">
        <f>G12/'Output-Calculation-sheet'!G11*'Output-Calculation-sheet'!G110</f>
        <v>9506511676.5710354</v>
      </c>
      <c r="H133" s="2">
        <f>H12/'Output-Calculation-sheet'!H11*'Output-Calculation-sheet'!H110</f>
        <v>0</v>
      </c>
      <c r="I133" s="2">
        <f>I12/'Output-Calculation-sheet'!I11*'Output-Calculation-sheet'!I110</f>
        <v>8581268234.3880434</v>
      </c>
      <c r="J133" s="2">
        <f>J12/'Output-Calculation-sheet'!J11*'Output-Calculation-sheet'!J110</f>
        <v>8265518108.8539915</v>
      </c>
      <c r="K133" s="2">
        <f>K12/'Output-Calculation-sheet'!K11*'Output-Calculation-sheet'!K110</f>
        <v>8176040149.3949337</v>
      </c>
      <c r="L133" s="2">
        <f>L12/'Output-Calculation-sheet'!L11*'Output-Calculation-sheet'!L110</f>
        <v>6011817877.7397156</v>
      </c>
      <c r="M133" s="2">
        <f>M12/'Output-Calculation-sheet'!M11*'Output-Calculation-sheet'!M110</f>
        <v>0</v>
      </c>
      <c r="N133" s="2">
        <f>N12/'Output-Calculation-sheet'!N11*'Output-Calculation-sheet'!N110</f>
        <v>1841523258.6967871</v>
      </c>
      <c r="O133" s="2">
        <f>O12/'Output-Calculation-sheet'!O11*'Output-Calculation-sheet'!O110</f>
        <v>0</v>
      </c>
      <c r="P133" s="2">
        <f>P12/'Output-Calculation-sheet'!P11*'Output-Calculation-sheet'!P110</f>
        <v>5648678381.2839994</v>
      </c>
      <c r="Q133" s="2">
        <f>Q12/'Output-Calculation-sheet'!Q11*'Output-Calculation-sheet'!Q110</f>
        <v>4507065588.8292418</v>
      </c>
      <c r="R133" s="2">
        <f>R12/'Output-Calculation-sheet'!R11*'Output-Calculation-sheet'!R110</f>
        <v>5438321145.5205383</v>
      </c>
      <c r="S133" s="2">
        <f>S12/'Output-Calculation-sheet'!S11*'Output-Calculation-sheet'!S110</f>
        <v>1284492806.103291</v>
      </c>
      <c r="T133" s="2">
        <f>T12/'Output-Calculation-sheet'!T11*'Output-Calculation-sheet'!T110</f>
        <v>2042138743.2273536</v>
      </c>
      <c r="U133" s="2">
        <f>U12/'Output-Calculation-sheet'!U11*'Output-Calculation-sheet'!U110</f>
        <v>1657917148.1291835</v>
      </c>
      <c r="V133" s="2">
        <f>V12/'Output-Calculation-sheet'!V11*'Output-Calculation-sheet'!V110</f>
        <v>1374828287.4377122</v>
      </c>
      <c r="W133" s="2">
        <f>W12/'Output-Calculation-sheet'!W11*'Output-Calculation-sheet'!W110</f>
        <v>1207203101.7588904</v>
      </c>
      <c r="X133" s="2">
        <f>X12/'Output-Calculation-sheet'!X11*'Output-Calculation-sheet'!X110</f>
        <v>657263.94544090773</v>
      </c>
      <c r="Y133" s="2">
        <f>Y12/'Output-Calculation-sheet'!Y11*'Output-Calculation-sheet'!Y110</f>
        <v>574636403.13644218</v>
      </c>
      <c r="AA133" s="2">
        <f t="shared" si="11"/>
        <v>158405.49005544154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10967084371.807087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2172103963.1489959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254938866.92635375</v>
      </c>
      <c r="Y140" s="2">
        <f>Y8/'Output-Calculation-sheet'!Y7*'Output-Calculation-sheet'!Y115</f>
        <v>0</v>
      </c>
      <c r="AA140" s="2">
        <f t="shared" si="12"/>
        <v>13394.127201882437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19862371495.025433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322893087.89336073</v>
      </c>
      <c r="Y141" s="2">
        <f>Y9/'Output-Calculation-sheet'!Y8*'Output-Calculation-sheet'!Y116</f>
        <v>0</v>
      </c>
      <c r="AA141" s="2">
        <f t="shared" si="12"/>
        <v>20185.264582918793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24397690519.97226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305426654.27695453</v>
      </c>
      <c r="Y142" s="2">
        <f>Y10/'Output-Calculation-sheet'!Y9*'Output-Calculation-sheet'!Y117</f>
        <v>0</v>
      </c>
      <c r="AA142" s="2">
        <f t="shared" si="12"/>
        <v>24703.117174249215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26568116097.377636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27003.60523595992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31337819988.246342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654528352.24413884</v>
      </c>
      <c r="Y144" s="2">
        <f>Y12/'Output-Calculation-sheet'!Y11*'Output-Calculation-sheet'!Y119</f>
        <v>0</v>
      </c>
      <c r="AA144" s="2">
        <f t="shared" si="12"/>
        <v>31992.348340490484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46663120639.747238</v>
      </c>
      <c r="C151" s="2">
        <f>C8/'Output-Calculation-sheet'!C7*'Output-Calculation-sheet'!C124</f>
        <v>21990049574.581165</v>
      </c>
      <c r="D151" s="2">
        <f>D8/'Output-Calculation-sheet'!D7*'Output-Calculation-sheet'!D124</f>
        <v>19598986740.433678</v>
      </c>
      <c r="E151" s="2">
        <f>E8/'Output-Calculation-sheet'!E7*'Output-Calculation-sheet'!E124</f>
        <v>15549825338.389858</v>
      </c>
      <c r="F151" s="2">
        <f>F8/'Output-Calculation-sheet'!F7*'Output-Calculation-sheet'!F124</f>
        <v>10009977011.925207</v>
      </c>
      <c r="G151" s="2">
        <f>G8/'Output-Calculation-sheet'!G7*'Output-Calculation-sheet'!G124</f>
        <v>7033300821.8797665</v>
      </c>
      <c r="H151" s="2">
        <f>H8/'Output-Calculation-sheet'!H7*'Output-Calculation-sheet'!H124</f>
        <v>6860722914.9797287</v>
      </c>
      <c r="I151" s="2">
        <f>I8/'Output-Calculation-sheet'!I7*'Output-Calculation-sheet'!I124</f>
        <v>6407875797.0208464</v>
      </c>
      <c r="J151" s="2">
        <f>J8/'Output-Calculation-sheet'!J7*'Output-Calculation-sheet'!J124</f>
        <v>6236965223.3203049</v>
      </c>
      <c r="K151" s="2">
        <f>K8/'Output-Calculation-sheet'!K7*'Output-Calculation-sheet'!K124</f>
        <v>6177181150.7882624</v>
      </c>
      <c r="L151" s="2">
        <f>L8/'Output-Calculation-sheet'!L7*'Output-Calculation-sheet'!L124</f>
        <v>4955426766.209548</v>
      </c>
      <c r="M151" s="2">
        <f>M8/'Output-Calculation-sheet'!M7*'Output-Calculation-sheet'!M124</f>
        <v>4733297053.2488546</v>
      </c>
      <c r="N151" s="2">
        <f>N8/'Output-Calculation-sheet'!N7*'Output-Calculation-sheet'!N124</f>
        <v>4645709293.7001514</v>
      </c>
      <c r="O151" s="2">
        <f>O8/'Output-Calculation-sheet'!O7*'Output-Calculation-sheet'!O124</f>
        <v>4553562355.0660172</v>
      </c>
      <c r="P151" s="2">
        <f>P8/'Output-Calculation-sheet'!P7*'Output-Calculation-sheet'!P124</f>
        <v>4229222845.5759339</v>
      </c>
      <c r="Q151" s="2">
        <f>Q8/'Output-Calculation-sheet'!Q7*'Output-Calculation-sheet'!Q124</f>
        <v>4160864022.9729605</v>
      </c>
      <c r="R151" s="2">
        <f>R8/'Output-Calculation-sheet'!R7*'Output-Calculation-sheet'!R124</f>
        <v>4002950697.723248</v>
      </c>
      <c r="S151" s="2">
        <f>S8/'Output-Calculation-sheet'!S7*'Output-Calculation-sheet'!S124</f>
        <v>2660559811.6305537</v>
      </c>
      <c r="T151" s="2">
        <f>T8/'Output-Calculation-sheet'!T7*'Output-Calculation-sheet'!T124</f>
        <v>1471440171.6579118</v>
      </c>
      <c r="U151" s="2">
        <f>U8/'Output-Calculation-sheet'!U7*'Output-Calculation-sheet'!U124</f>
        <v>1281576381.7796686</v>
      </c>
      <c r="V151" s="2">
        <f>V8/'Output-Calculation-sheet'!V7*'Output-Calculation-sheet'!V124</f>
        <v>986835176.05929768</v>
      </c>
      <c r="W151" s="2">
        <f>W8/'Output-Calculation-sheet'!W7*'Output-Calculation-sheet'!W124</f>
        <v>854387278.014606</v>
      </c>
      <c r="X151" s="2">
        <f>X8/'Output-Calculation-sheet'!X7*'Output-Calculation-sheet'!X124</f>
        <v>512629649.00961971</v>
      </c>
      <c r="Y151" s="2">
        <f>Y8/'Output-Calculation-sheet'!Y7*'Output-Calculation-sheet'!Y124</f>
        <v>498527507.2435227</v>
      </c>
      <c r="AA151" s="2">
        <f t="shared" si="13"/>
        <v>186074.9942229579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16886835980.344822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6133620569.5227394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145529.51428427568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5764307348.8860826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94524.094068363862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1818916267.6522214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1103599032.7378869</v>
      </c>
      <c r="N154" s="2">
        <f>N11/'Output-Calculation-sheet'!N10*'Output-Calculation-sheet'!N127</f>
        <v>1093989492.7495382</v>
      </c>
      <c r="O154" s="2">
        <f>O11/'Output-Calculation-sheet'!O10*'Output-Calculation-sheet'!O127</f>
        <v>4997723974.3120823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1327482245.3137112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590124904.84302831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45419.088913255582</v>
      </c>
    </row>
    <row r="155" spans="1:27" x14ac:dyDescent="0.25">
      <c r="A155" s="2">
        <v>2035</v>
      </c>
      <c r="B155" s="2">
        <f>B12/'Output-Calculation-sheet'!B11*'Output-Calculation-sheet'!B128</f>
        <v>5753384490.99578</v>
      </c>
      <c r="C155" s="2">
        <f>C12/'Output-Calculation-sheet'!C11*'Output-Calculation-sheet'!C128</f>
        <v>42117118.395978607</v>
      </c>
      <c r="D155" s="2">
        <f>D12/'Output-Calculation-sheet'!D11*'Output-Calculation-sheet'!D128</f>
        <v>3423933069.5301843</v>
      </c>
      <c r="E155" s="2">
        <f>E12/'Output-Calculation-sheet'!E11*'Output-Calculation-sheet'!E128</f>
        <v>1553522384.1593385</v>
      </c>
      <c r="F155" s="2">
        <f>F12/'Output-Calculation-sheet'!F11*'Output-Calculation-sheet'!F128</f>
        <v>986282917.49235106</v>
      </c>
      <c r="G155" s="2">
        <f>G12/'Output-Calculation-sheet'!G11*'Output-Calculation-sheet'!G128</f>
        <v>881836500.28831565</v>
      </c>
      <c r="H155" s="2">
        <f>H12/'Output-Calculation-sheet'!H11*'Output-Calculation-sheet'!H128</f>
        <v>1407290005.4910216</v>
      </c>
      <c r="I155" s="2">
        <f>I12/'Output-Calculation-sheet'!I11*'Output-Calculation-sheet'!I128</f>
        <v>879553326.00157309</v>
      </c>
      <c r="J155" s="2">
        <f>J12/'Output-Calculation-sheet'!J11*'Output-Calculation-sheet'!J128</f>
        <v>840776048.8342098</v>
      </c>
      <c r="K155" s="2">
        <f>K12/'Output-Calculation-sheet'!K11*'Output-Calculation-sheet'!K128</f>
        <v>956018387.03767908</v>
      </c>
      <c r="L155" s="2">
        <f>L12/'Output-Calculation-sheet'!L11*'Output-Calculation-sheet'!L128</f>
        <v>693892696.32296979</v>
      </c>
      <c r="M155" s="2">
        <f>M12/'Output-Calculation-sheet'!M11*'Output-Calculation-sheet'!M128</f>
        <v>856982677.45980036</v>
      </c>
      <c r="N155" s="2">
        <f>N12/'Output-Calculation-sheet'!N11*'Output-Calculation-sheet'!N128</f>
        <v>834462478.08835661</v>
      </c>
      <c r="O155" s="2">
        <f>O12/'Output-Calculation-sheet'!O11*'Output-Calculation-sheet'!O128</f>
        <v>3890588605.0381722</v>
      </c>
      <c r="P155" s="2">
        <f>P12/'Output-Calculation-sheet'!P11*'Output-Calculation-sheet'!P128</f>
        <v>460660589.79473239</v>
      </c>
      <c r="Q155" s="2">
        <f>Q12/'Output-Calculation-sheet'!Q11*'Output-Calculation-sheet'!Q128</f>
        <v>1030344240.3880106</v>
      </c>
      <c r="R155" s="2">
        <f>R12/'Output-Calculation-sheet'!R11*'Output-Calculation-sheet'!R128</f>
        <v>444419154.23390329</v>
      </c>
      <c r="S155" s="2">
        <f>S12/'Output-Calculation-sheet'!S11*'Output-Calculation-sheet'!S128</f>
        <v>445526988.62381554</v>
      </c>
      <c r="T155" s="2">
        <f>T12/'Output-Calculation-sheet'!T11*'Output-Calculation-sheet'!T128</f>
        <v>106291945.02339657</v>
      </c>
      <c r="U155" s="2">
        <f>U12/'Output-Calculation-sheet'!U11*'Output-Calculation-sheet'!U128</f>
        <v>205689315.73675486</v>
      </c>
      <c r="V155" s="2">
        <f>V12/'Output-Calculation-sheet'!V11*'Output-Calculation-sheet'!V128</f>
        <v>51286323.16259966</v>
      </c>
      <c r="W155" s="2">
        <f>W12/'Output-Calculation-sheet'!W11*'Output-Calculation-sheet'!W128</f>
        <v>47652928.419174612</v>
      </c>
      <c r="X155" s="2">
        <f>X12/'Output-Calculation-sheet'!X11*'Output-Calculation-sheet'!X128</f>
        <v>5862835.9328180766</v>
      </c>
      <c r="Y155" s="2">
        <f>Y12/'Output-Calculation-sheet'!Y11*'Output-Calculation-sheet'!Y128</f>
        <v>51259150.106684051</v>
      </c>
      <c r="AA155" s="2">
        <f t="shared" si="13"/>
        <v>25849.634176557625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1057.7968590920318</v>
      </c>
      <c r="C19" s="2">
        <f>C8/'Output-Calculation-sheet'!C7*'Output-Calculation-sheet'!C25</f>
        <v>7542.1565818777535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4752.6510712043173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3299.0007067158845</v>
      </c>
      <c r="N19" s="2">
        <f>N8/'Output-Calculation-sheet'!N7*'Output-Calculation-sheet'!N25</f>
        <v>1128.0236053427589</v>
      </c>
      <c r="O19" s="2">
        <f>O8/'Output-Calculation-sheet'!O7*'Output-Calculation-sheet'!O25</f>
        <v>1230.5167808154918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402.8852512162166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174.16601492810111</v>
      </c>
      <c r="Y19" s="2">
        <f>Y8/'Output-Calculation-sheet'!Y7*'Output-Calculation-sheet'!Y25</f>
        <v>0</v>
      </c>
      <c r="AA19" s="2">
        <f t="shared" si="0"/>
        <v>19.58719687119255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5694.5739776320743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6418.7851069392736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4460.1562738608582</v>
      </c>
      <c r="N20" s="2">
        <f>N9/'Output-Calculation-sheet'!N8*'Output-Calculation-sheet'!N26</f>
        <v>2009.37878014647</v>
      </c>
      <c r="O20" s="2">
        <f>O9/'Output-Calculation-sheet'!O8*'Output-Calculation-sheet'!O26</f>
        <v>2120.1095957771872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730.3703936451476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238.34460332691793</v>
      </c>
      <c r="Y20" s="2">
        <f>Y9/'Output-Calculation-sheet'!Y8*'Output-Calculation-sheet'!Y26</f>
        <v>0</v>
      </c>
      <c r="AA20" s="2">
        <f t="shared" si="0"/>
        <v>27.571374072970492</v>
      </c>
    </row>
    <row r="21" spans="1:27" x14ac:dyDescent="0.25">
      <c r="A21" s="2">
        <v>2033</v>
      </c>
      <c r="B21" s="2">
        <f>B10/'Output-Calculation-sheet'!B9*'Output-Calculation-sheet'!B27</f>
        <v>13922.785740580477</v>
      </c>
      <c r="C21" s="2">
        <f>C10/'Output-Calculation-sheet'!C9*'Output-Calculation-sheet'!C27</f>
        <v>5774.27869013907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8071.9358576114028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5607.6187647120287</v>
      </c>
      <c r="N21" s="2">
        <f>N10/'Output-Calculation-sheet'!N9*'Output-Calculation-sheet'!N27</f>
        <v>3059.07789910053</v>
      </c>
      <c r="O21" s="2">
        <f>O10/'Output-Calculation-sheet'!O9*'Output-Calculation-sheet'!O27</f>
        <v>2396.9553524563971</v>
      </c>
      <c r="P21" s="2">
        <f>P10/'Output-Calculation-sheet'!P9*'Output-Calculation-sheet'!P27</f>
        <v>0</v>
      </c>
      <c r="Q21" s="2">
        <f>Q10/'Output-Calculation-sheet'!Q9*'Output-Calculation-sheet'!Q27</f>
        <v>208.76042934766247</v>
      </c>
      <c r="R21" s="2">
        <f>R10/'Output-Calculation-sheet'!R9*'Output-Calculation-sheet'!R27</f>
        <v>0</v>
      </c>
      <c r="S21" s="2">
        <f>S10/'Output-Calculation-sheet'!S9*'Output-Calculation-sheet'!S27</f>
        <v>1333.543504682282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355.39815371044392</v>
      </c>
      <c r="Y21" s="2">
        <f>Y10/'Output-Calculation-sheet'!Y9*'Output-Calculation-sheet'!Y27</f>
        <v>0</v>
      </c>
      <c r="AA21" s="2">
        <f t="shared" si="0"/>
        <v>40.730354392340288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5759.8002529984115</v>
      </c>
      <c r="D22" s="2">
        <f>D11/'Output-Calculation-sheet'!D10*'Output-Calculation-sheet'!D28</f>
        <v>0</v>
      </c>
      <c r="E22" s="2">
        <f>E11/'Output-Calculation-sheet'!E10*'Output-Calculation-sheet'!E28</f>
        <v>1374.389375220876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10012.594926276444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824.03944651008737</v>
      </c>
      <c r="M22" s="2">
        <f>M11/'Output-Calculation-sheet'!M10*'Output-Calculation-sheet'!M28</f>
        <v>7280.3472343309795</v>
      </c>
      <c r="N22" s="2">
        <f>N11/'Output-Calculation-sheet'!N10*'Output-Calculation-sheet'!N28</f>
        <v>4193.4030668877012</v>
      </c>
      <c r="O22" s="2">
        <f>O11/'Output-Calculation-sheet'!O10*'Output-Calculation-sheet'!O28</f>
        <v>2663.7656663699477</v>
      </c>
      <c r="P22" s="2">
        <f>P11/'Output-Calculation-sheet'!P10*'Output-Calculation-sheet'!P28</f>
        <v>0</v>
      </c>
      <c r="Q22" s="2">
        <f>Q11/'Output-Calculation-sheet'!Q10*'Output-Calculation-sheet'!Q28</f>
        <v>978.3330348829403</v>
      </c>
      <c r="R22" s="2">
        <f>R11/'Output-Calculation-sheet'!R10*'Output-Calculation-sheet'!R28</f>
        <v>0</v>
      </c>
      <c r="S22" s="2">
        <f>S11/'Output-Calculation-sheet'!S10*'Output-Calculation-sheet'!S28</f>
        <v>2175.7722561522824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75.040909323983584</v>
      </c>
      <c r="AA22" s="2">
        <f t="shared" si="0"/>
        <v>62.702603493242343</v>
      </c>
    </row>
    <row r="23" spans="1:27" x14ac:dyDescent="0.25">
      <c r="A23" s="2">
        <v>2035</v>
      </c>
      <c r="B23" s="2">
        <f>B12/'Output-Calculation-sheet'!B11*'Output-Calculation-sheet'!B29</f>
        <v>33070.72404369148</v>
      </c>
      <c r="C23" s="2">
        <f>C12/'Output-Calculation-sheet'!C11*'Output-Calculation-sheet'!C29</f>
        <v>171.15252162387515</v>
      </c>
      <c r="D23" s="2">
        <f>D12/'Output-Calculation-sheet'!D11*'Output-Calculation-sheet'!D29</f>
        <v>0</v>
      </c>
      <c r="E23" s="2">
        <f>E12/'Output-Calculation-sheet'!E11*'Output-Calculation-sheet'!E29</f>
        <v>5029.5437923413456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10222.038946659684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1131.9009577646655</v>
      </c>
      <c r="M23" s="2">
        <f>M12/'Output-Calculation-sheet'!M11*'Output-Calculation-sheet'!M29</f>
        <v>7445.7831183557255</v>
      </c>
      <c r="N23" s="2">
        <f>N12/'Output-Calculation-sheet'!N11*'Output-Calculation-sheet'!N29</f>
        <v>4323.41131585929</v>
      </c>
      <c r="O23" s="2">
        <f>O12/'Output-Calculation-sheet'!O11*'Output-Calculation-sheet'!O29</f>
        <v>2979.5389306148254</v>
      </c>
      <c r="P23" s="2">
        <f>P12/'Output-Calculation-sheet'!P11*'Output-Calculation-sheet'!P29</f>
        <v>520.08993491565616</v>
      </c>
      <c r="Q23" s="2">
        <f>Q12/'Output-Calculation-sheet'!Q11*'Output-Calculation-sheet'!Q29</f>
        <v>1158.677143135295</v>
      </c>
      <c r="R23" s="2">
        <f>R12/'Output-Calculation-sheet'!R11*'Output-Calculation-sheet'!R29</f>
        <v>0</v>
      </c>
      <c r="S23" s="2">
        <f>S12/'Output-Calculation-sheet'!S11*'Output-Calculation-sheet'!S29</f>
        <v>2348.5573395050042</v>
      </c>
      <c r="T23" s="2">
        <f>T12/'Output-Calculation-sheet'!T11*'Output-Calculation-sheet'!T29</f>
        <v>0</v>
      </c>
      <c r="U23" s="2">
        <f>U12/'Output-Calculation-sheet'!U11*'Output-Calculation-sheet'!U29</f>
        <v>103.40884362521138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76.718671793388253</v>
      </c>
      <c r="Y23" s="2">
        <f>Y12/'Output-Calculation-sheet'!Y11*'Output-Calculation-sheet'!Y29</f>
        <v>220.94772254218944</v>
      </c>
      <c r="AA23" s="2">
        <f t="shared" si="0"/>
        <v>68.802493282427633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18438.456855789398</v>
      </c>
      <c r="C30" s="2">
        <f>C8/'Output-Calculation-sheet'!C7*'Output-Calculation-sheet'!C16</f>
        <v>0</v>
      </c>
      <c r="D30" s="2">
        <f>D8/'Output-Calculation-sheet'!D7*'Output-Calculation-sheet'!D16</f>
        <v>3104.7692391743367</v>
      </c>
      <c r="E30" s="2">
        <f>E8/'Output-Calculation-sheet'!E7*'Output-Calculation-sheet'!E16</f>
        <v>3340.5605808067535</v>
      </c>
      <c r="F30" s="2">
        <f>F8/'Output-Calculation-sheet'!F7*'Output-Calculation-sheet'!F16</f>
        <v>1685.3581296526913</v>
      </c>
      <c r="G30" s="2">
        <f>G8/'Output-Calculation-sheet'!G7*'Output-Calculation-sheet'!G16</f>
        <v>1103.6947238449516</v>
      </c>
      <c r="H30" s="2">
        <f>H8/'Output-Calculation-sheet'!H7*'Output-Calculation-sheet'!H16</f>
        <v>0</v>
      </c>
      <c r="I30" s="2">
        <f>I8/'Output-Calculation-sheet'!I7*'Output-Calculation-sheet'!I16</f>
        <v>1075.9502444901477</v>
      </c>
      <c r="J30" s="2">
        <f>J8/'Output-Calculation-sheet'!J7*'Output-Calculation-sheet'!J16</f>
        <v>957.78941860738382</v>
      </c>
      <c r="K30" s="2">
        <f>K8/'Output-Calculation-sheet'!K7*'Output-Calculation-sheet'!K16</f>
        <v>1278.833053389598</v>
      </c>
      <c r="L30" s="2">
        <f>L8/'Output-Calculation-sheet'!L7*'Output-Calculation-sheet'!L16</f>
        <v>1080.1989375757162</v>
      </c>
      <c r="M30" s="2">
        <f>M8/'Output-Calculation-sheet'!M7*'Output-Calculation-sheet'!M16</f>
        <v>0</v>
      </c>
      <c r="N30" s="2">
        <f>N8/'Output-Calculation-sheet'!N7*'Output-Calculation-sheet'!N16</f>
        <v>1535.4808139874042</v>
      </c>
      <c r="O30" s="2">
        <f>O8/'Output-Calculation-sheet'!O7*'Output-Calculation-sheet'!O16</f>
        <v>0</v>
      </c>
      <c r="P30" s="2">
        <f>P8/'Output-Calculation-sheet'!P7*'Output-Calculation-sheet'!P16</f>
        <v>1379.0136952273808</v>
      </c>
      <c r="Q30" s="2">
        <f>Q8/'Output-Calculation-sheet'!Q7*'Output-Calculation-sheet'!Q16</f>
        <v>1516.4666793002359</v>
      </c>
      <c r="R30" s="2">
        <f>R8/'Output-Calculation-sheet'!R7*'Output-Calculation-sheet'!R16</f>
        <v>962.20352691871278</v>
      </c>
      <c r="S30" s="2">
        <f>S8/'Output-Calculation-sheet'!S7*'Output-Calculation-sheet'!S16</f>
        <v>967.69602252302377</v>
      </c>
      <c r="T30" s="2">
        <f>T8/'Output-Calculation-sheet'!T7*'Output-Calculation-sheet'!T16</f>
        <v>288.83787199164829</v>
      </c>
      <c r="U30" s="2">
        <f>U8/'Output-Calculation-sheet'!U7*'Output-Calculation-sheet'!U16</f>
        <v>288.32289970319101</v>
      </c>
      <c r="V30" s="2">
        <f>V8/'Output-Calculation-sheet'!V7*'Output-Calculation-sheet'!V16</f>
        <v>224.39525774949925</v>
      </c>
      <c r="W30" s="2">
        <f>W8/'Output-Calculation-sheet'!W7*'Output-Calculation-sheet'!W16</f>
        <v>136.10872317331479</v>
      </c>
      <c r="X30" s="2">
        <f>X8/'Output-Calculation-sheet'!X7*'Output-Calculation-sheet'!X16</f>
        <v>0</v>
      </c>
      <c r="Y30" s="2">
        <f>Y8/'Output-Calculation-sheet'!Y7*'Output-Calculation-sheet'!Y16</f>
        <v>115.19850316570455</v>
      </c>
      <c r="AA30" s="2">
        <f t="shared" si="1"/>
        <v>39.479335177071086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1710.9573857218079</v>
      </c>
      <c r="O31" s="2">
        <f>O9/'Output-Calculation-sheet'!O8*'Output-Calculation-sheet'!O17</f>
        <v>0</v>
      </c>
      <c r="P31" s="2">
        <f>P9/'Output-Calculation-sheet'!P8*'Output-Calculation-sheet'!P17</f>
        <v>2118.2295816468954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1272.2895595576956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54.400314988524279</v>
      </c>
    </row>
    <row r="32" spans="1:27" x14ac:dyDescent="0.25">
      <c r="A32" s="2">
        <v>2033</v>
      </c>
      <c r="B32" s="2">
        <f>B10/'Output-Calculation-sheet'!B9*'Output-Calculation-sheet'!B18</f>
        <v>28348.75684238437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2700.0860173502238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1736.526643081261</v>
      </c>
      <c r="O32" s="2">
        <f>O10/'Output-Calculation-sheet'!O9*'Output-Calculation-sheet'!O18</f>
        <v>0</v>
      </c>
      <c r="P32" s="2">
        <f>P10/'Output-Calculation-sheet'!P9*'Output-Calculation-sheet'!P18</f>
        <v>2778.9931273529319</v>
      </c>
      <c r="Q32" s="2">
        <f>Q10/'Output-Calculation-sheet'!Q9*'Output-Calculation-sheet'!Q18</f>
        <v>3026.424660152295</v>
      </c>
      <c r="R32" s="2">
        <f>R10/'Output-Calculation-sheet'!R9*'Output-Calculation-sheet'!R18</f>
        <v>1995.5951546552669</v>
      </c>
      <c r="S32" s="2">
        <f>S10/'Output-Calculation-sheet'!S9*'Output-Calculation-sheet'!S18</f>
        <v>1306.8897551066382</v>
      </c>
      <c r="T32" s="2">
        <f>T10/'Output-Calculation-sheet'!T9*'Output-Calculation-sheet'!T18</f>
        <v>582.65016924069948</v>
      </c>
      <c r="U32" s="2">
        <f>U10/'Output-Calculation-sheet'!U9*'Output-Calculation-sheet'!U18</f>
        <v>644.12029350125431</v>
      </c>
      <c r="V32" s="2">
        <f>V10/'Output-Calculation-sheet'!V9*'Output-Calculation-sheet'!V18</f>
        <v>475.42655657124044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275.24767696438312</v>
      </c>
      <c r="AA32" s="2">
        <f t="shared" si="1"/>
        <v>68.095063874331046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8158.6250811165391</v>
      </c>
      <c r="E33" s="2">
        <f>E11/'Output-Calculation-sheet'!E10*'Output-Calculation-sheet'!E19</f>
        <v>10103.123955256639</v>
      </c>
      <c r="F33" s="2">
        <f>F11/'Output-Calculation-sheet'!F10*'Output-Calculation-sheet'!F19</f>
        <v>4630.7856045275357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3030.6443429969027</v>
      </c>
      <c r="J33" s="2">
        <f>J11/'Output-Calculation-sheet'!J10*'Output-Calculation-sheet'!J19</f>
        <v>2562.3487781106282</v>
      </c>
      <c r="K33" s="2">
        <f>K11/'Output-Calculation-sheet'!K10*'Output-Calculation-sheet'!K19</f>
        <v>3554.1441391898934</v>
      </c>
      <c r="L33" s="2">
        <f>L11/'Output-Calculation-sheet'!L10*'Output-Calculation-sheet'!L19</f>
        <v>2891.5216688793303</v>
      </c>
      <c r="M33" s="2">
        <f>M11/'Output-Calculation-sheet'!M10*'Output-Calculation-sheet'!M19</f>
        <v>0</v>
      </c>
      <c r="N33" s="2">
        <f>N11/'Output-Calculation-sheet'!N10*'Output-Calculation-sheet'!N19</f>
        <v>1644.1712514079816</v>
      </c>
      <c r="O33" s="2">
        <f>O11/'Output-Calculation-sheet'!O10*'Output-Calculation-sheet'!O19</f>
        <v>0</v>
      </c>
      <c r="P33" s="2">
        <f>P11/'Output-Calculation-sheet'!P10*'Output-Calculation-sheet'!P19</f>
        <v>3595.2247979818053</v>
      </c>
      <c r="Q33" s="2">
        <f>Q11/'Output-Calculation-sheet'!Q10*'Output-Calculation-sheet'!Q19</f>
        <v>2937.5389484678053</v>
      </c>
      <c r="R33" s="2">
        <f>R11/'Output-Calculation-sheet'!R10*'Output-Calculation-sheet'!R19</f>
        <v>2567.3651341066879</v>
      </c>
      <c r="S33" s="2">
        <f>S11/'Output-Calculation-sheet'!S10*'Output-Calculation-sheet'!S19</f>
        <v>1196.001817635117</v>
      </c>
      <c r="T33" s="2">
        <f>T11/'Output-Calculation-sheet'!T10*'Output-Calculation-sheet'!T19</f>
        <v>753.31507024972871</v>
      </c>
      <c r="U33" s="2">
        <f>U11/'Output-Calculation-sheet'!U10*'Output-Calculation-sheet'!U19</f>
        <v>866.46450665401801</v>
      </c>
      <c r="V33" s="2">
        <f>V11/'Output-Calculation-sheet'!V10*'Output-Calculation-sheet'!V19</f>
        <v>590.88000341258385</v>
      </c>
      <c r="W33" s="2">
        <f>W11/'Output-Calculation-sheet'!W10*'Output-Calculation-sheet'!W19</f>
        <v>367.87418526892509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79.907798261598941</v>
      </c>
    </row>
    <row r="34" spans="1:27" x14ac:dyDescent="0.25">
      <c r="A34" s="2">
        <v>2035</v>
      </c>
      <c r="B34" s="2">
        <f>B12/'Output-Calculation-sheet'!B11*'Output-Calculation-sheet'!B20</f>
        <v>26043.256915776743</v>
      </c>
      <c r="C34" s="2">
        <f>C12/'Output-Calculation-sheet'!C11*'Output-Calculation-sheet'!C20</f>
        <v>0</v>
      </c>
      <c r="D34" s="2">
        <f>D12/'Output-Calculation-sheet'!D11*'Output-Calculation-sheet'!D20</f>
        <v>8155.602493046812</v>
      </c>
      <c r="E34" s="2">
        <f>E12/'Output-Calculation-sheet'!E11*'Output-Calculation-sheet'!E20</f>
        <v>8985.821101741336</v>
      </c>
      <c r="F34" s="2">
        <f>F12/'Output-Calculation-sheet'!F11*'Output-Calculation-sheet'!F20</f>
        <v>5561.5411850631854</v>
      </c>
      <c r="G34" s="2">
        <f>G12/'Output-Calculation-sheet'!G11*'Output-Calculation-sheet'!G20</f>
        <v>3003.8568006026462</v>
      </c>
      <c r="H34" s="2">
        <f>H12/'Output-Calculation-sheet'!H11*'Output-Calculation-sheet'!H20</f>
        <v>0</v>
      </c>
      <c r="I34" s="2">
        <f>I12/'Output-Calculation-sheet'!I11*'Output-Calculation-sheet'!I20</f>
        <v>3271.8000117460288</v>
      </c>
      <c r="J34" s="2">
        <f>J12/'Output-Calculation-sheet'!J11*'Output-Calculation-sheet'!J20</f>
        <v>2803.7157428234036</v>
      </c>
      <c r="K34" s="2">
        <f>K12/'Output-Calculation-sheet'!K11*'Output-Calculation-sheet'!K20</f>
        <v>3685.2018712529821</v>
      </c>
      <c r="L34" s="2">
        <f>L12/'Output-Calculation-sheet'!L11*'Output-Calculation-sheet'!L20</f>
        <v>2917.8258732950276</v>
      </c>
      <c r="M34" s="2">
        <f>M12/'Output-Calculation-sheet'!M11*'Output-Calculation-sheet'!M20</f>
        <v>0</v>
      </c>
      <c r="N34" s="2">
        <f>N12/'Output-Calculation-sheet'!N11*'Output-Calculation-sheet'!N20</f>
        <v>1626.128991180311</v>
      </c>
      <c r="O34" s="2">
        <f>O12/'Output-Calculation-sheet'!O11*'Output-Calculation-sheet'!O20</f>
        <v>0</v>
      </c>
      <c r="P34" s="2">
        <f>P12/'Output-Calculation-sheet'!P11*'Output-Calculation-sheet'!P20</f>
        <v>3638.8224730557899</v>
      </c>
      <c r="Q34" s="2">
        <f>Q12/'Output-Calculation-sheet'!Q11*'Output-Calculation-sheet'!Q20</f>
        <v>2867.6474406105353</v>
      </c>
      <c r="R34" s="2">
        <f>R12/'Output-Calculation-sheet'!R11*'Output-Calculation-sheet'!R20</f>
        <v>2893.7737412840465</v>
      </c>
      <c r="S34" s="2">
        <f>S12/'Output-Calculation-sheet'!S11*'Output-Calculation-sheet'!S20</f>
        <v>1117.6912466234032</v>
      </c>
      <c r="T34" s="2">
        <f>T12/'Output-Calculation-sheet'!T11*'Output-Calculation-sheet'!T20</f>
        <v>903.15191792343228</v>
      </c>
      <c r="U34" s="2">
        <f>U12/'Output-Calculation-sheet'!U11*'Output-Calculation-sheet'!U20</f>
        <v>826.76930779548081</v>
      </c>
      <c r="V34" s="2">
        <f>V12/'Output-Calculation-sheet'!V11*'Output-Calculation-sheet'!V20</f>
        <v>757.47118170681938</v>
      </c>
      <c r="W34" s="2">
        <f>W12/'Output-Calculation-sheet'!W11*'Output-Calculation-sheet'!W20</f>
        <v>489.86486109849386</v>
      </c>
      <c r="X34" s="2">
        <f>X12/'Output-Calculation-sheet'!X11*'Output-Calculation-sheet'!X20</f>
        <v>1.1562460421412444</v>
      </c>
      <c r="Y34" s="2">
        <f>Y12/'Output-Calculation-sheet'!Y11*'Output-Calculation-sheet'!Y20</f>
        <v>273.12659160862012</v>
      </c>
      <c r="AA34" s="2">
        <f t="shared" si="1"/>
        <v>79.824225994277256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3.905146437527502E-2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3.905146437527502E-2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0.44265213809014364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0.44265213809014364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0.58389751556330705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0.58389751556330705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5.3404645393748944E-2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1.2249197781838717E-2</v>
      </c>
      <c r="N44" s="2">
        <f>N11/'Output-Calculation-sheet'!N10*'Output-Calculation-sheet'!N37*0.0114</f>
        <v>1.2038974906674514E-2</v>
      </c>
      <c r="O44" s="2">
        <f>O11/'Output-Calculation-sheet'!O10*'Output-Calculation-sheet'!O37*0.0114</f>
        <v>0.69654278406679659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3.1643955777510134E-2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6.9011560223763537E-3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0.81278071394894524</v>
      </c>
    </row>
    <row r="45" spans="1:27" x14ac:dyDescent="0.25">
      <c r="A45" s="2">
        <v>2035</v>
      </c>
      <c r="B45" s="2">
        <f>B12/'Output-Calculation-sheet'!B11*'Output-Calculation-sheet'!B38*0.0114</f>
        <v>0.60798066056580768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0.20314664304884134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0.24871906913555958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4.8973250773034015E-2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5.1563481137299402E-2</v>
      </c>
      <c r="M45" s="2">
        <f>M12/'Output-Calculation-sheet'!M11*'Output-Calculation-sheet'!M38*0.0114</f>
        <v>0.14669393553123403</v>
      </c>
      <c r="N45" s="2">
        <f>N12/'Output-Calculation-sheet'!N11*'Output-Calculation-sheet'!N38*0.0114</f>
        <v>0.108132261410638</v>
      </c>
      <c r="O45" s="2">
        <f>O12/'Output-Calculation-sheet'!O11*'Output-Calculation-sheet'!O38*0.0114</f>
        <v>0.76240947970807715</v>
      </c>
      <c r="P45" s="2">
        <f>P12/'Output-Calculation-sheet'!P11*'Output-Calculation-sheet'!P38*0.0114</f>
        <v>6.6596810668157216E-2</v>
      </c>
      <c r="Q45" s="2">
        <f>Q12/'Output-Calculation-sheet'!Q11*'Output-Calculation-sheet'!Q38*0.0114</f>
        <v>9.4740416708384817E-2</v>
      </c>
      <c r="R45" s="2">
        <f>R12/'Output-Calculation-sheet'!R11*'Output-Calculation-sheet'!R38*0.0114</f>
        <v>4.1756879711095748E-2</v>
      </c>
      <c r="S45" s="2">
        <f>S12/'Output-Calculation-sheet'!S11*'Output-Calculation-sheet'!S38*0.0114</f>
        <v>4.8210668449985235E-2</v>
      </c>
      <c r="T45" s="2">
        <f>T12/'Output-Calculation-sheet'!T11*'Output-Calculation-sheet'!T38*0.0114</f>
        <v>1.1586354356551854E-2</v>
      </c>
      <c r="U45" s="2">
        <f>U12/'Output-Calculation-sheet'!U11*'Output-Calculation-sheet'!U38*0.0114</f>
        <v>1.6793271888353719E-2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7.7648478029411295E-3</v>
      </c>
      <c r="AA45" s="2">
        <f t="shared" si="2"/>
        <v>3.0349852877184307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2913.8234864548967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6711.6340139518625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4590.2452999658344</v>
      </c>
      <c r="N52" s="2">
        <f>N8/'Output-Calculation-sheet'!N7*'Output-Calculation-sheet'!N43</f>
        <v>144.99831971642342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31.037126784521423</v>
      </c>
      <c r="Y52" s="2">
        <f>Y8/'Output-Calculation-sheet'!Y7*'Output-Calculation-sheet'!Y43</f>
        <v>0</v>
      </c>
      <c r="AA52" s="2">
        <f t="shared" si="3"/>
        <v>14.39173824687354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494.91550815093569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12828.191878329266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8785.7164999017441</v>
      </c>
      <c r="N53" s="2">
        <f>N9/'Output-Calculation-sheet'!N8*'Output-Calculation-sheet'!N44</f>
        <v>3114.7583819002466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972.24993559551956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268.15541293839095</v>
      </c>
      <c r="Y53" s="2">
        <f>Y9/'Output-Calculation-sheet'!Y8*'Output-Calculation-sheet'!Y44</f>
        <v>0</v>
      </c>
      <c r="AA53" s="2">
        <f t="shared" si="3"/>
        <v>26.602187659690244</v>
      </c>
    </row>
    <row r="54" spans="1:27" x14ac:dyDescent="0.25">
      <c r="A54" s="2">
        <v>2033</v>
      </c>
      <c r="B54" s="2">
        <f>B10/'Output-Calculation-sheet'!B9*'Output-Calculation-sheet'!B45</f>
        <v>26684.230986769748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19453.514120460943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13334.280755096996</v>
      </c>
      <c r="N54" s="2">
        <f>N10/'Output-Calculation-sheet'!N9*'Output-Calculation-sheet'!N45</f>
        <v>7440.7391576182254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781.21840085334395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748.4487711611232</v>
      </c>
      <c r="Y54" s="2">
        <f>Y10/'Output-Calculation-sheet'!Y9*'Output-Calculation-sheet'!Y45</f>
        <v>16.508968700790177</v>
      </c>
      <c r="AA54" s="2">
        <f t="shared" si="3"/>
        <v>80.488217566734917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23240.38998231478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3367.1821686291696</v>
      </c>
      <c r="L55" s="2">
        <f>L11/'Output-Calculation-sheet'!L10*'Output-Calculation-sheet'!L46</f>
        <v>1244.1033516824989</v>
      </c>
      <c r="M55" s="2">
        <f>M11/'Output-Calculation-sheet'!M10*'Output-Calculation-sheet'!M46</f>
        <v>16316.14634361587</v>
      </c>
      <c r="N55" s="2">
        <f>N11/'Output-Calculation-sheet'!N10*'Output-Calculation-sheet'!N46</f>
        <v>12030.526503231235</v>
      </c>
      <c r="O55" s="2">
        <f>O11/'Output-Calculation-sheet'!O10*'Output-Calculation-sheet'!O46</f>
        <v>268.05268430414361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2722.1204063577429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6099.6533404793108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187.60201417964669</v>
      </c>
    </row>
    <row r="56" spans="1:27" x14ac:dyDescent="0.25">
      <c r="A56" s="2">
        <v>2035</v>
      </c>
      <c r="B56" s="2">
        <f>B12/'Output-Calculation-sheet'!B11*'Output-Calculation-sheet'!B47</f>
        <v>98844.855815146293</v>
      </c>
      <c r="C56" s="2">
        <f>C12/'Output-Calculation-sheet'!C11*'Output-Calculation-sheet'!C47</f>
        <v>339.18655196402136</v>
      </c>
      <c r="D56" s="2">
        <f>D12/'Output-Calculation-sheet'!D11*'Output-Calculation-sheet'!D47</f>
        <v>7955.4822036786281</v>
      </c>
      <c r="E56" s="2">
        <f>E12/'Output-Calculation-sheet'!E11*'Output-Calculation-sheet'!E47</f>
        <v>21975.477211213256</v>
      </c>
      <c r="F56" s="2">
        <f>F12/'Output-Calculation-sheet'!F11*'Output-Calculation-sheet'!F47</f>
        <v>2595.6521760679293</v>
      </c>
      <c r="G56" s="2">
        <f>G12/'Output-Calculation-sheet'!G11*'Output-Calculation-sheet'!G47</f>
        <v>6235.2720755925529</v>
      </c>
      <c r="H56" s="2">
        <f>H12/'Output-Calculation-sheet'!H11*'Output-Calculation-sheet'!H47</f>
        <v>23592.468594255864</v>
      </c>
      <c r="I56" s="2">
        <f>I12/'Output-Calculation-sheet'!I11*'Output-Calculation-sheet'!I47</f>
        <v>3102.1854194887665</v>
      </c>
      <c r="J56" s="2">
        <f>J12/'Output-Calculation-sheet'!J11*'Output-Calculation-sheet'!J47</f>
        <v>2848.1811633790835</v>
      </c>
      <c r="K56" s="2">
        <f>K12/'Output-Calculation-sheet'!K11*'Output-Calculation-sheet'!K47</f>
        <v>4054.3699612033679</v>
      </c>
      <c r="L56" s="2">
        <f>L12/'Output-Calculation-sheet'!L11*'Output-Calculation-sheet'!L47</f>
        <v>2225.371291188711</v>
      </c>
      <c r="M56" s="2">
        <f>M12/'Output-Calculation-sheet'!M11*'Output-Calculation-sheet'!M47</f>
        <v>16389.401393708922</v>
      </c>
      <c r="N56" s="2">
        <f>N12/'Output-Calculation-sheet'!N11*'Output-Calculation-sheet'!N47</f>
        <v>12345.62680471943</v>
      </c>
      <c r="O56" s="2">
        <f>O12/'Output-Calculation-sheet'!O11*'Output-Calculation-sheet'!O47</f>
        <v>1214.6229456133583</v>
      </c>
      <c r="P56" s="2">
        <f>P12/'Output-Calculation-sheet'!P11*'Output-Calculation-sheet'!P47</f>
        <v>6505.8463287226095</v>
      </c>
      <c r="Q56" s="2">
        <f>Q12/'Output-Calculation-sheet'!Q11*'Output-Calculation-sheet'!Q47</f>
        <v>3123.8482429285168</v>
      </c>
      <c r="R56" s="2">
        <f>R12/'Output-Calculation-sheet'!R11*'Output-Calculation-sheet'!R47</f>
        <v>4799.2940036371228</v>
      </c>
      <c r="S56" s="2">
        <f>S12/'Output-Calculation-sheet'!S11*'Output-Calculation-sheet'!S47</f>
        <v>6380.3617731866416</v>
      </c>
      <c r="T56" s="2">
        <f>T12/'Output-Calculation-sheet'!T11*'Output-Calculation-sheet'!T47</f>
        <v>1670.5354775484559</v>
      </c>
      <c r="U56" s="2">
        <f>U12/'Output-Calculation-sheet'!U11*'Output-Calculation-sheet'!U47</f>
        <v>1614.2164329173686</v>
      </c>
      <c r="V56" s="2">
        <f>V12/'Output-Calculation-sheet'!V11*'Output-Calculation-sheet'!V47</f>
        <v>1127.251461673656</v>
      </c>
      <c r="W56" s="2">
        <f>W12/'Output-Calculation-sheet'!W11*'Output-Calculation-sheet'!W47</f>
        <v>651.7320457171204</v>
      </c>
      <c r="X56" s="2">
        <f>X12/'Output-Calculation-sheet'!X11*'Output-Calculation-sheet'!X47</f>
        <v>131.39961634670567</v>
      </c>
      <c r="Y56" s="2">
        <f>Y12/'Output-Calculation-sheet'!Y11*'Output-Calculation-sheet'!Y47</f>
        <v>866.05298082803904</v>
      </c>
      <c r="AA56" s="2">
        <f t="shared" si="3"/>
        <v>230.58869197072636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7.0096606490474542</v>
      </c>
      <c r="C63" s="2">
        <f>C8*'Output-Calculation-sheet'!C52/10^9</f>
        <v>3.8099242379792773</v>
      </c>
      <c r="D63" s="2">
        <f>D8*'Output-Calculation-sheet'!D52/10^9</f>
        <v>1.6412465014866833</v>
      </c>
      <c r="E63" s="2">
        <f>E8*'Output-Calculation-sheet'!E52/10^9</f>
        <v>1.8776583424537872</v>
      </c>
      <c r="F63" s="2">
        <f>F8*'Output-Calculation-sheet'!F52/10^9</f>
        <v>0.87768465014343811</v>
      </c>
      <c r="G63" s="2">
        <f>G8*'Output-Calculation-sheet'!G52/10^9</f>
        <v>0.6694677298038556</v>
      </c>
      <c r="H63" s="2">
        <f>H8*'Output-Calculation-sheet'!H52/10^9</f>
        <v>1.0006545579962933</v>
      </c>
      <c r="I63" s="2">
        <f>I8*'Output-Calculation-sheet'!I52/10^9</f>
        <v>0.52883501948002676</v>
      </c>
      <c r="J63" s="2">
        <f>J8*'Output-Calculation-sheet'!J52/10^9</f>
        <v>0.74759704354775891</v>
      </c>
      <c r="K63" s="2">
        <f>K8*'Output-Calculation-sheet'!K52/10^9</f>
        <v>0.49076075088056498</v>
      </c>
      <c r="L63" s="2">
        <f>L8*'Output-Calculation-sheet'!L52/10^9</f>
        <v>0.58104061996580525</v>
      </c>
      <c r="M63" s="2">
        <f>M8*'Output-Calculation-sheet'!M52/10^9</f>
        <v>0.73265556591296821</v>
      </c>
      <c r="N63" s="2">
        <f>N8*'Output-Calculation-sheet'!N52/10^9</f>
        <v>0.58421643544684831</v>
      </c>
      <c r="O63" s="2">
        <f>O8*'Output-Calculation-sheet'!O52/10^9</f>
        <v>0.69217799596060348</v>
      </c>
      <c r="P63" s="2">
        <f>P8*'Output-Calculation-sheet'!P52/10^9</f>
        <v>0.49911213839073654</v>
      </c>
      <c r="Q63" s="2">
        <f>Q8*'Output-Calculation-sheet'!Q52/10^9</f>
        <v>0.46556304491915912</v>
      </c>
      <c r="R63" s="2">
        <f>R8*'Output-Calculation-sheet'!R52/10^9</f>
        <v>0.42169140383363352</v>
      </c>
      <c r="S63" s="2">
        <f>S8*'Output-Calculation-sheet'!S52/10^9</f>
        <v>0.35778947156241381</v>
      </c>
      <c r="T63" s="2">
        <f>T8*'Output-Calculation-sheet'!T52/10^9</f>
        <v>0.17127444731794531</v>
      </c>
      <c r="U63" s="2">
        <f>U8*'Output-Calculation-sheet'!U52/10^9</f>
        <v>0.1335683238204915</v>
      </c>
      <c r="V63" s="2">
        <f>V8*'Output-Calculation-sheet'!V52/10^9</f>
        <v>0.2211493012933976</v>
      </c>
      <c r="W63" s="2">
        <f>W8*'Output-Calculation-sheet'!W52/10^9</f>
        <v>9.2804295925887889E-2</v>
      </c>
      <c r="X63" s="2">
        <f>X8*'Output-Calculation-sheet'!X52/10^9</f>
        <v>9.7649311337577149E-2</v>
      </c>
      <c r="Y63" s="2">
        <f>Y8*'Output-Calculation-sheet'!Y52/10^9</f>
        <v>5.3591031070116188E-2</v>
      </c>
      <c r="AA63" s="2">
        <f t="shared" si="4"/>
        <v>23.757772869576716</v>
      </c>
    </row>
    <row r="64" spans="1:27" x14ac:dyDescent="0.25">
      <c r="A64" s="2">
        <v>2032</v>
      </c>
      <c r="B64" s="2">
        <f>B9*'Output-Calculation-sheet'!B53/10^9</f>
        <v>7.2582797235509675</v>
      </c>
      <c r="C64" s="2">
        <f>C9*'Output-Calculation-sheet'!C53/10^9</f>
        <v>4.2872637161507017</v>
      </c>
      <c r="D64" s="2">
        <f>D9*'Output-Calculation-sheet'!D53/10^9</f>
        <v>1.5241420748624774</v>
      </c>
      <c r="E64" s="2">
        <f>E9*'Output-Calculation-sheet'!E53/10^9</f>
        <v>1.7796141166280763</v>
      </c>
      <c r="F64" s="2">
        <f>F9*'Output-Calculation-sheet'!F53/10^9</f>
        <v>0.81663488859868172</v>
      </c>
      <c r="G64" s="2">
        <f>G9*'Output-Calculation-sheet'!G53/10^9</f>
        <v>0.61146243825242197</v>
      </c>
      <c r="H64" s="2">
        <f>H9*'Output-Calculation-sheet'!H53/10^9</f>
        <v>1.1387517115480301</v>
      </c>
      <c r="I64" s="2">
        <f>I9*'Output-Calculation-sheet'!I53/10^9</f>
        <v>0.49585409479018466</v>
      </c>
      <c r="J64" s="2">
        <f>J9*'Output-Calculation-sheet'!J53/10^9</f>
        <v>0.66554195776963998</v>
      </c>
      <c r="K64" s="2">
        <f>K9*'Output-Calculation-sheet'!K53/10^9</f>
        <v>0.49131885812571435</v>
      </c>
      <c r="L64" s="2">
        <f>L9*'Output-Calculation-sheet'!L53/10^9</f>
        <v>0.55158947383476353</v>
      </c>
      <c r="M64" s="2">
        <f>M9*'Output-Calculation-sheet'!M53/10^9</f>
        <v>0.82117315670951008</v>
      </c>
      <c r="N64" s="2">
        <f>N9*'Output-Calculation-sheet'!N53/10^9</f>
        <v>0.67118024878728033</v>
      </c>
      <c r="O64" s="2">
        <f>O9*'Output-Calculation-sheet'!O53/10^9</f>
        <v>0.79286655331500766</v>
      </c>
      <c r="P64" s="2">
        <f>P9*'Output-Calculation-sheet'!P53/10^9</f>
        <v>0.52426433090180169</v>
      </c>
      <c r="Q64" s="2">
        <f>Q9*'Output-Calculation-sheet'!Q53/10^9</f>
        <v>0.49727905937551942</v>
      </c>
      <c r="R64" s="2">
        <f>R9*'Output-Calculation-sheet'!R53/10^9</f>
        <v>0.42304486990136508</v>
      </c>
      <c r="S64" s="2">
        <f>S9*'Output-Calculation-sheet'!S53/10^9</f>
        <v>0.39771978183968176</v>
      </c>
      <c r="T64" s="2">
        <f>T9*'Output-Calculation-sheet'!T53/10^9</f>
        <v>0.15814219674685639</v>
      </c>
      <c r="U64" s="2">
        <f>U9*'Output-Calculation-sheet'!U53/10^9</f>
        <v>0.13473631105503631</v>
      </c>
      <c r="V64" s="2">
        <f>V9*'Output-Calculation-sheet'!V53/10^9</f>
        <v>0.19637338016217831</v>
      </c>
      <c r="W64" s="2">
        <f>W9*'Output-Calculation-sheet'!W53/10^9</f>
        <v>8.3700873238760728E-2</v>
      </c>
      <c r="X64" s="2">
        <f>X9*'Output-Calculation-sheet'!X53/10^9</f>
        <v>0.10687789416966646</v>
      </c>
      <c r="Y64" s="2">
        <f>Y9*'Output-Calculation-sheet'!Y53/10^9</f>
        <v>5.3238440417030089E-2</v>
      </c>
      <c r="AA64" s="2">
        <f t="shared" si="4"/>
        <v>24.481050150731352</v>
      </c>
    </row>
    <row r="65" spans="1:27" x14ac:dyDescent="0.25">
      <c r="A65" s="2">
        <v>2033</v>
      </c>
      <c r="B65" s="2">
        <f>B10*'Output-Calculation-sheet'!B54/10^9</f>
        <v>7.595170563045019</v>
      </c>
      <c r="C65" s="2">
        <f>C10*'Output-Calculation-sheet'!C54/10^9</f>
        <v>4.6924959726999367</v>
      </c>
      <c r="D65" s="2">
        <f>D10*'Output-Calculation-sheet'!D54/10^9</f>
        <v>1.3538243458768198</v>
      </c>
      <c r="E65" s="2">
        <f>E10*'Output-Calculation-sheet'!E54/10^9</f>
        <v>1.7241132263248582</v>
      </c>
      <c r="F65" s="2">
        <f>F10*'Output-Calculation-sheet'!F54/10^9</f>
        <v>0.7408654848620837</v>
      </c>
      <c r="G65" s="2">
        <f>G10*'Output-Calculation-sheet'!G54/10^9</f>
        <v>0.527460342829002</v>
      </c>
      <c r="H65" s="2">
        <f>H10*'Output-Calculation-sheet'!H54/10^9</f>
        <v>1.2394088985342817</v>
      </c>
      <c r="I65" s="2">
        <f>I10*'Output-Calculation-sheet'!I54/10^9</f>
        <v>0.4624726255484215</v>
      </c>
      <c r="J65" s="2">
        <f>J10*'Output-Calculation-sheet'!J54/10^9</f>
        <v>0.54717787105091498</v>
      </c>
      <c r="K65" s="2">
        <f>K10*'Output-Calculation-sheet'!K54/10^9</f>
        <v>0.51205141568397405</v>
      </c>
      <c r="L65" s="2">
        <f>L10*'Output-Calculation-sheet'!L54/10^9</f>
        <v>0.52806358210696913</v>
      </c>
      <c r="M65" s="2">
        <f>M10*'Output-Calculation-sheet'!M54/10^9</f>
        <v>0.88126190301632534</v>
      </c>
      <c r="N65" s="2">
        <f>N10*'Output-Calculation-sheet'!N54/10^9</f>
        <v>0.75094162637748141</v>
      </c>
      <c r="O65" s="2">
        <f>O10*'Output-Calculation-sheet'!O54/10^9</f>
        <v>0.87376600618027034</v>
      </c>
      <c r="P65" s="2">
        <f>P10*'Output-Calculation-sheet'!P54/10^9</f>
        <v>0.55394080672870394</v>
      </c>
      <c r="Q65" s="2">
        <f>Q10*'Output-Calculation-sheet'!Q54/10^9</f>
        <v>0.54666578864001669</v>
      </c>
      <c r="R65" s="2">
        <f>R10*'Output-Calculation-sheet'!R54/10^9</f>
        <v>0.43333995698928013</v>
      </c>
      <c r="S65" s="2">
        <f>S10*'Output-Calculation-sheet'!S54/10^9</f>
        <v>0.43493473764990148</v>
      </c>
      <c r="T65" s="2">
        <f>T10*'Output-Calculation-sheet'!T54/10^9</f>
        <v>0.14674818600890946</v>
      </c>
      <c r="U65" s="2">
        <f>U10*'Output-Calculation-sheet'!U54/10^9</f>
        <v>0.14094109612791361</v>
      </c>
      <c r="V65" s="2">
        <f>V10*'Output-Calculation-sheet'!V54/10^9</f>
        <v>0.16606853639748451</v>
      </c>
      <c r="W65" s="2">
        <f>W10*'Output-Calculation-sheet'!W54/10^9</f>
        <v>7.097168884329462E-2</v>
      </c>
      <c r="X65" s="2">
        <f>X10*'Output-Calculation-sheet'!X54/10^9</f>
        <v>0.11319706307426966</v>
      </c>
      <c r="Y65" s="2">
        <f>Y10*'Output-Calculation-sheet'!Y54/10^9</f>
        <v>5.5057063822138833E-2</v>
      </c>
      <c r="AA65" s="2">
        <f t="shared" si="4"/>
        <v>25.090938788418278</v>
      </c>
    </row>
    <row r="66" spans="1:27" x14ac:dyDescent="0.25">
      <c r="A66" s="2">
        <v>2034</v>
      </c>
      <c r="B66" s="2">
        <f>B11*'Output-Calculation-sheet'!B55/10^9</f>
        <v>7.9969176217618214</v>
      </c>
      <c r="C66" s="2">
        <f>C11*'Output-Calculation-sheet'!C55/10^9</f>
        <v>5.0143186098392194</v>
      </c>
      <c r="D66" s="2">
        <f>D11*'Output-Calculation-sheet'!D55/10^9</f>
        <v>1.4467545768038303</v>
      </c>
      <c r="E66" s="2">
        <f>E11*'Output-Calculation-sheet'!E55/10^9</f>
        <v>1.8738298020428121</v>
      </c>
      <c r="F66" s="2">
        <f>F11*'Output-Calculation-sheet'!F55/10^9</f>
        <v>0.7375013080869387</v>
      </c>
      <c r="G66" s="2">
        <f>G11*'Output-Calculation-sheet'!G55/10^9</f>
        <v>0.53797856211713035</v>
      </c>
      <c r="H66" s="2">
        <f>H11*'Output-Calculation-sheet'!H55/10^9</f>
        <v>1.3424503564133754</v>
      </c>
      <c r="I66" s="2">
        <f>I11*'Output-Calculation-sheet'!I55/10^9</f>
        <v>0.50010697841261009</v>
      </c>
      <c r="J66" s="2">
        <f>J11*'Output-Calculation-sheet'!J55/10^9</f>
        <v>0.5035138203099595</v>
      </c>
      <c r="K66" s="2">
        <f>K11*'Output-Calculation-sheet'!K55/10^9</f>
        <v>0.57333229632663252</v>
      </c>
      <c r="L66" s="2">
        <f>L11*'Output-Calculation-sheet'!L55/10^9</f>
        <v>0.55582635895863353</v>
      </c>
      <c r="M66" s="2">
        <f>M11*'Output-Calculation-sheet'!M55/10^9</f>
        <v>0.94290115849199541</v>
      </c>
      <c r="N66" s="2">
        <f>N11*'Output-Calculation-sheet'!N55/10^9</f>
        <v>0.81992636751375825</v>
      </c>
      <c r="O66" s="2">
        <f>O11*'Output-Calculation-sheet'!O55/10^9</f>
        <v>0.93525176577924274</v>
      </c>
      <c r="P66" s="2">
        <f>P11*'Output-Calculation-sheet'!P55/10^9</f>
        <v>0.59971036500606356</v>
      </c>
      <c r="Q66" s="2">
        <f>Q11*'Output-Calculation-sheet'!Q55/10^9</f>
        <v>0.61685418735453001</v>
      </c>
      <c r="R66" s="2">
        <f>R11*'Output-Calculation-sheet'!R55/10^9</f>
        <v>0.45638751134026462</v>
      </c>
      <c r="S66" s="2">
        <f>S11*'Output-Calculation-sheet'!S55/10^9</f>
        <v>0.47376798184034002</v>
      </c>
      <c r="T66" s="2">
        <f>T11*'Output-Calculation-sheet'!T55/10^9</f>
        <v>0.14300205660799681</v>
      </c>
      <c r="U66" s="2">
        <f>U11*'Output-Calculation-sheet'!U55/10^9</f>
        <v>0.1556366028838258</v>
      </c>
      <c r="V66" s="2">
        <f>V11*'Output-Calculation-sheet'!V55/10^9</f>
        <v>0.13514639356371083</v>
      </c>
      <c r="W66" s="2">
        <f>W11*'Output-Calculation-sheet'!W55/10^9</f>
        <v>6.6209859835946877E-2</v>
      </c>
      <c r="X66" s="2">
        <f>X11*'Output-Calculation-sheet'!X55/10^9</f>
        <v>0.11695066170693912</v>
      </c>
      <c r="Y66" s="2">
        <f>Y11*'Output-Calculation-sheet'!Y55/10^9</f>
        <v>6.3527704561189502E-2</v>
      </c>
      <c r="AA66" s="2">
        <f t="shared" si="4"/>
        <v>26.60780290755876</v>
      </c>
    </row>
    <row r="67" spans="1:27" x14ac:dyDescent="0.25">
      <c r="A67" s="2">
        <v>2035</v>
      </c>
      <c r="B67" s="2">
        <f>B12*'Output-Calculation-sheet'!B56/10^9</f>
        <v>8.7421297538114988</v>
      </c>
      <c r="C67" s="2">
        <f>C12*'Output-Calculation-sheet'!C56/10^9</f>
        <v>5.2800359860476895</v>
      </c>
      <c r="D67" s="2">
        <f>D12*'Output-Calculation-sheet'!D56/10^9</f>
        <v>1.7317288162250921</v>
      </c>
      <c r="E67" s="2">
        <f>E12*'Output-Calculation-sheet'!E56/10^9</f>
        <v>2.3713434009827745</v>
      </c>
      <c r="F67" s="2">
        <f>F12*'Output-Calculation-sheet'!F56/10^9</f>
        <v>0.92974466077325157</v>
      </c>
      <c r="G67" s="2">
        <f>G12*'Output-Calculation-sheet'!G56/10^9</f>
        <v>0.6850355637593597</v>
      </c>
      <c r="H67" s="2">
        <f>H12*'Output-Calculation-sheet'!H56/10^9</f>
        <v>1.458765743132467</v>
      </c>
      <c r="I67" s="2">
        <f>I12*'Output-Calculation-sheet'!I56/10^9</f>
        <v>0.62772520852085634</v>
      </c>
      <c r="J67" s="2">
        <f>J12*'Output-Calculation-sheet'!J56/10^9</f>
        <v>0.5747868201157984</v>
      </c>
      <c r="K67" s="2">
        <f>K12*'Output-Calculation-sheet'!K56/10^9</f>
        <v>0.68851227691980399</v>
      </c>
      <c r="L67" s="2">
        <f>L12*'Output-Calculation-sheet'!L56/10^9</f>
        <v>0.64165368577320736</v>
      </c>
      <c r="M67" s="2">
        <f>M12*'Output-Calculation-sheet'!M56/10^9</f>
        <v>1.0320092834016823</v>
      </c>
      <c r="N67" s="2">
        <f>N12*'Output-Calculation-sheet'!N56/10^9</f>
        <v>0.88143439843211624</v>
      </c>
      <c r="O67" s="2">
        <f>O12*'Output-Calculation-sheet'!O56/10^9</f>
        <v>0.9750574883646016</v>
      </c>
      <c r="P67" s="2">
        <f>P12*'Output-Calculation-sheet'!P56/10^9</f>
        <v>0.71537017863082875</v>
      </c>
      <c r="Q67" s="2">
        <f>Q12*'Output-Calculation-sheet'!Q56/10^9</f>
        <v>0.67576387156054396</v>
      </c>
      <c r="R67" s="2">
        <f>R12*'Output-Calculation-sheet'!R56/10^9</f>
        <v>0.53008062874394979</v>
      </c>
      <c r="S67" s="2">
        <f>S12*'Output-Calculation-sheet'!S56/10^9</f>
        <v>0.51205256773910501</v>
      </c>
      <c r="T67" s="2">
        <f>T12*'Output-Calculation-sheet'!T56/10^9</f>
        <v>0.16495756117543692</v>
      </c>
      <c r="U67" s="2">
        <f>U12*'Output-Calculation-sheet'!U56/10^9</f>
        <v>0.17832928020625535</v>
      </c>
      <c r="V67" s="2">
        <f>V12*'Output-Calculation-sheet'!V56/10^9</f>
        <v>0.12721992313810943</v>
      </c>
      <c r="W67" s="2">
        <f>W12*'Output-Calculation-sheet'!W56/10^9</f>
        <v>8.6358118835351036E-2</v>
      </c>
      <c r="X67" s="2">
        <f>X12*'Output-Calculation-sheet'!X56/10^9</f>
        <v>0.12318542508802661</v>
      </c>
      <c r="Y67" s="2">
        <f>Y12*'Output-Calculation-sheet'!Y56/10^9</f>
        <v>8.0582383443508987E-2</v>
      </c>
      <c r="AA67" s="2">
        <f t="shared" si="4"/>
        <v>29.813863024821316</v>
      </c>
    </row>
    <row r="68" spans="1:27" x14ac:dyDescent="0.25">
      <c r="B68" s="2">
        <f>SUM(B60:B67)</f>
        <v>38.602158311216762</v>
      </c>
      <c r="C68" s="2">
        <f t="shared" ref="C68:Y68" si="5">SUM(C60:C67)</f>
        <v>23.084038522716824</v>
      </c>
      <c r="D68" s="2">
        <f t="shared" si="5"/>
        <v>7.6976963152549027</v>
      </c>
      <c r="E68" s="2">
        <f t="shared" si="5"/>
        <v>9.6265588884323083</v>
      </c>
      <c r="F68" s="2">
        <f t="shared" si="5"/>
        <v>4.1024309924643934</v>
      </c>
      <c r="G68" s="2">
        <f t="shared" si="5"/>
        <v>3.0314046367617697</v>
      </c>
      <c r="H68" s="2">
        <f t="shared" si="5"/>
        <v>6.1800312676244475</v>
      </c>
      <c r="I68" s="2">
        <f t="shared" si="5"/>
        <v>2.6149939267520996</v>
      </c>
      <c r="J68" s="2">
        <f t="shared" si="5"/>
        <v>3.0386175127940716</v>
      </c>
      <c r="K68" s="2">
        <f t="shared" si="5"/>
        <v>2.7559755979366898</v>
      </c>
      <c r="L68" s="2">
        <f t="shared" si="5"/>
        <v>2.8581737206393791</v>
      </c>
      <c r="M68" s="2">
        <f t="shared" si="5"/>
        <v>4.4100010675324812</v>
      </c>
      <c r="N68" s="2">
        <f t="shared" si="5"/>
        <v>3.7076990765574847</v>
      </c>
      <c r="O68" s="2">
        <f t="shared" si="5"/>
        <v>4.2691198095997258</v>
      </c>
      <c r="P68" s="2">
        <f t="shared" si="5"/>
        <v>2.8923978196581346</v>
      </c>
      <c r="Q68" s="2">
        <f t="shared" si="5"/>
        <v>2.8021259518497694</v>
      </c>
      <c r="R68" s="2">
        <f t="shared" si="5"/>
        <v>2.2645443708084931</v>
      </c>
      <c r="S68" s="2">
        <f t="shared" si="5"/>
        <v>2.176264540631442</v>
      </c>
      <c r="T68" s="2">
        <f t="shared" si="5"/>
        <v>0.78412444785714486</v>
      </c>
      <c r="U68" s="2">
        <f t="shared" si="5"/>
        <v>0.74321161409352265</v>
      </c>
      <c r="V68" s="2">
        <f t="shared" si="5"/>
        <v>0.84595753455488065</v>
      </c>
      <c r="W68" s="2">
        <f t="shared" si="5"/>
        <v>0.40004483667924118</v>
      </c>
      <c r="X68" s="2">
        <f t="shared" si="5"/>
        <v>0.55786035537647904</v>
      </c>
      <c r="Y68" s="2">
        <f t="shared" si="5"/>
        <v>0.30599662331398358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781.31024922733127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1424.8761016117903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960.88979323314493</v>
      </c>
      <c r="N74" s="2">
        <f>N8/'Output-Calculation-sheet'!N7*'Output-Calculation-sheet'!N61</f>
        <v>39.835076353992349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8.5267079465251889</v>
      </c>
      <c r="Y74" s="2">
        <f>Y8/'Output-Calculation-sheet'!Y7*'Output-Calculation-sheet'!Y61</f>
        <v>0</v>
      </c>
      <c r="AA74" s="2">
        <f t="shared" si="6"/>
        <v>3.2154379283727841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135.96375945558063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2441.5329071560695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1659.1527242454993</v>
      </c>
      <c r="N75" s="2">
        <f>N9/'Output-Calculation-sheet'!N8*'Output-Calculation-sheet'!N62</f>
        <v>638.96831084575581</v>
      </c>
      <c r="O75" s="2">
        <f>O9/'Output-Calculation-sheet'!O8*'Output-Calculation-sheet'!O62</f>
        <v>0</v>
      </c>
      <c r="P75" s="2">
        <f>P9/'Output-Calculation-sheet'!P8*'Output-Calculation-sheet'!P62</f>
        <v>50.622401135175849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214.7139019566736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58.272438112322753</v>
      </c>
      <c r="Y75" s="2">
        <f>Y9/'Output-Calculation-sheet'!Y8*'Output-Calculation-sheet'!Y62</f>
        <v>0</v>
      </c>
      <c r="AA75" s="2">
        <f t="shared" si="6"/>
        <v>5.1992264429070776</v>
      </c>
    </row>
    <row r="76" spans="1:27" x14ac:dyDescent="0.25">
      <c r="A76" s="2">
        <v>2033</v>
      </c>
      <c r="B76" s="2">
        <f>B10/'Output-Calculation-sheet'!B9*'Output-Calculation-sheet'!B63</f>
        <v>5372.4391464627752</v>
      </c>
      <c r="C76" s="2">
        <f>C10/'Output-Calculation-sheet'!C9*'Output-Calculation-sheet'!C63</f>
        <v>1083.3111860703436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3502.5605037072928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2390.514641105945</v>
      </c>
      <c r="N76" s="2">
        <f>N10/'Output-Calculation-sheet'!N9*'Output-Calculation-sheet'!N63</f>
        <v>1361.5227098786272</v>
      </c>
      <c r="O76" s="2">
        <f>O10/'Output-Calculation-sheet'!O9*'Output-Calculation-sheet'!O63</f>
        <v>0</v>
      </c>
      <c r="P76" s="2">
        <f>P10/'Output-Calculation-sheet'!P9*'Output-Calculation-sheet'!P63</f>
        <v>472.14899500665535</v>
      </c>
      <c r="Q76" s="2">
        <f>Q10/'Output-Calculation-sheet'!Q9*'Output-Calculation-sheet'!Q63</f>
        <v>214.62002102328486</v>
      </c>
      <c r="R76" s="2">
        <f>R10/'Output-Calculation-sheet'!R9*'Output-Calculation-sheet'!R63</f>
        <v>358.29739699986561</v>
      </c>
      <c r="S76" s="2">
        <f>S10/'Output-Calculation-sheet'!S9*'Output-Calculation-sheet'!S63</f>
        <v>608.86771467086157</v>
      </c>
      <c r="T76" s="2">
        <f>T10/'Output-Calculation-sheet'!T9*'Output-Calculation-sheet'!T63</f>
        <v>23.607632667613959</v>
      </c>
      <c r="U76" s="2">
        <f>U10/'Output-Calculation-sheet'!U9*'Output-Calculation-sheet'!U63</f>
        <v>127.32736686443181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137.13951093819855</v>
      </c>
      <c r="Y76" s="2">
        <f>Y10/'Output-Calculation-sheet'!Y9*'Output-Calculation-sheet'!Y63</f>
        <v>6.0471906162651159</v>
      </c>
      <c r="AA76" s="2">
        <f t="shared" si="6"/>
        <v>15.75740068391452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1918.2374395906138</v>
      </c>
      <c r="D77" s="2">
        <f>D11/'Output-Calculation-sheet'!D10*'Output-Calculation-sheet'!D64</f>
        <v>1630.1747413033156</v>
      </c>
      <c r="E77" s="2">
        <f>E11/'Output-Calculation-sheet'!E10*'Output-Calculation-sheet'!E64</f>
        <v>2038.9035097880255</v>
      </c>
      <c r="F77" s="2">
        <f>F11/'Output-Calculation-sheet'!F10*'Output-Calculation-sheet'!F64</f>
        <v>145.07302854104319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4310.7808146212619</v>
      </c>
      <c r="I77" s="2">
        <f>I11/'Output-Calculation-sheet'!I10*'Output-Calculation-sheet'!I64</f>
        <v>505.986476064187</v>
      </c>
      <c r="J77" s="2">
        <f>J11/'Output-Calculation-sheet'!J10*'Output-Calculation-sheet'!J64</f>
        <v>356.77222500275525</v>
      </c>
      <c r="K77" s="2">
        <f>K11/'Output-Calculation-sheet'!K10*'Output-Calculation-sheet'!K64</f>
        <v>776.64348836378304</v>
      </c>
      <c r="L77" s="2">
        <f>L11/'Output-Calculation-sheet'!L10*'Output-Calculation-sheet'!L64</f>
        <v>318.13241007158337</v>
      </c>
      <c r="M77" s="2">
        <f>M11/'Output-Calculation-sheet'!M10*'Output-Calculation-sheet'!M64</f>
        <v>3046.528066070045</v>
      </c>
      <c r="N77" s="2">
        <f>N11/'Output-Calculation-sheet'!N10*'Output-Calculation-sheet'!N64</f>
        <v>2111.536929890251</v>
      </c>
      <c r="O77" s="2">
        <f>O11/'Output-Calculation-sheet'!O10*'Output-Calculation-sheet'!O64</f>
        <v>76.725153443011394</v>
      </c>
      <c r="P77" s="2">
        <f>P11/'Output-Calculation-sheet'!P10*'Output-Calculation-sheet'!P64</f>
        <v>957.64616266554901</v>
      </c>
      <c r="Q77" s="2">
        <f>Q11/'Output-Calculation-sheet'!Q10*'Output-Calculation-sheet'!Q64</f>
        <v>548.26761905809178</v>
      </c>
      <c r="R77" s="2">
        <f>R11/'Output-Calculation-sheet'!R10*'Output-Calculation-sheet'!R64</f>
        <v>817.91958937890115</v>
      </c>
      <c r="S77" s="2">
        <f>S11/'Output-Calculation-sheet'!S10*'Output-Calculation-sheet'!S64</f>
        <v>1083.6915570165756</v>
      </c>
      <c r="T77" s="2">
        <f>T11/'Output-Calculation-sheet'!T10*'Output-Calculation-sheet'!T64</f>
        <v>226.17050071561155</v>
      </c>
      <c r="U77" s="2">
        <f>U11/'Output-Calculation-sheet'!U10*'Output-Calculation-sheet'!U64</f>
        <v>299.96180247473131</v>
      </c>
      <c r="V77" s="2">
        <f>V11/'Output-Calculation-sheet'!V10*'Output-Calculation-sheet'!V64</f>
        <v>118.05653735521736</v>
      </c>
      <c r="W77" s="2">
        <f>W11/'Output-Calculation-sheet'!W10*'Output-Calculation-sheet'!W64</f>
        <v>25.722208865649044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35.694145453800786</v>
      </c>
    </row>
    <row r="78" spans="1:27" x14ac:dyDescent="0.25">
      <c r="A78" s="2">
        <v>2035</v>
      </c>
      <c r="B78" s="2">
        <f>B12/'Output-Calculation-sheet'!B11*'Output-Calculation-sheet'!B65</f>
        <v>16941.082449499634</v>
      </c>
      <c r="C78" s="2">
        <f>C12/'Output-Calculation-sheet'!C11*'Output-Calculation-sheet'!C65</f>
        <v>62.298950872675327</v>
      </c>
      <c r="D78" s="2">
        <f>D12/'Output-Calculation-sheet'!D11*'Output-Calculation-sheet'!D65</f>
        <v>1769.7584536977079</v>
      </c>
      <c r="E78" s="2">
        <f>E12/'Output-Calculation-sheet'!E11*'Output-Calculation-sheet'!E65</f>
        <v>3362.8218134828362</v>
      </c>
      <c r="F78" s="2">
        <f>F12/'Output-Calculation-sheet'!F11*'Output-Calculation-sheet'!F65</f>
        <v>718.92168340828607</v>
      </c>
      <c r="G78" s="2">
        <f>G12/'Output-Calculation-sheet'!G11*'Output-Calculation-sheet'!G65</f>
        <v>1370.3892550286062</v>
      </c>
      <c r="H78" s="2">
        <f>H12/'Output-Calculation-sheet'!H11*'Output-Calculation-sheet'!H65</f>
        <v>4387.070884057568</v>
      </c>
      <c r="I78" s="2">
        <f>I12/'Output-Calculation-sheet'!I11*'Output-Calculation-sheet'!I65</f>
        <v>793.34630124838134</v>
      </c>
      <c r="J78" s="2">
        <f>J12/'Output-Calculation-sheet'!J11*'Output-Calculation-sheet'!J65</f>
        <v>726.78308900138086</v>
      </c>
      <c r="K78" s="2">
        <f>K12/'Output-Calculation-sheet'!K11*'Output-Calculation-sheet'!K65</f>
        <v>903.49593890610208</v>
      </c>
      <c r="L78" s="2">
        <f>L12/'Output-Calculation-sheet'!L11*'Output-Calculation-sheet'!L65</f>
        <v>529.03000868774075</v>
      </c>
      <c r="M78" s="2">
        <f>M12/'Output-Calculation-sheet'!M11*'Output-Calculation-sheet'!M65</f>
        <v>3072.5055520257865</v>
      </c>
      <c r="N78" s="2">
        <f>N12/'Output-Calculation-sheet'!N11*'Output-Calculation-sheet'!N65</f>
        <v>2162.9318946367725</v>
      </c>
      <c r="O78" s="2">
        <f>O12/'Output-Calculation-sheet'!O11*'Output-Calculation-sheet'!O65</f>
        <v>319.55697023708598</v>
      </c>
      <c r="P78" s="2">
        <f>P12/'Output-Calculation-sheet'!P11*'Output-Calculation-sheet'!P65</f>
        <v>1240.2779713119698</v>
      </c>
      <c r="Q78" s="2">
        <f>Q12/'Output-Calculation-sheet'!Q11*'Output-Calculation-sheet'!Q65</f>
        <v>604.79290223999976</v>
      </c>
      <c r="R78" s="2">
        <f>R12/'Output-Calculation-sheet'!R11*'Output-Calculation-sheet'!R65</f>
        <v>1036.3608840981278</v>
      </c>
      <c r="S78" s="2">
        <f>S12/'Output-Calculation-sheet'!S11*'Output-Calculation-sheet'!S65</f>
        <v>1165.8874156242305</v>
      </c>
      <c r="T78" s="2">
        <f>T12/'Output-Calculation-sheet'!T11*'Output-Calculation-sheet'!T65</f>
        <v>367.15056505707838</v>
      </c>
      <c r="U78" s="2">
        <f>U12/'Output-Calculation-sheet'!U11*'Output-Calculation-sheet'!U65</f>
        <v>316.99775487230136</v>
      </c>
      <c r="V78" s="2">
        <f>V12/'Output-Calculation-sheet'!V11*'Output-Calculation-sheet'!V65</f>
        <v>200.21571653641436</v>
      </c>
      <c r="W78" s="2">
        <f>W12/'Output-Calculation-sheet'!W11*'Output-Calculation-sheet'!W65</f>
        <v>143.23783818656753</v>
      </c>
      <c r="X78" s="2">
        <f>X12/'Output-Calculation-sheet'!X11*'Output-Calculation-sheet'!X65</f>
        <v>26.265218746473327</v>
      </c>
      <c r="Y78" s="2">
        <f>Y12/'Output-Calculation-sheet'!Y11*'Output-Calculation-sheet'!Y65</f>
        <v>137.15672770328484</v>
      </c>
      <c r="AA78" s="2">
        <f t="shared" si="6"/>
        <v>42.358336239167002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25.69175287847041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2.5691752878470409E-2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290.29400868902485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0.29029400868902483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380.76071024816781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0.38076071024816782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24.984629423976113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5.3724551674731211</v>
      </c>
      <c r="N88" s="2">
        <f>N11/'Output-Calculation-sheet'!N10*'Output-Calculation-sheet'!N73</f>
        <v>5.2802521520502257</v>
      </c>
      <c r="O88" s="2">
        <f>O11/'Output-Calculation-sheet'!O10*'Output-Calculation-sheet'!O73</f>
        <v>454.30988038312574</v>
      </c>
      <c r="P88" s="2">
        <f>P11/'Output-Calculation-sheet'!P10*'Output-Calculation-sheet'!P73</f>
        <v>0</v>
      </c>
      <c r="Q88" s="2">
        <f>Q11/'Output-Calculation-sheet'!Q10*'Output-Calculation-sheet'!Q73</f>
        <v>19.430499161629029</v>
      </c>
      <c r="R88" s="2">
        <f>R11/'Output-Calculation-sheet'!R10*'Output-Calculation-sheet'!R73</f>
        <v>0</v>
      </c>
      <c r="S88" s="2">
        <f>S11/'Output-Calculation-sheet'!S10*'Output-Calculation-sheet'!S73</f>
        <v>0.60536456336634681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0.50998308085162058</v>
      </c>
    </row>
    <row r="89" spans="1:27" x14ac:dyDescent="0.25">
      <c r="A89" s="2">
        <v>2035</v>
      </c>
      <c r="B89" s="2">
        <f>B12/'Output-Calculation-sheet'!B11*'Output-Calculation-sheet'!B74</f>
        <v>330.65614872877256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112.11220692895473</v>
      </c>
      <c r="E89" s="2">
        <f>E12/'Output-Calculation-sheet'!E11*'Output-Calculation-sheet'!E74</f>
        <v>121.17519059053693</v>
      </c>
      <c r="F89" s="2">
        <f>F12/'Output-Calculation-sheet'!F11*'Output-Calculation-sheet'!F74</f>
        <v>47.071412519366596</v>
      </c>
      <c r="G89" s="2">
        <f>G12/'Output-Calculation-sheet'!G11*'Output-Calculation-sheet'!G74</f>
        <v>41.825870476111035</v>
      </c>
      <c r="H89" s="2">
        <f>H12/'Output-Calculation-sheet'!H11*'Output-Calculation-sheet'!H74</f>
        <v>160.51418622157038</v>
      </c>
      <c r="I89" s="2">
        <f>I12/'Output-Calculation-sheet'!I11*'Output-Calculation-sheet'!I74</f>
        <v>39.066700711845471</v>
      </c>
      <c r="J89" s="2">
        <f>J12/'Output-Calculation-sheet'!J11*'Output-Calculation-sheet'!J74</f>
        <v>22.911462349957432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30.531008568137803</v>
      </c>
      <c r="M89" s="2">
        <f>M12/'Output-Calculation-sheet'!M11*'Output-Calculation-sheet'!M74</f>
        <v>93.292195842232161</v>
      </c>
      <c r="N89" s="2">
        <f>N12/'Output-Calculation-sheet'!N11*'Output-Calculation-sheet'!N74</f>
        <v>69.558764650118007</v>
      </c>
      <c r="O89" s="2">
        <f>O12/'Output-Calculation-sheet'!O11*'Output-Calculation-sheet'!O74</f>
        <v>500.60168365765134</v>
      </c>
      <c r="P89" s="2">
        <f>P12/'Output-Calculation-sheet'!P11*'Output-Calculation-sheet'!P74</f>
        <v>37.971865731844026</v>
      </c>
      <c r="Q89" s="2">
        <f>Q12/'Output-Calculation-sheet'!Q11*'Output-Calculation-sheet'!Q74</f>
        <v>58.173940084095939</v>
      </c>
      <c r="R89" s="2">
        <f>R12/'Output-Calculation-sheet'!R11*'Output-Calculation-sheet'!R74</f>
        <v>22.893026157398985</v>
      </c>
      <c r="S89" s="2">
        <f>S12/'Output-Calculation-sheet'!S11*'Output-Calculation-sheet'!S74</f>
        <v>30.811329460516877</v>
      </c>
      <c r="T89" s="2">
        <f>T12/'Output-Calculation-sheet'!T11*'Output-Calculation-sheet'!T74</f>
        <v>5.4205166580359547</v>
      </c>
      <c r="U89" s="2">
        <f>U12/'Output-Calculation-sheet'!U11*'Output-Calculation-sheet'!U74</f>
        <v>10.017039372000463</v>
      </c>
      <c r="V89" s="2">
        <f>V12/'Output-Calculation-sheet'!V11*'Output-Calculation-sheet'!V74</f>
        <v>1.3630610177432356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0.47054473176976064</v>
      </c>
      <c r="Y89" s="2">
        <f>Y12/'Output-Calculation-sheet'!Y11*'Output-Calculation-sheet'!Y74</f>
        <v>4.4273255016769593</v>
      </c>
      <c r="AA89" s="2">
        <f t="shared" si="7"/>
        <v>1.7949757018191088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11631957451.906898</v>
      </c>
      <c r="C96" s="2">
        <f>C8/'Output-Calculation-sheet'!C7*'Output-Calculation-sheet'!C79</f>
        <v>3935151679.9946275</v>
      </c>
      <c r="D96" s="2">
        <f>D8/'Output-Calculation-sheet'!D7*'Output-Calculation-sheet'!D79</f>
        <v>4108018305.2327781</v>
      </c>
      <c r="E96" s="2">
        <f>E8/'Output-Calculation-sheet'!E7*'Output-Calculation-sheet'!E79</f>
        <v>7303718096.4142656</v>
      </c>
      <c r="F96" s="2">
        <f>F8/'Output-Calculation-sheet'!F7*'Output-Calculation-sheet'!F79</f>
        <v>3022936263.5509133</v>
      </c>
      <c r="G96" s="2">
        <f>G8/'Output-Calculation-sheet'!G7*'Output-Calculation-sheet'!G79</f>
        <v>2354623919.3380113</v>
      </c>
      <c r="H96" s="2">
        <f>H8/'Output-Calculation-sheet'!H7*'Output-Calculation-sheet'!H79</f>
        <v>2015427974.7823889</v>
      </c>
      <c r="I96" s="2">
        <f>I8/'Output-Calculation-sheet'!I7*'Output-Calculation-sheet'!I79</f>
        <v>1640241822.0580637</v>
      </c>
      <c r="J96" s="2">
        <f>J8/'Output-Calculation-sheet'!J7*'Output-Calculation-sheet'!J79</f>
        <v>1109170765.8017883</v>
      </c>
      <c r="K96" s="2">
        <f>K8/'Output-Calculation-sheet'!K7*'Output-Calculation-sheet'!K79</f>
        <v>1586894842.7795501</v>
      </c>
      <c r="L96" s="2">
        <f>L8/'Output-Calculation-sheet'!L7*'Output-Calculation-sheet'!L79</f>
        <v>1119714316.2602749</v>
      </c>
      <c r="M96" s="2">
        <f>M8/'Output-Calculation-sheet'!M7*'Output-Calculation-sheet'!M79</f>
        <v>1504476240.4593472</v>
      </c>
      <c r="N96" s="2">
        <f>N8/'Output-Calculation-sheet'!N7*'Output-Calculation-sheet'!N79</f>
        <v>1119448514.8400357</v>
      </c>
      <c r="O96" s="2">
        <f>O8/'Output-Calculation-sheet'!O7*'Output-Calculation-sheet'!O79</f>
        <v>565918577.95311105</v>
      </c>
      <c r="P96" s="2">
        <f>P8/'Output-Calculation-sheet'!P7*'Output-Calculation-sheet'!P79</f>
        <v>1892891232.1951768</v>
      </c>
      <c r="Q96" s="2">
        <f>Q8/'Output-Calculation-sheet'!Q7*'Output-Calculation-sheet'!Q79</f>
        <v>882166796.37216294</v>
      </c>
      <c r="R96" s="2">
        <f>R8/'Output-Calculation-sheet'!R7*'Output-Calculation-sheet'!R79</f>
        <v>1100609818.8572571</v>
      </c>
      <c r="S96" s="2">
        <f>S8/'Output-Calculation-sheet'!S7*'Output-Calculation-sheet'!S79</f>
        <v>641306199.60220397</v>
      </c>
      <c r="T96" s="2">
        <f>T8/'Output-Calculation-sheet'!T7*'Output-Calculation-sheet'!T79</f>
        <v>489808018.28952456</v>
      </c>
      <c r="U96" s="2">
        <f>U8/'Output-Calculation-sheet'!U7*'Output-Calculation-sheet'!U79</f>
        <v>307685404.71270114</v>
      </c>
      <c r="V96" s="2">
        <f>V8/'Output-Calculation-sheet'!V7*'Output-Calculation-sheet'!V79</f>
        <v>159642515.67760858</v>
      </c>
      <c r="W96" s="2">
        <f>W8/'Output-Calculation-sheet'!W7*'Output-Calculation-sheet'!W79</f>
        <v>471734572.72044009</v>
      </c>
      <c r="X96" s="2">
        <f>X8/'Output-Calculation-sheet'!X7*'Output-Calculation-sheet'!X79</f>
        <v>165800433.71567512</v>
      </c>
      <c r="Y96" s="2">
        <f>Y8/'Output-Calculation-sheet'!Y7*'Output-Calculation-sheet'!Y79</f>
        <v>259309617.18633181</v>
      </c>
      <c r="AA96" s="2">
        <f t="shared" si="8"/>
        <v>49.38865338070115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1357.7271313587114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263.76866288562951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31.549290592846859</v>
      </c>
      <c r="Y107" s="2">
        <f>Y8/'Output-Calculation-sheet'!Y7*'Output-Calculation-sheet'!Y88</f>
        <v>0</v>
      </c>
      <c r="AA107" s="2">
        <f t="shared" si="9"/>
        <v>1.6530450848371876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2564.9947970514841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2.6075679244664451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3.4917972827815507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4.3692008414499348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126.81180521195049</v>
      </c>
      <c r="Y111" s="2">
        <f>Y12/'Output-Calculation-sheet'!Y11*'Output-Calculation-sheet'!Y92</f>
        <v>0</v>
      </c>
      <c r="AA111" s="2">
        <f t="shared" si="9"/>
        <v>5.973982962203662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1360996169.7080898</v>
      </c>
      <c r="C118" s="2">
        <f>C8/'Output-Calculation-sheet'!C7*'Output-Calculation-sheet'!C97</f>
        <v>11237426971.914112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6993348948.8148746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4824818413.1182785</v>
      </c>
      <c r="N118" s="2">
        <f>N8/'Output-Calculation-sheet'!N7*'Output-Calculation-sheet'!N97</f>
        <v>1614946317.1681943</v>
      </c>
      <c r="O118" s="2">
        <f>O8/'Output-Calculation-sheet'!O7*'Output-Calculation-sheet'!O97</f>
        <v>1901331874.0394044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484022927.3951484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262713298.72015411</v>
      </c>
      <c r="Y118" s="2">
        <f>Y8/'Output-Calculation-sheet'!Y7*'Output-Calculation-sheet'!Y97</f>
        <v>0</v>
      </c>
      <c r="AA118" s="2">
        <f t="shared" si="10"/>
        <v>28679.604920878257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8902640095.4812546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3057808036.6128626</v>
      </c>
      <c r="O119" s="2">
        <f>O9/'Output-Calculation-sheet'!O8*'Output-Calculation-sheet'!O98</f>
        <v>3302405906.4202318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916741960.59261227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358120835.21213484</v>
      </c>
      <c r="Y119" s="2">
        <f>Y9/'Output-Calculation-sheet'!Y8*'Output-Calculation-sheet'!Y98</f>
        <v>0</v>
      </c>
      <c r="AA119" s="2">
        <f t="shared" si="10"/>
        <v>38519.287489000533</v>
      </c>
    </row>
    <row r="120" spans="1:27" x14ac:dyDescent="0.25">
      <c r="A120" s="2">
        <v>2033</v>
      </c>
      <c r="B120" s="2">
        <f>B10/'Output-Calculation-sheet'!B9*'Output-Calculation-sheet'!B99</f>
        <v>15975972765.748272</v>
      </c>
      <c r="C120" s="2">
        <f>C10/'Output-Calculation-sheet'!C9*'Output-Calculation-sheet'!C99</f>
        <v>9245863860.4677563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4793024878.8217869</v>
      </c>
      <c r="O120" s="2">
        <f>O10/'Output-Calculation-sheet'!O9*'Output-Calculation-sheet'!O99</f>
        <v>3737234018.9276896</v>
      </c>
      <c r="P120" s="2">
        <f>P10/'Output-Calculation-sheet'!P9*'Output-Calculation-sheet'!P99</f>
        <v>0</v>
      </c>
      <c r="Q120" s="2">
        <f>Q10/'Output-Calculation-sheet'!Q9*'Output-Calculation-sheet'!Q99</f>
        <v>157153377.69528615</v>
      </c>
      <c r="R120" s="2">
        <f>R10/'Output-Calculation-sheet'!R9*'Output-Calculation-sheet'!R99</f>
        <v>0</v>
      </c>
      <c r="S120" s="2">
        <f>S10/'Output-Calculation-sheet'!S9*'Output-Calculation-sheet'!S99</f>
        <v>1930663718.2873645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525234992.9568879</v>
      </c>
      <c r="Y120" s="2">
        <f>Y10/'Output-Calculation-sheet'!Y9*'Output-Calculation-sheet'!Y99</f>
        <v>0</v>
      </c>
      <c r="AA120" s="2">
        <f t="shared" si="10"/>
        <v>56370.189002389539</v>
      </c>
    </row>
    <row r="121" spans="1:27" x14ac:dyDescent="0.25">
      <c r="A121" s="2">
        <v>2034</v>
      </c>
      <c r="B121" s="2">
        <f>B11/'Output-Calculation-sheet'!B10*'Output-Calculation-sheet'!B100</f>
        <v>37595222758.251785</v>
      </c>
      <c r="C121" s="2">
        <f>C11/'Output-Calculation-sheet'!C10*'Output-Calculation-sheet'!C100</f>
        <v>9341817548.2581482</v>
      </c>
      <c r="D121" s="2">
        <f>D11/'Output-Calculation-sheet'!D10*'Output-Calculation-sheet'!D100</f>
        <v>0</v>
      </c>
      <c r="E121" s="2">
        <f>E11/'Output-Calculation-sheet'!E10*'Output-Calculation-sheet'!E100</f>
        <v>777642633.29426301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13795239713.358326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639179511.82064223</v>
      </c>
      <c r="M121" s="2">
        <f>M11/'Output-Calculation-sheet'!M10*'Output-Calculation-sheet'!M100</f>
        <v>9654744626.2549992</v>
      </c>
      <c r="N121" s="2">
        <f>N11/'Output-Calculation-sheet'!N10*'Output-Calculation-sheet'!N100</f>
        <v>6556443687.0322571</v>
      </c>
      <c r="O121" s="2">
        <f>O11/'Output-Calculation-sheet'!O10*'Output-Calculation-sheet'!O100</f>
        <v>4157073373.7989922</v>
      </c>
      <c r="P121" s="2">
        <f>P11/'Output-Calculation-sheet'!P10*'Output-Calculation-sheet'!P100</f>
        <v>0</v>
      </c>
      <c r="Q121" s="2">
        <f>Q11/'Output-Calculation-sheet'!Q10*'Output-Calculation-sheet'!Q100</f>
        <v>844747335.35868943</v>
      </c>
      <c r="R121" s="2">
        <f>R11/'Output-Calculation-sheet'!R10*'Output-Calculation-sheet'!R100</f>
        <v>0</v>
      </c>
      <c r="S121" s="2">
        <f>S11/'Output-Calculation-sheet'!S10*'Output-Calculation-sheet'!S100</f>
        <v>3259910572.2166224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42654688.983439952</v>
      </c>
      <c r="AA121" s="2">
        <f t="shared" si="10"/>
        <v>87130.17592569234</v>
      </c>
    </row>
    <row r="122" spans="1:27" x14ac:dyDescent="0.25">
      <c r="A122" s="2">
        <v>2035</v>
      </c>
      <c r="B122" s="2">
        <f>B12/'Output-Calculation-sheet'!B11*'Output-Calculation-sheet'!B101</f>
        <v>47421339560.776131</v>
      </c>
      <c r="C122" s="2">
        <f>C12/'Output-Calculation-sheet'!C11*'Output-Calculation-sheet'!C101</f>
        <v>278697996.65623939</v>
      </c>
      <c r="D122" s="2">
        <f>D12/'Output-Calculation-sheet'!D11*'Output-Calculation-sheet'!D101</f>
        <v>0</v>
      </c>
      <c r="E122" s="2">
        <f>E12/'Output-Calculation-sheet'!E11*'Output-Calculation-sheet'!E101</f>
        <v>3793777814.841887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14542382680.953804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974831583.39626169</v>
      </c>
      <c r="M122" s="2">
        <f>M12/'Output-Calculation-sheet'!M11*'Output-Calculation-sheet'!M101</f>
        <v>10201202436.926937</v>
      </c>
      <c r="N122" s="2">
        <f>N12/'Output-Calculation-sheet'!N11*'Output-Calculation-sheet'!N101</f>
        <v>6864125292.6762657</v>
      </c>
      <c r="O122" s="2">
        <f>O12/'Output-Calculation-sheet'!O11*'Output-Calculation-sheet'!O101</f>
        <v>4653471297.2367849</v>
      </c>
      <c r="P122" s="2">
        <f>P12/'Output-Calculation-sheet'!P11*'Output-Calculation-sheet'!P101</f>
        <v>291766274.63517737</v>
      </c>
      <c r="Q122" s="2">
        <f>Q12/'Output-Calculation-sheet'!Q11*'Output-Calculation-sheet'!Q101</f>
        <v>1096968443.6441846</v>
      </c>
      <c r="R122" s="2">
        <f>R12/'Output-Calculation-sheet'!R11*'Output-Calculation-sheet'!R101</f>
        <v>0</v>
      </c>
      <c r="S122" s="2">
        <f>S12/'Output-Calculation-sheet'!S11*'Output-Calculation-sheet'!S101</f>
        <v>3605304344.9897246</v>
      </c>
      <c r="T122" s="2">
        <f>T12/'Output-Calculation-sheet'!T11*'Output-Calculation-sheet'!T101</f>
        <v>0</v>
      </c>
      <c r="U122" s="2">
        <f>U12/'Output-Calculation-sheet'!U11*'Output-Calculation-sheet'!U101</f>
        <v>53262336.591876306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124926332.47174907</v>
      </c>
      <c r="Y122" s="2">
        <f>Y12/'Output-Calculation-sheet'!Y11*'Output-Calculation-sheet'!Y101</f>
        <v>193483660.20128673</v>
      </c>
      <c r="AA122" s="2">
        <f t="shared" si="10"/>
        <v>94095.540055998339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46213001242.309509</v>
      </c>
      <c r="C129" s="2">
        <f>C8/'Output-Calculation-sheet'!C7*'Output-Calculation-sheet'!C106</f>
        <v>0</v>
      </c>
      <c r="D129" s="2">
        <f>D8/'Output-Calculation-sheet'!D7*'Output-Calculation-sheet'!D106</f>
        <v>19981564667.933815</v>
      </c>
      <c r="E129" s="2">
        <f>E8/'Output-Calculation-sheet'!E7*'Output-Calculation-sheet'!E106</f>
        <v>15853362456.391834</v>
      </c>
      <c r="F129" s="2">
        <f>F8/'Output-Calculation-sheet'!F7*'Output-Calculation-sheet'!F106</f>
        <v>10205374677.644609</v>
      </c>
      <c r="G129" s="2">
        <f>G8/'Output-Calculation-sheet'!G7*'Output-Calculation-sheet'!G106</f>
        <v>7170592901.6977758</v>
      </c>
      <c r="H129" s="2">
        <f>H8/'Output-Calculation-sheet'!H7*'Output-Calculation-sheet'!H106</f>
        <v>0</v>
      </c>
      <c r="I129" s="2">
        <f>I8/'Output-Calculation-sheet'!I7*'Output-Calculation-sheet'!I106</f>
        <v>6532959398.2585011</v>
      </c>
      <c r="J129" s="2">
        <f>J8/'Output-Calculation-sheet'!J7*'Output-Calculation-sheet'!J106</f>
        <v>6358712600.3979969</v>
      </c>
      <c r="K129" s="2">
        <f>K8/'Output-Calculation-sheet'!K7*'Output-Calculation-sheet'!K106</f>
        <v>6297761525.3637466</v>
      </c>
      <c r="L129" s="2">
        <f>L8/'Output-Calculation-sheet'!L7*'Output-Calculation-sheet'!L106</f>
        <v>5052158139.4791613</v>
      </c>
      <c r="M129" s="2">
        <f>M8/'Output-Calculation-sheet'!M7*'Output-Calculation-sheet'!M106</f>
        <v>0</v>
      </c>
      <c r="N129" s="2">
        <f>N8/'Output-Calculation-sheet'!N7*'Output-Calculation-sheet'!N106</f>
        <v>3121412783.8381653</v>
      </c>
      <c r="O129" s="2">
        <f>O8/'Output-Calculation-sheet'!O7*'Output-Calculation-sheet'!O106</f>
        <v>0</v>
      </c>
      <c r="P129" s="2">
        <f>P8/'Output-Calculation-sheet'!P7*'Output-Calculation-sheet'!P106</f>
        <v>4311778506.8774748</v>
      </c>
      <c r="Q129" s="2">
        <f>Q8/'Output-Calculation-sheet'!Q7*'Output-Calculation-sheet'!Q106</f>
        <v>4242085300.1543355</v>
      </c>
      <c r="R129" s="2">
        <f>R8/'Output-Calculation-sheet'!R7*'Output-Calculation-sheet'!R106</f>
        <v>4081089460.8186245</v>
      </c>
      <c r="S129" s="2">
        <f>S8/'Output-Calculation-sheet'!S7*'Output-Calculation-sheet'!S106</f>
        <v>2228472049.423317</v>
      </c>
      <c r="T129" s="2">
        <f>T8/'Output-Calculation-sheet'!T7*'Output-Calculation-sheet'!T106</f>
        <v>1500163112.2246273</v>
      </c>
      <c r="U129" s="2">
        <f>U8/'Output-Calculation-sheet'!U7*'Output-Calculation-sheet'!U106</f>
        <v>1306593125.8883252</v>
      </c>
      <c r="V129" s="2">
        <f>V8/'Output-Calculation-sheet'!V7*'Output-Calculation-sheet'!V106</f>
        <v>1006098486.0171592</v>
      </c>
      <c r="W129" s="2">
        <f>W8/'Output-Calculation-sheet'!W7*'Output-Calculation-sheet'!W106</f>
        <v>871065166.43987644</v>
      </c>
      <c r="X129" s="2">
        <f>X8/'Output-Calculation-sheet'!X7*'Output-Calculation-sheet'!X106</f>
        <v>0</v>
      </c>
      <c r="Y129" s="2">
        <f>Y8/'Output-Calculation-sheet'!Y7*'Output-Calculation-sheet'!Y106</f>
        <v>508258909.33328259</v>
      </c>
      <c r="AA129" s="2">
        <f t="shared" si="11"/>
        <v>146842.50451049212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3.1720000661120606E-8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3332979701.4871316</v>
      </c>
      <c r="O130" s="2">
        <f>O9/'Output-Calculation-sheet'!O8*'Output-Calculation-sheet'!O107</f>
        <v>0</v>
      </c>
      <c r="P130" s="2">
        <f>P9/'Output-Calculation-sheet'!P8*'Output-Calculation-sheet'!P107</f>
        <v>5818338954.7065086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2743347440.6446981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192811.39967548809</v>
      </c>
    </row>
    <row r="131" spans="1:27" x14ac:dyDescent="0.25">
      <c r="A131" s="2">
        <v>2033</v>
      </c>
      <c r="B131" s="2">
        <f>B10/'Output-Calculation-sheet'!B9*'Output-Calculation-sheet'!B108</f>
        <v>64546660315.921844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3222970923.329432</v>
      </c>
      <c r="O131" s="2">
        <f>O10/'Output-Calculation-sheet'!O9*'Output-Calculation-sheet'!O108</f>
        <v>0</v>
      </c>
      <c r="P131" s="2">
        <f>P10/'Output-Calculation-sheet'!P9*'Output-Calculation-sheet'!P108</f>
        <v>7298028680.4359522</v>
      </c>
      <c r="Q131" s="2">
        <f>Q10/'Output-Calculation-sheet'!Q9*'Output-Calculation-sheet'!Q108</f>
        <v>7023265933.6386995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2660165784.6980362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231550.10953594439</v>
      </c>
    </row>
    <row r="132" spans="1:27" x14ac:dyDescent="0.25">
      <c r="A132" s="2">
        <v>2034</v>
      </c>
      <c r="B132" s="2">
        <f>B11/'Output-Calculation-sheet'!B10*'Output-Calculation-sheet'!B109</f>
        <v>58197279909.811264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31146538183.84058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12804865171.222593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9534578075.4728203</v>
      </c>
      <c r="M132" s="2">
        <f>M11/'Output-Calculation-sheet'!M10*'Output-Calculation-sheet'!M109</f>
        <v>0</v>
      </c>
      <c r="N132" s="2">
        <f>N11/'Output-Calculation-sheet'!N10*'Output-Calculation-sheet'!N109</f>
        <v>2898733817.5247855</v>
      </c>
      <c r="O132" s="2">
        <f>O11/'Output-Calculation-sheet'!O10*'Output-Calculation-sheet'!O109</f>
        <v>0</v>
      </c>
      <c r="P132" s="2">
        <f>P11/'Output-Calculation-sheet'!P10*'Output-Calculation-sheet'!P109</f>
        <v>8682198576.2158508</v>
      </c>
      <c r="Q132" s="2">
        <f>Q11/'Output-Calculation-sheet'!Q10*'Output-Calculation-sheet'!Q109</f>
        <v>7265434666.5408945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2191051657.7316489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980861035.38409388</v>
      </c>
      <c r="AA132" s="2">
        <f t="shared" si="11"/>
        <v>252421.16856410468</v>
      </c>
    </row>
    <row r="133" spans="1:27" x14ac:dyDescent="0.25">
      <c r="A133" s="2">
        <v>2035</v>
      </c>
      <c r="B133" s="2">
        <f>B12/'Output-Calculation-sheet'!B11*'Output-Calculation-sheet'!B110</f>
        <v>55286913362.444527</v>
      </c>
      <c r="C133" s="2">
        <f>C12/'Output-Calculation-sheet'!C11*'Output-Calculation-sheet'!C110</f>
        <v>0</v>
      </c>
      <c r="D133" s="2">
        <f>D12/'Output-Calculation-sheet'!D11*'Output-Calculation-sheet'!D110</f>
        <v>41522406127.824379</v>
      </c>
      <c r="E133" s="2">
        <f>E12/'Output-Calculation-sheet'!E11*'Output-Calculation-sheet'!E110</f>
        <v>31464510367.667542</v>
      </c>
      <c r="F133" s="2">
        <f>F12/'Output-Calculation-sheet'!F11*'Output-Calculation-sheet'!F110</f>
        <v>22391823864.050171</v>
      </c>
      <c r="G133" s="2">
        <f>G12/'Output-Calculation-sheet'!G11*'Output-Calculation-sheet'!G110</f>
        <v>15520135932.466055</v>
      </c>
      <c r="H133" s="2">
        <f>H12/'Output-Calculation-sheet'!H11*'Output-Calculation-sheet'!H110</f>
        <v>0</v>
      </c>
      <c r="I133" s="2">
        <f>I12/'Output-Calculation-sheet'!I11*'Output-Calculation-sheet'!I110</f>
        <v>14009602470.576656</v>
      </c>
      <c r="J133" s="2">
        <f>J12/'Output-Calculation-sheet'!J11*'Output-Calculation-sheet'!J110</f>
        <v>13494115293.396935</v>
      </c>
      <c r="K133" s="2">
        <f>K12/'Output-Calculation-sheet'!K11*'Output-Calculation-sheet'!K110</f>
        <v>13348035412.467867</v>
      </c>
      <c r="L133" s="2">
        <f>L12/'Output-Calculation-sheet'!L11*'Output-Calculation-sheet'!L110</f>
        <v>9814770531.8345013</v>
      </c>
      <c r="M133" s="2">
        <f>M12/'Output-Calculation-sheet'!M11*'Output-Calculation-sheet'!M110</f>
        <v>0</v>
      </c>
      <c r="N133" s="2">
        <f>N12/'Output-Calculation-sheet'!N11*'Output-Calculation-sheet'!N110</f>
        <v>3006433092.4043989</v>
      </c>
      <c r="O133" s="2">
        <f>O12/'Output-Calculation-sheet'!O11*'Output-Calculation-sheet'!O110</f>
        <v>0</v>
      </c>
      <c r="P133" s="2">
        <f>P12/'Output-Calculation-sheet'!P11*'Output-Calculation-sheet'!P110</f>
        <v>9221916439.9040241</v>
      </c>
      <c r="Q133" s="2">
        <f>Q12/'Output-Calculation-sheet'!Q11*'Output-Calculation-sheet'!Q110</f>
        <v>7358142815.6832418</v>
      </c>
      <c r="R133" s="2">
        <f>R12/'Output-Calculation-sheet'!R11*'Output-Calculation-sheet'!R110</f>
        <v>8878491532.3774471</v>
      </c>
      <c r="S133" s="2">
        <f>S12/'Output-Calculation-sheet'!S11*'Output-Calculation-sheet'!S110</f>
        <v>2097036603.2505112</v>
      </c>
      <c r="T133" s="2">
        <f>T12/'Output-Calculation-sheet'!T11*'Output-Calculation-sheet'!T110</f>
        <v>3333953816.7249103</v>
      </c>
      <c r="U133" s="2">
        <f>U12/'Output-Calculation-sheet'!U11*'Output-Calculation-sheet'!U110</f>
        <v>2706681523.0602555</v>
      </c>
      <c r="V133" s="2">
        <f>V12/'Output-Calculation-sheet'!V11*'Output-Calculation-sheet'!V110</f>
        <v>2244516456.8008161</v>
      </c>
      <c r="W133" s="2">
        <f>W12/'Output-Calculation-sheet'!W11*'Output-Calculation-sheet'!W110</f>
        <v>1970855017.5736618</v>
      </c>
      <c r="X133" s="2">
        <f>X12/'Output-Calculation-sheet'!X11*'Output-Calculation-sheet'!X110</f>
        <v>1073035.6332377899</v>
      </c>
      <c r="Y133" s="2">
        <f>Y12/'Output-Calculation-sheet'!Y11*'Output-Calculation-sheet'!Y110</f>
        <v>938139602.81567693</v>
      </c>
      <c r="AA133" s="2">
        <f t="shared" si="11"/>
        <v>258609.55329895683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11181165051.857193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2214504064.9268074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259915347.83527222</v>
      </c>
      <c r="Y140" s="2">
        <f>Y8/'Output-Calculation-sheet'!Y7*'Output-Calculation-sheet'!Y115</f>
        <v>0</v>
      </c>
      <c r="AA140" s="2">
        <f t="shared" si="12"/>
        <v>13655.584464619273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21350207694.152843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347080130.44948715</v>
      </c>
      <c r="Y141" s="2">
        <f>Y9/'Output-Calculation-sheet'!Y8*'Output-Calculation-sheet'!Y116</f>
        <v>0</v>
      </c>
      <c r="AA141" s="2">
        <f t="shared" si="12"/>
        <v>21697.287824602328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28701834295.198189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359308812.98857874</v>
      </c>
      <c r="Y142" s="2">
        <f>Y10/'Output-Calculation-sheet'!Y9*'Output-Calculation-sheet'!Y117</f>
        <v>0</v>
      </c>
      <c r="AA142" s="2">
        <f t="shared" si="12"/>
        <v>29061.143108186767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35804472896.334908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36391.359034662062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51161482002.214928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1068569559.9067677</v>
      </c>
      <c r="Y144" s="2">
        <f>Y12/'Output-Calculation-sheet'!Y11*'Output-Calculation-sheet'!Y119</f>
        <v>0</v>
      </c>
      <c r="AA144" s="2">
        <f t="shared" si="12"/>
        <v>52230.051562121698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47573998340.797623</v>
      </c>
      <c r="C151" s="2">
        <f>C8/'Output-Calculation-sheet'!C7*'Output-Calculation-sheet'!C124</f>
        <v>22419301744.771786</v>
      </c>
      <c r="D151" s="2">
        <f>D8/'Output-Calculation-sheet'!D7*'Output-Calculation-sheet'!D124</f>
        <v>19981564667.933815</v>
      </c>
      <c r="E151" s="2">
        <f>E8/'Output-Calculation-sheet'!E7*'Output-Calculation-sheet'!E124</f>
        <v>15853362456.391834</v>
      </c>
      <c r="F151" s="2">
        <f>F8/'Output-Calculation-sheet'!F7*'Output-Calculation-sheet'!F124</f>
        <v>10205374677.644609</v>
      </c>
      <c r="G151" s="2">
        <f>G8/'Output-Calculation-sheet'!G7*'Output-Calculation-sheet'!G124</f>
        <v>7170592901.6977758</v>
      </c>
      <c r="H151" s="2">
        <f>H8/'Output-Calculation-sheet'!H7*'Output-Calculation-sheet'!H124</f>
        <v>6994646223.8082714</v>
      </c>
      <c r="I151" s="2">
        <f>I8/'Output-Calculation-sheet'!I7*'Output-Calculation-sheet'!I124</f>
        <v>6532959398.2585011</v>
      </c>
      <c r="J151" s="2">
        <f>J8/'Output-Calculation-sheet'!J7*'Output-Calculation-sheet'!J124</f>
        <v>6358712600.3979969</v>
      </c>
      <c r="K151" s="2">
        <f>K8/'Output-Calculation-sheet'!K7*'Output-Calculation-sheet'!K124</f>
        <v>6297761525.3637466</v>
      </c>
      <c r="L151" s="2">
        <f>L8/'Output-Calculation-sheet'!L7*'Output-Calculation-sheet'!L124</f>
        <v>5052158139.4791613</v>
      </c>
      <c r="M151" s="2">
        <f>M8/'Output-Calculation-sheet'!M7*'Output-Calculation-sheet'!M124</f>
        <v>4825692389.8474827</v>
      </c>
      <c r="N151" s="2">
        <f>N8/'Output-Calculation-sheet'!N7*'Output-Calculation-sheet'!N124</f>
        <v>4736394891.7308464</v>
      </c>
      <c r="O151" s="2">
        <f>O8/'Output-Calculation-sheet'!O7*'Output-Calculation-sheet'!O124</f>
        <v>4642449218.0256081</v>
      </c>
      <c r="P151" s="2">
        <f>P8/'Output-Calculation-sheet'!P7*'Output-Calculation-sheet'!P124</f>
        <v>4311778506.8774748</v>
      </c>
      <c r="Q151" s="2">
        <f>Q8/'Output-Calculation-sheet'!Q7*'Output-Calculation-sheet'!Q124</f>
        <v>4242085300.1543355</v>
      </c>
      <c r="R151" s="2">
        <f>R8/'Output-Calculation-sheet'!R7*'Output-Calculation-sheet'!R124</f>
        <v>4081089460.8186245</v>
      </c>
      <c r="S151" s="2">
        <f>S8/'Output-Calculation-sheet'!S7*'Output-Calculation-sheet'!S124</f>
        <v>2712494713.7866855</v>
      </c>
      <c r="T151" s="2">
        <f>T8/'Output-Calculation-sheet'!T7*'Output-Calculation-sheet'!T124</f>
        <v>1500163112.2246273</v>
      </c>
      <c r="U151" s="2">
        <f>U8/'Output-Calculation-sheet'!U7*'Output-Calculation-sheet'!U124</f>
        <v>1306593125.8883252</v>
      </c>
      <c r="V151" s="2">
        <f>V8/'Output-Calculation-sheet'!V7*'Output-Calculation-sheet'!V124</f>
        <v>1006098486.0171592</v>
      </c>
      <c r="W151" s="2">
        <f>W8/'Output-Calculation-sheet'!W7*'Output-Calculation-sheet'!W124</f>
        <v>871065166.43987644</v>
      </c>
      <c r="X151" s="2">
        <f>X8/'Output-Calculation-sheet'!X7*'Output-Calculation-sheet'!X124</f>
        <v>522636329.01255119</v>
      </c>
      <c r="Y151" s="2">
        <f>Y8/'Output-Calculation-sheet'!Y7*'Output-Calculation-sheet'!Y124</f>
        <v>508258909.33328259</v>
      </c>
      <c r="AA151" s="2">
        <f t="shared" si="13"/>
        <v>189707.23228670197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18151782911.106682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6593073395.5528059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156430.7341838131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6781223584.2111835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111199.6597642304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2451259169.7190256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1487263210.9577851</v>
      </c>
      <c r="N154" s="2">
        <f>N11/'Output-Calculation-sheet'!N10*'Output-Calculation-sheet'!N127</f>
        <v>1474312932.0295389</v>
      </c>
      <c r="O154" s="2">
        <f>O11/'Output-Calculation-sheet'!O10*'Output-Calculation-sheet'!O127</f>
        <v>6735173541.3141375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1788979011.4772925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795280744.91476381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61208.951813162166</v>
      </c>
    </row>
    <row r="155" spans="1:27" x14ac:dyDescent="0.25">
      <c r="A155" s="2">
        <v>2035</v>
      </c>
      <c r="B155" s="2">
        <f>B12/'Output-Calculation-sheet'!B11*'Output-Calculation-sheet'!B128</f>
        <v>9392857486.522789</v>
      </c>
      <c r="C155" s="2">
        <f>C12/'Output-Calculation-sheet'!C11*'Output-Calculation-sheet'!C128</f>
        <v>68759543.440136895</v>
      </c>
      <c r="D155" s="2">
        <f>D12/'Output-Calculation-sheet'!D11*'Output-Calculation-sheet'!D128</f>
        <v>5589842885.6652489</v>
      </c>
      <c r="E155" s="2">
        <f>E12/'Output-Calculation-sheet'!E11*'Output-Calculation-sheet'!E128</f>
        <v>2536248773.1123681</v>
      </c>
      <c r="F155" s="2">
        <f>F12/'Output-Calculation-sheet'!F11*'Output-Calculation-sheet'!F128</f>
        <v>1610185257.0249786</v>
      </c>
      <c r="G155" s="2">
        <f>G12/'Output-Calculation-sheet'!G11*'Output-Calculation-sheet'!G128</f>
        <v>1439668179.066643</v>
      </c>
      <c r="H155" s="2">
        <f>H12/'Output-Calculation-sheet'!H11*'Output-Calculation-sheet'!H128</f>
        <v>2297512791.7267389</v>
      </c>
      <c r="I155" s="2">
        <f>I12/'Output-Calculation-sheet'!I11*'Output-Calculation-sheet'!I128</f>
        <v>1435940715.5665362</v>
      </c>
      <c r="J155" s="2">
        <f>J12/'Output-Calculation-sheet'!J11*'Output-Calculation-sheet'!J128</f>
        <v>1372633728.3977723</v>
      </c>
      <c r="K155" s="2">
        <f>K12/'Output-Calculation-sheet'!K11*'Output-Calculation-sheet'!K128</f>
        <v>1560776005.4962211</v>
      </c>
      <c r="L155" s="2">
        <f>L12/'Output-Calculation-sheet'!L11*'Output-Calculation-sheet'!L128</f>
        <v>1132834980.4712315</v>
      </c>
      <c r="M155" s="2">
        <f>M12/'Output-Calculation-sheet'!M11*'Output-Calculation-sheet'!M128</f>
        <v>1399092337.8050542</v>
      </c>
      <c r="N155" s="2">
        <f>N12/'Output-Calculation-sheet'!N11*'Output-Calculation-sheet'!N128</f>
        <v>1362326322.3240621</v>
      </c>
      <c r="O155" s="2">
        <f>O12/'Output-Calculation-sheet'!O11*'Output-Calculation-sheet'!O128</f>
        <v>6351695139.2706509</v>
      </c>
      <c r="P155" s="2">
        <f>P12/'Output-Calculation-sheet'!P11*'Output-Calculation-sheet'!P128</f>
        <v>752065028.22316384</v>
      </c>
      <c r="Q155" s="2">
        <f>Q12/'Output-Calculation-sheet'!Q11*'Output-Calculation-sheet'!Q128</f>
        <v>1682118868.8449955</v>
      </c>
      <c r="R155" s="2">
        <f>R12/'Output-Calculation-sheet'!R11*'Output-Calculation-sheet'!R128</f>
        <v>725549593.72749233</v>
      </c>
      <c r="S155" s="2">
        <f>S12/'Output-Calculation-sheet'!S11*'Output-Calculation-sheet'!S128</f>
        <v>727358221.42470264</v>
      </c>
      <c r="T155" s="2">
        <f>T12/'Output-Calculation-sheet'!T11*'Output-Calculation-sheet'!T128</f>
        <v>173530048.81432515</v>
      </c>
      <c r="U155" s="2">
        <f>U12/'Output-Calculation-sheet'!U11*'Output-Calculation-sheet'!U128</f>
        <v>335804157.0556221</v>
      </c>
      <c r="V155" s="2">
        <f>V12/'Output-Calculation-sheet'!V11*'Output-Calculation-sheet'!V128</f>
        <v>83728999.031433657</v>
      </c>
      <c r="W155" s="2">
        <f>W12/'Output-Calculation-sheet'!W11*'Output-Calculation-sheet'!W128</f>
        <v>77797193.314175636</v>
      </c>
      <c r="X155" s="2">
        <f>X12/'Output-Calculation-sheet'!X11*'Output-Calculation-sheet'!X128</f>
        <v>9571545.6649923865</v>
      </c>
      <c r="Y155" s="2">
        <f>Y12/'Output-Calculation-sheet'!Y11*'Output-Calculation-sheet'!Y128</f>
        <v>83684636.857814297</v>
      </c>
      <c r="AA155" s="2">
        <f t="shared" si="13"/>
        <v>42201.582438849146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1062.3201211802671</v>
      </c>
      <c r="C19" s="2">
        <f>C8/'Output-Calculation-sheet'!C7*'Output-Calculation-sheet'!C25</f>
        <v>7574.4077184141443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4772.9739585566613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3313.107616466551</v>
      </c>
      <c r="N19" s="2">
        <f>N8/'Output-Calculation-sheet'!N7*'Output-Calculation-sheet'!N25</f>
        <v>1132.847165145216</v>
      </c>
      <c r="O19" s="2">
        <f>O8/'Output-Calculation-sheet'!O7*'Output-Calculation-sheet'!O25</f>
        <v>1235.778613326866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404.60803529056125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174.91076901354958</v>
      </c>
      <c r="Y19" s="2">
        <f>Y8/'Output-Calculation-sheet'!Y7*'Output-Calculation-sheet'!Y25</f>
        <v>0</v>
      </c>
      <c r="AA19" s="2">
        <f t="shared" si="0"/>
        <v>19.67095399739382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5771.4803189657441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6505.4720619811706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4520.3915613725121</v>
      </c>
      <c r="N20" s="2">
        <f>N9/'Output-Calculation-sheet'!N8*'Output-Calculation-sheet'!N26</f>
        <v>2036.5158356912002</v>
      </c>
      <c r="O20" s="2">
        <f>O9/'Output-Calculation-sheet'!O8*'Output-Calculation-sheet'!O26</f>
        <v>2148.7420927608209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740.23418942939998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241.56349406229131</v>
      </c>
      <c r="Y20" s="2">
        <f>Y9/'Output-Calculation-sheet'!Y8*'Output-Calculation-sheet'!Y26</f>
        <v>0</v>
      </c>
      <c r="AA20" s="2">
        <f t="shared" si="0"/>
        <v>27.943730901386981</v>
      </c>
    </row>
    <row r="21" spans="1:27" x14ac:dyDescent="0.25">
      <c r="A21" s="2">
        <v>2033</v>
      </c>
      <c r="B21" s="2">
        <f>B10/'Output-Calculation-sheet'!B9*'Output-Calculation-sheet'!B27</f>
        <v>14306.605792723371</v>
      </c>
      <c r="C21" s="2">
        <f>C10/'Output-Calculation-sheet'!C9*'Output-Calculation-sheet'!C27</f>
        <v>5933.4626343031314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8294.4610691236576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5762.2082676155969</v>
      </c>
      <c r="N21" s="2">
        <f>N10/'Output-Calculation-sheet'!N9*'Output-Calculation-sheet'!N27</f>
        <v>3143.4098324233055</v>
      </c>
      <c r="O21" s="2">
        <f>O10/'Output-Calculation-sheet'!O9*'Output-Calculation-sheet'!O27</f>
        <v>2463.0340485956685</v>
      </c>
      <c r="P21" s="2">
        <f>P10/'Output-Calculation-sheet'!P9*'Output-Calculation-sheet'!P27</f>
        <v>0</v>
      </c>
      <c r="Q21" s="2">
        <f>Q10/'Output-Calculation-sheet'!Q9*'Output-Calculation-sheet'!Q27</f>
        <v>214.51548730593072</v>
      </c>
      <c r="R21" s="2">
        <f>R10/'Output-Calculation-sheet'!R9*'Output-Calculation-sheet'!R27</f>
        <v>0</v>
      </c>
      <c r="S21" s="2">
        <f>S10/'Output-Calculation-sheet'!S9*'Output-Calculation-sheet'!S27</f>
        <v>1370.3063154472368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365.19568564337038</v>
      </c>
      <c r="Y21" s="2">
        <f>Y10/'Output-Calculation-sheet'!Y9*'Output-Calculation-sheet'!Y27</f>
        <v>0</v>
      </c>
      <c r="AA21" s="2">
        <f t="shared" si="0"/>
        <v>41.85319913318127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6037.5103503667888</v>
      </c>
      <c r="D22" s="2">
        <f>D11/'Output-Calculation-sheet'!D10*'Output-Calculation-sheet'!D28</f>
        <v>0</v>
      </c>
      <c r="E22" s="2">
        <f>E11/'Output-Calculation-sheet'!E10*'Output-Calculation-sheet'!E28</f>
        <v>1440.6558758718245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10495.354499481929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863.77069844136213</v>
      </c>
      <c r="M22" s="2">
        <f>M11/'Output-Calculation-sheet'!M10*'Output-Calculation-sheet'!M28</f>
        <v>7631.3708550319125</v>
      </c>
      <c r="N22" s="2">
        <f>N11/'Output-Calculation-sheet'!N10*'Output-Calculation-sheet'!N28</f>
        <v>4395.5889627274055</v>
      </c>
      <c r="O22" s="2">
        <f>O11/'Output-Calculation-sheet'!O10*'Output-Calculation-sheet'!O28</f>
        <v>2792.1997422198942</v>
      </c>
      <c r="P22" s="2">
        <f>P11/'Output-Calculation-sheet'!P10*'Output-Calculation-sheet'!P28</f>
        <v>0</v>
      </c>
      <c r="Q22" s="2">
        <f>Q11/'Output-Calculation-sheet'!Q10*'Output-Calculation-sheet'!Q28</f>
        <v>1025.5035877566452</v>
      </c>
      <c r="R22" s="2">
        <f>R11/'Output-Calculation-sheet'!R10*'Output-Calculation-sheet'!R28</f>
        <v>0</v>
      </c>
      <c r="S22" s="2">
        <f>S11/'Output-Calculation-sheet'!S10*'Output-Calculation-sheet'!S28</f>
        <v>2280.6776172006826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78.659024070953564</v>
      </c>
      <c r="AA22" s="2">
        <f t="shared" si="0"/>
        <v>65.725823979455242</v>
      </c>
    </row>
    <row r="23" spans="1:27" x14ac:dyDescent="0.25">
      <c r="A23" s="2">
        <v>2035</v>
      </c>
      <c r="B23" s="2">
        <f>B12/'Output-Calculation-sheet'!B11*'Output-Calculation-sheet'!B29</f>
        <v>35616.807153831687</v>
      </c>
      <c r="C23" s="2">
        <f>C12/'Output-Calculation-sheet'!C11*'Output-Calculation-sheet'!C29</f>
        <v>184.32938899420367</v>
      </c>
      <c r="D23" s="2">
        <f>D12/'Output-Calculation-sheet'!D11*'Output-Calculation-sheet'!D29</f>
        <v>0</v>
      </c>
      <c r="E23" s="2">
        <f>E12/'Output-Calculation-sheet'!E11*'Output-Calculation-sheet'!E29</f>
        <v>5416.7635122504907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11009.023854486351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1219.0449195088565</v>
      </c>
      <c r="M23" s="2">
        <f>M12/'Output-Calculation-sheet'!M11*'Output-Calculation-sheet'!M29</f>
        <v>8019.0267707888197</v>
      </c>
      <c r="N23" s="2">
        <f>N12/'Output-Calculation-sheet'!N11*'Output-Calculation-sheet'!N29</f>
        <v>4656.2665782646591</v>
      </c>
      <c r="O23" s="2">
        <f>O12/'Output-Calculation-sheet'!O11*'Output-Calculation-sheet'!O29</f>
        <v>3208.9307557596621</v>
      </c>
      <c r="P23" s="2">
        <f>P12/'Output-Calculation-sheet'!P11*'Output-Calculation-sheet'!P29</f>
        <v>560.13115679193606</v>
      </c>
      <c r="Q23" s="2">
        <f>Q12/'Output-Calculation-sheet'!Q11*'Output-Calculation-sheet'!Q29</f>
        <v>1247.8825775353632</v>
      </c>
      <c r="R23" s="2">
        <f>R12/'Output-Calculation-sheet'!R11*'Output-Calculation-sheet'!R29</f>
        <v>0</v>
      </c>
      <c r="S23" s="2">
        <f>S12/'Output-Calculation-sheet'!S11*'Output-Calculation-sheet'!S29</f>
        <v>2529.3705012431483</v>
      </c>
      <c r="T23" s="2">
        <f>T12/'Output-Calculation-sheet'!T11*'Output-Calculation-sheet'!T29</f>
        <v>0</v>
      </c>
      <c r="U23" s="2">
        <f>U12/'Output-Calculation-sheet'!U11*'Output-Calculation-sheet'!U29</f>
        <v>111.37019064154636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82.625168253141354</v>
      </c>
      <c r="Y23" s="2">
        <f>Y12/'Output-Calculation-sheet'!Y11*'Output-Calculation-sheet'!Y29</f>
        <v>237.95827434762916</v>
      </c>
      <c r="AA23" s="2">
        <f t="shared" si="0"/>
        <v>74.099530802697515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18517.301836415401</v>
      </c>
      <c r="C30" s="2">
        <f>C8/'Output-Calculation-sheet'!C7*'Output-Calculation-sheet'!C16</f>
        <v>0</v>
      </c>
      <c r="D30" s="2">
        <f>D8/'Output-Calculation-sheet'!D7*'Output-Calculation-sheet'!D16</f>
        <v>3118.0455926363152</v>
      </c>
      <c r="E30" s="2">
        <f>E8/'Output-Calculation-sheet'!E7*'Output-Calculation-sheet'!E16</f>
        <v>3354.8452054005406</v>
      </c>
      <c r="F30" s="2">
        <f>F8/'Output-Calculation-sheet'!F7*'Output-Calculation-sheet'!F16</f>
        <v>1692.5649165394484</v>
      </c>
      <c r="G30" s="2">
        <f>G8/'Output-Calculation-sheet'!G7*'Output-Calculation-sheet'!G16</f>
        <v>1108.4142505276443</v>
      </c>
      <c r="H30" s="2">
        <f>H8/'Output-Calculation-sheet'!H7*'Output-Calculation-sheet'!H16</f>
        <v>0</v>
      </c>
      <c r="I30" s="2">
        <f>I8/'Output-Calculation-sheet'!I7*'Output-Calculation-sheet'!I16</f>
        <v>1080.5511325603841</v>
      </c>
      <c r="J30" s="2">
        <f>J8/'Output-Calculation-sheet'!J7*'Output-Calculation-sheet'!J16</f>
        <v>961.88503727788964</v>
      </c>
      <c r="K30" s="2">
        <f>K8/'Output-Calculation-sheet'!K7*'Output-Calculation-sheet'!K16</f>
        <v>1284.3014918878414</v>
      </c>
      <c r="L30" s="2">
        <f>L8/'Output-Calculation-sheet'!L7*'Output-Calculation-sheet'!L16</f>
        <v>1084.8179935504925</v>
      </c>
      <c r="M30" s="2">
        <f>M8/'Output-Calculation-sheet'!M7*'Output-Calculation-sheet'!M16</f>
        <v>0</v>
      </c>
      <c r="N30" s="2">
        <f>N8/'Output-Calculation-sheet'!N7*'Output-Calculation-sheet'!N16</f>
        <v>1542.0467080845788</v>
      </c>
      <c r="O30" s="2">
        <f>O8/'Output-Calculation-sheet'!O7*'Output-Calculation-sheet'!O16</f>
        <v>0</v>
      </c>
      <c r="P30" s="2">
        <f>P8/'Output-Calculation-sheet'!P7*'Output-Calculation-sheet'!P16</f>
        <v>1384.9105177724334</v>
      </c>
      <c r="Q30" s="2">
        <f>Q8/'Output-Calculation-sheet'!Q7*'Output-Calculation-sheet'!Q16</f>
        <v>1522.951266751591</v>
      </c>
      <c r="R30" s="2">
        <f>R8/'Output-Calculation-sheet'!R7*'Output-Calculation-sheet'!R16</f>
        <v>966.31802082845422</v>
      </c>
      <c r="S30" s="2">
        <f>S8/'Output-Calculation-sheet'!S7*'Output-Calculation-sheet'!S16</f>
        <v>971.83400298117317</v>
      </c>
      <c r="T30" s="2">
        <f>T8/'Output-Calculation-sheet'!T7*'Output-Calculation-sheet'!T16</f>
        <v>290.07297624138857</v>
      </c>
      <c r="U30" s="2">
        <f>U8/'Output-Calculation-sheet'!U7*'Output-Calculation-sheet'!U16</f>
        <v>289.55580187168204</v>
      </c>
      <c r="V30" s="2">
        <f>V8/'Output-Calculation-sheet'!V7*'Output-Calculation-sheet'!V16</f>
        <v>225.35479790452419</v>
      </c>
      <c r="W30" s="2">
        <f>W8/'Output-Calculation-sheet'!W7*'Output-Calculation-sheet'!W16</f>
        <v>136.69073986405863</v>
      </c>
      <c r="X30" s="2">
        <f>X8/'Output-Calculation-sheet'!X7*'Output-Calculation-sheet'!X16</f>
        <v>0</v>
      </c>
      <c r="Y30" s="2">
        <f>Y8/'Output-Calculation-sheet'!Y7*'Output-Calculation-sheet'!Y16</f>
        <v>115.69110532982724</v>
      </c>
      <c r="AA30" s="2">
        <f t="shared" si="1"/>
        <v>39.64815339442567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1734.0642016540507</v>
      </c>
      <c r="O31" s="2">
        <f>O9/'Output-Calculation-sheet'!O8*'Output-Calculation-sheet'!O17</f>
        <v>0</v>
      </c>
      <c r="P31" s="2">
        <f>P9/'Output-Calculation-sheet'!P8*'Output-Calculation-sheet'!P17</f>
        <v>2146.8366886700187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1289.4720802391278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55.135001939576306</v>
      </c>
    </row>
    <row r="32" spans="1:27" x14ac:dyDescent="0.25">
      <c r="A32" s="2">
        <v>2033</v>
      </c>
      <c r="B32" s="2">
        <f>B10/'Output-Calculation-sheet'!B9*'Output-Calculation-sheet'!B18</f>
        <v>29130.268641256345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2774.5213476985909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1784.3987973407561</v>
      </c>
      <c r="O32" s="2">
        <f>O10/'Output-Calculation-sheet'!O9*'Output-Calculation-sheet'!O18</f>
        <v>0</v>
      </c>
      <c r="P32" s="2">
        <f>P10/'Output-Calculation-sheet'!P9*'Output-Calculation-sheet'!P18</f>
        <v>2855.6037501779638</v>
      </c>
      <c r="Q32" s="2">
        <f>Q10/'Output-Calculation-sheet'!Q9*'Output-Calculation-sheet'!Q18</f>
        <v>3109.8564167353525</v>
      </c>
      <c r="R32" s="2">
        <f>R10/'Output-Calculation-sheet'!R9*'Output-Calculation-sheet'!R18</f>
        <v>2050.6092481411265</v>
      </c>
      <c r="S32" s="2">
        <f>S10/'Output-Calculation-sheet'!S9*'Output-Calculation-sheet'!S18</f>
        <v>1342.9177816306699</v>
      </c>
      <c r="T32" s="2">
        <f>T10/'Output-Calculation-sheet'!T9*'Output-Calculation-sheet'!T18</f>
        <v>598.71253079002724</v>
      </c>
      <c r="U32" s="2">
        <f>U10/'Output-Calculation-sheet'!U9*'Output-Calculation-sheet'!U18</f>
        <v>661.87724884370107</v>
      </c>
      <c r="V32" s="2">
        <f>V10/'Output-Calculation-sheet'!V9*'Output-Calculation-sheet'!V18</f>
        <v>488.53300302048962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282.83563958143009</v>
      </c>
      <c r="AA32" s="2">
        <f t="shared" si="1"/>
        <v>69.972292430017305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8551.9950707250264</v>
      </c>
      <c r="E33" s="2">
        <f>E11/'Output-Calculation-sheet'!E10*'Output-Calculation-sheet'!E19</f>
        <v>10590.248406469769</v>
      </c>
      <c r="F33" s="2">
        <f>F11/'Output-Calculation-sheet'!F10*'Output-Calculation-sheet'!F19</f>
        <v>4854.0600002769279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3176.7675588400998</v>
      </c>
      <c r="J33" s="2">
        <f>J11/'Output-Calculation-sheet'!J10*'Output-Calculation-sheet'!J19</f>
        <v>2685.8930153071192</v>
      </c>
      <c r="K33" s="2">
        <f>K11/'Output-Calculation-sheet'!K10*'Output-Calculation-sheet'!K19</f>
        <v>3725.5080184219646</v>
      </c>
      <c r="L33" s="2">
        <f>L11/'Output-Calculation-sheet'!L10*'Output-Calculation-sheet'!L19</f>
        <v>3030.9370529092239</v>
      </c>
      <c r="M33" s="2">
        <f>M11/'Output-Calculation-sheet'!M10*'Output-Calculation-sheet'!M19</f>
        <v>0</v>
      </c>
      <c r="N33" s="2">
        <f>N11/'Output-Calculation-sheet'!N10*'Output-Calculation-sheet'!N19</f>
        <v>1723.4453474291245</v>
      </c>
      <c r="O33" s="2">
        <f>O11/'Output-Calculation-sheet'!O10*'Output-Calculation-sheet'!O19</f>
        <v>0</v>
      </c>
      <c r="P33" s="2">
        <f>P11/'Output-Calculation-sheet'!P10*'Output-Calculation-sheet'!P19</f>
        <v>3768.5693906504439</v>
      </c>
      <c r="Q33" s="2">
        <f>Q11/'Output-Calculation-sheet'!Q10*'Output-Calculation-sheet'!Q19</f>
        <v>3079.1730662443229</v>
      </c>
      <c r="R33" s="2">
        <f>R11/'Output-Calculation-sheet'!R10*'Output-Calculation-sheet'!R19</f>
        <v>2691.151236064266</v>
      </c>
      <c r="S33" s="2">
        <f>S11/'Output-Calculation-sheet'!S10*'Output-Calculation-sheet'!S19</f>
        <v>1253.6673210621327</v>
      </c>
      <c r="T33" s="2">
        <f>T11/'Output-Calculation-sheet'!T10*'Output-Calculation-sheet'!T19</f>
        <v>789.63633007105875</v>
      </c>
      <c r="U33" s="2">
        <f>U11/'Output-Calculation-sheet'!U10*'Output-Calculation-sheet'!U19</f>
        <v>908.24129264305748</v>
      </c>
      <c r="V33" s="2">
        <f>V11/'Output-Calculation-sheet'!V10*'Output-Calculation-sheet'!V19</f>
        <v>619.36941902995932</v>
      </c>
      <c r="W33" s="2">
        <f>W11/'Output-Calculation-sheet'!W10*'Output-Calculation-sheet'!W19</f>
        <v>385.61132394090646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83.760571180966963</v>
      </c>
    </row>
    <row r="34" spans="1:27" x14ac:dyDescent="0.25">
      <c r="A34" s="2">
        <v>2035</v>
      </c>
      <c r="B34" s="2">
        <f>B12/'Output-Calculation-sheet'!B11*'Output-Calculation-sheet'!B20</f>
        <v>28048.302117650703</v>
      </c>
      <c r="C34" s="2">
        <f>C12/'Output-Calculation-sheet'!C11*'Output-Calculation-sheet'!C20</f>
        <v>0</v>
      </c>
      <c r="D34" s="2">
        <f>D12/'Output-Calculation-sheet'!D11*'Output-Calculation-sheet'!D20</f>
        <v>8783.4944537166302</v>
      </c>
      <c r="E34" s="2">
        <f>E12/'Output-Calculation-sheet'!E11*'Output-Calculation-sheet'!E20</f>
        <v>9677.6307914130521</v>
      </c>
      <c r="F34" s="2">
        <f>F12/'Output-Calculation-sheet'!F11*'Output-Calculation-sheet'!F20</f>
        <v>5989.7188705269464</v>
      </c>
      <c r="G34" s="2">
        <f>G12/'Output-Calculation-sheet'!G11*'Output-Calculation-sheet'!G20</f>
        <v>3235.1208350758552</v>
      </c>
      <c r="H34" s="2">
        <f>H12/'Output-Calculation-sheet'!H11*'Output-Calculation-sheet'!H20</f>
        <v>0</v>
      </c>
      <c r="I34" s="2">
        <f>I12/'Output-Calculation-sheet'!I11*'Output-Calculation-sheet'!I20</f>
        <v>3523.6927353119704</v>
      </c>
      <c r="J34" s="2">
        <f>J12/'Output-Calculation-sheet'!J11*'Output-Calculation-sheet'!J20</f>
        <v>3019.5711105197943</v>
      </c>
      <c r="K34" s="2">
        <f>K12/'Output-Calculation-sheet'!K11*'Output-Calculation-sheet'!K20</f>
        <v>3968.9220047903727</v>
      </c>
      <c r="L34" s="2">
        <f>L12/'Output-Calculation-sheet'!L11*'Output-Calculation-sheet'!L20</f>
        <v>3142.4664697486073</v>
      </c>
      <c r="M34" s="2">
        <f>M12/'Output-Calculation-sheet'!M11*'Output-Calculation-sheet'!M20</f>
        <v>0</v>
      </c>
      <c r="N34" s="2">
        <f>N12/'Output-Calculation-sheet'!N11*'Output-Calculation-sheet'!N20</f>
        <v>1751.3230919772468</v>
      </c>
      <c r="O34" s="2">
        <f>O12/'Output-Calculation-sheet'!O11*'Output-Calculation-sheet'!O20</f>
        <v>0</v>
      </c>
      <c r="P34" s="2">
        <f>P12/'Output-Calculation-sheet'!P11*'Output-Calculation-sheet'!P20</f>
        <v>3918.9719015111773</v>
      </c>
      <c r="Q34" s="2">
        <f>Q12/'Output-Calculation-sheet'!Q11*'Output-Calculation-sheet'!Q20</f>
        <v>3088.4248479853841</v>
      </c>
      <c r="R34" s="2">
        <f>R12/'Output-Calculation-sheet'!R11*'Output-Calculation-sheet'!R20</f>
        <v>3116.5625873194881</v>
      </c>
      <c r="S34" s="2">
        <f>S12/'Output-Calculation-sheet'!S11*'Output-Calculation-sheet'!S20</f>
        <v>1203.7412164281086</v>
      </c>
      <c r="T34" s="2">
        <f>T12/'Output-Calculation-sheet'!T11*'Output-Calculation-sheet'!T20</f>
        <v>972.68471197649274</v>
      </c>
      <c r="U34" s="2">
        <f>U12/'Output-Calculation-sheet'!U11*'Output-Calculation-sheet'!U20</f>
        <v>890.4214784518997</v>
      </c>
      <c r="V34" s="2">
        <f>V12/'Output-Calculation-sheet'!V11*'Output-Calculation-sheet'!V20</f>
        <v>815.78815655181302</v>
      </c>
      <c r="W34" s="2">
        <f>W12/'Output-Calculation-sheet'!W11*'Output-Calculation-sheet'!W20</f>
        <v>527.57908372773738</v>
      </c>
      <c r="X34" s="2">
        <f>X12/'Output-Calculation-sheet'!X11*'Output-Calculation-sheet'!X20</f>
        <v>1.2452643084233173</v>
      </c>
      <c r="Y34" s="2">
        <f>Y12/'Output-Calculation-sheet'!Y11*'Output-Calculation-sheet'!Y20</f>
        <v>294.15434415816026</v>
      </c>
      <c r="AA34" s="2">
        <f t="shared" si="1"/>
        <v>85.969816073149843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3.9218452967442308E-2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3.9218452967442308E-2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0.44863024225697989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0.44863024225697989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0.59999426365994701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0.59999426365994701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5.5979562686150015E-2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1.2839795677470267E-2</v>
      </c>
      <c r="N44" s="2">
        <f>N11/'Output-Calculation-sheet'!N10*'Output-Calculation-sheet'!N37*0.0114</f>
        <v>1.2619436857904086E-2</v>
      </c>
      <c r="O44" s="2">
        <f>O11/'Output-Calculation-sheet'!O10*'Output-Calculation-sheet'!O37*0.0114</f>
        <v>0.73012675501852053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3.3169676402199887E-2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7.2338968513540273E-3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0.85196912349359888</v>
      </c>
    </row>
    <row r="45" spans="1:27" x14ac:dyDescent="0.25">
      <c r="A45" s="2">
        <v>2035</v>
      </c>
      <c r="B45" s="2">
        <f>B12/'Output-Calculation-sheet'!B11*'Output-Calculation-sheet'!B38*0.0114</f>
        <v>0.65478850454023607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0.21878670693329091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0.26786771009846105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5.2743654060157345E-2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5.5533303758971198E-2</v>
      </c>
      <c r="M45" s="2">
        <f>M12/'Output-Calculation-sheet'!M11*'Output-Calculation-sheet'!M38*0.0114</f>
        <v>0.15798775997616085</v>
      </c>
      <c r="N45" s="2">
        <f>N12/'Output-Calculation-sheet'!N11*'Output-Calculation-sheet'!N38*0.0114</f>
        <v>0.11645725980121335</v>
      </c>
      <c r="O45" s="2">
        <f>O12/'Output-Calculation-sheet'!O11*'Output-Calculation-sheet'!O38*0.0114</f>
        <v>0.82110664934763367</v>
      </c>
      <c r="P45" s="2">
        <f>P12/'Output-Calculation-sheet'!P11*'Output-Calculation-sheet'!P38*0.0114</f>
        <v>7.1724034813821072E-2</v>
      </c>
      <c r="Q45" s="2">
        <f>Q12/'Output-Calculation-sheet'!Q11*'Output-Calculation-sheet'!Q38*0.0114</f>
        <v>0.10203438990686027</v>
      </c>
      <c r="R45" s="2">
        <f>R12/'Output-Calculation-sheet'!R11*'Output-Calculation-sheet'!R38*0.0114</f>
        <v>4.4971701558483096E-2</v>
      </c>
      <c r="S45" s="2">
        <f>S12/'Output-Calculation-sheet'!S11*'Output-Calculation-sheet'!S38*0.0114</f>
        <v>5.1922361260427104E-2</v>
      </c>
      <c r="T45" s="2">
        <f>T12/'Output-Calculation-sheet'!T11*'Output-Calculation-sheet'!T38*0.0114</f>
        <v>1.2478376590366342E-2</v>
      </c>
      <c r="U45" s="2">
        <f>U12/'Output-Calculation-sheet'!U11*'Output-Calculation-sheet'!U38*0.0114</f>
        <v>1.8086169675001547E-2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8.3626559373429828E-3</v>
      </c>
      <c r="AA45" s="2">
        <f t="shared" si="2"/>
        <v>3.2686458743561757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2926.2833337259544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6740.3337396359393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4609.8737213990935</v>
      </c>
      <c r="N52" s="2">
        <f>N8/'Output-Calculation-sheet'!N7*'Output-Calculation-sheet'!N43</f>
        <v>145.61834935329918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31.169845139378978</v>
      </c>
      <c r="Y52" s="2">
        <f>Y8/'Output-Calculation-sheet'!Y7*'Output-Calculation-sheet'!Y43</f>
        <v>0</v>
      </c>
      <c r="AA52" s="2">
        <f t="shared" si="3"/>
        <v>14.453278989253663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501.59943940737173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13001.439132147336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8904.3693288326376</v>
      </c>
      <c r="N53" s="2">
        <f>N9/'Output-Calculation-sheet'!N8*'Output-Calculation-sheet'!N44</f>
        <v>3156.8238063255408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985.38036215635589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271.77690451948484</v>
      </c>
      <c r="Y53" s="2">
        <f>Y9/'Output-Calculation-sheet'!Y8*'Output-Calculation-sheet'!Y44</f>
        <v>0</v>
      </c>
      <c r="AA53" s="2">
        <f t="shared" si="3"/>
        <v>26.961455435017168</v>
      </c>
    </row>
    <row r="54" spans="1:27" x14ac:dyDescent="0.25">
      <c r="A54" s="2">
        <v>2033</v>
      </c>
      <c r="B54" s="2">
        <f>B10/'Output-Calculation-sheet'!B9*'Output-Calculation-sheet'!B45</f>
        <v>27419.855531998721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19989.803979631502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13701.877041506261</v>
      </c>
      <c r="N54" s="2">
        <f>N10/'Output-Calculation-sheet'!N9*'Output-Calculation-sheet'!N45</f>
        <v>7645.8636883459094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802.75484427332378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769.08182920898548</v>
      </c>
      <c r="Y54" s="2">
        <f>Y10/'Output-Calculation-sheet'!Y9*'Output-Calculation-sheet'!Y45</f>
        <v>16.964084030841825</v>
      </c>
      <c r="AA54" s="2">
        <f t="shared" si="3"/>
        <v>82.707097641381893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24360.93074438511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3529.5316333385194</v>
      </c>
      <c r="L55" s="2">
        <f>L11/'Output-Calculation-sheet'!L10*'Output-Calculation-sheet'!L46</f>
        <v>1304.0880816654894</v>
      </c>
      <c r="M55" s="2">
        <f>M11/'Output-Calculation-sheet'!M10*'Output-Calculation-sheet'!M46</f>
        <v>17102.833101963686</v>
      </c>
      <c r="N55" s="2">
        <f>N11/'Output-Calculation-sheet'!N10*'Output-Calculation-sheet'!N46</f>
        <v>12610.581112740645</v>
      </c>
      <c r="O55" s="2">
        <f>O11/'Output-Calculation-sheet'!O10*'Output-Calculation-sheet'!O46</f>
        <v>280.97690628896095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2853.3680694523996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6393.7495328283494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196.64728855304395</v>
      </c>
    </row>
    <row r="56" spans="1:27" x14ac:dyDescent="0.25">
      <c r="A56" s="2">
        <v>2035</v>
      </c>
      <c r="B56" s="2">
        <f>B12/'Output-Calculation-sheet'!B11*'Output-Calculation-sheet'!B47</f>
        <v>106454.82581709417</v>
      </c>
      <c r="C56" s="2">
        <f>C12/'Output-Calculation-sheet'!C11*'Output-Calculation-sheet'!C47</f>
        <v>365.30019707204349</v>
      </c>
      <c r="D56" s="2">
        <f>D12/'Output-Calculation-sheet'!D11*'Output-Calculation-sheet'!D47</f>
        <v>8567.9670965115401</v>
      </c>
      <c r="E56" s="2">
        <f>E12/'Output-Calculation-sheet'!E11*'Output-Calculation-sheet'!E47</f>
        <v>23667.34798159073</v>
      </c>
      <c r="F56" s="2">
        <f>F12/'Output-Calculation-sheet'!F11*'Output-Calculation-sheet'!F47</f>
        <v>2795.4889306716113</v>
      </c>
      <c r="G56" s="2">
        <f>G12/'Output-Calculation-sheet'!G11*'Output-Calculation-sheet'!G47</f>
        <v>6715.3196517454417</v>
      </c>
      <c r="H56" s="2">
        <f>H12/'Output-Calculation-sheet'!H11*'Output-Calculation-sheet'!H47</f>
        <v>25408.829969803272</v>
      </c>
      <c r="I56" s="2">
        <f>I12/'Output-Calculation-sheet'!I11*'Output-Calculation-sheet'!I47</f>
        <v>3341.0196793812493</v>
      </c>
      <c r="J56" s="2">
        <f>J12/'Output-Calculation-sheet'!J11*'Output-Calculation-sheet'!J47</f>
        <v>3067.4598808670457</v>
      </c>
      <c r="K56" s="2">
        <f>K12/'Output-Calculation-sheet'!K11*'Output-Calculation-sheet'!K47</f>
        <v>4366.5119895073685</v>
      </c>
      <c r="L56" s="2">
        <f>L12/'Output-Calculation-sheet'!L11*'Output-Calculation-sheet'!L47</f>
        <v>2396.7004780187567</v>
      </c>
      <c r="M56" s="2">
        <f>M12/'Output-Calculation-sheet'!M11*'Output-Calculation-sheet'!M47</f>
        <v>17651.205580962298</v>
      </c>
      <c r="N56" s="2">
        <f>N12/'Output-Calculation-sheet'!N11*'Output-Calculation-sheet'!N47</f>
        <v>13296.104691144377</v>
      </c>
      <c r="O56" s="2">
        <f>O12/'Output-Calculation-sheet'!O11*'Output-Calculation-sheet'!O47</f>
        <v>1308.1355933234361</v>
      </c>
      <c r="P56" s="2">
        <f>P12/'Output-Calculation-sheet'!P11*'Output-Calculation-sheet'!P47</f>
        <v>7006.725155350181</v>
      </c>
      <c r="Q56" s="2">
        <f>Q12/'Output-Calculation-sheet'!Q11*'Output-Calculation-sheet'!Q47</f>
        <v>3364.3503026794183</v>
      </c>
      <c r="R56" s="2">
        <f>R12/'Output-Calculation-sheet'!R11*'Output-Calculation-sheet'!R47</f>
        <v>5168.7870146493397</v>
      </c>
      <c r="S56" s="2">
        <f>S12/'Output-Calculation-sheet'!S11*'Output-Calculation-sheet'!S47</f>
        <v>6871.57966505477</v>
      </c>
      <c r="T56" s="2">
        <f>T12/'Output-Calculation-sheet'!T11*'Output-Calculation-sheet'!T47</f>
        <v>1799.1483908507728</v>
      </c>
      <c r="U56" s="2">
        <f>U12/'Output-Calculation-sheet'!U11*'Output-Calculation-sheet'!U47</f>
        <v>1738.4933973567274</v>
      </c>
      <c r="V56" s="2">
        <f>V12/'Output-Calculation-sheet'!V11*'Output-Calculation-sheet'!V47</f>
        <v>1214.0374632034791</v>
      </c>
      <c r="W56" s="2">
        <f>W12/'Output-Calculation-sheet'!W11*'Output-Calculation-sheet'!W47</f>
        <v>701.90826658683022</v>
      </c>
      <c r="X56" s="2">
        <f>X12/'Output-Calculation-sheet'!X11*'Output-Calculation-sheet'!X47</f>
        <v>141.51594592622294</v>
      </c>
      <c r="Y56" s="2">
        <f>Y12/'Output-Calculation-sheet'!Y11*'Output-Calculation-sheet'!Y47</f>
        <v>932.72956353785992</v>
      </c>
      <c r="AA56" s="2">
        <f t="shared" si="3"/>
        <v>248.34149270288893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7.0396347711983243</v>
      </c>
      <c r="C63" s="2">
        <f>C8*'Output-Calculation-sheet'!C52/10^9</f>
        <v>3.8262159160236724</v>
      </c>
      <c r="D63" s="2">
        <f>D8*'Output-Calculation-sheet'!D52/10^9</f>
        <v>1.6482646619338568</v>
      </c>
      <c r="E63" s="2">
        <f>E8*'Output-Calculation-sheet'!E52/10^9</f>
        <v>1.8856874273599102</v>
      </c>
      <c r="F63" s="2">
        <f>F8*'Output-Calculation-sheet'!F52/10^9</f>
        <v>0.88143773153075444</v>
      </c>
      <c r="G63" s="2">
        <f>G8*'Output-Calculation-sheet'!G52/10^9</f>
        <v>0.67233045148381798</v>
      </c>
      <c r="H63" s="2">
        <f>H8*'Output-Calculation-sheet'!H52/10^9</f>
        <v>1.0049334729757626</v>
      </c>
      <c r="I63" s="2">
        <f>I8*'Output-Calculation-sheet'!I52/10^9</f>
        <v>0.53109637937534582</v>
      </c>
      <c r="J63" s="2">
        <f>J8*'Output-Calculation-sheet'!J52/10^9</f>
        <v>0.75079385523734843</v>
      </c>
      <c r="K63" s="2">
        <f>K8*'Output-Calculation-sheet'!K52/10^9</f>
        <v>0.49285930078622209</v>
      </c>
      <c r="L63" s="2">
        <f>L8*'Output-Calculation-sheet'!L52/10^9</f>
        <v>0.58352521706535831</v>
      </c>
      <c r="M63" s="2">
        <f>M8*'Output-Calculation-sheet'!M52/10^9</f>
        <v>0.73578848611077763</v>
      </c>
      <c r="N63" s="2">
        <f>N8*'Output-Calculation-sheet'!N52/10^9</f>
        <v>0.58671461270183567</v>
      </c>
      <c r="O63" s="2">
        <f>O8*'Output-Calculation-sheet'!O52/10^9</f>
        <v>0.69513782937335011</v>
      </c>
      <c r="P63" s="2">
        <f>P8*'Output-Calculation-sheet'!P52/10^9</f>
        <v>0.50124639979826124</v>
      </c>
      <c r="Q63" s="2">
        <f>Q8*'Output-Calculation-sheet'!Q52/10^9</f>
        <v>0.46755384651085025</v>
      </c>
      <c r="R63" s="2">
        <f>R8*'Output-Calculation-sheet'!R52/10^9</f>
        <v>0.42349460519833859</v>
      </c>
      <c r="S63" s="2">
        <f>S8*'Output-Calculation-sheet'!S52/10^9</f>
        <v>0.35931942085123769</v>
      </c>
      <c r="T63" s="2">
        <f>T8*'Output-Calculation-sheet'!T52/10^9</f>
        <v>0.17200683672483172</v>
      </c>
      <c r="U63" s="2">
        <f>U8*'Output-Calculation-sheet'!U52/10^9</f>
        <v>0.13413947746888197</v>
      </c>
      <c r="V63" s="2">
        <f>V8*'Output-Calculation-sheet'!V52/10^9</f>
        <v>0.22209496136204138</v>
      </c>
      <c r="W63" s="2">
        <f>W8*'Output-Calculation-sheet'!W52/10^9</f>
        <v>9.3201137861821839E-2</v>
      </c>
      <c r="X63" s="2">
        <f>X8*'Output-Calculation-sheet'!X52/10^9</f>
        <v>9.8066871121498894E-2</v>
      </c>
      <c r="Y63" s="2">
        <f>Y8*'Output-Calculation-sheet'!Y52/10^9</f>
        <v>5.3820192536257215E-2</v>
      </c>
      <c r="AA63" s="2">
        <f t="shared" si="4"/>
        <v>23.85936386259036</v>
      </c>
    </row>
    <row r="64" spans="1:27" x14ac:dyDescent="0.25">
      <c r="A64" s="2">
        <v>2032</v>
      </c>
      <c r="B64" s="2">
        <f>B9*'Output-Calculation-sheet'!B53/10^9</f>
        <v>7.3563042184661764</v>
      </c>
      <c r="C64" s="2">
        <f>C9*'Output-Calculation-sheet'!C53/10^9</f>
        <v>4.34516405567335</v>
      </c>
      <c r="D64" s="2">
        <f>D9*'Output-Calculation-sheet'!D53/10^9</f>
        <v>1.5447259132867033</v>
      </c>
      <c r="E64" s="2">
        <f>E9*'Output-Calculation-sheet'!E53/10^9</f>
        <v>1.8036481552116841</v>
      </c>
      <c r="F64" s="2">
        <f>F9*'Output-Calculation-sheet'!F53/10^9</f>
        <v>0.82766370335010042</v>
      </c>
      <c r="G64" s="2">
        <f>G9*'Output-Calculation-sheet'!G53/10^9</f>
        <v>0.61972035871735431</v>
      </c>
      <c r="H64" s="2">
        <f>H9*'Output-Calculation-sheet'!H53/10^9</f>
        <v>1.1541307773335676</v>
      </c>
      <c r="I64" s="2">
        <f>I9*'Output-Calculation-sheet'!I53/10^9</f>
        <v>0.50255070184374495</v>
      </c>
      <c r="J64" s="2">
        <f>J9*'Output-Calculation-sheet'!J53/10^9</f>
        <v>0.67453023277970381</v>
      </c>
      <c r="K64" s="2">
        <f>K9*'Output-Calculation-sheet'!K53/10^9</f>
        <v>0.49795421591632433</v>
      </c>
      <c r="L64" s="2">
        <f>L9*'Output-Calculation-sheet'!L53/10^9</f>
        <v>0.55903879814197621</v>
      </c>
      <c r="M64" s="2">
        <f>M9*'Output-Calculation-sheet'!M53/10^9</f>
        <v>0.83226326166415832</v>
      </c>
      <c r="N64" s="2">
        <f>N9*'Output-Calculation-sheet'!N53/10^9</f>
        <v>0.6802446700262359</v>
      </c>
      <c r="O64" s="2">
        <f>O9*'Output-Calculation-sheet'!O53/10^9</f>
        <v>0.80357437202467874</v>
      </c>
      <c r="P64" s="2">
        <f>P9*'Output-Calculation-sheet'!P53/10^9</f>
        <v>0.53134462378056202</v>
      </c>
      <c r="Q64" s="2">
        <f>Q9*'Output-Calculation-sheet'!Q53/10^9</f>
        <v>0.5039949108560059</v>
      </c>
      <c r="R64" s="2">
        <f>R9*'Output-Calculation-sheet'!R53/10^9</f>
        <v>0.42875817405579125</v>
      </c>
      <c r="S64" s="2">
        <f>S9*'Output-Calculation-sheet'!S53/10^9</f>
        <v>0.40309106569997749</v>
      </c>
      <c r="T64" s="2">
        <f>T9*'Output-Calculation-sheet'!T53/10^9</f>
        <v>0.16027793821057995</v>
      </c>
      <c r="U64" s="2">
        <f>U9*'Output-Calculation-sheet'!U53/10^9</f>
        <v>0.13655595143002128</v>
      </c>
      <c r="V64" s="2">
        <f>V9*'Output-Calculation-sheet'!V53/10^9</f>
        <v>0.19902544127560315</v>
      </c>
      <c r="W64" s="2">
        <f>W9*'Output-Calculation-sheet'!W53/10^9</f>
        <v>8.4831269990565325E-2</v>
      </c>
      <c r="X64" s="2">
        <f>X9*'Output-Calculation-sheet'!X53/10^9</f>
        <v>0.1083213011466102</v>
      </c>
      <c r="Y64" s="2">
        <f>Y9*'Output-Calculation-sheet'!Y53/10^9</f>
        <v>5.3957436023526179E-2</v>
      </c>
      <c r="AA64" s="2">
        <f t="shared" si="4"/>
        <v>24.811671546905</v>
      </c>
    </row>
    <row r="65" spans="1:27" x14ac:dyDescent="0.25">
      <c r="A65" s="2">
        <v>2033</v>
      </c>
      <c r="B65" s="2">
        <f>B10*'Output-Calculation-sheet'!B54/10^9</f>
        <v>7.8045524220967808</v>
      </c>
      <c r="C65" s="2">
        <f>C10*'Output-Calculation-sheet'!C54/10^9</f>
        <v>4.8218575877158489</v>
      </c>
      <c r="D65" s="2">
        <f>D10*'Output-Calculation-sheet'!D54/10^9</f>
        <v>1.3911462540573223</v>
      </c>
      <c r="E65" s="2">
        <f>E10*'Output-Calculation-sheet'!E54/10^9</f>
        <v>1.7716431704580549</v>
      </c>
      <c r="F65" s="2">
        <f>F10*'Output-Calculation-sheet'!F54/10^9</f>
        <v>0.76128948867346302</v>
      </c>
      <c r="G65" s="2">
        <f>G10*'Output-Calculation-sheet'!G54/10^9</f>
        <v>0.54200124434541752</v>
      </c>
      <c r="H65" s="2">
        <f>H10*'Output-Calculation-sheet'!H54/10^9</f>
        <v>1.27357662882372</v>
      </c>
      <c r="I65" s="2">
        <f>I10*'Output-Calculation-sheet'!I54/10^9</f>
        <v>0.47522196110238901</v>
      </c>
      <c r="J65" s="2">
        <f>J10*'Output-Calculation-sheet'!J54/10^9</f>
        <v>0.56226234070457515</v>
      </c>
      <c r="K65" s="2">
        <f>K10*'Output-Calculation-sheet'!K54/10^9</f>
        <v>0.52616752755480634</v>
      </c>
      <c r="L65" s="2">
        <f>L10*'Output-Calculation-sheet'!L54/10^9</f>
        <v>0.54262111358059573</v>
      </c>
      <c r="M65" s="2">
        <f>M10*'Output-Calculation-sheet'!M54/10^9</f>
        <v>0.9055563219544398</v>
      </c>
      <c r="N65" s="2">
        <f>N10*'Output-Calculation-sheet'!N54/10^9</f>
        <v>0.77164340686616506</v>
      </c>
      <c r="O65" s="2">
        <f>O10*'Output-Calculation-sheet'!O54/10^9</f>
        <v>0.89785378001387206</v>
      </c>
      <c r="P65" s="2">
        <f>P10*'Output-Calculation-sheet'!P54/10^9</f>
        <v>0.5692117153876648</v>
      </c>
      <c r="Q65" s="2">
        <f>Q10*'Output-Calculation-sheet'!Q54/10^9</f>
        <v>0.56173614132733718</v>
      </c>
      <c r="R65" s="2">
        <f>R10*'Output-Calculation-sheet'!R54/10^9</f>
        <v>0.44528617005226223</v>
      </c>
      <c r="S65" s="2">
        <f>S10*'Output-Calculation-sheet'!S54/10^9</f>
        <v>0.44692491524754796</v>
      </c>
      <c r="T65" s="2">
        <f>T10*'Output-Calculation-sheet'!T54/10^9</f>
        <v>0.15079370516400534</v>
      </c>
      <c r="U65" s="2">
        <f>U10*'Output-Calculation-sheet'!U54/10^9</f>
        <v>0.14482652680772498</v>
      </c>
      <c r="V65" s="2">
        <f>V10*'Output-Calculation-sheet'!V54/10^9</f>
        <v>0.1706466743856023</v>
      </c>
      <c r="W65" s="2">
        <f>W10*'Output-Calculation-sheet'!W54/10^9</f>
        <v>7.2928219513238454E-2</v>
      </c>
      <c r="X65" s="2">
        <f>X10*'Output-Calculation-sheet'!X54/10^9</f>
        <v>0.11631765283706071</v>
      </c>
      <c r="Y65" s="2">
        <f>Y10*'Output-Calculation-sheet'!Y54/10^9</f>
        <v>5.6574863887498945E-2</v>
      </c>
      <c r="AA65" s="2">
        <f t="shared" si="4"/>
        <v>25.78263983255739</v>
      </c>
    </row>
    <row r="66" spans="1:27" x14ac:dyDescent="0.25">
      <c r="A66" s="2">
        <v>2034</v>
      </c>
      <c r="B66" s="2">
        <f>B11*'Output-Calculation-sheet'!B55/10^9</f>
        <v>8.3824908489289012</v>
      </c>
      <c r="C66" s="2">
        <f>C11*'Output-Calculation-sheet'!C55/10^9</f>
        <v>5.2560851378797704</v>
      </c>
      <c r="D66" s="2">
        <f>D11*'Output-Calculation-sheet'!D55/10^9</f>
        <v>1.5165101823360154</v>
      </c>
      <c r="E66" s="2">
        <f>E11*'Output-Calculation-sheet'!E55/10^9</f>
        <v>1.964176938040485</v>
      </c>
      <c r="F66" s="2">
        <f>F11*'Output-Calculation-sheet'!F55/10^9</f>
        <v>0.77306010371904588</v>
      </c>
      <c r="G66" s="2">
        <f>G11*'Output-Calculation-sheet'!G55/10^9</f>
        <v>0.56391732254373939</v>
      </c>
      <c r="H66" s="2">
        <f>H11*'Output-Calculation-sheet'!H55/10^9</f>
        <v>1.4071769099076039</v>
      </c>
      <c r="I66" s="2">
        <f>I11*'Output-Calculation-sheet'!I55/10^9</f>
        <v>0.52421975169798074</v>
      </c>
      <c r="J66" s="2">
        <f>J11*'Output-Calculation-sheet'!J55/10^9</f>
        <v>0.52779085526300495</v>
      </c>
      <c r="K66" s="2">
        <f>K11*'Output-Calculation-sheet'!K55/10^9</f>
        <v>0.60097564520047908</v>
      </c>
      <c r="L66" s="2">
        <f>L11*'Output-Calculation-sheet'!L55/10^9</f>
        <v>0.58262565502553421</v>
      </c>
      <c r="M66" s="2">
        <f>M11*'Output-Calculation-sheet'!M55/10^9</f>
        <v>0.98836335527516572</v>
      </c>
      <c r="N66" s="2">
        <f>N11*'Output-Calculation-sheet'!N55/10^9</f>
        <v>0.85945930639277757</v>
      </c>
      <c r="O66" s="2">
        <f>O11*'Output-Calculation-sheet'!O55/10^9</f>
        <v>0.98034514532887052</v>
      </c>
      <c r="P66" s="2">
        <f>P11*'Output-Calculation-sheet'!P55/10^9</f>
        <v>0.62862553854388892</v>
      </c>
      <c r="Q66" s="2">
        <f>Q11*'Output-Calculation-sheet'!Q55/10^9</f>
        <v>0.64659595424013316</v>
      </c>
      <c r="R66" s="2">
        <f>R11*'Output-Calculation-sheet'!R55/10^9</f>
        <v>0.47839234043933559</v>
      </c>
      <c r="S66" s="2">
        <f>S11*'Output-Calculation-sheet'!S55/10^9</f>
        <v>0.49661081433238835</v>
      </c>
      <c r="T66" s="2">
        <f>T11*'Output-Calculation-sheet'!T55/10^9</f>
        <v>0.14989693374263555</v>
      </c>
      <c r="U66" s="2">
        <f>U11*'Output-Calculation-sheet'!U55/10^9</f>
        <v>0.16314065758059251</v>
      </c>
      <c r="V66" s="2">
        <f>V11*'Output-Calculation-sheet'!V55/10^9</f>
        <v>0.14166250809320777</v>
      </c>
      <c r="W66" s="2">
        <f>W11*'Output-Calculation-sheet'!W55/10^9</f>
        <v>6.9402183495472322E-2</v>
      </c>
      <c r="X66" s="2">
        <f>X11*'Output-Calculation-sheet'!X55/10^9</f>
        <v>0.12258946482915202</v>
      </c>
      <c r="Y66" s="2">
        <f>Y11*'Output-Calculation-sheet'!Y55/10^9</f>
        <v>6.659070748565607E-2</v>
      </c>
      <c r="AA66" s="2">
        <f t="shared" si="4"/>
        <v>27.890704260321844</v>
      </c>
    </row>
    <row r="67" spans="1:27" x14ac:dyDescent="0.25">
      <c r="A67" s="2">
        <v>2035</v>
      </c>
      <c r="B67" s="2">
        <f>B12*'Output-Calculation-sheet'!B56/10^9</f>
        <v>9.4151778819210357</v>
      </c>
      <c r="C67" s="2">
        <f>C12*'Output-Calculation-sheet'!C56/10^9</f>
        <v>5.6865408580682653</v>
      </c>
      <c r="D67" s="2">
        <f>D12*'Output-Calculation-sheet'!D56/10^9</f>
        <v>1.8650529455821845</v>
      </c>
      <c r="E67" s="2">
        <f>E12*'Output-Calculation-sheet'!E56/10^9</f>
        <v>2.5539108395912566</v>
      </c>
      <c r="F67" s="2">
        <f>F12*'Output-Calculation-sheet'!F56/10^9</f>
        <v>1.0013248044196494</v>
      </c>
      <c r="G67" s="2">
        <f>G12*'Output-Calculation-sheet'!G56/10^9</f>
        <v>0.73777579032436613</v>
      </c>
      <c r="H67" s="2">
        <f>H12*'Output-Calculation-sheet'!H56/10^9</f>
        <v>1.5710747090726671</v>
      </c>
      <c r="I67" s="2">
        <f>I12*'Output-Calculation-sheet'!I56/10^9</f>
        <v>0.67605316617647593</v>
      </c>
      <c r="J67" s="2">
        <f>J12*'Output-Calculation-sheet'!J56/10^9</f>
        <v>0.61903910236684878</v>
      </c>
      <c r="K67" s="2">
        <f>K12*'Output-Calculation-sheet'!K56/10^9</f>
        <v>0.74152017227382472</v>
      </c>
      <c r="L67" s="2">
        <f>L12*'Output-Calculation-sheet'!L56/10^9</f>
        <v>0.6910539834427718</v>
      </c>
      <c r="M67" s="2">
        <f>M12*'Output-Calculation-sheet'!M56/10^9</f>
        <v>1.1114626815947637</v>
      </c>
      <c r="N67" s="2">
        <f>N12*'Output-Calculation-sheet'!N56/10^9</f>
        <v>0.94929518163056326</v>
      </c>
      <c r="O67" s="2">
        <f>O12*'Output-Calculation-sheet'!O56/10^9</f>
        <v>1.0501262228519681</v>
      </c>
      <c r="P67" s="2">
        <f>P12*'Output-Calculation-sheet'!P56/10^9</f>
        <v>0.7704458379028668</v>
      </c>
      <c r="Q67" s="2">
        <f>Q12*'Output-Calculation-sheet'!Q56/10^9</f>
        <v>0.72779027949615949</v>
      </c>
      <c r="R67" s="2">
        <f>R12*'Output-Calculation-sheet'!R56/10^9</f>
        <v>0.57089102449078633</v>
      </c>
      <c r="S67" s="2">
        <f>S12*'Output-Calculation-sheet'!S56/10^9</f>
        <v>0.55147500047756104</v>
      </c>
      <c r="T67" s="2">
        <f>T12*'Output-Calculation-sheet'!T56/10^9</f>
        <v>0.17765748452286115</v>
      </c>
      <c r="U67" s="2">
        <f>U12*'Output-Calculation-sheet'!U56/10^9</f>
        <v>0.1920586792897695</v>
      </c>
      <c r="V67" s="2">
        <f>V12*'Output-Calculation-sheet'!V56/10^9</f>
        <v>0.13701446217352148</v>
      </c>
      <c r="W67" s="2">
        <f>W12*'Output-Calculation-sheet'!W56/10^9</f>
        <v>9.300674701475467E-2</v>
      </c>
      <c r="X67" s="2">
        <f>X12*'Output-Calculation-sheet'!X56/10^9</f>
        <v>0.13266935201438299</v>
      </c>
      <c r="Y67" s="2">
        <f>Y12*'Output-Calculation-sheet'!Y56/10^9</f>
        <v>8.6786343332300661E-2</v>
      </c>
      <c r="AA67" s="2">
        <f t="shared" si="4"/>
        <v>32.109203550031602</v>
      </c>
    </row>
    <row r="68" spans="1:27" x14ac:dyDescent="0.25">
      <c r="B68" s="2">
        <f>SUM(B60:B67)</f>
        <v>39.998160142611212</v>
      </c>
      <c r="C68" s="2">
        <f t="shared" ref="C68:Y68" si="5">SUM(C60:C67)</f>
        <v>23.935863555360907</v>
      </c>
      <c r="D68" s="2">
        <f t="shared" si="5"/>
        <v>7.9656999571960823</v>
      </c>
      <c r="E68" s="2">
        <f t="shared" si="5"/>
        <v>9.9790665306613917</v>
      </c>
      <c r="F68" s="2">
        <f t="shared" si="5"/>
        <v>4.2447758316930138</v>
      </c>
      <c r="G68" s="2">
        <f t="shared" si="5"/>
        <v>3.135745167414695</v>
      </c>
      <c r="H68" s="2">
        <f t="shared" si="5"/>
        <v>6.4108924981133217</v>
      </c>
      <c r="I68" s="2">
        <f t="shared" si="5"/>
        <v>2.7091419601959368</v>
      </c>
      <c r="J68" s="2">
        <f t="shared" si="5"/>
        <v>3.1344163863514809</v>
      </c>
      <c r="K68" s="2">
        <f t="shared" si="5"/>
        <v>2.8594768617316566</v>
      </c>
      <c r="L68" s="2">
        <f t="shared" si="5"/>
        <v>2.9588647672562365</v>
      </c>
      <c r="M68" s="2">
        <f t="shared" si="5"/>
        <v>4.5734341065993052</v>
      </c>
      <c r="N68" s="2">
        <f t="shared" si="5"/>
        <v>3.8473571776175777</v>
      </c>
      <c r="O68" s="2">
        <f t="shared" si="5"/>
        <v>4.4270373495927391</v>
      </c>
      <c r="P68" s="2">
        <f t="shared" si="5"/>
        <v>3.0008741154132439</v>
      </c>
      <c r="Q68" s="2">
        <f t="shared" si="5"/>
        <v>2.9076711324304858</v>
      </c>
      <c r="R68" s="2">
        <f t="shared" si="5"/>
        <v>2.3468223142365137</v>
      </c>
      <c r="S68" s="2">
        <f t="shared" si="5"/>
        <v>2.2574212166087122</v>
      </c>
      <c r="T68" s="2">
        <f t="shared" si="5"/>
        <v>0.8106328983649137</v>
      </c>
      <c r="U68" s="2">
        <f t="shared" si="5"/>
        <v>0.77072129257699018</v>
      </c>
      <c r="V68" s="2">
        <f t="shared" si="5"/>
        <v>0.87044404728997615</v>
      </c>
      <c r="W68" s="2">
        <f t="shared" si="5"/>
        <v>0.41336955787585261</v>
      </c>
      <c r="X68" s="2">
        <f t="shared" si="5"/>
        <v>0.57796464194870478</v>
      </c>
      <c r="Y68" s="2">
        <f t="shared" si="5"/>
        <v>0.31772954326523906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784.65122249559477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1430.9690371272025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964.99866946523593</v>
      </c>
      <c r="N74" s="2">
        <f>N8/'Output-Calculation-sheet'!N7*'Output-Calculation-sheet'!N61</f>
        <v>40.005415761890234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8.5631691389181022</v>
      </c>
      <c r="Y74" s="2">
        <f>Y8/'Output-Calculation-sheet'!Y7*'Output-Calculation-sheet'!Y61</f>
        <v>0</v>
      </c>
      <c r="AA74" s="2">
        <f t="shared" si="6"/>
        <v>3.2291875139888413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137.7999767625771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2474.5062891636926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1681.5599080377749</v>
      </c>
      <c r="N75" s="2">
        <f>N9/'Output-Calculation-sheet'!N8*'Output-Calculation-sheet'!N62</f>
        <v>647.59770352874204</v>
      </c>
      <c r="O75" s="2">
        <f>O9/'Output-Calculation-sheet'!O8*'Output-Calculation-sheet'!O62</f>
        <v>0</v>
      </c>
      <c r="P75" s="2">
        <f>P9/'Output-Calculation-sheet'!P8*'Output-Calculation-sheet'!P62</f>
        <v>51.306066616759551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217.61365542336412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59.05941884756556</v>
      </c>
      <c r="Y75" s="2">
        <f>Y9/'Output-Calculation-sheet'!Y8*'Output-Calculation-sheet'!Y62</f>
        <v>0</v>
      </c>
      <c r="AA75" s="2">
        <f t="shared" si="6"/>
        <v>5.2694430183804766</v>
      </c>
    </row>
    <row r="76" spans="1:27" x14ac:dyDescent="0.25">
      <c r="A76" s="2">
        <v>2033</v>
      </c>
      <c r="B76" s="2">
        <f>B10/'Output-Calculation-sheet'!B9*'Output-Calculation-sheet'!B63</f>
        <v>5520.5452734801329</v>
      </c>
      <c r="C76" s="2">
        <f>C10/'Output-Calculation-sheet'!C9*'Output-Calculation-sheet'!C63</f>
        <v>1113.1756516788735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3599.1182601947894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2456.4157812436783</v>
      </c>
      <c r="N76" s="2">
        <f>N10/'Output-Calculation-sheet'!N9*'Output-Calculation-sheet'!N63</f>
        <v>1399.056844730404</v>
      </c>
      <c r="O76" s="2">
        <f>O10/'Output-Calculation-sheet'!O9*'Output-Calculation-sheet'!O63</f>
        <v>0</v>
      </c>
      <c r="P76" s="2">
        <f>P10/'Output-Calculation-sheet'!P9*'Output-Calculation-sheet'!P63</f>
        <v>485.16508641675802</v>
      </c>
      <c r="Q76" s="2">
        <f>Q10/'Output-Calculation-sheet'!Q9*'Output-Calculation-sheet'!Q63</f>
        <v>220.53661481384842</v>
      </c>
      <c r="R76" s="2">
        <f>R10/'Output-Calculation-sheet'!R9*'Output-Calculation-sheet'!R63</f>
        <v>368.1748545835386</v>
      </c>
      <c r="S76" s="2">
        <f>S10/'Output-Calculation-sheet'!S9*'Output-Calculation-sheet'!S63</f>
        <v>625.65283528878115</v>
      </c>
      <c r="T76" s="2">
        <f>T10/'Output-Calculation-sheet'!T9*'Output-Calculation-sheet'!T63</f>
        <v>24.258442280739271</v>
      </c>
      <c r="U76" s="2">
        <f>U10/'Output-Calculation-sheet'!U9*'Output-Calculation-sheet'!U63</f>
        <v>130.8374974876935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140.92014041996455</v>
      </c>
      <c r="Y76" s="2">
        <f>Y10/'Output-Calculation-sheet'!Y9*'Output-Calculation-sheet'!Y63</f>
        <v>6.213898131621602</v>
      </c>
      <c r="AA76" s="2">
        <f t="shared" si="6"/>
        <v>16.19179696529293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2010.7257000727475</v>
      </c>
      <c r="D77" s="2">
        <f>D11/'Output-Calculation-sheet'!D10*'Output-Calculation-sheet'!D64</f>
        <v>1708.7739923622632</v>
      </c>
      <c r="E77" s="2">
        <f>E11/'Output-Calculation-sheet'!E10*'Output-Calculation-sheet'!E64</f>
        <v>2137.2097126694875</v>
      </c>
      <c r="F77" s="2">
        <f>F11/'Output-Calculation-sheet'!F10*'Output-Calculation-sheet'!F64</f>
        <v>152.0677580649855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4518.6261056344356</v>
      </c>
      <c r="I77" s="2">
        <f>I11/'Output-Calculation-sheet'!I10*'Output-Calculation-sheet'!I64</f>
        <v>530.38273068459978</v>
      </c>
      <c r="J77" s="2">
        <f>J11/'Output-Calculation-sheet'!J10*'Output-Calculation-sheet'!J64</f>
        <v>373.97408010046797</v>
      </c>
      <c r="K77" s="2">
        <f>K11/'Output-Calculation-sheet'!K10*'Output-Calculation-sheet'!K64</f>
        <v>814.08953324385391</v>
      </c>
      <c r="L77" s="2">
        <f>L11/'Output-Calculation-sheet'!L10*'Output-Calculation-sheet'!L64</f>
        <v>333.47123758231584</v>
      </c>
      <c r="M77" s="2">
        <f>M11/'Output-Calculation-sheet'!M10*'Output-Calculation-sheet'!M64</f>
        <v>3193.4171192838908</v>
      </c>
      <c r="N77" s="2">
        <f>N11/'Output-Calculation-sheet'!N10*'Output-Calculation-sheet'!N64</f>
        <v>2213.3451698707063</v>
      </c>
      <c r="O77" s="2">
        <f>O11/'Output-Calculation-sheet'!O10*'Output-Calculation-sheet'!O64</f>
        <v>80.424474408555355</v>
      </c>
      <c r="P77" s="2">
        <f>P11/'Output-Calculation-sheet'!P10*'Output-Calculation-sheet'!P64</f>
        <v>1003.8192932250431</v>
      </c>
      <c r="Q77" s="2">
        <f>Q11/'Output-Calculation-sheet'!Q10*'Output-Calculation-sheet'!Q64</f>
        <v>574.7024687376944</v>
      </c>
      <c r="R77" s="2">
        <f>R11/'Output-Calculation-sheet'!R10*'Output-Calculation-sheet'!R64</f>
        <v>857.35577098739896</v>
      </c>
      <c r="S77" s="2">
        <f>S11/'Output-Calculation-sheet'!S10*'Output-Calculation-sheet'!S64</f>
        <v>1135.9419953298998</v>
      </c>
      <c r="T77" s="2">
        <f>T11/'Output-Calculation-sheet'!T10*'Output-Calculation-sheet'!T64</f>
        <v>237.07536356096625</v>
      </c>
      <c r="U77" s="2">
        <f>U11/'Output-Calculation-sheet'!U10*'Output-Calculation-sheet'!U64</f>
        <v>314.42452995016527</v>
      </c>
      <c r="V77" s="2">
        <f>V11/'Output-Calculation-sheet'!V10*'Output-Calculation-sheet'!V64</f>
        <v>123.74866052681929</v>
      </c>
      <c r="W77" s="2">
        <f>W11/'Output-Calculation-sheet'!W10*'Output-Calculation-sheet'!W64</f>
        <v>26.962411097469587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37.415146907678619</v>
      </c>
    </row>
    <row r="78" spans="1:27" x14ac:dyDescent="0.25">
      <c r="A78" s="2">
        <v>2035</v>
      </c>
      <c r="B78" s="2">
        <f>B12/'Output-Calculation-sheet'!B11*'Output-Calculation-sheet'!B65</f>
        <v>18245.360028520219</v>
      </c>
      <c r="C78" s="2">
        <f>C12/'Output-Calculation-sheet'!C11*'Output-Calculation-sheet'!C65</f>
        <v>67.095286942814425</v>
      </c>
      <c r="D78" s="2">
        <f>D12/'Output-Calculation-sheet'!D11*'Output-Calculation-sheet'!D65</f>
        <v>1906.0104481213723</v>
      </c>
      <c r="E78" s="2">
        <f>E12/'Output-Calculation-sheet'!E11*'Output-Calculation-sheet'!E65</f>
        <v>3621.7222176713863</v>
      </c>
      <c r="F78" s="2">
        <f>F12/'Output-Calculation-sheet'!F11*'Output-Calculation-sheet'!F65</f>
        <v>774.27076960371153</v>
      </c>
      <c r="G78" s="2">
        <f>G12/'Output-Calculation-sheet'!G11*'Output-Calculation-sheet'!G65</f>
        <v>1475.8942004884125</v>
      </c>
      <c r="H78" s="2">
        <f>H12/'Output-Calculation-sheet'!H11*'Output-Calculation-sheet'!H65</f>
        <v>4724.8272351471223</v>
      </c>
      <c r="I78" s="2">
        <f>I12/'Output-Calculation-sheet'!I11*'Output-Calculation-sheet'!I65</f>
        <v>854.42526690489638</v>
      </c>
      <c r="J78" s="2">
        <f>J12/'Output-Calculation-sheet'!J11*'Output-Calculation-sheet'!J65</f>
        <v>782.73741722223326</v>
      </c>
      <c r="K78" s="2">
        <f>K12/'Output-Calculation-sheet'!K11*'Output-Calculation-sheet'!K65</f>
        <v>973.05521880242225</v>
      </c>
      <c r="L78" s="2">
        <f>L12/'Output-Calculation-sheet'!L11*'Output-Calculation-sheet'!L65</f>
        <v>569.75951821095691</v>
      </c>
      <c r="M78" s="2">
        <f>M12/'Output-Calculation-sheet'!M11*'Output-Calculation-sheet'!M65</f>
        <v>3309.0547875819752</v>
      </c>
      <c r="N78" s="2">
        <f>N12/'Output-Calculation-sheet'!N11*'Output-Calculation-sheet'!N65</f>
        <v>2329.4539326194513</v>
      </c>
      <c r="O78" s="2">
        <f>O12/'Output-Calculation-sheet'!O11*'Output-Calculation-sheet'!O65</f>
        <v>344.15935280280502</v>
      </c>
      <c r="P78" s="2">
        <f>P12/'Output-Calculation-sheet'!P11*'Output-Calculation-sheet'!P65</f>
        <v>1335.7657746773991</v>
      </c>
      <c r="Q78" s="2">
        <f>Q12/'Output-Calculation-sheet'!Q11*'Output-Calculation-sheet'!Q65</f>
        <v>651.35532377910965</v>
      </c>
      <c r="R78" s="2">
        <f>R12/'Output-Calculation-sheet'!R11*'Output-Calculation-sheet'!R65</f>
        <v>1116.1493078268054</v>
      </c>
      <c r="S78" s="2">
        <f>S12/'Output-Calculation-sheet'!S11*'Output-Calculation-sheet'!S65</f>
        <v>1255.6479619407883</v>
      </c>
      <c r="T78" s="2">
        <f>T12/'Output-Calculation-sheet'!T11*'Output-Calculation-sheet'!T65</f>
        <v>395.41713253032918</v>
      </c>
      <c r="U78" s="2">
        <f>U12/'Output-Calculation-sheet'!U11*'Output-Calculation-sheet'!U65</f>
        <v>341.40310591833315</v>
      </c>
      <c r="V78" s="2">
        <f>V12/'Output-Calculation-sheet'!V11*'Output-Calculation-sheet'!V65</f>
        <v>215.63013121885396</v>
      </c>
      <c r="W78" s="2">
        <f>W12/'Output-Calculation-sheet'!W11*'Output-Calculation-sheet'!W65</f>
        <v>154.26558103422934</v>
      </c>
      <c r="X78" s="2">
        <f>X12/'Output-Calculation-sheet'!X11*'Output-Calculation-sheet'!X65</f>
        <v>28.287352575360277</v>
      </c>
      <c r="Y78" s="2">
        <f>Y12/'Output-Calculation-sheet'!Y11*'Output-Calculation-sheet'!Y65</f>
        <v>147.71629172692312</v>
      </c>
      <c r="AA78" s="2">
        <f t="shared" si="6"/>
        <v>45.61946364386791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25.801613794369935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2.5801613794369935E-2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294.21448635900515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0.29421448635900516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391.25743111886646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0.39125743111886646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26.189269092935682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5.6314893322238015</v>
      </c>
      <c r="N88" s="2">
        <f>N11/'Output-Calculation-sheet'!N10*'Output-Calculation-sheet'!N73</f>
        <v>5.5348407271509146</v>
      </c>
      <c r="O88" s="2">
        <f>O11/'Output-Calculation-sheet'!O10*'Output-Calculation-sheet'!O73</f>
        <v>476.21453602651104</v>
      </c>
      <c r="P88" s="2">
        <f>P11/'Output-Calculation-sheet'!P10*'Output-Calculation-sheet'!P73</f>
        <v>0</v>
      </c>
      <c r="Q88" s="2">
        <f>Q11/'Output-Calculation-sheet'!Q10*'Output-Calculation-sheet'!Q73</f>
        <v>20.367345159245545</v>
      </c>
      <c r="R88" s="2">
        <f>R11/'Output-Calculation-sheet'!R10*'Output-Calculation-sheet'!R73</f>
        <v>0</v>
      </c>
      <c r="S88" s="2">
        <f>S11/'Output-Calculation-sheet'!S10*'Output-Calculation-sheet'!S73</f>
        <v>0.63455235538193222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0.534572032693449</v>
      </c>
    </row>
    <row r="89" spans="1:27" x14ac:dyDescent="0.25">
      <c r="A89" s="2">
        <v>2035</v>
      </c>
      <c r="B89" s="2">
        <f>B12/'Output-Calculation-sheet'!B11*'Output-Calculation-sheet'!B74</f>
        <v>356.11304632890028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120.74361748184246</v>
      </c>
      <c r="E89" s="2">
        <f>E12/'Output-Calculation-sheet'!E11*'Output-Calculation-sheet'!E74</f>
        <v>130.50435150406824</v>
      </c>
      <c r="F89" s="2">
        <f>F12/'Output-Calculation-sheet'!F11*'Output-Calculation-sheet'!F74</f>
        <v>50.69539511580642</v>
      </c>
      <c r="G89" s="2">
        <f>G12/'Output-Calculation-sheet'!G11*'Output-Calculation-sheet'!G74</f>
        <v>45.046003855877579</v>
      </c>
      <c r="H89" s="2">
        <f>H12/'Output-Calculation-sheet'!H11*'Output-Calculation-sheet'!H74</f>
        <v>172.87201842193917</v>
      </c>
      <c r="I89" s="2">
        <f>I12/'Output-Calculation-sheet'!I11*'Output-Calculation-sheet'!I74</f>
        <v>42.074408275789985</v>
      </c>
      <c r="J89" s="2">
        <f>J12/'Output-Calculation-sheet'!J11*'Output-Calculation-sheet'!J74</f>
        <v>24.675393712354314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32.881561436232943</v>
      </c>
      <c r="M89" s="2">
        <f>M12/'Output-Calculation-sheet'!M11*'Output-Calculation-sheet'!M74</f>
        <v>100.47467191466369</v>
      </c>
      <c r="N89" s="2">
        <f>N12/'Output-Calculation-sheet'!N11*'Output-Calculation-sheet'!N74</f>
        <v>74.914026772710343</v>
      </c>
      <c r="O89" s="2">
        <f>O12/'Output-Calculation-sheet'!O11*'Output-Calculation-sheet'!O74</f>
        <v>539.14252388795865</v>
      </c>
      <c r="P89" s="2">
        <f>P12/'Output-Calculation-sheet'!P11*'Output-Calculation-sheet'!P74</f>
        <v>40.89528300788043</v>
      </c>
      <c r="Q89" s="2">
        <f>Q12/'Output-Calculation-sheet'!Q11*'Output-Calculation-sheet'!Q74</f>
        <v>62.65269555684403</v>
      </c>
      <c r="R89" s="2">
        <f>R12/'Output-Calculation-sheet'!R11*'Output-Calculation-sheet'!R74</f>
        <v>24.655538135133277</v>
      </c>
      <c r="S89" s="2">
        <f>S12/'Output-Calculation-sheet'!S11*'Output-Calculation-sheet'!S74</f>
        <v>33.183463963430853</v>
      </c>
      <c r="T89" s="2">
        <f>T12/'Output-Calculation-sheet'!T11*'Output-Calculation-sheet'!T74</f>
        <v>5.8378370013409784</v>
      </c>
      <c r="U89" s="2">
        <f>U12/'Output-Calculation-sheet'!U11*'Output-Calculation-sheet'!U74</f>
        <v>10.788241560527236</v>
      </c>
      <c r="V89" s="2">
        <f>V12/'Output-Calculation-sheet'!V11*'Output-Calculation-sheet'!V74</f>
        <v>1.4680017692907847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0.50677151629802308</v>
      </c>
      <c r="Y89" s="2">
        <f>Y12/'Output-Calculation-sheet'!Y11*'Output-Calculation-sheet'!Y74</f>
        <v>4.7681810169060874</v>
      </c>
      <c r="AA89" s="2">
        <f t="shared" si="7"/>
        <v>1.9331691478251845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11681697051.43581</v>
      </c>
      <c r="C96" s="2">
        <f>C8/'Output-Calculation-sheet'!C7*'Output-Calculation-sheet'!C79</f>
        <v>3951978845.1091599</v>
      </c>
      <c r="D96" s="2">
        <f>D8/'Output-Calculation-sheet'!D7*'Output-Calculation-sheet'!D79</f>
        <v>4125584668.0916977</v>
      </c>
      <c r="E96" s="2">
        <f>E8/'Output-Calculation-sheet'!E7*'Output-Calculation-sheet'!E79</f>
        <v>7334949642.3247223</v>
      </c>
      <c r="F96" s="2">
        <f>F8/'Output-Calculation-sheet'!F7*'Output-Calculation-sheet'!F79</f>
        <v>3035862689.7153931</v>
      </c>
      <c r="G96" s="2">
        <f>G8/'Output-Calculation-sheet'!G7*'Output-Calculation-sheet'!G79</f>
        <v>2364692564.3853564</v>
      </c>
      <c r="H96" s="2">
        <f>H8/'Output-Calculation-sheet'!H7*'Output-Calculation-sheet'!H79</f>
        <v>2024046178.6194921</v>
      </c>
      <c r="I96" s="2">
        <f>I8/'Output-Calculation-sheet'!I7*'Output-Calculation-sheet'!I79</f>
        <v>1647255686.3794439</v>
      </c>
      <c r="J96" s="2">
        <f>J8/'Output-Calculation-sheet'!J7*'Output-Calculation-sheet'!J79</f>
        <v>1113913708.6751833</v>
      </c>
      <c r="K96" s="2">
        <f>K8/'Output-Calculation-sheet'!K7*'Output-Calculation-sheet'!K79</f>
        <v>1593680589.2285633</v>
      </c>
      <c r="L96" s="2">
        <f>L8/'Output-Calculation-sheet'!L7*'Output-Calculation-sheet'!L79</f>
        <v>1124502344.5786254</v>
      </c>
      <c r="M96" s="2">
        <f>M8/'Output-Calculation-sheet'!M7*'Output-Calculation-sheet'!M79</f>
        <v>1510909555.4031653</v>
      </c>
      <c r="N96" s="2">
        <f>N8/'Output-Calculation-sheet'!N7*'Output-Calculation-sheet'!N79</f>
        <v>1124235406.5606763</v>
      </c>
      <c r="O96" s="2">
        <f>O8/'Output-Calculation-sheet'!O7*'Output-Calculation-sheet'!O79</f>
        <v>568338511.44665587</v>
      </c>
      <c r="P96" s="2">
        <f>P8/'Output-Calculation-sheet'!P7*'Output-Calculation-sheet'!P79</f>
        <v>1900985454.705056</v>
      </c>
      <c r="Q96" s="2">
        <f>Q8/'Output-Calculation-sheet'!Q7*'Output-Calculation-sheet'!Q79</f>
        <v>885939043.93674302</v>
      </c>
      <c r="R96" s="2">
        <f>R8/'Output-Calculation-sheet'!R7*'Output-Calculation-sheet'!R79</f>
        <v>1105316154.1283314</v>
      </c>
      <c r="S96" s="2">
        <f>S8/'Output-Calculation-sheet'!S7*'Output-Calculation-sheet'!S79</f>
        <v>644048499.31190526</v>
      </c>
      <c r="T96" s="2">
        <f>T8/'Output-Calculation-sheet'!T7*'Output-Calculation-sheet'!T79</f>
        <v>491902494.20009261</v>
      </c>
      <c r="U96" s="2">
        <f>U8/'Output-Calculation-sheet'!U7*'Output-Calculation-sheet'!U79</f>
        <v>309001103.19892561</v>
      </c>
      <c r="V96" s="2">
        <f>V8/'Output-Calculation-sheet'!V7*'Output-Calculation-sheet'!V79</f>
        <v>160325165.59533933</v>
      </c>
      <c r="W96" s="2">
        <f>W8/'Output-Calculation-sheet'!W7*'Output-Calculation-sheet'!W79</f>
        <v>473751764.48099023</v>
      </c>
      <c r="X96" s="2">
        <f>X8/'Output-Calculation-sheet'!X7*'Output-Calculation-sheet'!X79</f>
        <v>166509415.60533854</v>
      </c>
      <c r="Y96" s="2">
        <f>Y8/'Output-Calculation-sheet'!Y7*'Output-Calculation-sheet'!Y79</f>
        <v>260418455.19284716</v>
      </c>
      <c r="AA96" s="2">
        <f t="shared" si="8"/>
        <v>49.599844992309528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1363.5329300871315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264.89656828886467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31.684199019566751</v>
      </c>
      <c r="Y107" s="2">
        <f>Y8/'Output-Calculation-sheet'!Y7*'Output-Calculation-sheet'!Y88</f>
        <v>0</v>
      </c>
      <c r="AA107" s="2">
        <f t="shared" si="9"/>
        <v>1.6601136973955628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2599.6355561593591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2.6427836420315249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3.5880583213496648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4.5798628675279076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136.57492364231723</v>
      </c>
      <c r="Y111" s="2">
        <f>Y12/'Output-Calculation-sheet'!Y11*'Output-Calculation-sheet'!Y92</f>
        <v>0</v>
      </c>
      <c r="AA111" s="2">
        <f t="shared" si="9"/>
        <v>6.4339141418245589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1366815947.2237446</v>
      </c>
      <c r="C118" s="2">
        <f>C8/'Output-Calculation-sheet'!C7*'Output-Calculation-sheet'!C97</f>
        <v>11285479513.339695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7023253320.2431736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4845449896.3970346</v>
      </c>
      <c r="N118" s="2">
        <f>N8/'Output-Calculation-sheet'!N7*'Output-Calculation-sheet'!N97</f>
        <v>1621852014.9760442</v>
      </c>
      <c r="O118" s="2">
        <f>O8/'Output-Calculation-sheet'!O7*'Output-Calculation-sheet'!O97</f>
        <v>1909462189.7130375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486092665.58590317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263836691.26378119</v>
      </c>
      <c r="Y118" s="2">
        <f>Y8/'Output-Calculation-sheet'!Y7*'Output-Calculation-sheet'!Y97</f>
        <v>0</v>
      </c>
      <c r="AA118" s="2">
        <f t="shared" si="10"/>
        <v>28802.242238742416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9022872000.5619907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3099104335.4264874</v>
      </c>
      <c r="O119" s="2">
        <f>O9/'Output-Calculation-sheet'!O8*'Output-Calculation-sheet'!O98</f>
        <v>3347005547.562674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929122741.03609514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362957327.51159495</v>
      </c>
      <c r="Y119" s="2">
        <f>Y9/'Output-Calculation-sheet'!Y8*'Output-Calculation-sheet'!Y98</f>
        <v>0</v>
      </c>
      <c r="AA119" s="2">
        <f t="shared" si="10"/>
        <v>39039.498040868835</v>
      </c>
    </row>
    <row r="120" spans="1:27" x14ac:dyDescent="0.25">
      <c r="A120" s="2">
        <v>2033</v>
      </c>
      <c r="B120" s="2">
        <f>B10/'Output-Calculation-sheet'!B9*'Output-Calculation-sheet'!B99</f>
        <v>16416394590.391483</v>
      </c>
      <c r="C120" s="2">
        <f>C10/'Output-Calculation-sheet'!C9*'Output-Calculation-sheet'!C99</f>
        <v>9500751640.4820175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4925157850.8569393</v>
      </c>
      <c r="O120" s="2">
        <f>O10/'Output-Calculation-sheet'!O9*'Output-Calculation-sheet'!O99</f>
        <v>3840261199.173244</v>
      </c>
      <c r="P120" s="2">
        <f>P10/'Output-Calculation-sheet'!P9*'Output-Calculation-sheet'!P99</f>
        <v>0</v>
      </c>
      <c r="Q120" s="2">
        <f>Q10/'Output-Calculation-sheet'!Q9*'Output-Calculation-sheet'!Q99</f>
        <v>161485744.70468616</v>
      </c>
      <c r="R120" s="2">
        <f>R10/'Output-Calculation-sheet'!R9*'Output-Calculation-sheet'!R99</f>
        <v>0</v>
      </c>
      <c r="S120" s="2">
        <f>S10/'Output-Calculation-sheet'!S9*'Output-Calculation-sheet'!S99</f>
        <v>1983887797.3496165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539714546.55630851</v>
      </c>
      <c r="Y120" s="2">
        <f>Y10/'Output-Calculation-sheet'!Y9*'Output-Calculation-sheet'!Y99</f>
        <v>0</v>
      </c>
      <c r="AA120" s="2">
        <f t="shared" si="10"/>
        <v>57924.188990993804</v>
      </c>
    </row>
    <row r="121" spans="1:27" x14ac:dyDescent="0.25">
      <c r="A121" s="2">
        <v>2034</v>
      </c>
      <c r="B121" s="2">
        <f>B11/'Output-Calculation-sheet'!B10*'Output-Calculation-sheet'!B100</f>
        <v>39407885092.738953</v>
      </c>
      <c r="C121" s="2">
        <f>C11/'Output-Calculation-sheet'!C10*'Output-Calculation-sheet'!C100</f>
        <v>9792235435.5058613</v>
      </c>
      <c r="D121" s="2">
        <f>D11/'Output-Calculation-sheet'!D10*'Output-Calculation-sheet'!D100</f>
        <v>0</v>
      </c>
      <c r="E121" s="2">
        <f>E11/'Output-Calculation-sheet'!E10*'Output-Calculation-sheet'!E100</f>
        <v>815136852.17755294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14460380377.224663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669997699.37344444</v>
      </c>
      <c r="M121" s="2">
        <f>M11/'Output-Calculation-sheet'!M10*'Output-Calculation-sheet'!M100</f>
        <v>10120250364.727146</v>
      </c>
      <c r="N121" s="2">
        <f>N11/'Output-Calculation-sheet'!N10*'Output-Calculation-sheet'!N100</f>
        <v>6872564131.273037</v>
      </c>
      <c r="O121" s="2">
        <f>O11/'Output-Calculation-sheet'!O10*'Output-Calculation-sheet'!O100</f>
        <v>4357507625.1090479</v>
      </c>
      <c r="P121" s="2">
        <f>P11/'Output-Calculation-sheet'!P10*'Output-Calculation-sheet'!P100</f>
        <v>0</v>
      </c>
      <c r="Q121" s="2">
        <f>Q11/'Output-Calculation-sheet'!Q10*'Output-Calculation-sheet'!Q100</f>
        <v>885477022.92589521</v>
      </c>
      <c r="R121" s="2">
        <f>R11/'Output-Calculation-sheet'!R10*'Output-Calculation-sheet'!R100</f>
        <v>0</v>
      </c>
      <c r="S121" s="2">
        <f>S11/'Output-Calculation-sheet'!S10*'Output-Calculation-sheet'!S100</f>
        <v>3417087912.1688542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44711294.648652457</v>
      </c>
      <c r="AA121" s="2">
        <f t="shared" si="10"/>
        <v>91331.177449564886</v>
      </c>
    </row>
    <row r="122" spans="1:27" x14ac:dyDescent="0.25">
      <c r="A122" s="2">
        <v>2035</v>
      </c>
      <c r="B122" s="2">
        <f>B12/'Output-Calculation-sheet'!B11*'Output-Calculation-sheet'!B101</f>
        <v>51072262702.235069</v>
      </c>
      <c r="C122" s="2">
        <f>C12/'Output-Calculation-sheet'!C11*'Output-Calculation-sheet'!C101</f>
        <v>300154686.3004967</v>
      </c>
      <c r="D122" s="2">
        <f>D12/'Output-Calculation-sheet'!D11*'Output-Calculation-sheet'!D101</f>
        <v>0</v>
      </c>
      <c r="E122" s="2">
        <f>E12/'Output-Calculation-sheet'!E11*'Output-Calculation-sheet'!E101</f>
        <v>4085857105.4323254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15661986681.043272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1049882925.6782559</v>
      </c>
      <c r="M122" s="2">
        <f>M12/'Output-Calculation-sheet'!M11*'Output-Calculation-sheet'!M101</f>
        <v>10986583161.989576</v>
      </c>
      <c r="N122" s="2">
        <f>N12/'Output-Calculation-sheet'!N11*'Output-Calculation-sheet'!N101</f>
        <v>7392587670.7747936</v>
      </c>
      <c r="O122" s="2">
        <f>O12/'Output-Calculation-sheet'!O11*'Output-Calculation-sheet'!O101</f>
        <v>5011737558.8935795</v>
      </c>
      <c r="P122" s="2">
        <f>P12/'Output-Calculation-sheet'!P11*'Output-Calculation-sheet'!P101</f>
        <v>314229078.38195127</v>
      </c>
      <c r="Q122" s="2">
        <f>Q12/'Output-Calculation-sheet'!Q11*'Output-Calculation-sheet'!Q101</f>
        <v>1181422984.8580177</v>
      </c>
      <c r="R122" s="2">
        <f>R12/'Output-Calculation-sheet'!R11*'Output-Calculation-sheet'!R101</f>
        <v>0</v>
      </c>
      <c r="S122" s="2">
        <f>S12/'Output-Calculation-sheet'!S11*'Output-Calculation-sheet'!S101</f>
        <v>3882873245.1313133</v>
      </c>
      <c r="T122" s="2">
        <f>T12/'Output-Calculation-sheet'!T11*'Output-Calculation-sheet'!T101</f>
        <v>0</v>
      </c>
      <c r="U122" s="2">
        <f>U12/'Output-Calculation-sheet'!U11*'Output-Calculation-sheet'!U101</f>
        <v>57362952.454535298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134544290.17651105</v>
      </c>
      <c r="Y122" s="2">
        <f>Y12/'Output-Calculation-sheet'!Y11*'Output-Calculation-sheet'!Y101</f>
        <v>208379780.36714011</v>
      </c>
      <c r="AA122" s="2">
        <f t="shared" si="10"/>
        <v>101339.86482371685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46410613396.955475</v>
      </c>
      <c r="C129" s="2">
        <f>C8/'Output-Calculation-sheet'!C7*'Output-Calculation-sheet'!C106</f>
        <v>0</v>
      </c>
      <c r="D129" s="2">
        <f>D8/'Output-Calculation-sheet'!D7*'Output-Calculation-sheet'!D106</f>
        <v>20067008156.585941</v>
      </c>
      <c r="E129" s="2">
        <f>E8/'Output-Calculation-sheet'!E7*'Output-Calculation-sheet'!E106</f>
        <v>15921153273.46006</v>
      </c>
      <c r="F129" s="2">
        <f>F8/'Output-Calculation-sheet'!F7*'Output-Calculation-sheet'!F106</f>
        <v>10249014043.727858</v>
      </c>
      <c r="G129" s="2">
        <f>G8/'Output-Calculation-sheet'!G7*'Output-Calculation-sheet'!G106</f>
        <v>7201255188.8312998</v>
      </c>
      <c r="H129" s="2">
        <f>H8/'Output-Calculation-sheet'!H7*'Output-Calculation-sheet'!H106</f>
        <v>0</v>
      </c>
      <c r="I129" s="2">
        <f>I8/'Output-Calculation-sheet'!I7*'Output-Calculation-sheet'!I106</f>
        <v>6560895090.5571995</v>
      </c>
      <c r="J129" s="2">
        <f>J8/'Output-Calculation-sheet'!J7*'Output-Calculation-sheet'!J106</f>
        <v>6385903193.1740551</v>
      </c>
      <c r="K129" s="2">
        <f>K8/'Output-Calculation-sheet'!K7*'Output-Calculation-sheet'!K106</f>
        <v>6324691484.2718086</v>
      </c>
      <c r="L129" s="2">
        <f>L8/'Output-Calculation-sheet'!L7*'Output-Calculation-sheet'!L106</f>
        <v>5073761753.8023243</v>
      </c>
      <c r="M129" s="2">
        <f>M8/'Output-Calculation-sheet'!M7*'Output-Calculation-sheet'!M106</f>
        <v>0</v>
      </c>
      <c r="N129" s="2">
        <f>N8/'Output-Calculation-sheet'!N7*'Output-Calculation-sheet'!N106</f>
        <v>3134760307.0280037</v>
      </c>
      <c r="O129" s="2">
        <f>O8/'Output-Calculation-sheet'!O7*'Output-Calculation-sheet'!O106</f>
        <v>0</v>
      </c>
      <c r="P129" s="2">
        <f>P8/'Output-Calculation-sheet'!P7*'Output-Calculation-sheet'!P106</f>
        <v>4330216171.997571</v>
      </c>
      <c r="Q129" s="2">
        <f>Q8/'Output-Calculation-sheet'!Q7*'Output-Calculation-sheet'!Q106</f>
        <v>4260224949.037127</v>
      </c>
      <c r="R129" s="2">
        <f>R8/'Output-Calculation-sheet'!R7*'Output-Calculation-sheet'!R106</f>
        <v>4098540672.8147187</v>
      </c>
      <c r="S129" s="2">
        <f>S8/'Output-Calculation-sheet'!S7*'Output-Calculation-sheet'!S106</f>
        <v>2238001254.4395819</v>
      </c>
      <c r="T129" s="2">
        <f>T8/'Output-Calculation-sheet'!T7*'Output-Calculation-sheet'!T106</f>
        <v>1506577983.7317326</v>
      </c>
      <c r="U129" s="2">
        <f>U8/'Output-Calculation-sheet'!U7*'Output-Calculation-sheet'!U106</f>
        <v>1312180269.6771173</v>
      </c>
      <c r="V129" s="2">
        <f>V8/'Output-Calculation-sheet'!V7*'Output-Calculation-sheet'!V106</f>
        <v>1010400679.864415</v>
      </c>
      <c r="W129" s="2">
        <f>W8/'Output-Calculation-sheet'!W7*'Output-Calculation-sheet'!W106</f>
        <v>874789942.14692652</v>
      </c>
      <c r="X129" s="2">
        <f>X8/'Output-Calculation-sheet'!X7*'Output-Calculation-sheet'!X106</f>
        <v>0</v>
      </c>
      <c r="Y129" s="2">
        <f>Y8/'Output-Calculation-sheet'!Y7*'Output-Calculation-sheet'!Y106</f>
        <v>510432283.39450693</v>
      </c>
      <c r="AA129" s="2">
        <f t="shared" si="11"/>
        <v>147470.42009549768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3.214838550738487E-8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3377992247.7439017</v>
      </c>
      <c r="O130" s="2">
        <f>O9/'Output-Calculation-sheet'!O8*'Output-Calculation-sheet'!O107</f>
        <v>0</v>
      </c>
      <c r="P130" s="2">
        <f>P9/'Output-Calculation-sheet'!P8*'Output-Calculation-sheet'!P107</f>
        <v>5896916766.3923826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2780396887.2750854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195415.35554202195</v>
      </c>
    </row>
    <row r="131" spans="1:27" x14ac:dyDescent="0.25">
      <c r="A131" s="2">
        <v>2033</v>
      </c>
      <c r="B131" s="2">
        <f>B10/'Output-Calculation-sheet'!B9*'Output-Calculation-sheet'!B108</f>
        <v>66326067324.671364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3311821020.63731</v>
      </c>
      <c r="O131" s="2">
        <f>O10/'Output-Calculation-sheet'!O9*'Output-Calculation-sheet'!O108</f>
        <v>0</v>
      </c>
      <c r="P131" s="2">
        <f>P10/'Output-Calculation-sheet'!P9*'Output-Calculation-sheet'!P108</f>
        <v>7499219002.6069574</v>
      </c>
      <c r="Q131" s="2">
        <f>Q10/'Output-Calculation-sheet'!Q9*'Output-Calculation-sheet'!Q108</f>
        <v>7216881661.6323843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2733500603.5493803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237933.42798756299</v>
      </c>
    </row>
    <row r="132" spans="1:27" x14ac:dyDescent="0.25">
      <c r="A132" s="2">
        <v>2034</v>
      </c>
      <c r="B132" s="2">
        <f>B11/'Output-Calculation-sheet'!B10*'Output-Calculation-sheet'!B109</f>
        <v>61003275180.552612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32648275704.55051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13422254698.166344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9994289955.9894314</v>
      </c>
      <c r="M132" s="2">
        <f>M11/'Output-Calculation-sheet'!M10*'Output-Calculation-sheet'!M109</f>
        <v>0</v>
      </c>
      <c r="N132" s="2">
        <f>N11/'Output-Calculation-sheet'!N10*'Output-Calculation-sheet'!N109</f>
        <v>3038496936.9646916</v>
      </c>
      <c r="O132" s="2">
        <f>O11/'Output-Calculation-sheet'!O10*'Output-Calculation-sheet'!O109</f>
        <v>0</v>
      </c>
      <c r="P132" s="2">
        <f>P11/'Output-Calculation-sheet'!P10*'Output-Calculation-sheet'!P109</f>
        <v>9100812782.6229763</v>
      </c>
      <c r="Q132" s="2">
        <f>Q11/'Output-Calculation-sheet'!Q10*'Output-Calculation-sheet'!Q109</f>
        <v>7615739274.3470926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2296693718.6505222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1028153476.3849014</v>
      </c>
      <c r="AA132" s="2">
        <f t="shared" si="11"/>
        <v>264591.71341299685</v>
      </c>
    </row>
    <row r="133" spans="1:27" x14ac:dyDescent="0.25">
      <c r="A133" s="2">
        <v>2035</v>
      </c>
      <c r="B133" s="2">
        <f>B12/'Output-Calculation-sheet'!B11*'Output-Calculation-sheet'!B110</f>
        <v>59543399435.683586</v>
      </c>
      <c r="C133" s="2">
        <f>C12/'Output-Calculation-sheet'!C11*'Output-Calculation-sheet'!C110</f>
        <v>0</v>
      </c>
      <c r="D133" s="2">
        <f>D12/'Output-Calculation-sheet'!D11*'Output-Calculation-sheet'!D110</f>
        <v>44719176080.449684</v>
      </c>
      <c r="E133" s="2">
        <f>E12/'Output-Calculation-sheet'!E11*'Output-Calculation-sheet'!E110</f>
        <v>33886932637.89394</v>
      </c>
      <c r="F133" s="2">
        <f>F12/'Output-Calculation-sheet'!F11*'Output-Calculation-sheet'!F110</f>
        <v>24115748761.194</v>
      </c>
      <c r="G133" s="2">
        <f>G12/'Output-Calculation-sheet'!G11*'Output-Calculation-sheet'!G110</f>
        <v>16715016211.244532</v>
      </c>
      <c r="H133" s="2">
        <f>H12/'Output-Calculation-sheet'!H11*'Output-Calculation-sheet'!H110</f>
        <v>0</v>
      </c>
      <c r="I133" s="2">
        <f>I12/'Output-Calculation-sheet'!I11*'Output-Calculation-sheet'!I110</f>
        <v>15088188236.736143</v>
      </c>
      <c r="J133" s="2">
        <f>J12/'Output-Calculation-sheet'!J11*'Output-Calculation-sheet'!J110</f>
        <v>14533014199.553682</v>
      </c>
      <c r="K133" s="2">
        <f>K12/'Output-Calculation-sheet'!K11*'Output-Calculation-sheet'!K110</f>
        <v>14375687769.65056</v>
      </c>
      <c r="L133" s="2">
        <f>L12/'Output-Calculation-sheet'!L11*'Output-Calculation-sheet'!L110</f>
        <v>10570400237.673151</v>
      </c>
      <c r="M133" s="2">
        <f>M12/'Output-Calculation-sheet'!M11*'Output-Calculation-sheet'!M110</f>
        <v>0</v>
      </c>
      <c r="N133" s="2">
        <f>N12/'Output-Calculation-sheet'!N11*'Output-Calculation-sheet'!N110</f>
        <v>3237895473.0956883</v>
      </c>
      <c r="O133" s="2">
        <f>O12/'Output-Calculation-sheet'!O11*'Output-Calculation-sheet'!O110</f>
        <v>0</v>
      </c>
      <c r="P133" s="2">
        <f>P12/'Output-Calculation-sheet'!P11*'Output-Calculation-sheet'!P110</f>
        <v>9931902881.6808567</v>
      </c>
      <c r="Q133" s="2">
        <f>Q12/'Output-Calculation-sheet'!Q11*'Output-Calculation-sheet'!Q110</f>
        <v>7924639125.8414211</v>
      </c>
      <c r="R133" s="2">
        <f>R12/'Output-Calculation-sheet'!R11*'Output-Calculation-sheet'!R110</f>
        <v>9562038022.144165</v>
      </c>
      <c r="S133" s="2">
        <f>S12/'Output-Calculation-sheet'!S11*'Output-Calculation-sheet'!S110</f>
        <v>2258485426.3796325</v>
      </c>
      <c r="T133" s="2">
        <f>T12/'Output-Calculation-sheet'!T11*'Output-Calculation-sheet'!T110</f>
        <v>3590631701.7187848</v>
      </c>
      <c r="U133" s="2">
        <f>U12/'Output-Calculation-sheet'!U11*'Output-Calculation-sheet'!U110</f>
        <v>2915066319.8759422</v>
      </c>
      <c r="V133" s="2">
        <f>V12/'Output-Calculation-sheet'!V11*'Output-Calculation-sheet'!V110</f>
        <v>2417319611.4442492</v>
      </c>
      <c r="W133" s="2">
        <f>W12/'Output-Calculation-sheet'!W11*'Output-Calculation-sheet'!W110</f>
        <v>2122589242.265867</v>
      </c>
      <c r="X133" s="2">
        <f>X12/'Output-Calculation-sheet'!X11*'Output-Calculation-sheet'!X110</f>
        <v>1155647.6104886022</v>
      </c>
      <c r="Y133" s="2">
        <f>Y12/'Output-Calculation-sheet'!Y11*'Output-Calculation-sheet'!Y110</f>
        <v>1010366064.9435385</v>
      </c>
      <c r="AA133" s="2">
        <f t="shared" si="11"/>
        <v>278519.65308707993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11228977010.785469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2223973541.2208891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261026776.0163154</v>
      </c>
      <c r="Y140" s="2">
        <f>Y8/'Output-Calculation-sheet'!Y7*'Output-Calculation-sheet'!Y115</f>
        <v>0</v>
      </c>
      <c r="AA140" s="2">
        <f t="shared" si="12"/>
        <v>13713.977328022675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21638546447.309937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351767515.86011314</v>
      </c>
      <c r="Y141" s="2">
        <f>Y9/'Output-Calculation-sheet'!Y8*'Output-Calculation-sheet'!Y116</f>
        <v>0</v>
      </c>
      <c r="AA141" s="2">
        <f t="shared" si="12"/>
        <v>21990.313963170051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29493079649.471684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369214153.04812688</v>
      </c>
      <c r="Y142" s="2">
        <f>Y10/'Output-Calculation-sheet'!Y9*'Output-Calculation-sheet'!Y117</f>
        <v>0</v>
      </c>
      <c r="AA142" s="2">
        <f t="shared" si="12"/>
        <v>29862.293802519809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37530793813.295242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38145.976802113721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55100355098.657784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1150837698.4843857</v>
      </c>
      <c r="Y144" s="2">
        <f>Y12/'Output-Calculation-sheet'!Y11*'Output-Calculation-sheet'!Y119</f>
        <v>0</v>
      </c>
      <c r="AA144" s="2">
        <f t="shared" si="12"/>
        <v>56251.192797142168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47777430276.930817</v>
      </c>
      <c r="C151" s="2">
        <f>C8/'Output-Calculation-sheet'!C7*'Output-Calculation-sheet'!C124</f>
        <v>22515169279.974983</v>
      </c>
      <c r="D151" s="2">
        <f>D8/'Output-Calculation-sheet'!D7*'Output-Calculation-sheet'!D124</f>
        <v>20067008156.585941</v>
      </c>
      <c r="E151" s="2">
        <f>E8/'Output-Calculation-sheet'!E7*'Output-Calculation-sheet'!E124</f>
        <v>15921153273.46006</v>
      </c>
      <c r="F151" s="2">
        <f>F8/'Output-Calculation-sheet'!F7*'Output-Calculation-sheet'!F124</f>
        <v>10249014043.727858</v>
      </c>
      <c r="G151" s="2">
        <f>G8/'Output-Calculation-sheet'!G7*'Output-Calculation-sheet'!G124</f>
        <v>7201255188.8312998</v>
      </c>
      <c r="H151" s="2">
        <f>H8/'Output-Calculation-sheet'!H7*'Output-Calculation-sheet'!H124</f>
        <v>7024556142.5349426</v>
      </c>
      <c r="I151" s="2">
        <f>I8/'Output-Calculation-sheet'!I7*'Output-Calculation-sheet'!I124</f>
        <v>6560895090.5571995</v>
      </c>
      <c r="J151" s="2">
        <f>J8/'Output-Calculation-sheet'!J7*'Output-Calculation-sheet'!J124</f>
        <v>6385903193.1740551</v>
      </c>
      <c r="K151" s="2">
        <f>K8/'Output-Calculation-sheet'!K7*'Output-Calculation-sheet'!K124</f>
        <v>6324691484.2718086</v>
      </c>
      <c r="L151" s="2">
        <f>L8/'Output-Calculation-sheet'!L7*'Output-Calculation-sheet'!L124</f>
        <v>5073761753.8023243</v>
      </c>
      <c r="M151" s="2">
        <f>M8/'Output-Calculation-sheet'!M7*'Output-Calculation-sheet'!M124</f>
        <v>4846327610.3521261</v>
      </c>
      <c r="N151" s="2">
        <f>N8/'Output-Calculation-sheet'!N7*'Output-Calculation-sheet'!N124</f>
        <v>4756648265.7738247</v>
      </c>
      <c r="O151" s="2">
        <f>O8/'Output-Calculation-sheet'!O7*'Output-Calculation-sheet'!O124</f>
        <v>4662300869.468852</v>
      </c>
      <c r="P151" s="2">
        <f>P8/'Output-Calculation-sheet'!P7*'Output-Calculation-sheet'!P124</f>
        <v>4330216171.997571</v>
      </c>
      <c r="Q151" s="2">
        <f>Q8/'Output-Calculation-sheet'!Q7*'Output-Calculation-sheet'!Q124</f>
        <v>4260224949.037127</v>
      </c>
      <c r="R151" s="2">
        <f>R8/'Output-Calculation-sheet'!R7*'Output-Calculation-sheet'!R124</f>
        <v>4098540672.8147187</v>
      </c>
      <c r="S151" s="2">
        <f>S8/'Output-Calculation-sheet'!S7*'Output-Calculation-sheet'!S124</f>
        <v>2724093655.8689504</v>
      </c>
      <c r="T151" s="2">
        <f>T8/'Output-Calculation-sheet'!T7*'Output-Calculation-sheet'!T124</f>
        <v>1506577983.7317326</v>
      </c>
      <c r="U151" s="2">
        <f>U8/'Output-Calculation-sheet'!U7*'Output-Calculation-sheet'!U124</f>
        <v>1312180269.6771173</v>
      </c>
      <c r="V151" s="2">
        <f>V8/'Output-Calculation-sheet'!V7*'Output-Calculation-sheet'!V124</f>
        <v>1010400679.864415</v>
      </c>
      <c r="W151" s="2">
        <f>W8/'Output-Calculation-sheet'!W7*'Output-Calculation-sheet'!W124</f>
        <v>874789942.14692652</v>
      </c>
      <c r="X151" s="2">
        <f>X8/'Output-Calculation-sheet'!X7*'Output-Calculation-sheet'!X124</f>
        <v>524871182.58829939</v>
      </c>
      <c r="Y151" s="2">
        <f>Y8/'Output-Calculation-sheet'!Y7*'Output-Calculation-sheet'!Y124</f>
        <v>510432283.39450693</v>
      </c>
      <c r="AA151" s="2">
        <f t="shared" si="13"/>
        <v>190518.44242056741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18396926308.639069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6682114148.20401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158543.36200908537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6968166746.1746912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114265.18558673721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2569447195.830421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1558971949.6267135</v>
      </c>
      <c r="N154" s="2">
        <f>N11/'Output-Calculation-sheet'!N10*'Output-Calculation-sheet'!N127</f>
        <v>1545397270.0136976</v>
      </c>
      <c r="O154" s="2">
        <f>O11/'Output-Calculation-sheet'!O10*'Output-Calculation-sheet'!O127</f>
        <v>7059911486.6929846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1875235047.0418434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833625389.41706276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64160.155539194246</v>
      </c>
    </row>
    <row r="155" spans="1:27" x14ac:dyDescent="0.25">
      <c r="A155" s="2">
        <v>2035</v>
      </c>
      <c r="B155" s="2">
        <f>B12/'Output-Calculation-sheet'!B11*'Output-Calculation-sheet'!B128</f>
        <v>10116004514.413509</v>
      </c>
      <c r="C155" s="2">
        <f>C12/'Output-Calculation-sheet'!C11*'Output-Calculation-sheet'!C128</f>
        <v>74053274.293522343</v>
      </c>
      <c r="D155" s="2">
        <f>D12/'Output-Calculation-sheet'!D11*'Output-Calculation-sheet'!D128</f>
        <v>6020199491.7294769</v>
      </c>
      <c r="E155" s="2">
        <f>E12/'Output-Calculation-sheet'!E11*'Output-Calculation-sheet'!E128</f>
        <v>2731512117.0840297</v>
      </c>
      <c r="F155" s="2">
        <f>F12/'Output-Calculation-sheet'!F11*'Output-Calculation-sheet'!F128</f>
        <v>1734151865.1249948</v>
      </c>
      <c r="G155" s="2">
        <f>G12/'Output-Calculation-sheet'!G11*'Output-Calculation-sheet'!G128</f>
        <v>1550506841.9905391</v>
      </c>
      <c r="H155" s="2">
        <f>H12/'Output-Calculation-sheet'!H11*'Output-Calculation-sheet'!H128</f>
        <v>2474396083.0214272</v>
      </c>
      <c r="I155" s="2">
        <f>I12/'Output-Calculation-sheet'!I11*'Output-Calculation-sheet'!I128</f>
        <v>1546492404.6748984</v>
      </c>
      <c r="J155" s="2">
        <f>J12/'Output-Calculation-sheet'!J11*'Output-Calculation-sheet'!J128</f>
        <v>1478311473.6949463</v>
      </c>
      <c r="K155" s="2">
        <f>K12/'Output-Calculation-sheet'!K11*'Output-Calculation-sheet'!K128</f>
        <v>1680938643.0319448</v>
      </c>
      <c r="L155" s="2">
        <f>L12/'Output-Calculation-sheet'!L11*'Output-Calculation-sheet'!L128</f>
        <v>1220050851.7216833</v>
      </c>
      <c r="M155" s="2">
        <f>M12/'Output-Calculation-sheet'!M11*'Output-Calculation-sheet'!M128</f>
        <v>1506807105.8913476</v>
      </c>
      <c r="N155" s="2">
        <f>N12/'Output-Calculation-sheet'!N11*'Output-Calculation-sheet'!N128</f>
        <v>1467210510.3807311</v>
      </c>
      <c r="O155" s="2">
        <f>O12/'Output-Calculation-sheet'!O11*'Output-Calculation-sheet'!O128</f>
        <v>6840706014.6748619</v>
      </c>
      <c r="P155" s="2">
        <f>P12/'Output-Calculation-sheet'!P11*'Output-Calculation-sheet'!P128</f>
        <v>809965788.53177869</v>
      </c>
      <c r="Q155" s="2">
        <f>Q12/'Output-Calculation-sheet'!Q11*'Output-Calculation-sheet'!Q128</f>
        <v>1811623576.2579973</v>
      </c>
      <c r="R155" s="2">
        <f>R12/'Output-Calculation-sheet'!R11*'Output-Calculation-sheet'!R128</f>
        <v>781408956.33830428</v>
      </c>
      <c r="S155" s="2">
        <f>S12/'Output-Calculation-sheet'!S11*'Output-Calculation-sheet'!S128</f>
        <v>783356828.53546309</v>
      </c>
      <c r="T155" s="2">
        <f>T12/'Output-Calculation-sheet'!T11*'Output-Calculation-sheet'!T128</f>
        <v>186889959.70724198</v>
      </c>
      <c r="U155" s="2">
        <f>U12/'Output-Calculation-sheet'!U11*'Output-Calculation-sheet'!U128</f>
        <v>361657394.84577829</v>
      </c>
      <c r="V155" s="2">
        <f>V12/'Output-Calculation-sheet'!V11*'Output-Calculation-sheet'!V128</f>
        <v>90175213.815882742</v>
      </c>
      <c r="W155" s="2">
        <f>W12/'Output-Calculation-sheet'!W11*'Output-Calculation-sheet'!W128</f>
        <v>83786724.104364693</v>
      </c>
      <c r="X155" s="2">
        <f>X12/'Output-Calculation-sheet'!X11*'Output-Calculation-sheet'!X128</f>
        <v>10308449.723197352</v>
      </c>
      <c r="Y155" s="2">
        <f>Y12/'Output-Calculation-sheet'!Y11*'Output-Calculation-sheet'!Y128</f>
        <v>90127436.241353735</v>
      </c>
      <c r="AA155" s="2">
        <f t="shared" si="13"/>
        <v>45450.641519829267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1028.7521292535237</v>
      </c>
      <c r="C19" s="2">
        <f>C8/'Output-Calculation-sheet'!C7*'Output-Calculation-sheet'!C25</f>
        <v>7335.0658740187828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4622.1539297226236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3208.4175447032308</v>
      </c>
      <c r="N19" s="2">
        <f>N8/'Output-Calculation-sheet'!N7*'Output-Calculation-sheet'!N25</f>
        <v>1097.0506065225859</v>
      </c>
      <c r="O19" s="2">
        <f>O8/'Output-Calculation-sheet'!O7*'Output-Calculation-sheet'!O25</f>
        <v>1196.7295492186668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391.8229256128501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169.38380669297899</v>
      </c>
      <c r="Y19" s="2">
        <f>Y8/'Output-Calculation-sheet'!Y7*'Output-Calculation-sheet'!Y25</f>
        <v>0</v>
      </c>
      <c r="AA19" s="2">
        <f t="shared" si="0"/>
        <v>19.049376365745243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5120.657398093128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5771.8803151427264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4010.6480853716125</v>
      </c>
      <c r="N20" s="2">
        <f>N9/'Output-Calculation-sheet'!N8*'Output-Calculation-sheet'!N26</f>
        <v>1806.8674419797237</v>
      </c>
      <c r="O20" s="2">
        <f>O9/'Output-Calculation-sheet'!O8*'Output-Calculation-sheet'!O26</f>
        <v>1906.4384673950606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656.76143189246568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214.32350534307341</v>
      </c>
      <c r="Y20" s="2">
        <f>Y9/'Output-Calculation-sheet'!Y8*'Output-Calculation-sheet'!Y26</f>
        <v>0</v>
      </c>
      <c r="AA20" s="2">
        <f t="shared" si="0"/>
        <v>24.79264668031524</v>
      </c>
    </row>
    <row r="21" spans="1:27" x14ac:dyDescent="0.25">
      <c r="A21" s="2">
        <v>2033</v>
      </c>
      <c r="B21" s="2">
        <f>B10/'Output-Calculation-sheet'!B9*'Output-Calculation-sheet'!B27</f>
        <v>10974.771107465916</v>
      </c>
      <c r="C21" s="2">
        <f>C10/'Output-Calculation-sheet'!C9*'Output-Calculation-sheet'!C27</f>
        <v>4551.6312694726757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6362.7818514241008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4420.2599643021886</v>
      </c>
      <c r="N21" s="2">
        <f>N10/'Output-Calculation-sheet'!N9*'Output-Calculation-sheet'!N27</f>
        <v>2411.3478701810645</v>
      </c>
      <c r="O21" s="2">
        <f>O10/'Output-Calculation-sheet'!O9*'Output-Calculation-sheet'!O27</f>
        <v>1889.4233408584707</v>
      </c>
      <c r="P21" s="2">
        <f>P10/'Output-Calculation-sheet'!P9*'Output-Calculation-sheet'!P27</f>
        <v>0</v>
      </c>
      <c r="Q21" s="2">
        <f>Q10/'Output-Calculation-sheet'!Q9*'Output-Calculation-sheet'!Q27</f>
        <v>164.55743635478683</v>
      </c>
      <c r="R21" s="2">
        <f>R10/'Output-Calculation-sheet'!R9*'Output-Calculation-sheet'!R27</f>
        <v>0</v>
      </c>
      <c r="S21" s="2">
        <f>S10/'Output-Calculation-sheet'!S9*'Output-Calculation-sheet'!S27</f>
        <v>1051.178621752299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280.14604703853553</v>
      </c>
      <c r="Y21" s="2">
        <f>Y10/'Output-Calculation-sheet'!Y9*'Output-Calculation-sheet'!Y27</f>
        <v>0</v>
      </c>
      <c r="AA21" s="2">
        <f t="shared" si="0"/>
        <v>32.106097508850041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3743.5441954462267</v>
      </c>
      <c r="D22" s="2">
        <f>D11/'Output-Calculation-sheet'!D10*'Output-Calculation-sheet'!D28</f>
        <v>0</v>
      </c>
      <c r="E22" s="2">
        <f>E11/'Output-Calculation-sheet'!E10*'Output-Calculation-sheet'!E28</f>
        <v>893.27531197156884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6507.6200512516043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535.5790047051845</v>
      </c>
      <c r="M22" s="2">
        <f>M11/'Output-Calculation-sheet'!M10*'Output-Calculation-sheet'!M28</f>
        <v>4731.8136797755797</v>
      </c>
      <c r="N22" s="2">
        <f>N11/'Output-Calculation-sheet'!N10*'Output-Calculation-sheet'!N28</f>
        <v>2725.4746728485538</v>
      </c>
      <c r="O22" s="2">
        <f>O11/'Output-Calculation-sheet'!O10*'Output-Calculation-sheet'!O28</f>
        <v>1731.2969305102258</v>
      </c>
      <c r="P22" s="2">
        <f>P11/'Output-Calculation-sheet'!P10*'Output-Calculation-sheet'!P28</f>
        <v>0</v>
      </c>
      <c r="Q22" s="2">
        <f>Q11/'Output-Calculation-sheet'!Q10*'Output-Calculation-sheet'!Q28</f>
        <v>635.86110508654338</v>
      </c>
      <c r="R22" s="2">
        <f>R11/'Output-Calculation-sheet'!R10*'Output-Calculation-sheet'!R28</f>
        <v>0</v>
      </c>
      <c r="S22" s="2">
        <f>S11/'Output-Calculation-sheet'!S10*'Output-Calculation-sheet'!S28</f>
        <v>1414.128831271827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48.772344210125304</v>
      </c>
      <c r="AA22" s="2">
        <f t="shared" si="0"/>
        <v>40.753143691797113</v>
      </c>
    </row>
    <row r="23" spans="1:27" x14ac:dyDescent="0.25">
      <c r="A23" s="2">
        <v>2035</v>
      </c>
      <c r="B23" s="2">
        <f>B12/'Output-Calculation-sheet'!B11*'Output-Calculation-sheet'!B29</f>
        <v>16395.046686457648</v>
      </c>
      <c r="C23" s="2">
        <f>C12/'Output-Calculation-sheet'!C11*'Output-Calculation-sheet'!C29</f>
        <v>84.850080053317242</v>
      </c>
      <c r="D23" s="2">
        <f>D12/'Output-Calculation-sheet'!D11*'Output-Calculation-sheet'!D29</f>
        <v>0</v>
      </c>
      <c r="E23" s="2">
        <f>E12/'Output-Calculation-sheet'!E11*'Output-Calculation-sheet'!E29</f>
        <v>2493.4321116791352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5067.6485201793839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561.14795135662689</v>
      </c>
      <c r="M23" s="2">
        <f>M12/'Output-Calculation-sheet'!M11*'Output-Calculation-sheet'!M29</f>
        <v>3691.299944972538</v>
      </c>
      <c r="N23" s="2">
        <f>N12/'Output-Calculation-sheet'!N11*'Output-Calculation-sheet'!N29</f>
        <v>2143.3619135349354</v>
      </c>
      <c r="O23" s="2">
        <f>O12/'Output-Calculation-sheet'!O11*'Output-Calculation-sheet'!O29</f>
        <v>1477.1276191900204</v>
      </c>
      <c r="P23" s="2">
        <f>P12/'Output-Calculation-sheet'!P11*'Output-Calculation-sheet'!P29</f>
        <v>257.83828478728094</v>
      </c>
      <c r="Q23" s="2">
        <f>Q12/'Output-Calculation-sheet'!Q11*'Output-Calculation-sheet'!Q29</f>
        <v>574.42243572100699</v>
      </c>
      <c r="R23" s="2">
        <f>R12/'Output-Calculation-sheet'!R11*'Output-Calculation-sheet'!R29</f>
        <v>0</v>
      </c>
      <c r="S23" s="2">
        <f>S12/'Output-Calculation-sheet'!S11*'Output-Calculation-sheet'!S29</f>
        <v>1164.31400703948</v>
      </c>
      <c r="T23" s="2">
        <f>T12/'Output-Calculation-sheet'!T11*'Output-Calculation-sheet'!T29</f>
        <v>0</v>
      </c>
      <c r="U23" s="2">
        <f>U12/'Output-Calculation-sheet'!U11*'Output-Calculation-sheet'!U29</f>
        <v>51.265669804751347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38.033827264074041</v>
      </c>
      <c r="Y23" s="2">
        <f>Y12/'Output-Calculation-sheet'!Y11*'Output-Calculation-sheet'!Y29</f>
        <v>109.53640511649759</v>
      </c>
      <c r="AA23" s="2">
        <f t="shared" si="0"/>
        <v>34.109325457156693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17932.178175329827</v>
      </c>
      <c r="C30" s="2">
        <f>C8/'Output-Calculation-sheet'!C7*'Output-Calculation-sheet'!C16</f>
        <v>0</v>
      </c>
      <c r="D30" s="2">
        <f>D8/'Output-Calculation-sheet'!D7*'Output-Calculation-sheet'!D16</f>
        <v>3019.5192377325343</v>
      </c>
      <c r="E30" s="2">
        <f>E8/'Output-Calculation-sheet'!E7*'Output-Calculation-sheet'!E16</f>
        <v>3248.83627784183</v>
      </c>
      <c r="F30" s="2">
        <f>F8/'Output-Calculation-sheet'!F7*'Output-Calculation-sheet'!F16</f>
        <v>1639.0819745136857</v>
      </c>
      <c r="G30" s="2">
        <f>G8/'Output-Calculation-sheet'!G7*'Output-Calculation-sheet'!G16</f>
        <v>1073.3897415577292</v>
      </c>
      <c r="H30" s="2">
        <f>H8/'Output-Calculation-sheet'!H7*'Output-Calculation-sheet'!H16</f>
        <v>0</v>
      </c>
      <c r="I30" s="2">
        <f>I8/'Output-Calculation-sheet'!I7*'Output-Calculation-sheet'!I16</f>
        <v>1046.4070633941881</v>
      </c>
      <c r="J30" s="2">
        <f>J8/'Output-Calculation-sheet'!J7*'Output-Calculation-sheet'!J16</f>
        <v>931.490668836552</v>
      </c>
      <c r="K30" s="2">
        <f>K8/'Output-Calculation-sheet'!K7*'Output-Calculation-sheet'!K16</f>
        <v>1243.7191652881174</v>
      </c>
      <c r="L30" s="2">
        <f>L8/'Output-Calculation-sheet'!L7*'Output-Calculation-sheet'!L16</f>
        <v>1050.5390968945289</v>
      </c>
      <c r="M30" s="2">
        <f>M8/'Output-Calculation-sheet'!M7*'Output-Calculation-sheet'!M16</f>
        <v>0</v>
      </c>
      <c r="N30" s="2">
        <f>N8/'Output-Calculation-sheet'!N7*'Output-Calculation-sheet'!N16</f>
        <v>1493.319953864642</v>
      </c>
      <c r="O30" s="2">
        <f>O8/'Output-Calculation-sheet'!O7*'Output-Calculation-sheet'!O16</f>
        <v>0</v>
      </c>
      <c r="P30" s="2">
        <f>P8/'Output-Calculation-sheet'!P7*'Output-Calculation-sheet'!P16</f>
        <v>1341.1490713374385</v>
      </c>
      <c r="Q30" s="2">
        <f>Q8/'Output-Calculation-sheet'!Q7*'Output-Calculation-sheet'!Q16</f>
        <v>1474.8279046803325</v>
      </c>
      <c r="R30" s="2">
        <f>R8/'Output-Calculation-sheet'!R7*'Output-Calculation-sheet'!R16</f>
        <v>935.78357563146653</v>
      </c>
      <c r="S30" s="2">
        <f>S8/'Output-Calculation-sheet'!S7*'Output-Calculation-sheet'!S16</f>
        <v>941.1252596223801</v>
      </c>
      <c r="T30" s="2">
        <f>T8/'Output-Calculation-sheet'!T7*'Output-Calculation-sheet'!T16</f>
        <v>280.90703169181234</v>
      </c>
      <c r="U30" s="2">
        <f>U8/'Output-Calculation-sheet'!U7*'Output-Calculation-sheet'!U16</f>
        <v>280.40619938766673</v>
      </c>
      <c r="V30" s="2">
        <f>V8/'Output-Calculation-sheet'!V7*'Output-Calculation-sheet'!V16</f>
        <v>218.23386713620991</v>
      </c>
      <c r="W30" s="2">
        <f>W8/'Output-Calculation-sheet'!W7*'Output-Calculation-sheet'!W16</f>
        <v>132.37148283340062</v>
      </c>
      <c r="X30" s="2">
        <f>X8/'Output-Calculation-sheet'!X7*'Output-Calculation-sheet'!X16</f>
        <v>0</v>
      </c>
      <c r="Y30" s="2">
        <f>Y8/'Output-Calculation-sheet'!Y7*'Output-Calculation-sheet'!Y16</f>
        <v>112.03541057993114</v>
      </c>
      <c r="AA30" s="2">
        <f t="shared" si="1"/>
        <v>38.395321158154267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1538.5218682612599</v>
      </c>
      <c r="O31" s="2">
        <f>O9/'Output-Calculation-sheet'!O8*'Output-Calculation-sheet'!O17</f>
        <v>0</v>
      </c>
      <c r="P31" s="2">
        <f>P9/'Output-Calculation-sheet'!P8*'Output-Calculation-sheet'!P17</f>
        <v>1904.7479268379245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1144.0643270692606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48.917684887187448</v>
      </c>
    </row>
    <row r="32" spans="1:27" x14ac:dyDescent="0.25">
      <c r="A32" s="2">
        <v>2033</v>
      </c>
      <c r="B32" s="2">
        <f>B10/'Output-Calculation-sheet'!B9*'Output-Calculation-sheet'!B18</f>
        <v>22346.182963913456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2128.3690321052427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1368.8339952172835</v>
      </c>
      <c r="O32" s="2">
        <f>O10/'Output-Calculation-sheet'!O9*'Output-Calculation-sheet'!O18</f>
        <v>0</v>
      </c>
      <c r="P32" s="2">
        <f>P10/'Output-Calculation-sheet'!P9*'Output-Calculation-sheet'!P18</f>
        <v>2190.5683280771173</v>
      </c>
      <c r="Q32" s="2">
        <f>Q10/'Output-Calculation-sheet'!Q9*'Output-Calculation-sheet'!Q18</f>
        <v>2385.6086373830071</v>
      </c>
      <c r="R32" s="2">
        <f>R10/'Output-Calculation-sheet'!R9*'Output-Calculation-sheet'!R18</f>
        <v>1573.0472660851622</v>
      </c>
      <c r="S32" s="2">
        <f>S10/'Output-Calculation-sheet'!S9*'Output-Calculation-sheet'!S18</f>
        <v>1030.1685447318785</v>
      </c>
      <c r="T32" s="2">
        <f>T10/'Output-Calculation-sheet'!T9*'Output-Calculation-sheet'!T18</f>
        <v>459.27965583102861</v>
      </c>
      <c r="U32" s="2">
        <f>U10/'Output-Calculation-sheet'!U9*'Output-Calculation-sheet'!U18</f>
        <v>507.73407840687656</v>
      </c>
      <c r="V32" s="2">
        <f>V10/'Output-Calculation-sheet'!V9*'Output-Calculation-sheet'!V18</f>
        <v>374.75960156250449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216.96665515301387</v>
      </c>
      <c r="AA32" s="2">
        <f t="shared" si="1"/>
        <v>53.676595581790252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5302.644575102463</v>
      </c>
      <c r="E33" s="2">
        <f>E11/'Output-Calculation-sheet'!E10*'Output-Calculation-sheet'!E19</f>
        <v>6566.4587967066691</v>
      </c>
      <c r="F33" s="2">
        <f>F11/'Output-Calculation-sheet'!F10*'Output-Calculation-sheet'!F19</f>
        <v>3009.7485691731299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1969.7473072580749</v>
      </c>
      <c r="J33" s="2">
        <f>J11/'Output-Calculation-sheet'!J10*'Output-Calculation-sheet'!J19</f>
        <v>1665.3816927090966</v>
      </c>
      <c r="K33" s="2">
        <f>K11/'Output-Calculation-sheet'!K10*'Output-Calculation-sheet'!K19</f>
        <v>2309.9925479390095</v>
      </c>
      <c r="L33" s="2">
        <f>L11/'Output-Calculation-sheet'!L10*'Output-Calculation-sheet'!L19</f>
        <v>1879.3254425629104</v>
      </c>
      <c r="M33" s="2">
        <f>M11/'Output-Calculation-sheet'!M10*'Output-Calculation-sheet'!M19</f>
        <v>0</v>
      </c>
      <c r="N33" s="2">
        <f>N11/'Output-Calculation-sheet'!N10*'Output-Calculation-sheet'!N19</f>
        <v>1068.6182635107446</v>
      </c>
      <c r="O33" s="2">
        <f>O11/'Output-Calculation-sheet'!O10*'Output-Calculation-sheet'!O19</f>
        <v>0</v>
      </c>
      <c r="P33" s="2">
        <f>P11/'Output-Calculation-sheet'!P10*'Output-Calculation-sheet'!P19</f>
        <v>2336.6926512430277</v>
      </c>
      <c r="Q33" s="2">
        <f>Q11/'Output-Calculation-sheet'!Q10*'Output-Calculation-sheet'!Q19</f>
        <v>1909.2340700025484</v>
      </c>
      <c r="R33" s="2">
        <f>R11/'Output-Calculation-sheet'!R10*'Output-Calculation-sheet'!R19</f>
        <v>1668.6420402118704</v>
      </c>
      <c r="S33" s="2">
        <f>S11/'Output-Calculation-sheet'!S10*'Output-Calculation-sheet'!S19</f>
        <v>777.3334951711762</v>
      </c>
      <c r="T33" s="2">
        <f>T11/'Output-Calculation-sheet'!T10*'Output-Calculation-sheet'!T19</f>
        <v>489.61216269739214</v>
      </c>
      <c r="U33" s="2">
        <f>U11/'Output-Calculation-sheet'!U10*'Output-Calculation-sheet'!U19</f>
        <v>563.15289280322941</v>
      </c>
      <c r="V33" s="2">
        <f>V11/'Output-Calculation-sheet'!V10*'Output-Calculation-sheet'!V19</f>
        <v>384.03856207147459</v>
      </c>
      <c r="W33" s="2">
        <f>W11/'Output-Calculation-sheet'!W10*'Output-Calculation-sheet'!W19</f>
        <v>239.09740102550995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51.935546583819928</v>
      </c>
    </row>
    <row r="34" spans="1:27" x14ac:dyDescent="0.25">
      <c r="A34" s="2">
        <v>2035</v>
      </c>
      <c r="B34" s="2">
        <f>B12/'Output-Calculation-sheet'!B11*'Output-Calculation-sheet'!B20</f>
        <v>12911.129869351042</v>
      </c>
      <c r="C34" s="2">
        <f>C12/'Output-Calculation-sheet'!C11*'Output-Calculation-sheet'!C20</f>
        <v>0</v>
      </c>
      <c r="D34" s="2">
        <f>D12/'Output-Calculation-sheet'!D11*'Output-Calculation-sheet'!D20</f>
        <v>4043.1979491298589</v>
      </c>
      <c r="E34" s="2">
        <f>E12/'Output-Calculation-sheet'!E11*'Output-Calculation-sheet'!E20</f>
        <v>4454.784729979584</v>
      </c>
      <c r="F34" s="2">
        <f>F12/'Output-Calculation-sheet'!F11*'Output-Calculation-sheet'!F20</f>
        <v>2757.1736033750863</v>
      </c>
      <c r="G34" s="2">
        <f>G12/'Output-Calculation-sheet'!G11*'Output-Calculation-sheet'!G20</f>
        <v>1489.1833762166523</v>
      </c>
      <c r="H34" s="2">
        <f>H12/'Output-Calculation-sheet'!H11*'Output-Calculation-sheet'!H20</f>
        <v>0</v>
      </c>
      <c r="I34" s="2">
        <f>I12/'Output-Calculation-sheet'!I11*'Output-Calculation-sheet'!I20</f>
        <v>1622.0181290999392</v>
      </c>
      <c r="J34" s="2">
        <f>J12/'Output-Calculation-sheet'!J11*'Output-Calculation-sheet'!J20</f>
        <v>1389.962023160318</v>
      </c>
      <c r="K34" s="2">
        <f>K12/'Output-Calculation-sheet'!K11*'Output-Calculation-sheet'!K20</f>
        <v>1826.9650415996616</v>
      </c>
      <c r="L34" s="2">
        <f>L12/'Output-Calculation-sheet'!L11*'Output-Calculation-sheet'!L20</f>
        <v>1446.5329320405829</v>
      </c>
      <c r="M34" s="2">
        <f>M12/'Output-Calculation-sheet'!M11*'Output-Calculation-sheet'!M20</f>
        <v>0</v>
      </c>
      <c r="N34" s="2">
        <f>N12/'Output-Calculation-sheet'!N11*'Output-Calculation-sheet'!N20</f>
        <v>806.16501451195745</v>
      </c>
      <c r="O34" s="2">
        <f>O12/'Output-Calculation-sheet'!O11*'Output-Calculation-sheet'!O20</f>
        <v>0</v>
      </c>
      <c r="P34" s="2">
        <f>P12/'Output-Calculation-sheet'!P11*'Output-Calculation-sheet'!P20</f>
        <v>1803.9721250330881</v>
      </c>
      <c r="Q34" s="2">
        <f>Q12/'Output-Calculation-sheet'!Q11*'Output-Calculation-sheet'!Q20</f>
        <v>1421.6566171032791</v>
      </c>
      <c r="R34" s="2">
        <f>R12/'Output-Calculation-sheet'!R11*'Output-Calculation-sheet'!R20</f>
        <v>1434.6089165062419</v>
      </c>
      <c r="S34" s="2">
        <f>S12/'Output-Calculation-sheet'!S11*'Output-Calculation-sheet'!S20</f>
        <v>554.10338598048668</v>
      </c>
      <c r="T34" s="2">
        <f>T12/'Output-Calculation-sheet'!T11*'Output-Calculation-sheet'!T20</f>
        <v>447.74398769606137</v>
      </c>
      <c r="U34" s="2">
        <f>U12/'Output-Calculation-sheet'!U11*'Output-Calculation-sheet'!U20</f>
        <v>409.8767653931331</v>
      </c>
      <c r="V34" s="2">
        <f>V12/'Output-Calculation-sheet'!V11*'Output-Calculation-sheet'!V20</f>
        <v>375.52172644670406</v>
      </c>
      <c r="W34" s="2">
        <f>W12/'Output-Calculation-sheet'!W11*'Output-Calculation-sheet'!W20</f>
        <v>242.85398944257309</v>
      </c>
      <c r="X34" s="2">
        <f>X12/'Output-Calculation-sheet'!X11*'Output-Calculation-sheet'!X20</f>
        <v>0.57321720011006927</v>
      </c>
      <c r="Y34" s="2">
        <f>Y12/'Output-Calculation-sheet'!Y11*'Output-Calculation-sheet'!Y20</f>
        <v>135.40445061984002</v>
      </c>
      <c r="AA34" s="2">
        <f t="shared" si="1"/>
        <v>39.573427849886208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3.7979198729155061E-2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3.7979198729155061E-2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0.39804030197805335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0.39804030197805335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0.4602628886866818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0.4602628886866818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3.4709997133938471E-2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7.9612853295049461E-3</v>
      </c>
      <c r="N44" s="2">
        <f>N11/'Output-Calculation-sheet'!N10*'Output-Calculation-sheet'!N37*0.0114</f>
        <v>7.824652357960267E-3</v>
      </c>
      <c r="O44" s="2">
        <f>O11/'Output-Calculation-sheet'!O10*'Output-Calculation-sheet'!O37*0.0114</f>
        <v>0.45271338963808533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2.0566780403571717E-2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4.4853608518779474E-3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0.52826146571493859</v>
      </c>
    </row>
    <row r="45" spans="1:27" x14ac:dyDescent="0.25">
      <c r="A45" s="2">
        <v>2035</v>
      </c>
      <c r="B45" s="2">
        <f>B12/'Output-Calculation-sheet'!B11*'Output-Calculation-sheet'!B38*0.0114</f>
        <v>0.30141073722095396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0.10071139333335037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0.12330424773592623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2.4278837431884234E-2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2.5562962560040065E-2</v>
      </c>
      <c r="M45" s="2">
        <f>M12/'Output-Calculation-sheet'!M11*'Output-Calculation-sheet'!M38*0.0114</f>
        <v>7.2724562016765845E-2</v>
      </c>
      <c r="N45" s="2">
        <f>N12/'Output-Calculation-sheet'!N11*'Output-Calculation-sheet'!N38*0.0114</f>
        <v>5.360733777093811E-2</v>
      </c>
      <c r="O45" s="2">
        <f>O12/'Output-Calculation-sheet'!O11*'Output-Calculation-sheet'!O38*0.0114</f>
        <v>0.37796992280839525</v>
      </c>
      <c r="P45" s="2">
        <f>P12/'Output-Calculation-sheet'!P11*'Output-Calculation-sheet'!P38*0.0114</f>
        <v>3.3015842611462252E-2</v>
      </c>
      <c r="Q45" s="2">
        <f>Q12/'Output-Calculation-sheet'!Q11*'Output-Calculation-sheet'!Q38*0.0114</f>
        <v>4.6968235499661559E-2</v>
      </c>
      <c r="R45" s="2">
        <f>R12/'Output-Calculation-sheet'!R11*'Output-Calculation-sheet'!R38*0.0114</f>
        <v>2.0701270145756165E-2</v>
      </c>
      <c r="S45" s="2">
        <f>S12/'Output-Calculation-sheet'!S11*'Output-Calculation-sheet'!S38*0.0114</f>
        <v>2.3900781820760199E-2</v>
      </c>
      <c r="T45" s="2">
        <f>T12/'Output-Calculation-sheet'!T11*'Output-Calculation-sheet'!T38*0.0114</f>
        <v>5.7440175894106511E-3</v>
      </c>
      <c r="U45" s="2">
        <f>U12/'Output-Calculation-sheet'!U11*'Output-Calculation-sheet'!U38*0.0114</f>
        <v>8.3253839941389747E-3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3.8494785319567997E-3</v>
      </c>
      <c r="AA45" s="2">
        <f t="shared" si="2"/>
        <v>1.5046155451303962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2833.8164272225354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6527.347593516185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4464.2074567976979</v>
      </c>
      <c r="N52" s="2">
        <f>N8/'Output-Calculation-sheet'!N7*'Output-Calculation-sheet'!N43</f>
        <v>141.0169909886977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30.184916877986321</v>
      </c>
      <c r="Y52" s="2">
        <f>Y8/'Output-Calculation-sheet'!Y7*'Output-Calculation-sheet'!Y43</f>
        <v>0</v>
      </c>
      <c r="AA52" s="2">
        <f t="shared" si="3"/>
        <v>13.996573385403103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445.03640978212769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11535.327472071885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7900.2651242188222</v>
      </c>
      <c r="N53" s="2">
        <f>N9/'Output-Calculation-sheet'!N8*'Output-Calculation-sheet'!N44</f>
        <v>2800.8435072051288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874.2636139346381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241.12989040010103</v>
      </c>
      <c r="Y53" s="2">
        <f>Y9/'Output-Calculation-sheet'!Y8*'Output-Calculation-sheet'!Y44</f>
        <v>0</v>
      </c>
      <c r="AA53" s="2">
        <f t="shared" si="3"/>
        <v>23.921137837548656</v>
      </c>
    </row>
    <row r="54" spans="1:27" x14ac:dyDescent="0.25">
      <c r="A54" s="2">
        <v>2033</v>
      </c>
      <c r="B54" s="2">
        <f>B10/'Output-Calculation-sheet'!B9*'Output-Calculation-sheet'!B45</f>
        <v>21034.104288840226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15334.421479003071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10510.87633585719</v>
      </c>
      <c r="N54" s="2">
        <f>N10/'Output-Calculation-sheet'!N9*'Output-Calculation-sheet'!N45</f>
        <v>5865.2349211411583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615.80299331307128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589.97201438043521</v>
      </c>
      <c r="Y54" s="2">
        <f>Y10/'Output-Calculation-sheet'!Y9*'Output-Calculation-sheet'!Y45</f>
        <v>13.013354948313468</v>
      </c>
      <c r="AA54" s="2">
        <f t="shared" si="3"/>
        <v>63.445619368269071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15104.938226444629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2188.4778479635315</v>
      </c>
      <c r="L55" s="2">
        <f>L11/'Output-Calculation-sheet'!L10*'Output-Calculation-sheet'!L46</f>
        <v>808.59677005321646</v>
      </c>
      <c r="M55" s="2">
        <f>M11/'Output-Calculation-sheet'!M10*'Output-Calculation-sheet'!M46</f>
        <v>10604.571730573034</v>
      </c>
      <c r="N55" s="2">
        <f>N11/'Output-Calculation-sheet'!N10*'Output-Calculation-sheet'!N46</f>
        <v>7819.1613738494179</v>
      </c>
      <c r="O55" s="2">
        <f>O11/'Output-Calculation-sheet'!O10*'Output-Calculation-sheet'!O46</f>
        <v>174.21907467679571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1769.2242089856138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3964.4294687300176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121.93069210527551</v>
      </c>
    </row>
    <row r="56" spans="1:27" x14ac:dyDescent="0.25">
      <c r="A56" s="2">
        <v>2035</v>
      </c>
      <c r="B56" s="2">
        <f>B12/'Output-Calculation-sheet'!B11*'Output-Calculation-sheet'!B47</f>
        <v>49003.04038292246</v>
      </c>
      <c r="C56" s="2">
        <f>C12/'Output-Calculation-sheet'!C11*'Output-Calculation-sheet'!C47</f>
        <v>168.15414586997917</v>
      </c>
      <c r="D56" s="2">
        <f>D12/'Output-Calculation-sheet'!D11*'Output-Calculation-sheet'!D47</f>
        <v>3943.9868921610391</v>
      </c>
      <c r="E56" s="2">
        <f>E12/'Output-Calculation-sheet'!E11*'Output-Calculation-sheet'!E47</f>
        <v>10894.499145498919</v>
      </c>
      <c r="F56" s="2">
        <f>F12/'Output-Calculation-sheet'!F11*'Output-Calculation-sheet'!F47</f>
        <v>1286.8130299238787</v>
      </c>
      <c r="G56" s="2">
        <f>G12/'Output-Calculation-sheet'!G11*'Output-Calculation-sheet'!G47</f>
        <v>3091.1804848012202</v>
      </c>
      <c r="H56" s="2">
        <f>H12/'Output-Calculation-sheet'!H11*'Output-Calculation-sheet'!H47</f>
        <v>11696.134125778115</v>
      </c>
      <c r="I56" s="2">
        <f>I12/'Output-Calculation-sheet'!I11*'Output-Calculation-sheet'!I47</f>
        <v>1537.9304884698647</v>
      </c>
      <c r="J56" s="2">
        <f>J12/'Output-Calculation-sheet'!J11*'Output-Calculation-sheet'!J47</f>
        <v>1412.0060716964251</v>
      </c>
      <c r="K56" s="2">
        <f>K12/'Output-Calculation-sheet'!K11*'Output-Calculation-sheet'!K47</f>
        <v>2009.9827481938883</v>
      </c>
      <c r="L56" s="2">
        <f>L12/'Output-Calculation-sheet'!L11*'Output-Calculation-sheet'!L47</f>
        <v>1103.243647328045</v>
      </c>
      <c r="M56" s="2">
        <f>M12/'Output-Calculation-sheet'!M11*'Output-Calculation-sheet'!M47</f>
        <v>8125.1623235690722</v>
      </c>
      <c r="N56" s="2">
        <f>N12/'Output-Calculation-sheet'!N11*'Output-Calculation-sheet'!N47</f>
        <v>6120.4323065182161</v>
      </c>
      <c r="O56" s="2">
        <f>O12/'Output-Calculation-sheet'!O11*'Output-Calculation-sheet'!O47</f>
        <v>602.15796525847293</v>
      </c>
      <c r="P56" s="2">
        <f>P12/'Output-Calculation-sheet'!P11*'Output-Calculation-sheet'!P47</f>
        <v>3225.3195954647772</v>
      </c>
      <c r="Q56" s="2">
        <f>Q12/'Output-Calculation-sheet'!Q11*'Output-Calculation-sheet'!Q47</f>
        <v>1548.6699872841621</v>
      </c>
      <c r="R56" s="2">
        <f>R12/'Output-Calculation-sheet'!R11*'Output-Calculation-sheet'!R47</f>
        <v>2379.2841410944748</v>
      </c>
      <c r="S56" s="2">
        <f>S12/'Output-Calculation-sheet'!S11*'Output-Calculation-sheet'!S47</f>
        <v>3163.1097344492287</v>
      </c>
      <c r="T56" s="2">
        <f>T12/'Output-Calculation-sheet'!T11*'Output-Calculation-sheet'!T47</f>
        <v>828.17984600537784</v>
      </c>
      <c r="U56" s="2">
        <f>U12/'Output-Calculation-sheet'!U11*'Output-Calculation-sheet'!U47</f>
        <v>800.25927901556906</v>
      </c>
      <c r="V56" s="2">
        <f>V12/'Output-Calculation-sheet'!V11*'Output-Calculation-sheet'!V47</f>
        <v>558.8429305962743</v>
      </c>
      <c r="W56" s="2">
        <f>W12/'Output-Calculation-sheet'!W11*'Output-Calculation-sheet'!W47</f>
        <v>323.10079762620217</v>
      </c>
      <c r="X56" s="2">
        <f>X12/'Output-Calculation-sheet'!X11*'Output-Calculation-sheet'!X47</f>
        <v>65.142294488040221</v>
      </c>
      <c r="Y56" s="2">
        <f>Y12/'Output-Calculation-sheet'!Y11*'Output-Calculation-sheet'!Y47</f>
        <v>429.3519257353571</v>
      </c>
      <c r="AA56" s="2">
        <f t="shared" si="3"/>
        <v>114.31598428974908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6.817191085481193</v>
      </c>
      <c r="C63" s="2">
        <f>C8*'Output-Calculation-sheet'!C52/10^9</f>
        <v>3.705312261448853</v>
      </c>
      <c r="D63" s="2">
        <f>D8*'Output-Calculation-sheet'!D52/10^9</f>
        <v>1.5961815527450176</v>
      </c>
      <c r="E63" s="2">
        <f>E8*'Output-Calculation-sheet'!E52/10^9</f>
        <v>1.8261020546686233</v>
      </c>
      <c r="F63" s="2">
        <f>F8*'Output-Calculation-sheet'!F52/10^9</f>
        <v>0.85358539769462383</v>
      </c>
      <c r="G63" s="2">
        <f>G8*'Output-Calculation-sheet'!G52/10^9</f>
        <v>0.65108564709995842</v>
      </c>
      <c r="H63" s="2">
        <f>H8*'Output-Calculation-sheet'!H52/10^9</f>
        <v>0.97317882761492203</v>
      </c>
      <c r="I63" s="2">
        <f>I8*'Output-Calculation-sheet'!I52/10^9</f>
        <v>0.51431439565899939</v>
      </c>
      <c r="J63" s="2">
        <f>J8*'Output-Calculation-sheet'!J52/10^9</f>
        <v>0.72706970507886792</v>
      </c>
      <c r="K63" s="2">
        <f>K8*'Output-Calculation-sheet'!K52/10^9</f>
        <v>0.47728556110083314</v>
      </c>
      <c r="L63" s="2">
        <f>L8*'Output-Calculation-sheet'!L52/10^9</f>
        <v>0.56508654741676057</v>
      </c>
      <c r="M63" s="2">
        <f>M8*'Output-Calculation-sheet'!M52/10^9</f>
        <v>0.71253848691645183</v>
      </c>
      <c r="N63" s="2">
        <f>N8*'Output-Calculation-sheet'!N52/10^9</f>
        <v>0.56817516212586783</v>
      </c>
      <c r="O63" s="2">
        <f>O8*'Output-Calculation-sheet'!O52/10^9</f>
        <v>0.67317234027157791</v>
      </c>
      <c r="P63" s="2">
        <f>P8*'Output-Calculation-sheet'!P52/10^9</f>
        <v>0.4854076382364042</v>
      </c>
      <c r="Q63" s="2">
        <f>Q8*'Output-Calculation-sheet'!Q52/10^9</f>
        <v>0.45277972764397167</v>
      </c>
      <c r="R63" s="2">
        <f>R8*'Output-Calculation-sheet'!R52/10^9</f>
        <v>0.41011270344868239</v>
      </c>
      <c r="S63" s="2">
        <f>S8*'Output-Calculation-sheet'!S52/10^9</f>
        <v>0.34796537494946594</v>
      </c>
      <c r="T63" s="2">
        <f>T8*'Output-Calculation-sheet'!T52/10^9</f>
        <v>0.16657163504559699</v>
      </c>
      <c r="U63" s="2">
        <f>U8*'Output-Calculation-sheet'!U52/10^9</f>
        <v>0.12990083715043418</v>
      </c>
      <c r="V63" s="2">
        <f>V8*'Output-Calculation-sheet'!V52/10^9</f>
        <v>0.21507703736594086</v>
      </c>
      <c r="W63" s="2">
        <f>W8*'Output-Calculation-sheet'!W52/10^9</f>
        <v>9.0256098056087003E-2</v>
      </c>
      <c r="X63" s="2">
        <f>X8*'Output-Calculation-sheet'!X52/10^9</f>
        <v>9.4968080208614677E-2</v>
      </c>
      <c r="Y63" s="2">
        <f>Y8*'Output-Calculation-sheet'!Y52/10^9</f>
        <v>5.2119541524822309E-2</v>
      </c>
      <c r="AA63" s="2">
        <f t="shared" si="4"/>
        <v>23.105437698952567</v>
      </c>
    </row>
    <row r="64" spans="1:27" x14ac:dyDescent="0.25">
      <c r="A64" s="2">
        <v>2032</v>
      </c>
      <c r="B64" s="2">
        <f>B9*'Output-Calculation-sheet'!B53/10^9</f>
        <v>6.5267680971080324</v>
      </c>
      <c r="C64" s="2">
        <f>C9*'Output-Calculation-sheet'!C53/10^9</f>
        <v>3.8551801683349289</v>
      </c>
      <c r="D64" s="2">
        <f>D9*'Output-Calculation-sheet'!D53/10^9</f>
        <v>1.3705343757137176</v>
      </c>
      <c r="E64" s="2">
        <f>E9*'Output-Calculation-sheet'!E53/10^9</f>
        <v>1.6002591638737169</v>
      </c>
      <c r="F64" s="2">
        <f>F9*'Output-Calculation-sheet'!F53/10^9</f>
        <v>0.73433192724675811</v>
      </c>
      <c r="G64" s="2">
        <f>G9*'Output-Calculation-sheet'!G53/10^9</f>
        <v>0.54983738386612402</v>
      </c>
      <c r="H64" s="2">
        <f>H9*'Output-Calculation-sheet'!H53/10^9</f>
        <v>1.023984831742295</v>
      </c>
      <c r="I64" s="2">
        <f>I9*'Output-Calculation-sheet'!I53/10^9</f>
        <v>0.4458804027896644</v>
      </c>
      <c r="J64" s="2">
        <f>J9*'Output-Calculation-sheet'!J53/10^9</f>
        <v>0.5984666040305997</v>
      </c>
      <c r="K64" s="2">
        <f>K9*'Output-Calculation-sheet'!K53/10^9</f>
        <v>0.44180224114504574</v>
      </c>
      <c r="L64" s="2">
        <f>L9*'Output-Calculation-sheet'!L53/10^9</f>
        <v>0.49599859989469591</v>
      </c>
      <c r="M64" s="2">
        <f>M9*'Output-Calculation-sheet'!M53/10^9</f>
        <v>0.73841281481930054</v>
      </c>
      <c r="N64" s="2">
        <f>N9*'Output-Calculation-sheet'!N53/10^9</f>
        <v>0.60353665083752295</v>
      </c>
      <c r="O64" s="2">
        <f>O9*'Output-Calculation-sheet'!O53/10^9</f>
        <v>0.7129590374768171</v>
      </c>
      <c r="P64" s="2">
        <f>P9*'Output-Calculation-sheet'!P53/10^9</f>
        <v>0.47142736842712146</v>
      </c>
      <c r="Q64" s="2">
        <f>Q9*'Output-Calculation-sheet'!Q53/10^9</f>
        <v>0.44716175508653094</v>
      </c>
      <c r="R64" s="2">
        <f>R9*'Output-Calculation-sheet'!R53/10^9</f>
        <v>0.38040911423659318</v>
      </c>
      <c r="S64" s="2">
        <f>S9*'Output-Calculation-sheet'!S53/10^9</f>
        <v>0.35763636599417892</v>
      </c>
      <c r="T64" s="2">
        <f>T9*'Output-Calculation-sheet'!T53/10^9</f>
        <v>0.14220414255803876</v>
      </c>
      <c r="U64" s="2">
        <f>U9*'Output-Calculation-sheet'!U53/10^9</f>
        <v>0.12115717360170986</v>
      </c>
      <c r="V64" s="2">
        <f>V9*'Output-Calculation-sheet'!V53/10^9</f>
        <v>0.17658227039736282</v>
      </c>
      <c r="W64" s="2">
        <f>W9*'Output-Calculation-sheet'!W53/10^9</f>
        <v>7.5265243275518534E-2</v>
      </c>
      <c r="X64" s="2">
        <f>X9*'Output-Calculation-sheet'!X53/10^9</f>
        <v>9.6106413161409138E-2</v>
      </c>
      <c r="Y64" s="2">
        <f>Y9*'Output-Calculation-sheet'!Y53/10^9</f>
        <v>4.7872907588034329E-2</v>
      </c>
      <c r="AA64" s="2">
        <f t="shared" si="4"/>
        <v>22.013775053205713</v>
      </c>
    </row>
    <row r="65" spans="1:27" x14ac:dyDescent="0.25">
      <c r="A65" s="2">
        <v>2033</v>
      </c>
      <c r="B65" s="2">
        <f>B10*'Output-Calculation-sheet'!B54/10^9</f>
        <v>5.9869669766322797</v>
      </c>
      <c r="C65" s="2">
        <f>C10*'Output-Calculation-sheet'!C54/10^9</f>
        <v>3.6989055338964301</v>
      </c>
      <c r="D65" s="2">
        <f>D10*'Output-Calculation-sheet'!D54/10^9</f>
        <v>1.067165191834188</v>
      </c>
      <c r="E65" s="2">
        <f>E10*'Output-Calculation-sheet'!E54/10^9</f>
        <v>1.3590489988737697</v>
      </c>
      <c r="F65" s="2">
        <f>F10*'Output-Calculation-sheet'!F54/10^9</f>
        <v>0.58399441529035023</v>
      </c>
      <c r="G65" s="2">
        <f>G10*'Output-Calculation-sheet'!G54/10^9</f>
        <v>0.41577573904203807</v>
      </c>
      <c r="H65" s="2">
        <f>H10*'Output-Calculation-sheet'!H54/10^9</f>
        <v>0.97697610402234614</v>
      </c>
      <c r="I65" s="2">
        <f>I10*'Output-Calculation-sheet'!I54/10^9</f>
        <v>0.36454853959787409</v>
      </c>
      <c r="J65" s="2">
        <f>J10*'Output-Calculation-sheet'!J54/10^9</f>
        <v>0.43131827220117247</v>
      </c>
      <c r="K65" s="2">
        <f>K10*'Output-Calculation-sheet'!K54/10^9</f>
        <v>0.40362950253597729</v>
      </c>
      <c r="L65" s="2">
        <f>L10*'Output-Calculation-sheet'!L54/10^9</f>
        <v>0.41625124826282761</v>
      </c>
      <c r="M65" s="2">
        <f>M10*'Output-Calculation-sheet'!M54/10^9</f>
        <v>0.6946632557264909</v>
      </c>
      <c r="N65" s="2">
        <f>N10*'Output-Calculation-sheet'!N54/10^9</f>
        <v>0.59193703172059597</v>
      </c>
      <c r="O65" s="2">
        <f>O10*'Output-Calculation-sheet'!O54/10^9</f>
        <v>0.68875454222951416</v>
      </c>
      <c r="P65" s="2">
        <f>P10*'Output-Calculation-sheet'!P54/10^9</f>
        <v>0.43664922194508154</v>
      </c>
      <c r="Q65" s="2">
        <f>Q10*'Output-Calculation-sheet'!Q54/10^9</f>
        <v>0.43091461826635752</v>
      </c>
      <c r="R65" s="2">
        <f>R10*'Output-Calculation-sheet'!R54/10^9</f>
        <v>0.3415844306082233</v>
      </c>
      <c r="S65" s="2">
        <f>S10*'Output-Calculation-sheet'!S54/10^9</f>
        <v>0.34284153195583084</v>
      </c>
      <c r="T65" s="2">
        <f>T10*'Output-Calculation-sheet'!T54/10^9</f>
        <v>0.11567568314934554</v>
      </c>
      <c r="U65" s="2">
        <f>U10*'Output-Calculation-sheet'!U54/10^9</f>
        <v>0.11109818813994855</v>
      </c>
      <c r="V65" s="2">
        <f>V10*'Output-Calculation-sheet'!V54/10^9</f>
        <v>0.13090513702312259</v>
      </c>
      <c r="W65" s="2">
        <f>W10*'Output-Calculation-sheet'!W54/10^9</f>
        <v>5.5944123157423281E-2</v>
      </c>
      <c r="X65" s="2">
        <f>X10*'Output-Calculation-sheet'!X54/10^9</f>
        <v>8.922868457686231E-2</v>
      </c>
      <c r="Y65" s="2">
        <f>Y10*'Output-Calculation-sheet'!Y54/10^9</f>
        <v>4.339926538810069E-2</v>
      </c>
      <c r="AA65" s="2">
        <f t="shared" si="4"/>
        <v>19.778176236076156</v>
      </c>
    </row>
    <row r="66" spans="1:27" x14ac:dyDescent="0.25">
      <c r="A66" s="2">
        <v>2034</v>
      </c>
      <c r="B66" s="2">
        <f>B11*'Output-Calculation-sheet'!B55/10^9</f>
        <v>5.1975438781620493</v>
      </c>
      <c r="C66" s="2">
        <f>C11*'Output-Calculation-sheet'!C55/10^9</f>
        <v>3.2590233170342513</v>
      </c>
      <c r="D66" s="2">
        <f>D11*'Output-Calculation-sheet'!D55/10^9</f>
        <v>0.94030859757850294</v>
      </c>
      <c r="E66" s="2">
        <f>E11*'Output-Calculation-sheet'!E55/10^9</f>
        <v>1.2178833241725366</v>
      </c>
      <c r="F66" s="2">
        <f>F11*'Output-Calculation-sheet'!F55/10^9</f>
        <v>0.47933411225252437</v>
      </c>
      <c r="G66" s="2">
        <f>G11*'Output-Calculation-sheet'!G55/10^9</f>
        <v>0.34965561912319437</v>
      </c>
      <c r="H66" s="2">
        <f>H11*'Output-Calculation-sheet'!H55/10^9</f>
        <v>0.87251675729724243</v>
      </c>
      <c r="I66" s="2">
        <f>I11*'Output-Calculation-sheet'!I55/10^9</f>
        <v>0.32504123301221616</v>
      </c>
      <c r="J66" s="2">
        <f>J11*'Output-Calculation-sheet'!J55/10^9</f>
        <v>0.32725548743935307</v>
      </c>
      <c r="K66" s="2">
        <f>K11*'Output-Calculation-sheet'!K55/10^9</f>
        <v>0.37263354555708988</v>
      </c>
      <c r="L66" s="2">
        <f>L11*'Output-Calculation-sheet'!L55/10^9</f>
        <v>0.36125567699546712</v>
      </c>
      <c r="M66" s="2">
        <f>M11*'Output-Calculation-sheet'!M55/10^9</f>
        <v>0.6128323906570734</v>
      </c>
      <c r="N66" s="2">
        <f>N11*'Output-Calculation-sheet'!N55/10^9</f>
        <v>0.53290573613235448</v>
      </c>
      <c r="O66" s="2">
        <f>O11*'Output-Calculation-sheet'!O55/10^9</f>
        <v>0.60786071830201105</v>
      </c>
      <c r="P66" s="2">
        <f>P11*'Output-Calculation-sheet'!P55/10^9</f>
        <v>0.38977779736348905</v>
      </c>
      <c r="Q66" s="2">
        <f>Q11*'Output-Calculation-sheet'!Q55/10^9</f>
        <v>0.40092031165588182</v>
      </c>
      <c r="R66" s="2">
        <f>R11*'Output-Calculation-sheet'!R55/10^9</f>
        <v>0.29662605366611278</v>
      </c>
      <c r="S66" s="2">
        <f>S11*'Output-Calculation-sheet'!S55/10^9</f>
        <v>0.30792237586423249</v>
      </c>
      <c r="T66" s="2">
        <f>T11*'Output-Calculation-sheet'!T55/10^9</f>
        <v>9.2943243764930447E-2</v>
      </c>
      <c r="U66" s="2">
        <f>U11*'Output-Calculation-sheet'!U55/10^9</f>
        <v>0.10115498380719218</v>
      </c>
      <c r="V66" s="2">
        <f>V11*'Output-Calculation-sheet'!V55/10^9</f>
        <v>8.7837507367993908E-2</v>
      </c>
      <c r="W66" s="2">
        <f>W11*'Output-Calculation-sheet'!W55/10^9</f>
        <v>4.3032661825579389E-2</v>
      </c>
      <c r="X66" s="2">
        <f>X11*'Output-Calculation-sheet'!X55/10^9</f>
        <v>7.6011311426762415E-2</v>
      </c>
      <c r="Y66" s="2">
        <f>Y11*'Output-Calculation-sheet'!Y55/10^9</f>
        <v>4.1289412690355201E-2</v>
      </c>
      <c r="AA66" s="2">
        <f t="shared" si="4"/>
        <v>17.293566053148393</v>
      </c>
    </row>
    <row r="67" spans="1:27" x14ac:dyDescent="0.25">
      <c r="A67" s="2">
        <v>2035</v>
      </c>
      <c r="B67" s="2">
        <f>B12*'Output-Calculation-sheet'!B56/10^9</f>
        <v>4.3339730107950567</v>
      </c>
      <c r="C67" s="2">
        <f>C12*'Output-Calculation-sheet'!C56/10^9</f>
        <v>2.6176153985337862</v>
      </c>
      <c r="D67" s="2">
        <f>D12*'Output-Calculation-sheet'!D56/10^9</f>
        <v>0.8585168789405565</v>
      </c>
      <c r="E67" s="2">
        <f>E12*'Output-Calculation-sheet'!E56/10^9</f>
        <v>1.1756103591010492</v>
      </c>
      <c r="F67" s="2">
        <f>F12*'Output-Calculation-sheet'!F56/10^9</f>
        <v>0.46092752912586926</v>
      </c>
      <c r="G67" s="2">
        <f>G12*'Output-Calculation-sheet'!G56/10^9</f>
        <v>0.33961125359337219</v>
      </c>
      <c r="H67" s="2">
        <f>H12*'Output-Calculation-sheet'!H56/10^9</f>
        <v>0.72319349378817621</v>
      </c>
      <c r="I67" s="2">
        <f>I12*'Output-Calculation-sheet'!I56/10^9</f>
        <v>0.31119923731845267</v>
      </c>
      <c r="J67" s="2">
        <f>J12*'Output-Calculation-sheet'!J56/10^9</f>
        <v>0.28495465470030101</v>
      </c>
      <c r="K67" s="2">
        <f>K12*'Output-Calculation-sheet'!K56/10^9</f>
        <v>0.34133485887354686</v>
      </c>
      <c r="L67" s="2">
        <f>L12*'Output-Calculation-sheet'!L56/10^9</f>
        <v>0.3181043789936655</v>
      </c>
      <c r="M67" s="2">
        <f>M12*'Output-Calculation-sheet'!M56/10^9</f>
        <v>0.51162594323228583</v>
      </c>
      <c r="N67" s="2">
        <f>N12*'Output-Calculation-sheet'!N56/10^9</f>
        <v>0.43697737292513078</v>
      </c>
      <c r="O67" s="2">
        <f>O12*'Output-Calculation-sheet'!O56/10^9</f>
        <v>0.48339168572776575</v>
      </c>
      <c r="P67" s="2">
        <f>P12*'Output-Calculation-sheet'!P56/10^9</f>
        <v>0.35464985469495042</v>
      </c>
      <c r="Q67" s="2">
        <f>Q12*'Output-Calculation-sheet'!Q56/10^9</f>
        <v>0.33501474623353267</v>
      </c>
      <c r="R67" s="2">
        <f>R12*'Output-Calculation-sheet'!R56/10^9</f>
        <v>0.26279124231940437</v>
      </c>
      <c r="S67" s="2">
        <f>S12*'Output-Calculation-sheet'!S56/10^9</f>
        <v>0.25385370283734643</v>
      </c>
      <c r="T67" s="2">
        <f>T12*'Output-Calculation-sheet'!T56/10^9</f>
        <v>8.1778884344426261E-2</v>
      </c>
      <c r="U67" s="2">
        <f>U12*'Output-Calculation-sheet'!U56/10^9</f>
        <v>8.8408009170929183E-2</v>
      </c>
      <c r="V67" s="2">
        <f>V12*'Output-Calculation-sheet'!V56/10^9</f>
        <v>6.3070181848490184E-2</v>
      </c>
      <c r="W67" s="2">
        <f>W12*'Output-Calculation-sheet'!W56/10^9</f>
        <v>4.2812651703352175E-2</v>
      </c>
      <c r="X67" s="2">
        <f>X12*'Output-Calculation-sheet'!X56/10^9</f>
        <v>6.1070050741589048E-2</v>
      </c>
      <c r="Y67" s="2">
        <f>Y12*'Output-Calculation-sheet'!Y56/10^9</f>
        <v>3.9949289798340018E-2</v>
      </c>
      <c r="AA67" s="2">
        <f t="shared" si="4"/>
        <v>14.780434669341375</v>
      </c>
    </row>
    <row r="68" spans="1:27" x14ac:dyDescent="0.25">
      <c r="B68" s="2">
        <f>SUM(B60:B67)</f>
        <v>28.862443048178612</v>
      </c>
      <c r="C68" s="2">
        <f t="shared" ref="C68:Y68" si="5">SUM(C60:C67)</f>
        <v>17.136036679248249</v>
      </c>
      <c r="D68" s="2">
        <f t="shared" si="5"/>
        <v>5.8327065968119829</v>
      </c>
      <c r="E68" s="2">
        <f t="shared" si="5"/>
        <v>7.1789039006896953</v>
      </c>
      <c r="F68" s="2">
        <f t="shared" si="5"/>
        <v>3.1121733816101256</v>
      </c>
      <c r="G68" s="2">
        <f t="shared" si="5"/>
        <v>2.3059656427246873</v>
      </c>
      <c r="H68" s="2">
        <f t="shared" si="5"/>
        <v>4.5698500144649818</v>
      </c>
      <c r="I68" s="2">
        <f t="shared" si="5"/>
        <v>1.9609838083772066</v>
      </c>
      <c r="J68" s="2">
        <f t="shared" si="5"/>
        <v>2.3690647234502942</v>
      </c>
      <c r="K68" s="2">
        <f t="shared" si="5"/>
        <v>2.036685709212493</v>
      </c>
      <c r="L68" s="2">
        <f t="shared" si="5"/>
        <v>2.1566964515634166</v>
      </c>
      <c r="M68" s="2">
        <f t="shared" si="5"/>
        <v>3.2700728913516022</v>
      </c>
      <c r="N68" s="2">
        <f t="shared" si="5"/>
        <v>2.7335319537414722</v>
      </c>
      <c r="O68" s="2">
        <f t="shared" si="5"/>
        <v>3.1661383240076861</v>
      </c>
      <c r="P68" s="2">
        <f t="shared" si="5"/>
        <v>2.1379118806670467</v>
      </c>
      <c r="Q68" s="2">
        <f t="shared" si="5"/>
        <v>2.0667911588862742</v>
      </c>
      <c r="R68" s="2">
        <f t="shared" si="5"/>
        <v>1.691523544279016</v>
      </c>
      <c r="S68" s="2">
        <f t="shared" si="5"/>
        <v>1.6102193516010546</v>
      </c>
      <c r="T68" s="2">
        <f t="shared" si="5"/>
        <v>0.59917358886233796</v>
      </c>
      <c r="U68" s="2">
        <f t="shared" si="5"/>
        <v>0.55171919187021401</v>
      </c>
      <c r="V68" s="2">
        <f t="shared" si="5"/>
        <v>0.67347213400291039</v>
      </c>
      <c r="W68" s="2">
        <f t="shared" si="5"/>
        <v>0.30731077801796042</v>
      </c>
      <c r="X68" s="2">
        <f t="shared" si="5"/>
        <v>0.41738454011523757</v>
      </c>
      <c r="Y68" s="2">
        <f t="shared" si="5"/>
        <v>0.22463041698965253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759.85722172605472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1385.7521988804247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934.50591412710162</v>
      </c>
      <c r="N74" s="2">
        <f>N8/'Output-Calculation-sheet'!N7*'Output-Calculation-sheet'!N61</f>
        <v>38.741294480040516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8.2925836658658003</v>
      </c>
      <c r="Y74" s="2">
        <f>Y8/'Output-Calculation-sheet'!Y7*'Output-Calculation-sheet'!Y61</f>
        <v>0</v>
      </c>
      <c r="AA74" s="2">
        <f t="shared" si="6"/>
        <v>3.1271492128794875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122.26091599889588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2195.4677545369696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1491.9382389877887</v>
      </c>
      <c r="N75" s="2">
        <f>N9/'Output-Calculation-sheet'!N8*'Output-Calculation-sheet'!N62</f>
        <v>574.57113050622456</v>
      </c>
      <c r="O75" s="2">
        <f>O9/'Output-Calculation-sheet'!O8*'Output-Calculation-sheet'!O62</f>
        <v>0</v>
      </c>
      <c r="P75" s="2">
        <f>P9/'Output-Calculation-sheet'!P8*'Output-Calculation-sheet'!P62</f>
        <v>45.520520744883783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193.07437831988074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52.39956360157214</v>
      </c>
      <c r="Y75" s="2">
        <f>Y9/'Output-Calculation-sheet'!Y8*'Output-Calculation-sheet'!Y62</f>
        <v>0</v>
      </c>
      <c r="AA75" s="2">
        <f t="shared" si="6"/>
        <v>4.6752325026962156</v>
      </c>
    </row>
    <row r="76" spans="1:27" x14ac:dyDescent="0.25">
      <c r="A76" s="2">
        <v>2033</v>
      </c>
      <c r="B76" s="2">
        <f>B10/'Output-Calculation-sheet'!B9*'Output-Calculation-sheet'!B63</f>
        <v>4234.8773456568515</v>
      </c>
      <c r="C76" s="2">
        <f>C10/'Output-Calculation-sheet'!C9*'Output-Calculation-sheet'!C63</f>
        <v>853.93056582250836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2760.9273413005494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1884.3463875707073</v>
      </c>
      <c r="N76" s="2">
        <f>N10/'Output-Calculation-sheet'!N9*'Output-Calculation-sheet'!N63</f>
        <v>1073.2335020413573</v>
      </c>
      <c r="O76" s="2">
        <f>O10/'Output-Calculation-sheet'!O9*'Output-Calculation-sheet'!O63</f>
        <v>0</v>
      </c>
      <c r="P76" s="2">
        <f>P10/'Output-Calculation-sheet'!P9*'Output-Calculation-sheet'!P63</f>
        <v>372.17603182063118</v>
      </c>
      <c r="Q76" s="2">
        <f>Q10/'Output-Calculation-sheet'!Q9*'Output-Calculation-sheet'!Q63</f>
        <v>169.17631641380635</v>
      </c>
      <c r="R76" s="2">
        <f>R10/'Output-Calculation-sheet'!R9*'Output-Calculation-sheet'!R63</f>
        <v>282.43140372498647</v>
      </c>
      <c r="S76" s="2">
        <f>S10/'Output-Calculation-sheet'!S9*'Output-Calculation-sheet'!S63</f>
        <v>479.94589069643865</v>
      </c>
      <c r="T76" s="2">
        <f>T10/'Output-Calculation-sheet'!T9*'Output-Calculation-sheet'!T63</f>
        <v>18.608945777355338</v>
      </c>
      <c r="U76" s="2">
        <f>U10/'Output-Calculation-sheet'!U9*'Output-Calculation-sheet'!U63</f>
        <v>100.36703380276384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108.10155168514407</v>
      </c>
      <c r="Y76" s="2">
        <f>Y10/'Output-Calculation-sheet'!Y9*'Output-Calculation-sheet'!Y63</f>
        <v>4.7667567463376335</v>
      </c>
      <c r="AA76" s="2">
        <f t="shared" si="6"/>
        <v>12.420924158197858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1246.7457753815017</v>
      </c>
      <c r="D77" s="2">
        <f>D11/'Output-Calculation-sheet'!D10*'Output-Calculation-sheet'!D64</f>
        <v>1059.5213240584517</v>
      </c>
      <c r="E77" s="2">
        <f>E11/'Output-Calculation-sheet'!E10*'Output-Calculation-sheet'!E64</f>
        <v>1325.1718920579742</v>
      </c>
      <c r="F77" s="2">
        <f>F11/'Output-Calculation-sheet'!F10*'Output-Calculation-sheet'!F64</f>
        <v>94.289258317232253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2801.7635660221977</v>
      </c>
      <c r="I77" s="2">
        <f>I11/'Output-Calculation-sheet'!I10*'Output-Calculation-sheet'!I64</f>
        <v>328.86257374260731</v>
      </c>
      <c r="J77" s="2">
        <f>J11/'Output-Calculation-sheet'!J10*'Output-Calculation-sheet'!J64</f>
        <v>231.88175515465542</v>
      </c>
      <c r="K77" s="2">
        <f>K11/'Output-Calculation-sheet'!K10*'Output-Calculation-sheet'!K64</f>
        <v>504.77431422762066</v>
      </c>
      <c r="L77" s="2">
        <f>L11/'Output-Calculation-sheet'!L10*'Output-Calculation-sheet'!L64</f>
        <v>206.76806222348057</v>
      </c>
      <c r="M77" s="2">
        <f>M11/'Output-Calculation-sheet'!M10*'Output-Calculation-sheet'!M64</f>
        <v>1980.0708283353176</v>
      </c>
      <c r="N77" s="2">
        <f>N11/'Output-Calculation-sheet'!N10*'Output-Calculation-sheet'!N64</f>
        <v>1372.3795045229283</v>
      </c>
      <c r="O77" s="2">
        <f>O11/'Output-Calculation-sheet'!O10*'Output-Calculation-sheet'!O64</f>
        <v>49.867007569712982</v>
      </c>
      <c r="P77" s="2">
        <f>P11/'Output-Calculation-sheet'!P10*'Output-Calculation-sheet'!P64</f>
        <v>622.41580889401689</v>
      </c>
      <c r="Q77" s="2">
        <f>Q11/'Output-Calculation-sheet'!Q10*'Output-Calculation-sheet'!Q64</f>
        <v>356.34292383795423</v>
      </c>
      <c r="R77" s="2">
        <f>R11/'Output-Calculation-sheet'!R10*'Output-Calculation-sheet'!R64</f>
        <v>531.60144391590438</v>
      </c>
      <c r="S77" s="2">
        <f>S11/'Output-Calculation-sheet'!S10*'Output-Calculation-sheet'!S64</f>
        <v>704.33818183392555</v>
      </c>
      <c r="T77" s="2">
        <f>T11/'Output-Calculation-sheet'!T10*'Output-Calculation-sheet'!T64</f>
        <v>146.99802561631088</v>
      </c>
      <c r="U77" s="2">
        <f>U11/'Output-Calculation-sheet'!U10*'Output-Calculation-sheet'!U64</f>
        <v>194.95819562931948</v>
      </c>
      <c r="V77" s="2">
        <f>V11/'Output-Calculation-sheet'!V10*'Output-Calculation-sheet'!V64</f>
        <v>76.730068012434344</v>
      </c>
      <c r="W77" s="2">
        <f>W11/'Output-Calculation-sheet'!W10*'Output-Calculation-sheet'!W64</f>
        <v>16.717980045042118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23.199174477522657</v>
      </c>
    </row>
    <row r="78" spans="1:27" x14ac:dyDescent="0.25">
      <c r="A78" s="2">
        <v>2035</v>
      </c>
      <c r="B78" s="2">
        <f>B12/'Output-Calculation-sheet'!B11*'Output-Calculation-sheet'!B65</f>
        <v>8398.662131247107</v>
      </c>
      <c r="C78" s="2">
        <f>C12/'Output-Calculation-sheet'!C11*'Output-Calculation-sheet'!C65</f>
        <v>30.885148045909901</v>
      </c>
      <c r="D78" s="2">
        <f>D12/'Output-Calculation-sheet'!D11*'Output-Calculation-sheet'!D65</f>
        <v>877.37034223361468</v>
      </c>
      <c r="E78" s="2">
        <f>E12/'Output-Calculation-sheet'!E11*'Output-Calculation-sheet'!E65</f>
        <v>1667.1428347758376</v>
      </c>
      <c r="F78" s="2">
        <f>F12/'Output-Calculation-sheet'!F11*'Output-Calculation-sheet'!F65</f>
        <v>356.41053845127408</v>
      </c>
      <c r="G78" s="2">
        <f>G12/'Output-Calculation-sheet'!G11*'Output-Calculation-sheet'!G65</f>
        <v>679.38022116270531</v>
      </c>
      <c r="H78" s="2">
        <f>H12/'Output-Calculation-sheet'!H11*'Output-Calculation-sheet'!H65</f>
        <v>2174.9215972984839</v>
      </c>
      <c r="I78" s="2">
        <f>I12/'Output-Calculation-sheet'!I11*'Output-Calculation-sheet'!I65</f>
        <v>393.30707214972193</v>
      </c>
      <c r="J78" s="2">
        <f>J12/'Output-Calculation-sheet'!J11*'Output-Calculation-sheet'!J65</f>
        <v>360.30788619454347</v>
      </c>
      <c r="K78" s="2">
        <f>K12/'Output-Calculation-sheet'!K11*'Output-Calculation-sheet'!K65</f>
        <v>447.91453854534245</v>
      </c>
      <c r="L78" s="2">
        <f>L12/'Output-Calculation-sheet'!L11*'Output-Calculation-sheet'!L65</f>
        <v>262.27038995316894</v>
      </c>
      <c r="M78" s="2">
        <f>M12/'Output-Calculation-sheet'!M11*'Output-Calculation-sheet'!M65</f>
        <v>1523.2164830534559</v>
      </c>
      <c r="N78" s="2">
        <f>N12/'Output-Calculation-sheet'!N11*'Output-Calculation-sheet'!N65</f>
        <v>1072.2888723376091</v>
      </c>
      <c r="O78" s="2">
        <f>O12/'Output-Calculation-sheet'!O11*'Output-Calculation-sheet'!O65</f>
        <v>158.42264109785629</v>
      </c>
      <c r="P78" s="2">
        <f>P12/'Output-Calculation-sheet'!P11*'Output-Calculation-sheet'!P65</f>
        <v>614.87662674031139</v>
      </c>
      <c r="Q78" s="2">
        <f>Q12/'Output-Calculation-sheet'!Q11*'Output-Calculation-sheet'!Q65</f>
        <v>299.83038335547104</v>
      </c>
      <c r="R78" s="2">
        <f>R12/'Output-Calculation-sheet'!R11*'Output-Calculation-sheet'!R65</f>
        <v>513.78328023176573</v>
      </c>
      <c r="S78" s="2">
        <f>S12/'Output-Calculation-sheet'!S11*'Output-Calculation-sheet'!S65</f>
        <v>577.996979596188</v>
      </c>
      <c r="T78" s="2">
        <f>T12/'Output-Calculation-sheet'!T11*'Output-Calculation-sheet'!T65</f>
        <v>182.01750427712111</v>
      </c>
      <c r="U78" s="2">
        <f>U12/'Output-Calculation-sheet'!U11*'Output-Calculation-sheet'!U65</f>
        <v>157.15389187631186</v>
      </c>
      <c r="V78" s="2">
        <f>V12/'Output-Calculation-sheet'!V11*'Output-Calculation-sheet'!V65</f>
        <v>99.258365666271473</v>
      </c>
      <c r="W78" s="2">
        <f>W12/'Output-Calculation-sheet'!W11*'Output-Calculation-sheet'!W65</f>
        <v>71.011177173909388</v>
      </c>
      <c r="X78" s="2">
        <f>X12/'Output-Calculation-sheet'!X11*'Output-Calculation-sheet'!X65</f>
        <v>13.021169025798729</v>
      </c>
      <c r="Y78" s="2">
        <f>Y12/'Output-Calculation-sheet'!Y11*'Output-Calculation-sheet'!Y65</f>
        <v>67.996423395092592</v>
      </c>
      <c r="AA78" s="2">
        <f t="shared" si="6"/>
        <v>20.999446497884875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24.986314953391485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2.4986314953391486E-2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261.03729077090378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0.26103729077090376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300.13832860402619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0.30013832860402617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16.238595150380572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3.4917918111863795</v>
      </c>
      <c r="N88" s="2">
        <f>N11/'Output-Calculation-sheet'!N10*'Output-Calculation-sheet'!N73</f>
        <v>3.431865069280819</v>
      </c>
      <c r="O88" s="2">
        <f>O11/'Output-Calculation-sheet'!O10*'Output-Calculation-sheet'!O73</f>
        <v>295.27571112501039</v>
      </c>
      <c r="P88" s="2">
        <f>P11/'Output-Calculation-sheet'!P10*'Output-Calculation-sheet'!P73</f>
        <v>0</v>
      </c>
      <c r="Q88" s="2">
        <f>Q11/'Output-Calculation-sheet'!Q10*'Output-Calculation-sheet'!Q73</f>
        <v>12.628724809210704</v>
      </c>
      <c r="R88" s="2">
        <f>R11/'Output-Calculation-sheet'!R10*'Output-Calculation-sheet'!R73</f>
        <v>0</v>
      </c>
      <c r="S88" s="2">
        <f>S11/'Output-Calculation-sheet'!S10*'Output-Calculation-sheet'!S73</f>
        <v>0.39345270630508311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0.33146014067137397</v>
      </c>
    </row>
    <row r="89" spans="1:27" x14ac:dyDescent="0.25">
      <c r="A89" s="2">
        <v>2035</v>
      </c>
      <c r="B89" s="2">
        <f>B12/'Output-Calculation-sheet'!B11*'Output-Calculation-sheet'!B74</f>
        <v>163.9251377868346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55.580424072167965</v>
      </c>
      <c r="E89" s="2">
        <f>E12/'Output-Calculation-sheet'!E11*'Output-Calculation-sheet'!E74</f>
        <v>60.073462690068645</v>
      </c>
      <c r="F89" s="2">
        <f>F12/'Output-Calculation-sheet'!F11*'Output-Calculation-sheet'!F74</f>
        <v>23.335987589293136</v>
      </c>
      <c r="G89" s="2">
        <f>G12/'Output-Calculation-sheet'!G11*'Output-Calculation-sheet'!G74</f>
        <v>20.73547280826412</v>
      </c>
      <c r="H89" s="2">
        <f>H12/'Output-Calculation-sheet'!H11*'Output-Calculation-sheet'!H74</f>
        <v>79.576049604012553</v>
      </c>
      <c r="I89" s="2">
        <f>I12/'Output-Calculation-sheet'!I11*'Output-Calculation-sheet'!I74</f>
        <v>19.367594770842512</v>
      </c>
      <c r="J89" s="2">
        <f>J12/'Output-Calculation-sheet'!J11*'Output-Calculation-sheet'!J74</f>
        <v>11.358520435969233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15.135964673707933</v>
      </c>
      <c r="M89" s="2">
        <f>M12/'Output-Calculation-sheet'!M11*'Output-Calculation-sheet'!M74</f>
        <v>46.250269703644946</v>
      </c>
      <c r="N89" s="2">
        <f>N12/'Output-Calculation-sheet'!N11*'Output-Calculation-sheet'!N74</f>
        <v>34.484252367270123</v>
      </c>
      <c r="O89" s="2">
        <f>O12/'Output-Calculation-sheet'!O11*'Output-Calculation-sheet'!O74</f>
        <v>248.17684560045564</v>
      </c>
      <c r="P89" s="2">
        <f>P12/'Output-Calculation-sheet'!P11*'Output-Calculation-sheet'!P74</f>
        <v>18.824822541623213</v>
      </c>
      <c r="Q89" s="2">
        <f>Q12/'Output-Calculation-sheet'!Q11*'Output-Calculation-sheet'!Q74</f>
        <v>28.84014460505534</v>
      </c>
      <c r="R89" s="2">
        <f>R12/'Output-Calculation-sheet'!R11*'Output-Calculation-sheet'!R74</f>
        <v>11.349380562366317</v>
      </c>
      <c r="S89" s="2">
        <f>S12/'Output-Calculation-sheet'!S11*'Output-Calculation-sheet'!S74</f>
        <v>15.274935750109901</v>
      </c>
      <c r="T89" s="2">
        <f>T12/'Output-Calculation-sheet'!T11*'Output-Calculation-sheet'!T74</f>
        <v>2.6872596909523514</v>
      </c>
      <c r="U89" s="2">
        <f>U12/'Output-Calculation-sheet'!U11*'Output-Calculation-sheet'!U74</f>
        <v>4.9660185228197387</v>
      </c>
      <c r="V89" s="2">
        <f>V12/'Output-Calculation-sheet'!V11*'Output-Calculation-sheet'!V74</f>
        <v>0.67574719540057349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0.23327589789808495</v>
      </c>
      <c r="Y89" s="2">
        <f>Y12/'Output-Calculation-sheet'!Y11*'Output-Calculation-sheet'!Y74</f>
        <v>2.1948781103262456</v>
      </c>
      <c r="AA89" s="2">
        <f t="shared" si="7"/>
        <v>0.88987197236750992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11312569982.77256</v>
      </c>
      <c r="C96" s="2">
        <f>C8/'Output-Calculation-sheet'!C7*'Output-Calculation-sheet'!C79</f>
        <v>3827101238.7056441</v>
      </c>
      <c r="D96" s="2">
        <f>D8/'Output-Calculation-sheet'!D7*'Output-Calculation-sheet'!D79</f>
        <v>3995221334.0359178</v>
      </c>
      <c r="E96" s="2">
        <f>E8/'Output-Calculation-sheet'!E7*'Output-Calculation-sheet'!E79</f>
        <v>7103174374.7122917</v>
      </c>
      <c r="F96" s="2">
        <f>F8/'Output-Calculation-sheet'!F7*'Output-Calculation-sheet'!F79</f>
        <v>2939933212.1245461</v>
      </c>
      <c r="G96" s="2">
        <f>G8/'Output-Calculation-sheet'!G7*'Output-Calculation-sheet'!G79</f>
        <v>2289971226.3179507</v>
      </c>
      <c r="H96" s="2">
        <f>H8/'Output-Calculation-sheet'!H7*'Output-Calculation-sheet'!H79</f>
        <v>1960088841.8161862</v>
      </c>
      <c r="I96" s="2">
        <f>I8/'Output-Calculation-sheet'!I7*'Output-Calculation-sheet'!I79</f>
        <v>1595204459.5607016</v>
      </c>
      <c r="J96" s="2">
        <f>J8/'Output-Calculation-sheet'!J7*'Output-Calculation-sheet'!J79</f>
        <v>1078715423.6814339</v>
      </c>
      <c r="K96" s="2">
        <f>K8/'Output-Calculation-sheet'!K7*'Output-Calculation-sheet'!K79</f>
        <v>1543322268.7125251</v>
      </c>
      <c r="L96" s="2">
        <f>L8/'Output-Calculation-sheet'!L7*'Output-Calculation-sheet'!L79</f>
        <v>1088969471.8862762</v>
      </c>
      <c r="M96" s="2">
        <f>M8/'Output-Calculation-sheet'!M7*'Output-Calculation-sheet'!M79</f>
        <v>1463166696.4036922</v>
      </c>
      <c r="N96" s="2">
        <f>N8/'Output-Calculation-sheet'!N7*'Output-Calculation-sheet'!N79</f>
        <v>1088710968.7770264</v>
      </c>
      <c r="O96" s="2">
        <f>O8/'Output-Calculation-sheet'!O7*'Output-Calculation-sheet'!O79</f>
        <v>550379722.76937616</v>
      </c>
      <c r="P96" s="2">
        <f>P8/'Output-Calculation-sheet'!P7*'Output-Calculation-sheet'!P79</f>
        <v>1840916683.4146285</v>
      </c>
      <c r="Q96" s="2">
        <f>Q8/'Output-Calculation-sheet'!Q7*'Output-Calculation-sheet'!Q79</f>
        <v>857944474.23828483</v>
      </c>
      <c r="R96" s="2">
        <f>R8/'Output-Calculation-sheet'!R7*'Output-Calculation-sheet'!R79</f>
        <v>1070389541.1436729</v>
      </c>
      <c r="S96" s="2">
        <f>S8/'Output-Calculation-sheet'!S7*'Output-Calculation-sheet'!S79</f>
        <v>623697369.37066543</v>
      </c>
      <c r="T96" s="2">
        <f>T8/'Output-Calculation-sheet'!T7*'Output-Calculation-sheet'!T79</f>
        <v>476358988.41041762</v>
      </c>
      <c r="U96" s="2">
        <f>U8/'Output-Calculation-sheet'!U7*'Output-Calculation-sheet'!U79</f>
        <v>299237053.42642182</v>
      </c>
      <c r="V96" s="2">
        <f>V8/'Output-Calculation-sheet'!V7*'Output-Calculation-sheet'!V79</f>
        <v>155259090.16566676</v>
      </c>
      <c r="W96" s="2">
        <f>W8/'Output-Calculation-sheet'!W7*'Output-Calculation-sheet'!W79</f>
        <v>458781799.13032943</v>
      </c>
      <c r="X96" s="2">
        <f>X8/'Output-Calculation-sheet'!X7*'Output-Calculation-sheet'!X79</f>
        <v>161247925.58239064</v>
      </c>
      <c r="Y96" s="2">
        <f>Y8/'Output-Calculation-sheet'!Y7*'Output-Calculation-sheet'!Y79</f>
        <v>252189556.55184594</v>
      </c>
      <c r="AA96" s="2">
        <f t="shared" si="8"/>
        <v>48.032551703710446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1320.4469887814537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256.52616685481928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30.683017816566956</v>
      </c>
      <c r="Y107" s="2">
        <f>Y8/'Output-Calculation-sheet'!Y7*'Output-Calculation-sheet'!Y88</f>
        <v>0</v>
      </c>
      <c r="AA107" s="2">
        <f t="shared" si="9"/>
        <v>1.6076561734528401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2306.4867776208348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2.3447692550657995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2.7524431278507353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2.8397332772493264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62.867854483533897</v>
      </c>
      <c r="Y111" s="2">
        <f>Y12/'Output-Calculation-sheet'!Y11*'Output-Calculation-sheet'!Y92</f>
        <v>0</v>
      </c>
      <c r="AA111" s="2">
        <f t="shared" si="9"/>
        <v>2.9616445482122788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1323626266.6679668</v>
      </c>
      <c r="C118" s="2">
        <f>C8/'Output-Calculation-sheet'!C7*'Output-Calculation-sheet'!C97</f>
        <v>10928872425.099361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6801327267.9610567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4692339718.2494307</v>
      </c>
      <c r="N118" s="2">
        <f>N8/'Output-Calculation-sheet'!N7*'Output-Calculation-sheet'!N97</f>
        <v>1570603512.5146565</v>
      </c>
      <c r="O118" s="2">
        <f>O8/'Output-Calculation-sheet'!O7*'Output-Calculation-sheet'!O97</f>
        <v>1849125564.1603787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470732743.14001375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255499780.6228705</v>
      </c>
      <c r="Y118" s="2">
        <f>Y8/'Output-Calculation-sheet'!Y7*'Output-Calculation-sheet'!Y97</f>
        <v>0</v>
      </c>
      <c r="AA118" s="2">
        <f t="shared" si="10"/>
        <v>27892.127278415737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8005404802.2821188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2749632791.8706226</v>
      </c>
      <c r="O119" s="2">
        <f>O9/'Output-Calculation-sheet'!O8*'Output-Calculation-sheet'!O98</f>
        <v>2969579340.3756862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824349902.39655435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322028322.30179369</v>
      </c>
      <c r="Y119" s="2">
        <f>Y9/'Output-Calculation-sheet'!Y8*'Output-Calculation-sheet'!Y98</f>
        <v>0</v>
      </c>
      <c r="AA119" s="2">
        <f t="shared" si="10"/>
        <v>34637.195903431741</v>
      </c>
    </row>
    <row r="120" spans="1:27" x14ac:dyDescent="0.25">
      <c r="A120" s="2">
        <v>2033</v>
      </c>
      <c r="B120" s="2">
        <f>B10/'Output-Calculation-sheet'!B9*'Output-Calculation-sheet'!B99</f>
        <v>12593215724.936266</v>
      </c>
      <c r="C120" s="2">
        <f>C10/'Output-Calculation-sheet'!C9*'Output-Calculation-sheet'!C99</f>
        <v>7288142003.3397837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3778148420.6956949</v>
      </c>
      <c r="O120" s="2">
        <f>O10/'Output-Calculation-sheet'!O9*'Output-Calculation-sheet'!O99</f>
        <v>2945911019.3170505</v>
      </c>
      <c r="P120" s="2">
        <f>P10/'Output-Calculation-sheet'!P9*'Output-Calculation-sheet'!P99</f>
        <v>0</v>
      </c>
      <c r="Q120" s="2">
        <f>Q10/'Output-Calculation-sheet'!Q9*'Output-Calculation-sheet'!Q99</f>
        <v>123877676.57329451</v>
      </c>
      <c r="R120" s="2">
        <f>R10/'Output-Calculation-sheet'!R9*'Output-Calculation-sheet'!R99</f>
        <v>0</v>
      </c>
      <c r="S120" s="2">
        <f>S10/'Output-Calculation-sheet'!S9*'Output-Calculation-sheet'!S99</f>
        <v>1521864430.6171358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414021585.38805372</v>
      </c>
      <c r="Y120" s="2">
        <f>Y10/'Output-Calculation-sheet'!Y9*'Output-Calculation-sheet'!Y99</f>
        <v>0</v>
      </c>
      <c r="AA120" s="2">
        <f t="shared" si="10"/>
        <v>44434.349067273979</v>
      </c>
    </row>
    <row r="121" spans="1:27" x14ac:dyDescent="0.25">
      <c r="A121" s="2">
        <v>2034</v>
      </c>
      <c r="B121" s="2">
        <f>B11/'Output-Calculation-sheet'!B10*'Output-Calculation-sheet'!B100</f>
        <v>24434767136.220718</v>
      </c>
      <c r="C121" s="2">
        <f>C11/'Output-Calculation-sheet'!C10*'Output-Calculation-sheet'!C100</f>
        <v>6071652717.3827209</v>
      </c>
      <c r="D121" s="2">
        <f>D11/'Output-Calculation-sheet'!D10*'Output-Calculation-sheet'!D100</f>
        <v>0</v>
      </c>
      <c r="E121" s="2">
        <f>E11/'Output-Calculation-sheet'!E10*'Output-Calculation-sheet'!E100</f>
        <v>505423701.88702101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8966125088.5996799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415430509.08383268</v>
      </c>
      <c r="M121" s="2">
        <f>M11/'Output-Calculation-sheet'!M10*'Output-Calculation-sheet'!M100</f>
        <v>6275037608.3471651</v>
      </c>
      <c r="N121" s="2">
        <f>N11/'Output-Calculation-sheet'!N10*'Output-Calculation-sheet'!N100</f>
        <v>4261317342.4863973</v>
      </c>
      <c r="O121" s="2">
        <f>O11/'Output-Calculation-sheet'!O10*'Output-Calculation-sheet'!O100</f>
        <v>2701862428.376399</v>
      </c>
      <c r="P121" s="2">
        <f>P11/'Output-Calculation-sheet'!P10*'Output-Calculation-sheet'!P100</f>
        <v>0</v>
      </c>
      <c r="Q121" s="2">
        <f>Q11/'Output-Calculation-sheet'!Q10*'Output-Calculation-sheet'!Q100</f>
        <v>549037960.51858687</v>
      </c>
      <c r="R121" s="2">
        <f>R11/'Output-Calculation-sheet'!R10*'Output-Calculation-sheet'!R100</f>
        <v>0</v>
      </c>
      <c r="S121" s="2">
        <f>S11/'Output-Calculation-sheet'!S10*'Output-Calculation-sheet'!S100</f>
        <v>2118757381.2030058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27723133.848156519</v>
      </c>
      <c r="AA121" s="2">
        <f t="shared" si="10"/>
        <v>56629.683323659541</v>
      </c>
    </row>
    <row r="122" spans="1:27" x14ac:dyDescent="0.25">
      <c r="A122" s="2">
        <v>2035</v>
      </c>
      <c r="B122" s="2">
        <f>B12/'Output-Calculation-sheet'!B11*'Output-Calculation-sheet'!B101</f>
        <v>23509466409.20599</v>
      </c>
      <c r="C122" s="2">
        <f>C12/'Output-Calculation-sheet'!C11*'Output-Calculation-sheet'!C101</f>
        <v>138166514.30324185</v>
      </c>
      <c r="D122" s="2">
        <f>D12/'Output-Calculation-sheet'!D11*'Output-Calculation-sheet'!D101</f>
        <v>0</v>
      </c>
      <c r="E122" s="2">
        <f>E12/'Output-Calculation-sheet'!E11*'Output-Calculation-sheet'!E101</f>
        <v>1880792337.966517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7209489658.3327742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483279691.73278272</v>
      </c>
      <c r="M122" s="2">
        <f>M12/'Output-Calculation-sheet'!M11*'Output-Calculation-sheet'!M101</f>
        <v>5057318672.2631454</v>
      </c>
      <c r="N122" s="2">
        <f>N12/'Output-Calculation-sheet'!N11*'Output-Calculation-sheet'!N101</f>
        <v>3402938940.3885665</v>
      </c>
      <c r="O122" s="2">
        <f>O12/'Output-Calculation-sheet'!O11*'Output-Calculation-sheet'!O101</f>
        <v>2306991497.1166596</v>
      </c>
      <c r="P122" s="2">
        <f>P12/'Output-Calculation-sheet'!P11*'Output-Calculation-sheet'!P101</f>
        <v>144645206.0698095</v>
      </c>
      <c r="Q122" s="2">
        <f>Q12/'Output-Calculation-sheet'!Q11*'Output-Calculation-sheet'!Q101</f>
        <v>543829908.99613976</v>
      </c>
      <c r="R122" s="2">
        <f>R12/'Output-Calculation-sheet'!R11*'Output-Calculation-sheet'!R101</f>
        <v>0</v>
      </c>
      <c r="S122" s="2">
        <f>S12/'Output-Calculation-sheet'!S11*'Output-Calculation-sheet'!S101</f>
        <v>1787355274.6200216</v>
      </c>
      <c r="T122" s="2">
        <f>T12/'Output-Calculation-sheet'!T11*'Output-Calculation-sheet'!T101</f>
        <v>0</v>
      </c>
      <c r="U122" s="2">
        <f>U12/'Output-Calculation-sheet'!U11*'Output-Calculation-sheet'!U101</f>
        <v>26405182.236105628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61933117.96065627</v>
      </c>
      <c r="Y122" s="2">
        <f>Y12/'Output-Calculation-sheet'!Y11*'Output-Calculation-sheet'!Y101</f>
        <v>95920900.851033017</v>
      </c>
      <c r="AA122" s="2">
        <f t="shared" si="10"/>
        <v>46648.533312043452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44944095852.231445</v>
      </c>
      <c r="C129" s="2">
        <f>C8/'Output-Calculation-sheet'!C7*'Output-Calculation-sheet'!C106</f>
        <v>0</v>
      </c>
      <c r="D129" s="2">
        <f>D8/'Output-Calculation-sheet'!D7*'Output-Calculation-sheet'!D106</f>
        <v>19432915707.084209</v>
      </c>
      <c r="E129" s="2">
        <f>E8/'Output-Calculation-sheet'!E7*'Output-Calculation-sheet'!E106</f>
        <v>15418064671.547695</v>
      </c>
      <c r="F129" s="2">
        <f>F8/'Output-Calculation-sheet'!F7*'Output-Calculation-sheet'!F106</f>
        <v>9925157972.6457253</v>
      </c>
      <c r="G129" s="2">
        <f>G8/'Output-Calculation-sheet'!G7*'Output-Calculation-sheet'!G106</f>
        <v>6973704499.3342972</v>
      </c>
      <c r="H129" s="2">
        <f>H8/'Output-Calculation-sheet'!H7*'Output-Calculation-sheet'!H106</f>
        <v>0</v>
      </c>
      <c r="I129" s="2">
        <f>I8/'Output-Calculation-sheet'!I7*'Output-Calculation-sheet'!I106</f>
        <v>6353578982.1252632</v>
      </c>
      <c r="J129" s="2">
        <f>J8/'Output-Calculation-sheet'!J7*'Output-Calculation-sheet'!J106</f>
        <v>6184116610.6180649</v>
      </c>
      <c r="K129" s="2">
        <f>K8/'Output-Calculation-sheet'!K7*'Output-Calculation-sheet'!K106</f>
        <v>6124839115.4328365</v>
      </c>
      <c r="L129" s="2">
        <f>L8/'Output-Calculation-sheet'!L7*'Output-Calculation-sheet'!L106</f>
        <v>4913437205.4913778</v>
      </c>
      <c r="M129" s="2">
        <f>M8/'Output-Calculation-sheet'!M7*'Output-Calculation-sheet'!M106</f>
        <v>0</v>
      </c>
      <c r="N129" s="2">
        <f>N8/'Output-Calculation-sheet'!N7*'Output-Calculation-sheet'!N106</f>
        <v>3035705787.9799399</v>
      </c>
      <c r="O129" s="2">
        <f>O8/'Output-Calculation-sheet'!O7*'Output-Calculation-sheet'!O106</f>
        <v>0</v>
      </c>
      <c r="P129" s="2">
        <f>P8/'Output-Calculation-sheet'!P7*'Output-Calculation-sheet'!P106</f>
        <v>4193386737.4377003</v>
      </c>
      <c r="Q129" s="2">
        <f>Q8/'Output-Calculation-sheet'!Q7*'Output-Calculation-sheet'!Q106</f>
        <v>4125607149.8971605</v>
      </c>
      <c r="R129" s="2">
        <f>R8/'Output-Calculation-sheet'!R7*'Output-Calculation-sheet'!R106</f>
        <v>3969031895.3064675</v>
      </c>
      <c r="S129" s="2">
        <f>S8/'Output-Calculation-sheet'!S7*'Output-Calculation-sheet'!S106</f>
        <v>2167283203.8790751</v>
      </c>
      <c r="T129" s="2">
        <f>T8/'Output-Calculation-sheet'!T7*'Output-Calculation-sheet'!T106</f>
        <v>1458971996.9989119</v>
      </c>
      <c r="U129" s="2">
        <f>U8/'Output-Calculation-sheet'!U7*'Output-Calculation-sheet'!U106</f>
        <v>1270717008.4428146</v>
      </c>
      <c r="V129" s="2">
        <f>V8/'Output-Calculation-sheet'!V7*'Output-Calculation-sheet'!V106</f>
        <v>978473277.57932818</v>
      </c>
      <c r="W129" s="2">
        <f>W8/'Output-Calculation-sheet'!W7*'Output-Calculation-sheet'!W106</f>
        <v>847147670.17060435</v>
      </c>
      <c r="X129" s="2">
        <f>X8/'Output-Calculation-sheet'!X7*'Output-Calculation-sheet'!X106</f>
        <v>0</v>
      </c>
      <c r="Y129" s="2">
        <f>Y8/'Output-Calculation-sheet'!Y7*'Output-Calculation-sheet'!Y106</f>
        <v>494303259.35879576</v>
      </c>
      <c r="AA129" s="2">
        <f t="shared" si="11"/>
        <v>142810.53860356167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2.8523161994363431E-8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2997071814.8807244</v>
      </c>
      <c r="O130" s="2">
        <f>O9/'Output-Calculation-sheet'!O8*'Output-Calculation-sheet'!O107</f>
        <v>0</v>
      </c>
      <c r="P130" s="2">
        <f>P9/'Output-Calculation-sheet'!P8*'Output-Calculation-sheet'!P107</f>
        <v>5231948962.3032684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2466864496.3882751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173379.27719669894</v>
      </c>
    </row>
    <row r="131" spans="1:27" x14ac:dyDescent="0.25">
      <c r="A131" s="2">
        <v>2033</v>
      </c>
      <c r="B131" s="2">
        <f>B10/'Output-Calculation-sheet'!B9*'Output-Calculation-sheet'!B108</f>
        <v>50879532007.296516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2540538138.6041403</v>
      </c>
      <c r="O131" s="2">
        <f>O10/'Output-Calculation-sheet'!O9*'Output-Calculation-sheet'!O108</f>
        <v>0</v>
      </c>
      <c r="P131" s="2">
        <f>P10/'Output-Calculation-sheet'!P9*'Output-Calculation-sheet'!P108</f>
        <v>5752742001.1971502</v>
      </c>
      <c r="Q131" s="2">
        <f>Q10/'Output-Calculation-sheet'!Q9*'Output-Calculation-sheet'!Q108</f>
        <v>5536157596.9590416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2096901520.9276793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182521.62314462953</v>
      </c>
    </row>
    <row r="132" spans="1:27" x14ac:dyDescent="0.25">
      <c r="A132" s="2">
        <v>2034</v>
      </c>
      <c r="B132" s="2">
        <f>B11/'Output-Calculation-sheet'!B10*'Output-Calculation-sheet'!B109</f>
        <v>37824938335.963745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20243487118.43998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8322437685.2735167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6196936151.0208921</v>
      </c>
      <c r="M132" s="2">
        <f>M11/'Output-Calculation-sheet'!M10*'Output-Calculation-sheet'!M109</f>
        <v>0</v>
      </c>
      <c r="N132" s="2">
        <f>N11/'Output-Calculation-sheet'!N10*'Output-Calculation-sheet'!N109</f>
        <v>1884012931.0195346</v>
      </c>
      <c r="O132" s="2">
        <f>O11/'Output-Calculation-sheet'!O10*'Output-Calculation-sheet'!O109</f>
        <v>0</v>
      </c>
      <c r="P132" s="2">
        <f>P11/'Output-Calculation-sheet'!P10*'Output-Calculation-sheet'!P109</f>
        <v>5642937715.9016056</v>
      </c>
      <c r="Q132" s="2">
        <f>Q11/'Output-Calculation-sheet'!Q10*'Output-Calculation-sheet'!Q109</f>
        <v>4722121354.6709528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1424059577.5789673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637504162.34312999</v>
      </c>
      <c r="AA132" s="2">
        <f t="shared" si="11"/>
        <v>164059.47409269796</v>
      </c>
    </row>
    <row r="133" spans="1:27" x14ac:dyDescent="0.25">
      <c r="A133" s="2">
        <v>2035</v>
      </c>
      <c r="B133" s="2">
        <f>B12/'Output-Calculation-sheet'!B11*'Output-Calculation-sheet'!B110</f>
        <v>27408880571.525517</v>
      </c>
      <c r="C133" s="2">
        <f>C12/'Output-Calculation-sheet'!C11*'Output-Calculation-sheet'!C110</f>
        <v>0</v>
      </c>
      <c r="D133" s="2">
        <f>D12/'Output-Calculation-sheet'!D11*'Output-Calculation-sheet'!D110</f>
        <v>20585028198.969749</v>
      </c>
      <c r="E133" s="2">
        <f>E12/'Output-Calculation-sheet'!E11*'Output-Calculation-sheet'!E110</f>
        <v>15598754831.097961</v>
      </c>
      <c r="F133" s="2">
        <f>F12/'Output-Calculation-sheet'!F11*'Output-Calculation-sheet'!F110</f>
        <v>11100905960.239157</v>
      </c>
      <c r="G133" s="2">
        <f>G12/'Output-Calculation-sheet'!G11*'Output-Calculation-sheet'!G110</f>
        <v>7694217787.8167448</v>
      </c>
      <c r="H133" s="2">
        <f>H12/'Output-Calculation-sheet'!H11*'Output-Calculation-sheet'!H110</f>
        <v>0</v>
      </c>
      <c r="I133" s="2">
        <f>I12/'Output-Calculation-sheet'!I11*'Output-Calculation-sheet'!I110</f>
        <v>6945360079.2157946</v>
      </c>
      <c r="J133" s="2">
        <f>J12/'Output-Calculation-sheet'!J11*'Output-Calculation-sheet'!J110</f>
        <v>6689803644.3168726</v>
      </c>
      <c r="K133" s="2">
        <f>K12/'Output-Calculation-sheet'!K11*'Output-Calculation-sheet'!K110</f>
        <v>6617383504.2370815</v>
      </c>
      <c r="L133" s="2">
        <f>L12/'Output-Calculation-sheet'!L11*'Output-Calculation-sheet'!L110</f>
        <v>4865742306.5096474</v>
      </c>
      <c r="M133" s="2">
        <f>M12/'Output-Calculation-sheet'!M11*'Output-Calculation-sheet'!M110</f>
        <v>0</v>
      </c>
      <c r="N133" s="2">
        <f>N12/'Output-Calculation-sheet'!N11*'Output-Calculation-sheet'!N110</f>
        <v>1490460591.2032936</v>
      </c>
      <c r="O133" s="2">
        <f>O12/'Output-Calculation-sheet'!O11*'Output-Calculation-sheet'!O110</f>
        <v>0</v>
      </c>
      <c r="P133" s="2">
        <f>P12/'Output-Calculation-sheet'!P11*'Output-Calculation-sheet'!P110</f>
        <v>4571830673.2893944</v>
      </c>
      <c r="Q133" s="2">
        <f>Q12/'Output-Calculation-sheet'!Q11*'Output-Calculation-sheet'!Q110</f>
        <v>3647851641.511375</v>
      </c>
      <c r="R133" s="2">
        <f>R12/'Output-Calculation-sheet'!R11*'Output-Calculation-sheet'!R110</f>
        <v>4401575332.5006075</v>
      </c>
      <c r="S133" s="2">
        <f>S12/'Output-Calculation-sheet'!S11*'Output-Calculation-sheet'!S110</f>
        <v>1039620812.9002594</v>
      </c>
      <c r="T133" s="2">
        <f>T12/'Output-Calculation-sheet'!T11*'Output-Calculation-sheet'!T110</f>
        <v>1652831320.0365353</v>
      </c>
      <c r="U133" s="2">
        <f>U12/'Output-Calculation-sheet'!U11*'Output-Calculation-sheet'!U110</f>
        <v>1341856618.4797611</v>
      </c>
      <c r="V133" s="2">
        <f>V12/'Output-Calculation-sheet'!V11*'Output-Calculation-sheet'!V110</f>
        <v>1112734999.3654463</v>
      </c>
      <c r="W133" s="2">
        <f>W12/'Output-Calculation-sheet'!W11*'Output-Calculation-sheet'!W110</f>
        <v>977065394.23418927</v>
      </c>
      <c r="X133" s="2">
        <f>X12/'Output-Calculation-sheet'!X11*'Output-Calculation-sheet'!X110</f>
        <v>531965.0479960423</v>
      </c>
      <c r="Y133" s="2">
        <f>Y12/'Output-Calculation-sheet'!Y11*'Output-Calculation-sheet'!Y110</f>
        <v>465089381.35909623</v>
      </c>
      <c r="AA133" s="2">
        <f t="shared" si="11"/>
        <v>128207.52561385646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10874155331.210342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2153698748.9162397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252778655.1954045</v>
      </c>
      <c r="Y140" s="2">
        <f>Y8/'Output-Calculation-sheet'!Y7*'Output-Calculation-sheet'!Y115</f>
        <v>0</v>
      </c>
      <c r="AA140" s="2">
        <f t="shared" si="12"/>
        <v>13280.632735321988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19198468473.553684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312100333.52772862</v>
      </c>
      <c r="Y141" s="2">
        <f>Y9/'Output-Calculation-sheet'!Y8*'Output-Calculation-sheet'!Y116</f>
        <v>0</v>
      </c>
      <c r="AA141" s="2">
        <f t="shared" si="12"/>
        <v>19510.568807081414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22624499695.926685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283228662.20309442</v>
      </c>
      <c r="Y142" s="2">
        <f>Y10/'Output-Calculation-sheet'!Y9*'Output-Calculation-sheet'!Y117</f>
        <v>0</v>
      </c>
      <c r="AA142" s="2">
        <f t="shared" si="12"/>
        <v>22907.728358129782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23270881071.320244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23652.323847114203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25363668629.283722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529750960.37369353</v>
      </c>
      <c r="Y144" s="2">
        <f>Y12/'Output-Calculation-sheet'!Y11*'Output-Calculation-sheet'!Y119</f>
        <v>0</v>
      </c>
      <c r="AA144" s="2">
        <f t="shared" si="12"/>
        <v>25893.419589657417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46267723022.177223</v>
      </c>
      <c r="C151" s="2">
        <f>C8/'Output-Calculation-sheet'!C7*'Output-Calculation-sheet'!C124</f>
        <v>21803717989.962929</v>
      </c>
      <c r="D151" s="2">
        <f>D8/'Output-Calculation-sheet'!D7*'Output-Calculation-sheet'!D124</f>
        <v>19432915707.084209</v>
      </c>
      <c r="E151" s="2">
        <f>E8/'Output-Calculation-sheet'!E7*'Output-Calculation-sheet'!E124</f>
        <v>15418064671.547695</v>
      </c>
      <c r="F151" s="2">
        <f>F8/'Output-Calculation-sheet'!F7*'Output-Calculation-sheet'!F124</f>
        <v>9925157972.6457253</v>
      </c>
      <c r="G151" s="2">
        <f>G8/'Output-Calculation-sheet'!G7*'Output-Calculation-sheet'!G124</f>
        <v>6973704499.3342972</v>
      </c>
      <c r="H151" s="2">
        <f>H8/'Output-Calculation-sheet'!H7*'Output-Calculation-sheet'!H124</f>
        <v>6802588922.6920319</v>
      </c>
      <c r="I151" s="2">
        <f>I8/'Output-Calculation-sheet'!I7*'Output-Calculation-sheet'!I124</f>
        <v>6353578982.1252632</v>
      </c>
      <c r="J151" s="2">
        <f>J8/'Output-Calculation-sheet'!J7*'Output-Calculation-sheet'!J124</f>
        <v>6184116610.6180649</v>
      </c>
      <c r="K151" s="2">
        <f>K8/'Output-Calculation-sheet'!K7*'Output-Calculation-sheet'!K124</f>
        <v>6124839115.4328365</v>
      </c>
      <c r="L151" s="2">
        <f>L8/'Output-Calculation-sheet'!L7*'Output-Calculation-sheet'!L124</f>
        <v>4913437205.4913778</v>
      </c>
      <c r="M151" s="2">
        <f>M8/'Output-Calculation-sheet'!M7*'Output-Calculation-sheet'!M124</f>
        <v>4693189697.5373812</v>
      </c>
      <c r="N151" s="2">
        <f>N8/'Output-Calculation-sheet'!N7*'Output-Calculation-sheet'!N124</f>
        <v>4606344108.486043</v>
      </c>
      <c r="O151" s="2">
        <f>O8/'Output-Calculation-sheet'!O7*'Output-Calculation-sheet'!O124</f>
        <v>4514977972.3250999</v>
      </c>
      <c r="P151" s="2">
        <f>P8/'Output-Calculation-sheet'!P7*'Output-Calculation-sheet'!P124</f>
        <v>4193386737.4377003</v>
      </c>
      <c r="Q151" s="2">
        <f>Q8/'Output-Calculation-sheet'!Q7*'Output-Calculation-sheet'!Q124</f>
        <v>4125607149.8971605</v>
      </c>
      <c r="R151" s="2">
        <f>R8/'Output-Calculation-sheet'!R7*'Output-Calculation-sheet'!R124</f>
        <v>3969031895.3064675</v>
      </c>
      <c r="S151" s="2">
        <f>S8/'Output-Calculation-sheet'!S7*'Output-Calculation-sheet'!S124</f>
        <v>2638015691.2095718</v>
      </c>
      <c r="T151" s="2">
        <f>T8/'Output-Calculation-sheet'!T7*'Output-Calculation-sheet'!T124</f>
        <v>1458971996.9989119</v>
      </c>
      <c r="U151" s="2">
        <f>U8/'Output-Calculation-sheet'!U7*'Output-Calculation-sheet'!U124</f>
        <v>1270717008.4428146</v>
      </c>
      <c r="V151" s="2">
        <f>V8/'Output-Calculation-sheet'!V7*'Output-Calculation-sheet'!V124</f>
        <v>978473277.57932818</v>
      </c>
      <c r="W151" s="2">
        <f>W8/'Output-Calculation-sheet'!W7*'Output-Calculation-sheet'!W124</f>
        <v>847147670.17060435</v>
      </c>
      <c r="X151" s="2">
        <f>X8/'Output-Calculation-sheet'!X7*'Output-Calculation-sheet'!X124</f>
        <v>508285907.33235371</v>
      </c>
      <c r="Y151" s="2">
        <f>Y8/'Output-Calculation-sheet'!Y7*'Output-Calculation-sheet'!Y124</f>
        <v>494303259.35879576</v>
      </c>
      <c r="AA151" s="2">
        <f t="shared" si="13"/>
        <v>184498.29707119384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16322390720.96295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5928603297.0541811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140665.16642577134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5345365363.797122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87654.212014731107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1593179734.2380037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966636917.24089885</v>
      </c>
      <c r="N154" s="2">
        <f>N11/'Output-Calculation-sheet'!N10*'Output-Calculation-sheet'!N127</f>
        <v>958219968.84307754</v>
      </c>
      <c r="O154" s="2">
        <f>O11/'Output-Calculation-sheet'!O10*'Output-Calculation-sheet'!O127</f>
        <v>4377481632.7673979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1162735112.3339024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516887476.23252642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39782.354631174407</v>
      </c>
    </row>
    <row r="155" spans="1:27" x14ac:dyDescent="0.25">
      <c r="A155" s="2">
        <v>2035</v>
      </c>
      <c r="B155" s="2">
        <f>B12/'Output-Calculation-sheet'!B11*'Output-Calculation-sheet'!B128</f>
        <v>4656575913.1046438</v>
      </c>
      <c r="C155" s="2">
        <f>C12/'Output-Calculation-sheet'!C11*'Output-Calculation-sheet'!C128</f>
        <v>34088032.767326191</v>
      </c>
      <c r="D155" s="2">
        <f>D12/'Output-Calculation-sheet'!D11*'Output-Calculation-sheet'!D128</f>
        <v>2771204372.7668886</v>
      </c>
      <c r="E155" s="2">
        <f>E12/'Output-Calculation-sheet'!E11*'Output-Calculation-sheet'!E128</f>
        <v>1257363370.3547623</v>
      </c>
      <c r="F155" s="2">
        <f>F12/'Output-Calculation-sheet'!F11*'Output-Calculation-sheet'!F128</f>
        <v>798260794.89197588</v>
      </c>
      <c r="G155" s="2">
        <f>G12/'Output-Calculation-sheet'!G11*'Output-Calculation-sheet'!G128</f>
        <v>713725740.55594754</v>
      </c>
      <c r="H155" s="2">
        <f>H12/'Output-Calculation-sheet'!H11*'Output-Calculation-sheet'!H128</f>
        <v>1139008309.3835073</v>
      </c>
      <c r="I155" s="2">
        <f>I12/'Output-Calculation-sheet'!I11*'Output-Calculation-sheet'!I128</f>
        <v>711877824.01122439</v>
      </c>
      <c r="J155" s="2">
        <f>J12/'Output-Calculation-sheet'!J11*'Output-Calculation-sheet'!J128</f>
        <v>680492934.80106926</v>
      </c>
      <c r="K155" s="2">
        <f>K12/'Output-Calculation-sheet'!K11*'Output-Calculation-sheet'!K128</f>
        <v>773765806.98403978</v>
      </c>
      <c r="L155" s="2">
        <f>L12/'Output-Calculation-sheet'!L11*'Output-Calculation-sheet'!L128</f>
        <v>561610999.75738549</v>
      </c>
      <c r="M155" s="2">
        <f>M12/'Output-Calculation-sheet'!M11*'Output-Calculation-sheet'!M128</f>
        <v>693609978.62260878</v>
      </c>
      <c r="N155" s="2">
        <f>N12/'Output-Calculation-sheet'!N11*'Output-Calculation-sheet'!N128</f>
        <v>675382964.92041337</v>
      </c>
      <c r="O155" s="2">
        <f>O12/'Output-Calculation-sheet'!O11*'Output-Calculation-sheet'!O128</f>
        <v>3148898046.7711687</v>
      </c>
      <c r="P155" s="2">
        <f>P12/'Output-Calculation-sheet'!P11*'Output-Calculation-sheet'!P128</f>
        <v>372841587.40162027</v>
      </c>
      <c r="Q155" s="2">
        <f>Q12/'Output-Calculation-sheet'!Q11*'Output-Calculation-sheet'!Q128</f>
        <v>833922394.63671017</v>
      </c>
      <c r="R155" s="2">
        <f>R12/'Output-Calculation-sheet'!R11*'Output-Calculation-sheet'!R128</f>
        <v>359696372.13829821</v>
      </c>
      <c r="S155" s="2">
        <f>S12/'Output-Calculation-sheet'!S11*'Output-Calculation-sheet'!S128</f>
        <v>360593012.18449146</v>
      </c>
      <c r="T155" s="2">
        <f>T12/'Output-Calculation-sheet'!T11*'Output-Calculation-sheet'!T128</f>
        <v>86028756.070033789</v>
      </c>
      <c r="U155" s="2">
        <f>U12/'Output-Calculation-sheet'!U11*'Output-Calculation-sheet'!U128</f>
        <v>166477299.53416929</v>
      </c>
      <c r="V155" s="2">
        <f>V12/'Output-Calculation-sheet'!V11*'Output-Calculation-sheet'!V128</f>
        <v>41509246.858856849</v>
      </c>
      <c r="W155" s="2">
        <f>W12/'Output-Calculation-sheet'!W11*'Output-Calculation-sheet'!W128</f>
        <v>38568511.979845531</v>
      </c>
      <c r="X155" s="2">
        <f>X12/'Output-Calculation-sheet'!X11*'Output-Calculation-sheet'!X128</f>
        <v>4745161.8486425737</v>
      </c>
      <c r="Y155" s="2">
        <f>Y12/'Output-Calculation-sheet'!Y11*'Output-Calculation-sheet'!Y128</f>
        <v>41487253.995723844</v>
      </c>
      <c r="AA155" s="2">
        <f t="shared" si="13"/>
        <v>20921.734686341355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1047.1308223950675</v>
      </c>
      <c r="C19" s="2">
        <f>C8/'Output-Calculation-sheet'!C7*'Output-Calculation-sheet'!C25</f>
        <v>7466.1070850531851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4704.7288730075461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3265.7360375133826</v>
      </c>
      <c r="N19" s="2">
        <f>N8/'Output-Calculation-sheet'!N7*'Output-Calculation-sheet'!N25</f>
        <v>1116.6494543739661</v>
      </c>
      <c r="O19" s="2">
        <f>O8/'Output-Calculation-sheet'!O7*'Output-Calculation-sheet'!O25</f>
        <v>1218.1091649036105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398.82285602454783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172.40985438496844</v>
      </c>
      <c r="Y19" s="2">
        <f>Y8/'Output-Calculation-sheet'!Y7*'Output-Calculation-sheet'!Y25</f>
        <v>0</v>
      </c>
      <c r="AA19" s="2">
        <f t="shared" si="0"/>
        <v>19.389694147656272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5430.1725906095553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6120.7583024863916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4253.0694031347775</v>
      </c>
      <c r="N20" s="2">
        <f>N9/'Output-Calculation-sheet'!N8*'Output-Calculation-sheet'!N26</f>
        <v>1916.0825057260854</v>
      </c>
      <c r="O20" s="2">
        <f>O9/'Output-Calculation-sheet'!O8*'Output-Calculation-sheet'!O26</f>
        <v>2021.6720445283877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696.45899906523903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227.27816640705311</v>
      </c>
      <c r="Y20" s="2">
        <f>Y9/'Output-Calculation-sheet'!Y8*'Output-Calculation-sheet'!Y26</f>
        <v>0</v>
      </c>
      <c r="AA20" s="2">
        <f t="shared" si="0"/>
        <v>26.291223955394635</v>
      </c>
    </row>
    <row r="21" spans="1:27" x14ac:dyDescent="0.25">
      <c r="A21" s="2">
        <v>2033</v>
      </c>
      <c r="B21" s="2">
        <f>B10/'Output-Calculation-sheet'!B9*'Output-Calculation-sheet'!B27</f>
        <v>12358.216892970768</v>
      </c>
      <c r="C21" s="2">
        <f>C10/'Output-Calculation-sheet'!C9*'Output-Calculation-sheet'!C27</f>
        <v>5125.395864220387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7164.8545006159575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4977.4642976380919</v>
      </c>
      <c r="N21" s="2">
        <f>N10/'Output-Calculation-sheet'!N9*'Output-Calculation-sheet'!N27</f>
        <v>2715.3149429994401</v>
      </c>
      <c r="O21" s="2">
        <f>O10/'Output-Calculation-sheet'!O9*'Output-Calculation-sheet'!O27</f>
        <v>2127.5982177966293</v>
      </c>
      <c r="P21" s="2">
        <f>P10/'Output-Calculation-sheet'!P9*'Output-Calculation-sheet'!P27</f>
        <v>0</v>
      </c>
      <c r="Q21" s="2">
        <f>Q10/'Output-Calculation-sheet'!Q9*'Output-Calculation-sheet'!Q27</f>
        <v>185.30103907499688</v>
      </c>
      <c r="R21" s="2">
        <f>R10/'Output-Calculation-sheet'!R9*'Output-Calculation-sheet'!R27</f>
        <v>0</v>
      </c>
      <c r="S21" s="2">
        <f>S10/'Output-Calculation-sheet'!S9*'Output-Calculation-sheet'!S27</f>
        <v>1183.6869556242209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315.46039339767304</v>
      </c>
      <c r="Y21" s="2">
        <f>Y10/'Output-Calculation-sheet'!Y9*'Output-Calculation-sheet'!Y27</f>
        <v>0</v>
      </c>
      <c r="AA21" s="2">
        <f t="shared" si="0"/>
        <v>36.153293104338175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4578.5467584080034</v>
      </c>
      <c r="D22" s="2">
        <f>D11/'Output-Calculation-sheet'!D10*'Output-Calculation-sheet'!D28</f>
        <v>0</v>
      </c>
      <c r="E22" s="2">
        <f>E11/'Output-Calculation-sheet'!E10*'Output-Calculation-sheet'!E28</f>
        <v>1092.5215705930277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7959.1534479152515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655.04062135748643</v>
      </c>
      <c r="M22" s="2">
        <f>M11/'Output-Calculation-sheet'!M10*'Output-Calculation-sheet'!M28</f>
        <v>5787.2510791460563</v>
      </c>
      <c r="N22" s="2">
        <f>N11/'Output-Calculation-sheet'!N10*'Output-Calculation-sheet'!N28</f>
        <v>3333.3954608238328</v>
      </c>
      <c r="O22" s="2">
        <f>O11/'Output-Calculation-sheet'!O10*'Output-Calculation-sheet'!O28</f>
        <v>2117.4650371890293</v>
      </c>
      <c r="P22" s="2">
        <f>P11/'Output-Calculation-sheet'!P10*'Output-Calculation-sheet'!P28</f>
        <v>0</v>
      </c>
      <c r="Q22" s="2">
        <f>Q11/'Output-Calculation-sheet'!Q10*'Output-Calculation-sheet'!Q28</f>
        <v>777.69077897708576</v>
      </c>
      <c r="R22" s="2">
        <f>R11/'Output-Calculation-sheet'!R10*'Output-Calculation-sheet'!R28</f>
        <v>0</v>
      </c>
      <c r="S22" s="2">
        <f>S11/'Output-Calculation-sheet'!S10*'Output-Calculation-sheet'!S28</f>
        <v>1729.5521672395137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59.651081121164822</v>
      </c>
      <c r="AA22" s="2">
        <f t="shared" si="0"/>
        <v>49.843187151894163</v>
      </c>
    </row>
    <row r="23" spans="1:27" x14ac:dyDescent="0.25">
      <c r="A23" s="2">
        <v>2035</v>
      </c>
      <c r="B23" s="2">
        <f>B12/'Output-Calculation-sheet'!B11*'Output-Calculation-sheet'!B29</f>
        <v>22543.378442904221</v>
      </c>
      <c r="C23" s="2">
        <f>C12/'Output-Calculation-sheet'!C11*'Output-Calculation-sheet'!C29</f>
        <v>116.66983950296608</v>
      </c>
      <c r="D23" s="2">
        <f>D12/'Output-Calculation-sheet'!D11*'Output-Calculation-sheet'!D29</f>
        <v>0</v>
      </c>
      <c r="E23" s="2">
        <f>E12/'Output-Calculation-sheet'!E11*'Output-Calculation-sheet'!E29</f>
        <v>3428.497935397922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6968.0752114229426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771.58491048042731</v>
      </c>
      <c r="M23" s="2">
        <f>M12/'Output-Calculation-sheet'!M11*'Output-Calculation-sheet'!M29</f>
        <v>5075.5800332378894</v>
      </c>
      <c r="N23" s="2">
        <f>N12/'Output-Calculation-sheet'!N11*'Output-Calculation-sheet'!N29</f>
        <v>2947.1473720679742</v>
      </c>
      <c r="O23" s="2">
        <f>O12/'Output-Calculation-sheet'!O11*'Output-Calculation-sheet'!O29</f>
        <v>2031.0675269605772</v>
      </c>
      <c r="P23" s="2">
        <f>P12/'Output-Calculation-sheet'!P11*'Output-Calculation-sheet'!P29</f>
        <v>354.53061782557575</v>
      </c>
      <c r="Q23" s="2">
        <f>Q12/'Output-Calculation-sheet'!Q11*'Output-Calculation-sheet'!Q29</f>
        <v>789.83747970963339</v>
      </c>
      <c r="R23" s="2">
        <f>R12/'Output-Calculation-sheet'!R11*'Output-Calculation-sheet'!R29</f>
        <v>0</v>
      </c>
      <c r="S23" s="2">
        <f>S12/'Output-Calculation-sheet'!S11*'Output-Calculation-sheet'!S29</f>
        <v>1600.9451994269596</v>
      </c>
      <c r="T23" s="2">
        <f>T12/'Output-Calculation-sheet'!T11*'Output-Calculation-sheet'!T29</f>
        <v>0</v>
      </c>
      <c r="U23" s="2">
        <f>U12/'Output-Calculation-sheet'!U11*'Output-Calculation-sheet'!U29</f>
        <v>70.49088774428985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52.2969515148922</v>
      </c>
      <c r="Y23" s="2">
        <f>Y12/'Output-Calculation-sheet'!Y11*'Output-Calculation-sheet'!Y29</f>
        <v>150.61382142059654</v>
      </c>
      <c r="AA23" s="2">
        <f t="shared" si="0"/>
        <v>46.900716229616869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18252.537172091292</v>
      </c>
      <c r="C30" s="2">
        <f>C8/'Output-Calculation-sheet'!C7*'Output-Calculation-sheet'!C16</f>
        <v>0</v>
      </c>
      <c r="D30" s="2">
        <f>D8/'Output-Calculation-sheet'!D7*'Output-Calculation-sheet'!D16</f>
        <v>3073.4630556136631</v>
      </c>
      <c r="E30" s="2">
        <f>E8/'Output-Calculation-sheet'!E7*'Output-Calculation-sheet'!E16</f>
        <v>3306.8768527477569</v>
      </c>
      <c r="F30" s="2">
        <f>F8/'Output-Calculation-sheet'!F7*'Output-Calculation-sheet'!F16</f>
        <v>1668.3642319076816</v>
      </c>
      <c r="G30" s="2">
        <f>G8/'Output-Calculation-sheet'!G7*'Output-Calculation-sheet'!G16</f>
        <v>1092.5658872204217</v>
      </c>
      <c r="H30" s="2">
        <f>H8/'Output-Calculation-sheet'!H7*'Output-Calculation-sheet'!H16</f>
        <v>0</v>
      </c>
      <c r="I30" s="2">
        <f>I8/'Output-Calculation-sheet'!I7*'Output-Calculation-sheet'!I16</f>
        <v>1065.1011625580174</v>
      </c>
      <c r="J30" s="2">
        <f>J8/'Output-Calculation-sheet'!J7*'Output-Calculation-sheet'!J16</f>
        <v>948.1317825508736</v>
      </c>
      <c r="K30" s="2">
        <f>K8/'Output-Calculation-sheet'!K7*'Output-Calculation-sheet'!K16</f>
        <v>1265.9382521245877</v>
      </c>
      <c r="L30" s="2">
        <f>L8/'Output-Calculation-sheet'!L7*'Output-Calculation-sheet'!L16</f>
        <v>1069.3070149828529</v>
      </c>
      <c r="M30" s="2">
        <f>M8/'Output-Calculation-sheet'!M7*'Output-Calculation-sheet'!M16</f>
        <v>0</v>
      </c>
      <c r="N30" s="2">
        <f>N8/'Output-Calculation-sheet'!N7*'Output-Calculation-sheet'!N16</f>
        <v>1519.9981676090329</v>
      </c>
      <c r="O30" s="2">
        <f>O8/'Output-Calculation-sheet'!O7*'Output-Calculation-sheet'!O16</f>
        <v>0</v>
      </c>
      <c r="P30" s="2">
        <f>P8/'Output-Calculation-sheet'!P7*'Output-Calculation-sheet'!P16</f>
        <v>1365.1087468883052</v>
      </c>
      <c r="Q30" s="2">
        <f>Q8/'Output-Calculation-sheet'!Q7*'Output-Calculation-sheet'!Q16</f>
        <v>1501.1757573126024</v>
      </c>
      <c r="R30" s="2">
        <f>R8/'Output-Calculation-sheet'!R7*'Output-Calculation-sheet'!R16</f>
        <v>952.50138227737534</v>
      </c>
      <c r="S30" s="2">
        <f>S8/'Output-Calculation-sheet'!S7*'Output-Calculation-sheet'!S16</f>
        <v>957.93849564154266</v>
      </c>
      <c r="T30" s="2">
        <f>T8/'Output-Calculation-sheet'!T7*'Output-Calculation-sheet'!T16</f>
        <v>285.9254457392388</v>
      </c>
      <c r="U30" s="2">
        <f>U8/'Output-Calculation-sheet'!U7*'Output-Calculation-sheet'!U16</f>
        <v>285.41566604828199</v>
      </c>
      <c r="V30" s="2">
        <f>V8/'Output-Calculation-sheet'!V7*'Output-Calculation-sheet'!V16</f>
        <v>222.13262288420447</v>
      </c>
      <c r="W30" s="2">
        <f>W8/'Output-Calculation-sheet'!W7*'Output-Calculation-sheet'!W16</f>
        <v>134.73630405175521</v>
      </c>
      <c r="X30" s="2">
        <f>X8/'Output-Calculation-sheet'!X7*'Output-Calculation-sheet'!X16</f>
        <v>0</v>
      </c>
      <c r="Y30" s="2">
        <f>Y8/'Output-Calculation-sheet'!Y7*'Output-Calculation-sheet'!Y16</f>
        <v>114.03692714887327</v>
      </c>
      <c r="AA30" s="2">
        <f t="shared" si="1"/>
        <v>39.081254927398362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1631.5169380784571</v>
      </c>
      <c r="O31" s="2">
        <f>O9/'Output-Calculation-sheet'!O8*'Output-Calculation-sheet'!O17</f>
        <v>0</v>
      </c>
      <c r="P31" s="2">
        <f>P9/'Output-Calculation-sheet'!P8*'Output-Calculation-sheet'!P17</f>
        <v>2019.8793202191821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1213.216637586243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51.874486226983002</v>
      </c>
    </row>
    <row r="32" spans="1:27" x14ac:dyDescent="0.25">
      <c r="A32" s="2">
        <v>2033</v>
      </c>
      <c r="B32" s="2">
        <f>B10/'Output-Calculation-sheet'!B9*'Output-Calculation-sheet'!B18</f>
        <v>25163.073843989827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2396.6646656662897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1541.38498541068</v>
      </c>
      <c r="O32" s="2">
        <f>O10/'Output-Calculation-sheet'!O9*'Output-Calculation-sheet'!O18</f>
        <v>0</v>
      </c>
      <c r="P32" s="2">
        <f>P10/'Output-Calculation-sheet'!P9*'Output-Calculation-sheet'!P18</f>
        <v>2466.7046129857922</v>
      </c>
      <c r="Q32" s="2">
        <f>Q10/'Output-Calculation-sheet'!Q9*'Output-Calculation-sheet'!Q18</f>
        <v>2686.3311019277417</v>
      </c>
      <c r="R32" s="2">
        <f>R10/'Output-Calculation-sheet'!R9*'Output-Calculation-sheet'!R18</f>
        <v>1771.3407511479172</v>
      </c>
      <c r="S32" s="2">
        <f>S10/'Output-Calculation-sheet'!S9*'Output-Calculation-sheet'!S18</f>
        <v>1160.0284131166925</v>
      </c>
      <c r="T32" s="2">
        <f>T10/'Output-Calculation-sheet'!T9*'Output-Calculation-sheet'!T18</f>
        <v>517.17503223621975</v>
      </c>
      <c r="U32" s="2">
        <f>U10/'Output-Calculation-sheet'!U9*'Output-Calculation-sheet'!U18</f>
        <v>571.73746982625107</v>
      </c>
      <c r="V32" s="2">
        <f>V10/'Output-Calculation-sheet'!V9*'Output-Calculation-sheet'!V18</f>
        <v>422.00064069510438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244.31680229752493</v>
      </c>
      <c r="AA32" s="2">
        <f t="shared" si="1"/>
        <v>60.442901613208022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6485.4065726960671</v>
      </c>
      <c r="E33" s="2">
        <f>E11/'Output-Calculation-sheet'!E10*'Output-Calculation-sheet'!E19</f>
        <v>8031.1162546051737</v>
      </c>
      <c r="F33" s="2">
        <f>F11/'Output-Calculation-sheet'!F10*'Output-Calculation-sheet'!F19</f>
        <v>3681.0770316999469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2409.1020908741662</v>
      </c>
      <c r="J33" s="2">
        <f>J11/'Output-Calculation-sheet'!J10*'Output-Calculation-sheet'!J19</f>
        <v>2036.8473170266316</v>
      </c>
      <c r="K33" s="2">
        <f>K11/'Output-Calculation-sheet'!K10*'Output-Calculation-sheet'!K19</f>
        <v>2825.2394896735291</v>
      </c>
      <c r="L33" s="2">
        <f>L11/'Output-Calculation-sheet'!L10*'Output-Calculation-sheet'!L19</f>
        <v>2298.5115077596793</v>
      </c>
      <c r="M33" s="2">
        <f>M11/'Output-Calculation-sheet'!M10*'Output-Calculation-sheet'!M19</f>
        <v>0</v>
      </c>
      <c r="N33" s="2">
        <f>N11/'Output-Calculation-sheet'!N10*'Output-Calculation-sheet'!N19</f>
        <v>1306.9750030798025</v>
      </c>
      <c r="O33" s="2">
        <f>O11/'Output-Calculation-sheet'!O10*'Output-Calculation-sheet'!O19</f>
        <v>0</v>
      </c>
      <c r="P33" s="2">
        <f>P11/'Output-Calculation-sheet'!P10*'Output-Calculation-sheet'!P19</f>
        <v>2857.8950868962029</v>
      </c>
      <c r="Q33" s="2">
        <f>Q11/'Output-Calculation-sheet'!Q10*'Output-Calculation-sheet'!Q19</f>
        <v>2335.0912947376883</v>
      </c>
      <c r="R33" s="2">
        <f>R11/'Output-Calculation-sheet'!R10*'Output-Calculation-sheet'!R19</f>
        <v>2040.8348894207998</v>
      </c>
      <c r="S33" s="2">
        <f>S11/'Output-Calculation-sheet'!S10*'Output-Calculation-sheet'!S19</f>
        <v>950.71877576530551</v>
      </c>
      <c r="T33" s="2">
        <f>T11/'Output-Calculation-sheet'!T10*'Output-Calculation-sheet'!T19</f>
        <v>598.82081347461337</v>
      </c>
      <c r="U33" s="2">
        <f>U11/'Output-Calculation-sheet'!U10*'Output-Calculation-sheet'!U19</f>
        <v>688.76490224659165</v>
      </c>
      <c r="V33" s="2">
        <f>V11/'Output-Calculation-sheet'!V10*'Output-Calculation-sheet'!V19</f>
        <v>469.69887937076396</v>
      </c>
      <c r="W33" s="2">
        <f>W11/'Output-Calculation-sheet'!W10*'Output-Calculation-sheet'!W19</f>
        <v>292.42839759733022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63.519840034679326</v>
      </c>
    </row>
    <row r="34" spans="1:27" x14ac:dyDescent="0.25">
      <c r="A34" s="2">
        <v>2035</v>
      </c>
      <c r="B34" s="2">
        <f>B12/'Output-Calculation-sheet'!B11*'Output-Calculation-sheet'!B20</f>
        <v>17752.952604318096</v>
      </c>
      <c r="C34" s="2">
        <f>C12/'Output-Calculation-sheet'!C11*'Output-Calculation-sheet'!C20</f>
        <v>0</v>
      </c>
      <c r="D34" s="2">
        <f>D12/'Output-Calculation-sheet'!D11*'Output-Calculation-sheet'!D20</f>
        <v>5559.4438509343536</v>
      </c>
      <c r="E34" s="2">
        <f>E12/'Output-Calculation-sheet'!E11*'Output-Calculation-sheet'!E20</f>
        <v>6125.3804255740697</v>
      </c>
      <c r="F34" s="2">
        <f>F12/'Output-Calculation-sheet'!F11*'Output-Calculation-sheet'!F20</f>
        <v>3791.1455308639956</v>
      </c>
      <c r="G34" s="2">
        <f>G12/'Output-Calculation-sheet'!G11*'Output-Calculation-sheet'!G20</f>
        <v>2047.6443320325354</v>
      </c>
      <c r="H34" s="2">
        <f>H12/'Output-Calculation-sheet'!H11*'Output-Calculation-sheet'!H20</f>
        <v>0</v>
      </c>
      <c r="I34" s="2">
        <f>I12/'Output-Calculation-sheet'!I11*'Output-Calculation-sheet'!I20</f>
        <v>2230.293650566718</v>
      </c>
      <c r="J34" s="2">
        <f>J12/'Output-Calculation-sheet'!J11*'Output-Calculation-sheet'!J20</f>
        <v>1911.2138262619394</v>
      </c>
      <c r="K34" s="2">
        <f>K12/'Output-Calculation-sheet'!K11*'Output-Calculation-sheet'!K20</f>
        <v>2512.0980209685617</v>
      </c>
      <c r="L34" s="2">
        <f>L12/'Output-Calculation-sheet'!L11*'Output-Calculation-sheet'!L20</f>
        <v>1988.9994789737591</v>
      </c>
      <c r="M34" s="2">
        <f>M12/'Output-Calculation-sheet'!M11*'Output-Calculation-sheet'!M20</f>
        <v>0</v>
      </c>
      <c r="N34" s="2">
        <f>N12/'Output-Calculation-sheet'!N11*'Output-Calculation-sheet'!N20</f>
        <v>1108.486200565927</v>
      </c>
      <c r="O34" s="2">
        <f>O12/'Output-Calculation-sheet'!O11*'Output-Calculation-sheet'!O20</f>
        <v>0</v>
      </c>
      <c r="P34" s="2">
        <f>P12/'Output-Calculation-sheet'!P11*'Output-Calculation-sheet'!P20</f>
        <v>2480.4824952808831</v>
      </c>
      <c r="Q34" s="2">
        <f>Q12/'Output-Calculation-sheet'!Q11*'Output-Calculation-sheet'!Q20</f>
        <v>1954.7942587861439</v>
      </c>
      <c r="R34" s="2">
        <f>R12/'Output-Calculation-sheet'!R11*'Output-Calculation-sheet'!R20</f>
        <v>1972.6038199744009</v>
      </c>
      <c r="S34" s="2">
        <f>S12/'Output-Calculation-sheet'!S11*'Output-Calculation-sheet'!S20</f>
        <v>761.89855177238633</v>
      </c>
      <c r="T34" s="2">
        <f>T12/'Output-Calculation-sheet'!T11*'Output-Calculation-sheet'!T20</f>
        <v>615.65315141827284</v>
      </c>
      <c r="U34" s="2">
        <f>U12/'Output-Calculation-sheet'!U11*'Output-Calculation-sheet'!U20</f>
        <v>563.5852836480874</v>
      </c>
      <c r="V34" s="2">
        <f>V12/'Output-Calculation-sheet'!V11*'Output-Calculation-sheet'!V20</f>
        <v>516.34670853443527</v>
      </c>
      <c r="W34" s="2">
        <f>W12/'Output-Calculation-sheet'!W11*'Output-Calculation-sheet'!W20</f>
        <v>333.92703876196646</v>
      </c>
      <c r="X34" s="2">
        <f>X12/'Output-Calculation-sheet'!X11*'Output-Calculation-sheet'!X20</f>
        <v>0.78818026683248588</v>
      </c>
      <c r="Y34" s="2">
        <f>Y12/'Output-Calculation-sheet'!Y11*'Output-Calculation-sheet'!Y20</f>
        <v>186.1826825841211</v>
      </c>
      <c r="AA34" s="2">
        <f t="shared" si="1"/>
        <v>54.41392009208748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3.8657698456500786E-2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3.8657698456500786E-2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0.42209961919422018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0.42209961919422018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0.51828220839210248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0.51828220839210248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4.2452108634182112E-2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9.7370607197602831E-3</v>
      </c>
      <c r="N44" s="2">
        <f>N11/'Output-Calculation-sheet'!N10*'Output-Calculation-sheet'!N37*0.0114</f>
        <v>9.569951580320037E-3</v>
      </c>
      <c r="O44" s="2">
        <f>O11/'Output-Calculation-sheet'!O10*'Output-Calculation-sheet'!O37*0.0114</f>
        <v>0.55369171950387053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2.5154228407990798E-2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5.4858266168293542E-3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0.64609089546295306</v>
      </c>
    </row>
    <row r="45" spans="1:27" x14ac:dyDescent="0.25">
      <c r="A45" s="2">
        <v>2035</v>
      </c>
      <c r="B45" s="2">
        <f>B12/'Output-Calculation-sheet'!B11*'Output-Calculation-sheet'!B38*0.0114</f>
        <v>0.41444324288135503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0.13847932835111929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0.16954476394535895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3.3383681720943727E-2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3.5149368594892753E-2</v>
      </c>
      <c r="M45" s="2">
        <f>M12/'Output-Calculation-sheet'!M11*'Output-Calculation-sheet'!M38*0.0114</f>
        <v>9.9997112237112842E-2</v>
      </c>
      <c r="N45" s="2">
        <f>N12/'Output-Calculation-sheet'!N11*'Output-Calculation-sheet'!N38*0.0114</f>
        <v>7.3710708227812949E-2</v>
      </c>
      <c r="O45" s="2">
        <f>O12/'Output-Calculation-sheet'!O11*'Output-Calculation-sheet'!O38*0.0114</f>
        <v>0.51971300679144072</v>
      </c>
      <c r="P45" s="2">
        <f>P12/'Output-Calculation-sheet'!P11*'Output-Calculation-sheet'!P38*0.0114</f>
        <v>4.5397164694647753E-2</v>
      </c>
      <c r="Q45" s="2">
        <f>Q12/'Output-Calculation-sheet'!Q11*'Output-Calculation-sheet'!Q38*0.0114</f>
        <v>6.4581865969244812E-2</v>
      </c>
      <c r="R45" s="2">
        <f>R12/'Output-Calculation-sheet'!R11*'Output-Calculation-sheet'!R38*0.0114</f>
        <v>2.8464485406440008E-2</v>
      </c>
      <c r="S45" s="2">
        <f>S12/'Output-Calculation-sheet'!S11*'Output-Calculation-sheet'!S38*0.0114</f>
        <v>3.2863850891729177E-2</v>
      </c>
      <c r="T45" s="2">
        <f>T12/'Output-Calculation-sheet'!T11*'Output-Calculation-sheet'!T38*0.0114</f>
        <v>7.8980904889854008E-3</v>
      </c>
      <c r="U45" s="2">
        <f>U12/'Output-Calculation-sheet'!U11*'Output-Calculation-sheet'!U38*0.0114</f>
        <v>1.1447499092356867E-2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5.293077416206337E-3</v>
      </c>
      <c r="AA45" s="2">
        <f t="shared" si="2"/>
        <v>2.0688637424234018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2884.4426578318275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6643.9588889275265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4543.9606807625523</v>
      </c>
      <c r="N52" s="2">
        <f>N8/'Output-Calculation-sheet'!N7*'Output-Calculation-sheet'!N43</f>
        <v>143.53626451574812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30.724171484638813</v>
      </c>
      <c r="Y52" s="2">
        <f>Y8/'Output-Calculation-sheet'!Y7*'Output-Calculation-sheet'!Y43</f>
        <v>0</v>
      </c>
      <c r="AA52" s="2">
        <f t="shared" si="3"/>
        <v>14.246622663522292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471.936379716033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12232.573709359294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8377.7921077198062</v>
      </c>
      <c r="N53" s="2">
        <f>N9/'Output-Calculation-sheet'!N8*'Output-Calculation-sheet'!N44</f>
        <v>2970.1388827683927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927.10797545701894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255.70484799762448</v>
      </c>
      <c r="Y53" s="2">
        <f>Y9/'Output-Calculation-sheet'!Y8*'Output-Calculation-sheet'!Y44</f>
        <v>0</v>
      </c>
      <c r="AA53" s="2">
        <f t="shared" si="3"/>
        <v>25.367037261665185</v>
      </c>
    </row>
    <row r="54" spans="1:27" x14ac:dyDescent="0.25">
      <c r="A54" s="2">
        <v>2033</v>
      </c>
      <c r="B54" s="2">
        <f>B10/'Output-Calculation-sheet'!B9*'Output-Calculation-sheet'!B45</f>
        <v>23685.598579274192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17267.431339577768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11835.844977700865</v>
      </c>
      <c r="N54" s="2">
        <f>N10/'Output-Calculation-sheet'!N9*'Output-Calculation-sheet'!N45</f>
        <v>6604.5883393758832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693.42921872206318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664.34206628112418</v>
      </c>
      <c r="Y54" s="2">
        <f>Y10/'Output-Calculation-sheet'!Y9*'Output-Calculation-sheet'!Y45</f>
        <v>14.653778323182371</v>
      </c>
      <c r="AA54" s="2">
        <f t="shared" si="3"/>
        <v>71.443378397982784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18474.114994226093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2676.6207725902841</v>
      </c>
      <c r="L55" s="2">
        <f>L11/'Output-Calculation-sheet'!L10*'Output-Calculation-sheet'!L46</f>
        <v>988.9553661179732</v>
      </c>
      <c r="M55" s="2">
        <f>M11/'Output-Calculation-sheet'!M10*'Output-Calculation-sheet'!M46</f>
        <v>12969.935704347359</v>
      </c>
      <c r="N55" s="2">
        <f>N11/'Output-Calculation-sheet'!N10*'Output-Calculation-sheet'!N46</f>
        <v>9563.2358248250766</v>
      </c>
      <c r="O55" s="2">
        <f>O11/'Output-Calculation-sheet'!O10*'Output-Calculation-sheet'!O46</f>
        <v>213.07887338009729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2163.852046090904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4848.7007886993479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149.12749681655853</v>
      </c>
    </row>
    <row r="56" spans="1:27" x14ac:dyDescent="0.25">
      <c r="A56" s="2">
        <v>2035</v>
      </c>
      <c r="B56" s="2">
        <f>B12/'Output-Calculation-sheet'!B11*'Output-Calculation-sheet'!B47</f>
        <v>67379.74617160557</v>
      </c>
      <c r="C56" s="2">
        <f>C12/'Output-Calculation-sheet'!C11*'Output-Calculation-sheet'!C47</f>
        <v>231.21389158479437</v>
      </c>
      <c r="D56" s="2">
        <f>D12/'Output-Calculation-sheet'!D11*'Output-Calculation-sheet'!D47</f>
        <v>5423.0275024029379</v>
      </c>
      <c r="E56" s="2">
        <f>E12/'Output-Calculation-sheet'!E11*'Output-Calculation-sheet'!E47</f>
        <v>14980.062080929853</v>
      </c>
      <c r="F56" s="2">
        <f>F12/'Output-Calculation-sheet'!F11*'Output-Calculation-sheet'!F47</f>
        <v>1769.3827699067083</v>
      </c>
      <c r="G56" s="2">
        <f>G12/'Output-Calculation-sheet'!G11*'Output-Calculation-sheet'!G47</f>
        <v>4250.4088482867564</v>
      </c>
      <c r="H56" s="2">
        <f>H12/'Output-Calculation-sheet'!H11*'Output-Calculation-sheet'!H47</f>
        <v>16082.319432135268</v>
      </c>
      <c r="I56" s="2">
        <f>I12/'Output-Calculation-sheet'!I11*'Output-Calculation-sheet'!I47</f>
        <v>2114.6721740715957</v>
      </c>
      <c r="J56" s="2">
        <f>J12/'Output-Calculation-sheet'!J11*'Output-Calculation-sheet'!J47</f>
        <v>1941.5246474548851</v>
      </c>
      <c r="K56" s="2">
        <f>K12/'Output-Calculation-sheet'!K11*'Output-Calculation-sheet'!K47</f>
        <v>2763.7494801201856</v>
      </c>
      <c r="L56" s="2">
        <f>L12/'Output-Calculation-sheet'!L11*'Output-Calculation-sheet'!L47</f>
        <v>1516.9727498848451</v>
      </c>
      <c r="M56" s="2">
        <f>M12/'Output-Calculation-sheet'!M11*'Output-Calculation-sheet'!M47</f>
        <v>11172.191984152285</v>
      </c>
      <c r="N56" s="2">
        <f>N12/'Output-Calculation-sheet'!N11*'Output-Calculation-sheet'!N47</f>
        <v>8415.665069986364</v>
      </c>
      <c r="O56" s="2">
        <f>O12/'Output-Calculation-sheet'!O11*'Output-Calculation-sheet'!O47</f>
        <v>827.97415297655994</v>
      </c>
      <c r="P56" s="2">
        <f>P12/'Output-Calculation-sheet'!P11*'Output-Calculation-sheet'!P47</f>
        <v>4434.8516738250919</v>
      </c>
      <c r="Q56" s="2">
        <f>Q12/'Output-Calculation-sheet'!Q11*'Output-Calculation-sheet'!Q47</f>
        <v>2129.4391089079454</v>
      </c>
      <c r="R56" s="2">
        <f>R12/'Output-Calculation-sheet'!R11*'Output-Calculation-sheet'!R47</f>
        <v>3271.5431582270189</v>
      </c>
      <c r="S56" s="2">
        <f>S12/'Output-Calculation-sheet'!S11*'Output-Calculation-sheet'!S47</f>
        <v>4349.3123968364889</v>
      </c>
      <c r="T56" s="2">
        <f>T12/'Output-Calculation-sheet'!T11*'Output-Calculation-sheet'!T47</f>
        <v>1138.7568479879242</v>
      </c>
      <c r="U56" s="2">
        <f>U12/'Output-Calculation-sheet'!U11*'Output-Calculation-sheet'!U47</f>
        <v>1100.3657460881275</v>
      </c>
      <c r="V56" s="2">
        <f>V12/'Output-Calculation-sheet'!V11*'Output-Calculation-sheet'!V47</f>
        <v>768.41548032794708</v>
      </c>
      <c r="W56" s="2">
        <f>W12/'Output-Calculation-sheet'!W11*'Output-Calculation-sheet'!W47</f>
        <v>444.26732630826308</v>
      </c>
      <c r="X56" s="2">
        <f>X12/'Output-Calculation-sheet'!X11*'Output-Calculation-sheet'!X47</f>
        <v>89.571406862538069</v>
      </c>
      <c r="Y56" s="2">
        <f>Y12/'Output-Calculation-sheet'!Y11*'Output-Calculation-sheet'!Y47</f>
        <v>590.36385392161026</v>
      </c>
      <c r="AA56" s="2">
        <f t="shared" si="3"/>
        <v>157.18579795479155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6.9389804451185242</v>
      </c>
      <c r="C63" s="2">
        <f>C8*'Output-Calculation-sheet'!C52/10^9</f>
        <v>3.7715077959321519</v>
      </c>
      <c r="D63" s="2">
        <f>D8*'Output-Calculation-sheet'!D52/10^9</f>
        <v>1.6246973925881687</v>
      </c>
      <c r="E63" s="2">
        <f>E8*'Output-Calculation-sheet'!E52/10^9</f>
        <v>1.8587254324032094</v>
      </c>
      <c r="F63" s="2">
        <f>F8*'Output-Calculation-sheet'!F52/10^9</f>
        <v>0.86883473098710073</v>
      </c>
      <c r="G63" s="2">
        <f>G8*'Output-Calculation-sheet'!G52/10^9</f>
        <v>0.66271731519244303</v>
      </c>
      <c r="H63" s="2">
        <f>H8*'Output-Calculation-sheet'!H52/10^9</f>
        <v>0.99056470175893008</v>
      </c>
      <c r="I63" s="2">
        <f>I8*'Output-Calculation-sheet'!I52/10^9</f>
        <v>0.5235026405114831</v>
      </c>
      <c r="J63" s="2">
        <f>J8*'Output-Calculation-sheet'!J52/10^9</f>
        <v>0.74005883105215109</v>
      </c>
      <c r="K63" s="2">
        <f>K8*'Output-Calculation-sheet'!K52/10^9</f>
        <v>0.48581228451546832</v>
      </c>
      <c r="L63" s="2">
        <f>L8*'Output-Calculation-sheet'!L52/10^9</f>
        <v>0.57518183855450333</v>
      </c>
      <c r="M63" s="2">
        <f>M8*'Output-Calculation-sheet'!M52/10^9</f>
        <v>0.72526801216378201</v>
      </c>
      <c r="N63" s="2">
        <f>N8*'Output-Calculation-sheet'!N52/10^9</f>
        <v>0.57832563147452953</v>
      </c>
      <c r="O63" s="2">
        <f>O8*'Output-Calculation-sheet'!O52/10^9</f>
        <v>0.68519858791803834</v>
      </c>
      <c r="P63" s="2">
        <f>P8*'Output-Calculation-sheet'!P52/10^9</f>
        <v>0.49407946284607168</v>
      </c>
      <c r="Q63" s="2">
        <f>Q8*'Output-Calculation-sheet'!Q52/10^9</f>
        <v>0.46086865347795131</v>
      </c>
      <c r="R63" s="2">
        <f>R8*'Output-Calculation-sheet'!R52/10^9</f>
        <v>0.41743938138771269</v>
      </c>
      <c r="S63" s="2">
        <f>S8*'Output-Calculation-sheet'!S52/10^9</f>
        <v>0.35418178866879296</v>
      </c>
      <c r="T63" s="2">
        <f>T8*'Output-Calculation-sheet'!T52/10^9</f>
        <v>0.16954744319173384</v>
      </c>
      <c r="U63" s="2">
        <f>U8*'Output-Calculation-sheet'!U52/10^9</f>
        <v>0.13222152019635877</v>
      </c>
      <c r="V63" s="2">
        <f>V8*'Output-Calculation-sheet'!V52/10^9</f>
        <v>0.21891939623853851</v>
      </c>
      <c r="W63" s="2">
        <f>W8*'Output-Calculation-sheet'!W52/10^9</f>
        <v>9.1868526437187445E-2</v>
      </c>
      <c r="X63" s="2">
        <f>X8*'Output-Calculation-sheet'!X52/10^9</f>
        <v>9.6664688317374708E-2</v>
      </c>
      <c r="Y63" s="2">
        <f>Y8*'Output-Calculation-sheet'!Y52/10^9</f>
        <v>5.3050658975881897E-2</v>
      </c>
      <c r="AA63" s="2">
        <f t="shared" si="4"/>
        <v>23.518217159908094</v>
      </c>
    </row>
    <row r="64" spans="1:27" x14ac:dyDescent="0.25">
      <c r="A64" s="2">
        <v>2032</v>
      </c>
      <c r="B64" s="2">
        <f>B9*'Output-Calculation-sheet'!B53/10^9</f>
        <v>6.9212748424409147</v>
      </c>
      <c r="C64" s="2">
        <f>C9*'Output-Calculation-sheet'!C53/10^9</f>
        <v>4.0882043172326945</v>
      </c>
      <c r="D64" s="2">
        <f>D9*'Output-Calculation-sheet'!D53/10^9</f>
        <v>1.4533755381213764</v>
      </c>
      <c r="E64" s="2">
        <f>E9*'Output-Calculation-sheet'!E53/10^9</f>
        <v>1.6969859090308905</v>
      </c>
      <c r="F64" s="2">
        <f>F9*'Output-Calculation-sheet'!F53/10^9</f>
        <v>0.77871819841525636</v>
      </c>
      <c r="G64" s="2">
        <f>G9*'Output-Calculation-sheet'!G53/10^9</f>
        <v>0.58307198842752794</v>
      </c>
      <c r="H64" s="2">
        <f>H9*'Output-Calculation-sheet'!H53/10^9</f>
        <v>1.0858790061990051</v>
      </c>
      <c r="I64" s="2">
        <f>I9*'Output-Calculation-sheet'!I53/10^9</f>
        <v>0.47283138739569119</v>
      </c>
      <c r="J64" s="2">
        <f>J9*'Output-Calculation-sheet'!J53/10^9</f>
        <v>0.63464057384747574</v>
      </c>
      <c r="K64" s="2">
        <f>K9*'Output-Calculation-sheet'!K53/10^9</f>
        <v>0.46850672361503481</v>
      </c>
      <c r="L64" s="2">
        <f>L9*'Output-Calculation-sheet'!L53/10^9</f>
        <v>0.52597895011134066</v>
      </c>
      <c r="M64" s="2">
        <f>M9*'Output-Calculation-sheet'!M53/10^9</f>
        <v>0.78304575289098299</v>
      </c>
      <c r="N64" s="2">
        <f>N9*'Output-Calculation-sheet'!N53/10^9</f>
        <v>0.64001707671882857</v>
      </c>
      <c r="O64" s="2">
        <f>O9*'Output-Calculation-sheet'!O53/10^9</f>
        <v>0.7560534366106354</v>
      </c>
      <c r="P64" s="2">
        <f>P9*'Output-Calculation-sheet'!P53/10^9</f>
        <v>0.49992252468392745</v>
      </c>
      <c r="Q64" s="2">
        <f>Q9*'Output-Calculation-sheet'!Q53/10^9</f>
        <v>0.47419019029548104</v>
      </c>
      <c r="R64" s="2">
        <f>R9*'Output-Calculation-sheet'!R53/10^9</f>
        <v>0.40340272444605357</v>
      </c>
      <c r="S64" s="2">
        <f>S9*'Output-Calculation-sheet'!S53/10^9</f>
        <v>0.37925349052838125</v>
      </c>
      <c r="T64" s="2">
        <f>T9*'Output-Calculation-sheet'!T53/10^9</f>
        <v>0.15079959020053776</v>
      </c>
      <c r="U64" s="2">
        <f>U9*'Output-Calculation-sheet'!U53/10^9</f>
        <v>0.12848044930573255</v>
      </c>
      <c r="V64" s="2">
        <f>V9*'Output-Calculation-sheet'!V53/10^9</f>
        <v>0.18725568421281949</v>
      </c>
      <c r="W64" s="2">
        <f>W9*'Output-Calculation-sheet'!W53/10^9</f>
        <v>7.9814607634651979E-2</v>
      </c>
      <c r="X64" s="2">
        <f>X9*'Output-Calculation-sheet'!X53/10^9</f>
        <v>0.10191551005252197</v>
      </c>
      <c r="Y64" s="2">
        <f>Y9*'Output-Calculation-sheet'!Y53/10^9</f>
        <v>5.07665579646343E-2</v>
      </c>
      <c r="AA64" s="2">
        <f t="shared" si="4"/>
        <v>23.344385030382401</v>
      </c>
    </row>
    <row r="65" spans="1:27" x14ac:dyDescent="0.25">
      <c r="A65" s="2">
        <v>2033</v>
      </c>
      <c r="B65" s="2">
        <f>B10*'Output-Calculation-sheet'!B54/10^9</f>
        <v>6.7416655622040675</v>
      </c>
      <c r="C65" s="2">
        <f>C10*'Output-Calculation-sheet'!C54/10^9</f>
        <v>4.1651781533197578</v>
      </c>
      <c r="D65" s="2">
        <f>D10*'Output-Calculation-sheet'!D54/10^9</f>
        <v>1.2016887434075001</v>
      </c>
      <c r="E65" s="2">
        <f>E10*'Output-Calculation-sheet'!E54/10^9</f>
        <v>1.5303665226176102</v>
      </c>
      <c r="F65" s="2">
        <f>F10*'Output-Calculation-sheet'!F54/10^9</f>
        <v>0.657610949492343</v>
      </c>
      <c r="G65" s="2">
        <f>G10*'Output-Calculation-sheet'!G54/10^9</f>
        <v>0.46818714591881327</v>
      </c>
      <c r="H65" s="2">
        <f>H10*'Output-Calculation-sheet'!H54/10^9</f>
        <v>1.1001306974451832</v>
      </c>
      <c r="I65" s="2">
        <f>I10*'Output-Calculation-sheet'!I54/10^9</f>
        <v>0.41050240376325431</v>
      </c>
      <c r="J65" s="2">
        <f>J10*'Output-Calculation-sheet'!J54/10^9</f>
        <v>0.48568892285483573</v>
      </c>
      <c r="K65" s="2">
        <f>K10*'Output-Calculation-sheet'!K54/10^9</f>
        <v>0.45450979231340605</v>
      </c>
      <c r="L65" s="2">
        <f>L10*'Output-Calculation-sheet'!L54/10^9</f>
        <v>0.46872259636489377</v>
      </c>
      <c r="M65" s="2">
        <f>M10*'Output-Calculation-sheet'!M54/10^9</f>
        <v>0.78223036250889311</v>
      </c>
      <c r="N65" s="2">
        <f>N10*'Output-Calculation-sheet'!N54/10^9</f>
        <v>0.66655478764454601</v>
      </c>
      <c r="O65" s="2">
        <f>O10*'Output-Calculation-sheet'!O54/10^9</f>
        <v>0.775576814818556</v>
      </c>
      <c r="P65" s="2">
        <f>P10*'Output-Calculation-sheet'!P54/10^9</f>
        <v>0.49169187567596007</v>
      </c>
      <c r="Q65" s="2">
        <f>Q10*'Output-Calculation-sheet'!Q54/10^9</f>
        <v>0.48523438555038573</v>
      </c>
      <c r="R65" s="2">
        <f>R10*'Output-Calculation-sheet'!R54/10^9</f>
        <v>0.38464351004520092</v>
      </c>
      <c r="S65" s="2">
        <f>S10*'Output-Calculation-sheet'!S54/10^9</f>
        <v>0.38605907771017117</v>
      </c>
      <c r="T65" s="2">
        <f>T10*'Output-Calculation-sheet'!T54/10^9</f>
        <v>0.13025740287464266</v>
      </c>
      <c r="U65" s="2">
        <f>U10*'Output-Calculation-sheet'!U54/10^9</f>
        <v>0.12510288296724012</v>
      </c>
      <c r="V65" s="2">
        <f>V10*'Output-Calculation-sheet'!V54/10^9</f>
        <v>0.14740663471653465</v>
      </c>
      <c r="W65" s="2">
        <f>W10*'Output-Calculation-sheet'!W54/10^9</f>
        <v>6.2996266719055366E-2</v>
      </c>
      <c r="X65" s="2">
        <f>X10*'Output-Calculation-sheet'!X54/10^9</f>
        <v>0.10047657725865375</v>
      </c>
      <c r="Y65" s="2">
        <f>Y10*'Output-Calculation-sheet'!Y54/10^9</f>
        <v>4.8870042883799904E-2</v>
      </c>
      <c r="AA65" s="2">
        <f t="shared" si="4"/>
        <v>22.271352111075306</v>
      </c>
    </row>
    <row r="66" spans="1:27" x14ac:dyDescent="0.25">
      <c r="A66" s="2">
        <v>2034</v>
      </c>
      <c r="B66" s="2">
        <f>B11*'Output-Calculation-sheet'!B55/10^9</f>
        <v>6.3568630240802095</v>
      </c>
      <c r="C66" s="2">
        <f>C11*'Output-Calculation-sheet'!C55/10^9</f>
        <v>3.9859528470197829</v>
      </c>
      <c r="D66" s="2">
        <f>D11*'Output-Calculation-sheet'!D55/10^9</f>
        <v>1.1500456937528016</v>
      </c>
      <c r="E66" s="2">
        <f>E11*'Output-Calculation-sheet'!E55/10^9</f>
        <v>1.4895338360883601</v>
      </c>
      <c r="F66" s="2">
        <f>F11*'Output-Calculation-sheet'!F55/10^9</f>
        <v>0.58625023006749177</v>
      </c>
      <c r="G66" s="2">
        <f>G11*'Output-Calculation-sheet'!G55/10^9</f>
        <v>0.42764677479781099</v>
      </c>
      <c r="H66" s="2">
        <f>H11*'Output-Calculation-sheet'!H55/10^9</f>
        <v>1.0671327924055054</v>
      </c>
      <c r="I66" s="2">
        <f>I11*'Output-Calculation-sheet'!I55/10^9</f>
        <v>0.39754211679064444</v>
      </c>
      <c r="J66" s="2">
        <f>J11*'Output-Calculation-sheet'!J55/10^9</f>
        <v>0.4002502636430284</v>
      </c>
      <c r="K66" s="2">
        <f>K11*'Output-Calculation-sheet'!K55/10^9</f>
        <v>0.4557499585980252</v>
      </c>
      <c r="L66" s="2">
        <f>L11*'Output-Calculation-sheet'!L55/10^9</f>
        <v>0.44183424116539027</v>
      </c>
      <c r="M66" s="2">
        <f>M11*'Output-Calculation-sheet'!M55/10^9</f>
        <v>0.74952547885064102</v>
      </c>
      <c r="N66" s="2">
        <f>N11*'Output-Calculation-sheet'!N55/10^9</f>
        <v>0.65177107663743894</v>
      </c>
      <c r="O66" s="2">
        <f>O11*'Output-Calculation-sheet'!O55/10^9</f>
        <v>0.74344486829638934</v>
      </c>
      <c r="P66" s="2">
        <f>P11*'Output-Calculation-sheet'!P55/10^9</f>
        <v>0.47671825880642238</v>
      </c>
      <c r="Q66" s="2">
        <f>Q11*'Output-Calculation-sheet'!Q55/10^9</f>
        <v>0.49034612588383197</v>
      </c>
      <c r="R66" s="2">
        <f>R11*'Output-Calculation-sheet'!R55/10^9</f>
        <v>0.36278889351016547</v>
      </c>
      <c r="S66" s="2">
        <f>S11*'Output-Calculation-sheet'!S55/10^9</f>
        <v>0.37660487555334482</v>
      </c>
      <c r="T66" s="2">
        <f>T11*'Output-Calculation-sheet'!T55/10^9</f>
        <v>0.11367435917371949</v>
      </c>
      <c r="U66" s="2">
        <f>U11*'Output-Calculation-sheet'!U55/10^9</f>
        <v>0.12371773886645075</v>
      </c>
      <c r="V66" s="2">
        <f>V11*'Output-Calculation-sheet'!V55/10^9</f>
        <v>0.10742978141291305</v>
      </c>
      <c r="W66" s="2">
        <f>W11*'Output-Calculation-sheet'!W55/10^9</f>
        <v>5.2631154868385072E-2</v>
      </c>
      <c r="X66" s="2">
        <f>X11*'Output-Calculation-sheet'!X55/10^9</f>
        <v>9.2965736576234151E-2</v>
      </c>
      <c r="Y66" s="2">
        <f>Y11*'Output-Calculation-sheet'!Y55/10^9</f>
        <v>5.0499071671160557E-2</v>
      </c>
      <c r="AA66" s="2">
        <f t="shared" si="4"/>
        <v>21.150919198516146</v>
      </c>
    </row>
    <row r="67" spans="1:27" x14ac:dyDescent="0.25">
      <c r="A67" s="2">
        <v>2035</v>
      </c>
      <c r="B67" s="2">
        <f>B12*'Output-Calculation-sheet'!B56/10^9</f>
        <v>5.9592629171582905</v>
      </c>
      <c r="C67" s="2">
        <f>C12*'Output-Calculation-sheet'!C56/10^9</f>
        <v>3.5992513882783284</v>
      </c>
      <c r="D67" s="2">
        <f>D12*'Output-Calculation-sheet'!D56/10^9</f>
        <v>1.1804706184560185</v>
      </c>
      <c r="E67" s="2">
        <f>E12*'Output-Calculation-sheet'!E56/10^9</f>
        <v>1.6164778139060989</v>
      </c>
      <c r="F67" s="2">
        <f>F12*'Output-Calculation-sheet'!F56/10^9</f>
        <v>0.63378067306268238</v>
      </c>
      <c r="G67" s="2">
        <f>G12*'Output-Calculation-sheet'!G56/10^9</f>
        <v>0.46696939384432312</v>
      </c>
      <c r="H67" s="2">
        <f>H12*'Output-Calculation-sheet'!H56/10^9</f>
        <v>0.99439940182539799</v>
      </c>
      <c r="I67" s="2">
        <f>I12*'Output-Calculation-sheet'!I56/10^9</f>
        <v>0.42790254350467011</v>
      </c>
      <c r="J67" s="2">
        <f>J12*'Output-Calculation-sheet'!J56/10^9</f>
        <v>0.39181593946189197</v>
      </c>
      <c r="K67" s="2">
        <f>K12*'Output-Calculation-sheet'!K56/10^9</f>
        <v>0.46933937100024425</v>
      </c>
      <c r="L67" s="2">
        <f>L12*'Output-Calculation-sheet'!L56/10^9</f>
        <v>0.43739719301455976</v>
      </c>
      <c r="M67" s="2">
        <f>M12*'Output-Calculation-sheet'!M56/10^9</f>
        <v>0.70349157767389481</v>
      </c>
      <c r="N67" s="2">
        <f>N12*'Output-Calculation-sheet'!N56/10^9</f>
        <v>0.60084893182855148</v>
      </c>
      <c r="O67" s="2">
        <f>O12*'Output-Calculation-sheet'!O56/10^9</f>
        <v>0.66466914769542129</v>
      </c>
      <c r="P67" s="2">
        <f>P12*'Output-Calculation-sheet'!P56/10^9</f>
        <v>0.48764764395048393</v>
      </c>
      <c r="Q67" s="2">
        <f>Q12*'Output-Calculation-sheet'!Q56/10^9</f>
        <v>0.46064914316677857</v>
      </c>
      <c r="R67" s="2">
        <f>R12*'Output-Calculation-sheet'!R56/10^9</f>
        <v>0.3613409916045367</v>
      </c>
      <c r="S67" s="2">
        <f>S12*'Output-Calculation-sheet'!S56/10^9</f>
        <v>0.34905177165014306</v>
      </c>
      <c r="T67" s="2">
        <f>T12*'Output-Calculation-sheet'!T56/10^9</f>
        <v>0.11244690995224138</v>
      </c>
      <c r="U67" s="2">
        <f>U12*'Output-Calculation-sheet'!U56/10^9</f>
        <v>0.12156203310907551</v>
      </c>
      <c r="V67" s="2">
        <f>V12*'Output-Calculation-sheet'!V56/10^9</f>
        <v>8.6722228064634047E-2</v>
      </c>
      <c r="W67" s="2">
        <f>W12*'Output-Calculation-sheet'!W56/10^9</f>
        <v>5.8867890281161926E-2</v>
      </c>
      <c r="X67" s="2">
        <f>X12*'Output-Calculation-sheet'!X56/10^9</f>
        <v>8.3972024705009488E-2</v>
      </c>
      <c r="Y67" s="2">
        <f>Y12*'Output-Calculation-sheet'!Y56/10^9</f>
        <v>5.4930734609808893E-2</v>
      </c>
      <c r="AA67" s="2">
        <f t="shared" si="4"/>
        <v>20.323268281804246</v>
      </c>
    </row>
    <row r="68" spans="1:27" x14ac:dyDescent="0.25">
      <c r="B68" s="2">
        <f>SUM(B60:B67)</f>
        <v>32.918046791002006</v>
      </c>
      <c r="C68" s="2">
        <f t="shared" ref="C68:Y68" si="5">SUM(C60:C67)</f>
        <v>19.610094501782715</v>
      </c>
      <c r="D68" s="2">
        <f t="shared" si="5"/>
        <v>6.6102779863258654</v>
      </c>
      <c r="E68" s="2">
        <f t="shared" si="5"/>
        <v>8.1920895140461703</v>
      </c>
      <c r="F68" s="2">
        <f t="shared" si="5"/>
        <v>3.5251947820248741</v>
      </c>
      <c r="G68" s="2">
        <f t="shared" si="5"/>
        <v>2.6085926181809183</v>
      </c>
      <c r="H68" s="2">
        <f t="shared" si="5"/>
        <v>5.2381065996340226</v>
      </c>
      <c r="I68" s="2">
        <f t="shared" si="5"/>
        <v>2.232281091965743</v>
      </c>
      <c r="J68" s="2">
        <f t="shared" si="5"/>
        <v>2.6524545308593832</v>
      </c>
      <c r="K68" s="2">
        <f t="shared" si="5"/>
        <v>2.3339181300421785</v>
      </c>
      <c r="L68" s="2">
        <f t="shared" si="5"/>
        <v>2.4491148192106875</v>
      </c>
      <c r="M68" s="2">
        <f t="shared" si="5"/>
        <v>3.7435611840881942</v>
      </c>
      <c r="N68" s="2">
        <f t="shared" si="5"/>
        <v>3.1375175043038945</v>
      </c>
      <c r="O68" s="2">
        <f t="shared" si="5"/>
        <v>3.6249428553390399</v>
      </c>
      <c r="P68" s="2">
        <f t="shared" si="5"/>
        <v>2.4500597659628656</v>
      </c>
      <c r="Q68" s="2">
        <f t="shared" si="5"/>
        <v>2.3712884983744287</v>
      </c>
      <c r="R68" s="2">
        <f t="shared" si="5"/>
        <v>1.9296155009936695</v>
      </c>
      <c r="S68" s="2">
        <f t="shared" si="5"/>
        <v>1.8451510041108334</v>
      </c>
      <c r="T68" s="2">
        <f t="shared" si="5"/>
        <v>0.67672570539287513</v>
      </c>
      <c r="U68" s="2">
        <f t="shared" si="5"/>
        <v>0.6310846244448578</v>
      </c>
      <c r="V68" s="2">
        <f t="shared" si="5"/>
        <v>0.74773372464543963</v>
      </c>
      <c r="W68" s="2">
        <f t="shared" si="5"/>
        <v>0.34617844594044178</v>
      </c>
      <c r="X68" s="2">
        <f t="shared" si="5"/>
        <v>0.47599453690979404</v>
      </c>
      <c r="Y68" s="2">
        <f t="shared" si="5"/>
        <v>0.25811706610528556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773.43209784283385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1410.5087108809616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951.20089530508699</v>
      </c>
      <c r="N74" s="2">
        <f>N8/'Output-Calculation-sheet'!N7*'Output-Calculation-sheet'!N61</f>
        <v>39.433409074905562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8.4407309660868126</v>
      </c>
      <c r="Y74" s="2">
        <f>Y8/'Output-Calculation-sheet'!Y7*'Output-Calculation-sheet'!Y61</f>
        <v>0</v>
      </c>
      <c r="AA74" s="2">
        <f t="shared" si="6"/>
        <v>3.183015844069875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129.65090677756518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2328.1715407660909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1582.1175881148922</v>
      </c>
      <c r="N75" s="2">
        <f>N9/'Output-Calculation-sheet'!N8*'Output-Calculation-sheet'!N62</f>
        <v>609.30075216363923</v>
      </c>
      <c r="O75" s="2">
        <f>O9/'Output-Calculation-sheet'!O8*'Output-Calculation-sheet'!O62</f>
        <v>0</v>
      </c>
      <c r="P75" s="2">
        <f>P9/'Output-Calculation-sheet'!P8*'Output-Calculation-sheet'!P62</f>
        <v>48.271982451157555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204.74464811725502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55.566825098495734</v>
      </c>
      <c r="Y75" s="2">
        <f>Y9/'Output-Calculation-sheet'!Y8*'Output-Calculation-sheet'!Y62</f>
        <v>0</v>
      </c>
      <c r="AA75" s="2">
        <f t="shared" si="6"/>
        <v>4.9578242434890951</v>
      </c>
    </row>
    <row r="76" spans="1:27" x14ac:dyDescent="0.25">
      <c r="A76" s="2">
        <v>2033</v>
      </c>
      <c r="B76" s="2">
        <f>B10/'Output-Calculation-sheet'!B9*'Output-Calculation-sheet'!B63</f>
        <v>4768.7129180446327</v>
      </c>
      <c r="C76" s="2">
        <f>C10/'Output-Calculation-sheet'!C9*'Output-Calculation-sheet'!C63</f>
        <v>961.57441833049029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3108.9613236957694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2121.8812794412602</v>
      </c>
      <c r="N76" s="2">
        <f>N10/'Output-Calculation-sheet'!N9*'Output-Calculation-sheet'!N63</f>
        <v>1208.5220060769154</v>
      </c>
      <c r="O76" s="2">
        <f>O10/'Output-Calculation-sheet'!O9*'Output-Calculation-sheet'!O63</f>
        <v>0</v>
      </c>
      <c r="P76" s="2">
        <f>P10/'Output-Calculation-sheet'!P9*'Output-Calculation-sheet'!P63</f>
        <v>419.09139412262095</v>
      </c>
      <c r="Q76" s="2">
        <f>Q10/'Output-Calculation-sheet'!Q9*'Output-Calculation-sheet'!Q63</f>
        <v>190.5021609036927</v>
      </c>
      <c r="R76" s="2">
        <f>R10/'Output-Calculation-sheet'!R9*'Output-Calculation-sheet'!R63</f>
        <v>318.03383509704014</v>
      </c>
      <c r="S76" s="2">
        <f>S10/'Output-Calculation-sheet'!S9*'Output-Calculation-sheet'!S63</f>
        <v>540.44638890752833</v>
      </c>
      <c r="T76" s="2">
        <f>T10/'Output-Calculation-sheet'!T9*'Output-Calculation-sheet'!T63</f>
        <v>20.95473206813794</v>
      </c>
      <c r="U76" s="2">
        <f>U10/'Output-Calculation-sheet'!U9*'Output-Calculation-sheet'!U63</f>
        <v>113.01899242298492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121.72849976642203</v>
      </c>
      <c r="Y76" s="2">
        <f>Y10/'Output-Calculation-sheet'!Y9*'Output-Calculation-sheet'!Y63</f>
        <v>5.3676393949754244</v>
      </c>
      <c r="AA76" s="2">
        <f t="shared" si="6"/>
        <v>13.986667535482923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1524.8340958217073</v>
      </c>
      <c r="D77" s="2">
        <f>D11/'Output-Calculation-sheet'!D10*'Output-Calculation-sheet'!D64</f>
        <v>1295.848979059198</v>
      </c>
      <c r="E77" s="2">
        <f>E11/'Output-Calculation-sheet'!E10*'Output-Calculation-sheet'!E64</f>
        <v>1620.7532632033517</v>
      </c>
      <c r="F77" s="2">
        <f>F11/'Output-Calculation-sheet'!F10*'Output-Calculation-sheet'!F64</f>
        <v>115.32060408054019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3426.7006941285749</v>
      </c>
      <c r="I77" s="2">
        <f>I11/'Output-Calculation-sheet'!I10*'Output-Calculation-sheet'!I64</f>
        <v>402.21581270565139</v>
      </c>
      <c r="J77" s="2">
        <f>J11/'Output-Calculation-sheet'!J10*'Output-Calculation-sheet'!J64</f>
        <v>283.60329221938156</v>
      </c>
      <c r="K77" s="2">
        <f>K11/'Output-Calculation-sheet'!K10*'Output-Calculation-sheet'!K64</f>
        <v>617.36490327690956</v>
      </c>
      <c r="L77" s="2">
        <f>L11/'Output-Calculation-sheet'!L10*'Output-Calculation-sheet'!L64</f>
        <v>252.88795633485935</v>
      </c>
      <c r="M77" s="2">
        <f>M11/'Output-Calculation-sheet'!M10*'Output-Calculation-sheet'!M64</f>
        <v>2421.7282871993129</v>
      </c>
      <c r="N77" s="2">
        <f>N11/'Output-Calculation-sheet'!N10*'Output-Calculation-sheet'!N64</f>
        <v>1678.4905970610687</v>
      </c>
      <c r="O77" s="2">
        <f>O11/'Output-Calculation-sheet'!O10*'Output-Calculation-sheet'!O64</f>
        <v>60.98991061399807</v>
      </c>
      <c r="P77" s="2">
        <f>P11/'Output-Calculation-sheet'!P10*'Output-Calculation-sheet'!P64</f>
        <v>761.24649140248982</v>
      </c>
      <c r="Q77" s="2">
        <f>Q11/'Output-Calculation-sheet'!Q10*'Output-Calculation-sheet'!Q64</f>
        <v>435.82569181487071</v>
      </c>
      <c r="R77" s="2">
        <f>R11/'Output-Calculation-sheet'!R10*'Output-Calculation-sheet'!R64</f>
        <v>650.17586028954372</v>
      </c>
      <c r="S77" s="2">
        <f>S11/'Output-Calculation-sheet'!S10*'Output-Calculation-sheet'!S64</f>
        <v>861.44175970501908</v>
      </c>
      <c r="T77" s="2">
        <f>T11/'Output-Calculation-sheet'!T10*'Output-Calculation-sheet'!T64</f>
        <v>179.78613274998651</v>
      </c>
      <c r="U77" s="2">
        <f>U11/'Output-Calculation-sheet'!U10*'Output-Calculation-sheet'!U64</f>
        <v>238.44388312805643</v>
      </c>
      <c r="V77" s="2">
        <f>V11/'Output-Calculation-sheet'!V10*'Output-Calculation-sheet'!V64</f>
        <v>93.844812784127129</v>
      </c>
      <c r="W77" s="2">
        <f>W11/'Output-Calculation-sheet'!W10*'Output-Calculation-sheet'!W64</f>
        <v>20.44694795789189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28.373781517261314</v>
      </c>
    </row>
    <row r="78" spans="1:27" x14ac:dyDescent="0.25">
      <c r="A78" s="2">
        <v>2035</v>
      </c>
      <c r="B78" s="2">
        <f>B12/'Output-Calculation-sheet'!B11*'Output-Calculation-sheet'!B65</f>
        <v>11548.25737673456</v>
      </c>
      <c r="C78" s="2">
        <f>C12/'Output-Calculation-sheet'!C11*'Output-Calculation-sheet'!C65</f>
        <v>42.467435072275805</v>
      </c>
      <c r="D78" s="2">
        <f>D12/'Output-Calculation-sheet'!D11*'Output-Calculation-sheet'!D65</f>
        <v>1206.3943481106512</v>
      </c>
      <c r="E78" s="2">
        <f>E12/'Output-Calculation-sheet'!E11*'Output-Calculation-sheet'!E65</f>
        <v>2292.340641748312</v>
      </c>
      <c r="F78" s="2">
        <f>F12/'Output-Calculation-sheet'!F11*'Output-Calculation-sheet'!F65</f>
        <v>490.06860443910904</v>
      </c>
      <c r="G78" s="2">
        <f>G12/'Output-Calculation-sheet'!G11*'Output-Calculation-sheet'!G65</f>
        <v>934.15564622609452</v>
      </c>
      <c r="H78" s="2">
        <f>H12/'Output-Calculation-sheet'!H11*'Output-Calculation-sheet'!H65</f>
        <v>2990.5423015382098</v>
      </c>
      <c r="I78" s="2">
        <f>I12/'Output-Calculation-sheet'!I11*'Output-Calculation-sheet'!I65</f>
        <v>540.80176417341613</v>
      </c>
      <c r="J78" s="2">
        <f>J12/'Output-Calculation-sheet'!J11*'Output-Calculation-sheet'!J65</f>
        <v>495.42750257342749</v>
      </c>
      <c r="K78" s="2">
        <f>K12/'Output-Calculation-sheet'!K11*'Output-Calculation-sheet'!K65</f>
        <v>615.88766080471328</v>
      </c>
      <c r="L78" s="2">
        <f>L12/'Output-Calculation-sheet'!L11*'Output-Calculation-sheet'!L65</f>
        <v>360.62481358873237</v>
      </c>
      <c r="M78" s="2">
        <f>M12/'Output-Calculation-sheet'!M11*'Output-Calculation-sheet'!M65</f>
        <v>2094.4402467793711</v>
      </c>
      <c r="N78" s="2">
        <f>N12/'Output-Calculation-sheet'!N11*'Output-Calculation-sheet'!N65</f>
        <v>1474.4095769601379</v>
      </c>
      <c r="O78" s="2">
        <f>O12/'Output-Calculation-sheet'!O11*'Output-Calculation-sheet'!O65</f>
        <v>217.83296019177158</v>
      </c>
      <c r="P78" s="2">
        <f>P12/'Output-Calculation-sheet'!P11*'Output-Calculation-sheet'!P65</f>
        <v>845.46245932637407</v>
      </c>
      <c r="Q78" s="2">
        <f>Q12/'Output-Calculation-sheet'!Q11*'Output-Calculation-sheet'!Q65</f>
        <v>412.27023807419488</v>
      </c>
      <c r="R78" s="2">
        <f>R12/'Output-Calculation-sheet'!R11*'Output-Calculation-sheet'!R65</f>
        <v>706.45794095045244</v>
      </c>
      <c r="S78" s="2">
        <f>S12/'Output-Calculation-sheet'!S11*'Output-Calculation-sheet'!S65</f>
        <v>794.75251879918574</v>
      </c>
      <c r="T78" s="2">
        <f>T12/'Output-Calculation-sheet'!T11*'Output-Calculation-sheet'!T65</f>
        <v>250.27616942020711</v>
      </c>
      <c r="U78" s="2">
        <f>U12/'Output-Calculation-sheet'!U11*'Output-Calculation-sheet'!U65</f>
        <v>216.08841536689829</v>
      </c>
      <c r="V78" s="2">
        <f>V12/'Output-Calculation-sheet'!V11*'Output-Calculation-sheet'!V65</f>
        <v>136.48139853649872</v>
      </c>
      <c r="W78" s="2">
        <f>W12/'Output-Calculation-sheet'!W11*'Output-Calculation-sheet'!W65</f>
        <v>97.641188300479371</v>
      </c>
      <c r="X78" s="2">
        <f>X12/'Output-Calculation-sheet'!X11*'Output-Calculation-sheet'!X65</f>
        <v>17.904257714622371</v>
      </c>
      <c r="Y78" s="2">
        <f>Y12/'Output-Calculation-sheet'!Y11*'Output-Calculation-sheet'!Y65</f>
        <v>93.495867055119305</v>
      </c>
      <c r="AA78" s="2">
        <f t="shared" si="6"/>
        <v>28.874481332484812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25.432696352961045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2.5432696352961047E-2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276.81553973889964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0.27681553973889966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337.97284029541277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0.33797284029541275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19.860635618330814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4.270640666561528</v>
      </c>
      <c r="N88" s="2">
        <f>N11/'Output-Calculation-sheet'!N10*'Output-Calculation-sheet'!N73</f>
        <v>4.1973471843508934</v>
      </c>
      <c r="O88" s="2">
        <f>O11/'Output-Calculation-sheet'!O10*'Output-Calculation-sheet'!O73</f>
        <v>361.13735525082666</v>
      </c>
      <c r="P88" s="2">
        <f>P11/'Output-Calculation-sheet'!P10*'Output-Calculation-sheet'!P73</f>
        <v>0</v>
      </c>
      <c r="Q88" s="2">
        <f>Q11/'Output-Calculation-sheet'!Q10*'Output-Calculation-sheet'!Q73</f>
        <v>15.445578847011893</v>
      </c>
      <c r="R88" s="2">
        <f>R11/'Output-Calculation-sheet'!R10*'Output-Calculation-sheet'!R73</f>
        <v>0</v>
      </c>
      <c r="S88" s="2">
        <f>S11/'Output-Calculation-sheet'!S10*'Output-Calculation-sheet'!S73</f>
        <v>0.48121286112538192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0.40539277042820715</v>
      </c>
    </row>
    <row r="89" spans="1:27" x14ac:dyDescent="0.25">
      <c r="A89" s="2">
        <v>2035</v>
      </c>
      <c r="B89" s="2">
        <f>B12/'Output-Calculation-sheet'!B11*'Output-Calculation-sheet'!B74</f>
        <v>225.39895665477204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76.423724667459666</v>
      </c>
      <c r="E89" s="2">
        <f>E12/'Output-Calculation-sheet'!E11*'Output-Calculation-sheet'!E74</f>
        <v>82.601704630492222</v>
      </c>
      <c r="F89" s="2">
        <f>F12/'Output-Calculation-sheet'!F11*'Output-Calculation-sheet'!F74</f>
        <v>32.087252304007663</v>
      </c>
      <c r="G89" s="2">
        <f>G12/'Output-Calculation-sheet'!G11*'Output-Calculation-sheet'!G74</f>
        <v>28.511514462191862</v>
      </c>
      <c r="H89" s="2">
        <f>H12/'Output-Calculation-sheet'!H11*'Output-Calculation-sheet'!H74</f>
        <v>109.4179867567166</v>
      </c>
      <c r="I89" s="2">
        <f>I12/'Output-Calculation-sheet'!I11*'Output-Calculation-sheet'!I74</f>
        <v>26.630666371237446</v>
      </c>
      <c r="J89" s="2">
        <f>J12/'Output-Calculation-sheet'!J11*'Output-Calculation-sheet'!J74</f>
        <v>15.618096711552621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20.812126141712813</v>
      </c>
      <c r="M89" s="2">
        <f>M12/'Output-Calculation-sheet'!M11*'Output-Calculation-sheet'!M74</f>
        <v>63.594654712198952</v>
      </c>
      <c r="N89" s="2">
        <f>N12/'Output-Calculation-sheet'!N11*'Output-Calculation-sheet'!N74</f>
        <v>47.416245058827045</v>
      </c>
      <c r="O89" s="2">
        <f>O12/'Output-Calculation-sheet'!O11*'Output-Calculation-sheet'!O74</f>
        <v>341.24602742110852</v>
      </c>
      <c r="P89" s="2">
        <f>P12/'Output-Calculation-sheet'!P11*'Output-Calculation-sheet'!P74</f>
        <v>25.884348290807932</v>
      </c>
      <c r="Q89" s="2">
        <f>Q12/'Output-Calculation-sheet'!Q11*'Output-Calculation-sheet'!Q74</f>
        <v>39.655531735501199</v>
      </c>
      <c r="R89" s="2">
        <f>R12/'Output-Calculation-sheet'!R11*'Output-Calculation-sheet'!R74</f>
        <v>15.605529279846495</v>
      </c>
      <c r="S89" s="2">
        <f>S12/'Output-Calculation-sheet'!S11*'Output-Calculation-sheet'!S74</f>
        <v>21.003212975917144</v>
      </c>
      <c r="T89" s="2">
        <f>T12/'Output-Calculation-sheet'!T11*'Output-Calculation-sheet'!T74</f>
        <v>3.6950130942621757</v>
      </c>
      <c r="U89" s="2">
        <f>U12/'Output-Calculation-sheet'!U11*'Output-Calculation-sheet'!U74</f>
        <v>6.8283327919321657</v>
      </c>
      <c r="V89" s="2">
        <f>V12/'Output-Calculation-sheet'!V11*'Output-Calculation-sheet'!V74</f>
        <v>0.92916019386692517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0.32075705232779972</v>
      </c>
      <c r="Y89" s="2">
        <f>Y12/'Output-Calculation-sheet'!Y11*'Output-Calculation-sheet'!Y74</f>
        <v>3.0179827373106303</v>
      </c>
      <c r="AA89" s="2">
        <f t="shared" si="7"/>
        <v>1.2235842338518372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11514669445.260653</v>
      </c>
      <c r="C96" s="2">
        <f>C8/'Output-Calculation-sheet'!C7*'Output-Calculation-sheet'!C79</f>
        <v>3895472537.5712233</v>
      </c>
      <c r="D96" s="2">
        <f>D8/'Output-Calculation-sheet'!D7*'Output-Calculation-sheet'!D79</f>
        <v>4066596104.3453374</v>
      </c>
      <c r="E96" s="2">
        <f>E8/'Output-Calculation-sheet'!E7*'Output-Calculation-sheet'!E79</f>
        <v>7230072835.917366</v>
      </c>
      <c r="F96" s="2">
        <f>F8/'Output-Calculation-sheet'!F7*'Output-Calculation-sheet'!F79</f>
        <v>2992455222.8459015</v>
      </c>
      <c r="G96" s="2">
        <f>G8/'Output-Calculation-sheet'!G7*'Output-Calculation-sheet'!G79</f>
        <v>2330881643.1955333</v>
      </c>
      <c r="H96" s="2">
        <f>H8/'Output-Calculation-sheet'!H7*'Output-Calculation-sheet'!H79</f>
        <v>1995105898.2377784</v>
      </c>
      <c r="I96" s="2">
        <f>I8/'Output-Calculation-sheet'!I7*'Output-Calculation-sheet'!I79</f>
        <v>1623702843.5995877</v>
      </c>
      <c r="J96" s="2">
        <f>J8/'Output-Calculation-sheet'!J7*'Output-Calculation-sheet'!J79</f>
        <v>1097986712.843457</v>
      </c>
      <c r="K96" s="2">
        <f>K8/'Output-Calculation-sheet'!K7*'Output-Calculation-sheet'!K79</f>
        <v>1570893775.578577</v>
      </c>
      <c r="L96" s="2">
        <f>L8/'Output-Calculation-sheet'!L7*'Output-Calculation-sheet'!L79</f>
        <v>1108423949.9818201</v>
      </c>
      <c r="M96" s="2">
        <f>M8/'Output-Calculation-sheet'!M7*'Output-Calculation-sheet'!M79</f>
        <v>1489306221.1380346</v>
      </c>
      <c r="N96" s="2">
        <f>N8/'Output-Calculation-sheet'!N7*'Output-Calculation-sheet'!N79</f>
        <v>1108160828.7053893</v>
      </c>
      <c r="O96" s="2">
        <f>O8/'Output-Calculation-sheet'!O7*'Output-Calculation-sheet'!O79</f>
        <v>560212275.96510661</v>
      </c>
      <c r="P96" s="2">
        <f>P8/'Output-Calculation-sheet'!P7*'Output-Calculation-sheet'!P79</f>
        <v>1873804725.0152586</v>
      </c>
      <c r="Q96" s="2">
        <f>Q8/'Output-Calculation-sheet'!Q7*'Output-Calculation-sheet'!Q79</f>
        <v>873271682.58724833</v>
      </c>
      <c r="R96" s="2">
        <f>R8/'Output-Calculation-sheet'!R7*'Output-Calculation-sheet'!R79</f>
        <v>1089512088.119952</v>
      </c>
      <c r="S96" s="2">
        <f>S8/'Output-Calculation-sheet'!S7*'Output-Calculation-sheet'!S79</f>
        <v>634839744.91371202</v>
      </c>
      <c r="T96" s="2">
        <f>T8/'Output-Calculation-sheet'!T7*'Output-Calculation-sheet'!T79</f>
        <v>484869158.57119673</v>
      </c>
      <c r="U96" s="2">
        <f>U8/'Output-Calculation-sheet'!U7*'Output-Calculation-sheet'!U79</f>
        <v>304582933.95985466</v>
      </c>
      <c r="V96" s="2">
        <f>V8/'Output-Calculation-sheet'!V7*'Output-Calculation-sheet'!V79</f>
        <v>158032799.29777867</v>
      </c>
      <c r="W96" s="2">
        <f>W8/'Output-Calculation-sheet'!W7*'Output-Calculation-sheet'!W79</f>
        <v>466977952.18350458</v>
      </c>
      <c r="X96" s="2">
        <f>X8/'Output-Calculation-sheet'!X7*'Output-Calculation-sheet'!X79</f>
        <v>164128625.47084641</v>
      </c>
      <c r="Y96" s="2">
        <f>Y8/'Output-Calculation-sheet'!Y7*'Output-Calculation-sheet'!Y79</f>
        <v>256694931.89112377</v>
      </c>
      <c r="AA96" s="2">
        <f t="shared" si="8"/>
        <v>48.890654937196231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1344.0368208959196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261.10901589040003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31.231171014088297</v>
      </c>
      <c r="Y107" s="2">
        <f>Y8/'Output-Calculation-sheet'!Y7*'Output-Calculation-sheet'!Y88</f>
        <v>0</v>
      </c>
      <c r="AA107" s="2">
        <f t="shared" si="9"/>
        <v>1.6363770078004078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2445.9010448744402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2.4864974846596302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3.0994076164746929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3.4731396004644819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86.444025602342023</v>
      </c>
      <c r="Y111" s="2">
        <f>Y12/'Output-Calculation-sheet'!Y11*'Output-Calculation-sheet'!Y92</f>
        <v>0</v>
      </c>
      <c r="AA111" s="2">
        <f t="shared" si="9"/>
        <v>4.0722954402357372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1347272896.6942198</v>
      </c>
      <c r="C118" s="2">
        <f>C8/'Output-Calculation-sheet'!C7*'Output-Calculation-sheet'!C97</f>
        <v>11124117117.161119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6922833219.9378195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4776168533.1265001</v>
      </c>
      <c r="N118" s="2">
        <f>N8/'Output-Calculation-sheet'!N7*'Output-Calculation-sheet'!N97</f>
        <v>1598662399.7652555</v>
      </c>
      <c r="O118" s="2">
        <f>O8/'Output-Calculation-sheet'!O7*'Output-Calculation-sheet'!O97</f>
        <v>1882160257.7056036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479142400.23022562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260064293.23214874</v>
      </c>
      <c r="Y118" s="2">
        <f>Y8/'Output-Calculation-sheet'!Y7*'Output-Calculation-sheet'!Y97</f>
        <v>0</v>
      </c>
      <c r="AA118" s="2">
        <f t="shared" si="10"/>
        <v>28390.421117852889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8489286893.177906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2915832765.1869864</v>
      </c>
      <c r="O119" s="2">
        <f>O9/'Output-Calculation-sheet'!O8*'Output-Calculation-sheet'!O98</f>
        <v>3149073856.367219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874177258.32085073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341493139.10638952</v>
      </c>
      <c r="Y119" s="2">
        <f>Y9/'Output-Calculation-sheet'!Y8*'Output-Calculation-sheet'!Y98</f>
        <v>0</v>
      </c>
      <c r="AA119" s="2">
        <f t="shared" si="10"/>
        <v>36730.821296583832</v>
      </c>
    </row>
    <row r="120" spans="1:27" x14ac:dyDescent="0.25">
      <c r="A120" s="2">
        <v>2033</v>
      </c>
      <c r="B120" s="2">
        <f>B10/'Output-Calculation-sheet'!B9*'Output-Calculation-sheet'!B99</f>
        <v>14180677645.555698</v>
      </c>
      <c r="C120" s="2">
        <f>C10/'Output-Calculation-sheet'!C9*'Output-Calculation-sheet'!C99</f>
        <v>8206862698.2818613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4254410153.942008</v>
      </c>
      <c r="O120" s="2">
        <f>O10/'Output-Calculation-sheet'!O9*'Output-Calculation-sheet'!O99</f>
        <v>3317263473.4355693</v>
      </c>
      <c r="P120" s="2">
        <f>P10/'Output-Calculation-sheet'!P9*'Output-Calculation-sheet'!P99</f>
        <v>0</v>
      </c>
      <c r="Q120" s="2">
        <f>Q10/'Output-Calculation-sheet'!Q9*'Output-Calculation-sheet'!Q99</f>
        <v>139493314.28412315</v>
      </c>
      <c r="R120" s="2">
        <f>R10/'Output-Calculation-sheet'!R9*'Output-Calculation-sheet'!R99</f>
        <v>0</v>
      </c>
      <c r="S120" s="2">
        <f>S10/'Output-Calculation-sheet'!S9*'Output-Calculation-sheet'!S99</f>
        <v>1713705965.3544519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466211869.06727254</v>
      </c>
      <c r="Y120" s="2">
        <f>Y10/'Output-Calculation-sheet'!Y9*'Output-Calculation-sheet'!Y99</f>
        <v>0</v>
      </c>
      <c r="AA120" s="2">
        <f t="shared" si="10"/>
        <v>50035.606018041115</v>
      </c>
    </row>
    <row r="121" spans="1:27" x14ac:dyDescent="0.25">
      <c r="A121" s="2">
        <v>2034</v>
      </c>
      <c r="B121" s="2">
        <f>B11/'Output-Calculation-sheet'!B10*'Output-Calculation-sheet'!B100</f>
        <v>29884974778.737003</v>
      </c>
      <c r="C121" s="2">
        <f>C11/'Output-Calculation-sheet'!C10*'Output-Calculation-sheet'!C100</f>
        <v>7425943014.4214315</v>
      </c>
      <c r="D121" s="2">
        <f>D11/'Output-Calculation-sheet'!D10*'Output-Calculation-sheet'!D100</f>
        <v>0</v>
      </c>
      <c r="E121" s="2">
        <f>E11/'Output-Calculation-sheet'!E10*'Output-Calculation-sheet'!E100</f>
        <v>618159137.7263155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10966031337.315468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508092842.34531242</v>
      </c>
      <c r="M121" s="2">
        <f>M11/'Output-Calculation-sheet'!M10*'Output-Calculation-sheet'!M100</f>
        <v>7674693178.6019897</v>
      </c>
      <c r="N121" s="2">
        <f>N11/'Output-Calculation-sheet'!N10*'Output-Calculation-sheet'!N100</f>
        <v>5211809901.6227188</v>
      </c>
      <c r="O121" s="2">
        <f>O11/'Output-Calculation-sheet'!O10*'Output-Calculation-sheet'!O100</f>
        <v>3304516473.4945979</v>
      </c>
      <c r="P121" s="2">
        <f>P11/'Output-Calculation-sheet'!P10*'Output-Calculation-sheet'!P100</f>
        <v>0</v>
      </c>
      <c r="Q121" s="2">
        <f>Q11/'Output-Calculation-sheet'!Q10*'Output-Calculation-sheet'!Q100</f>
        <v>671501615.34974885</v>
      </c>
      <c r="R121" s="2">
        <f>R11/'Output-Calculation-sheet'!R10*'Output-Calculation-sheet'!R100</f>
        <v>0</v>
      </c>
      <c r="S121" s="2">
        <f>S11/'Output-Calculation-sheet'!S10*'Output-Calculation-sheet'!S100</f>
        <v>2591349062.0360432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33906816.104319587</v>
      </c>
      <c r="AA121" s="2">
        <f t="shared" si="10"/>
        <v>69261.010281810522</v>
      </c>
    </row>
    <row r="122" spans="1:27" x14ac:dyDescent="0.25">
      <c r="A122" s="2">
        <v>2035</v>
      </c>
      <c r="B122" s="2">
        <f>B12/'Output-Calculation-sheet'!B11*'Output-Calculation-sheet'!B101</f>
        <v>32325787683.864445</v>
      </c>
      <c r="C122" s="2">
        <f>C12/'Output-Calculation-sheet'!C11*'Output-Calculation-sheet'!C101</f>
        <v>189980552.03146836</v>
      </c>
      <c r="D122" s="2">
        <f>D12/'Output-Calculation-sheet'!D11*'Output-Calculation-sheet'!D101</f>
        <v>0</v>
      </c>
      <c r="E122" s="2">
        <f>E12/'Output-Calculation-sheet'!E11*'Output-Calculation-sheet'!E101</f>
        <v>2586111174.8047566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9913131499.78689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664515154.65956616</v>
      </c>
      <c r="M122" s="2">
        <f>M12/'Output-Calculation-sheet'!M11*'Output-Calculation-sheet'!M101</f>
        <v>6953871551.3000507</v>
      </c>
      <c r="N122" s="2">
        <f>N12/'Output-Calculation-sheet'!N11*'Output-Calculation-sheet'!N101</f>
        <v>4679080323.3662453</v>
      </c>
      <c r="O122" s="2">
        <f>O12/'Output-Calculation-sheet'!O11*'Output-Calculation-sheet'!O101</f>
        <v>3172139938.2791195</v>
      </c>
      <c r="P122" s="2">
        <f>P12/'Output-Calculation-sheet'!P11*'Output-Calculation-sheet'!P101</f>
        <v>198888827.99443352</v>
      </c>
      <c r="Q122" s="2">
        <f>Q12/'Output-Calculation-sheet'!Q11*'Output-Calculation-sheet'!Q101</f>
        <v>747772402.33153701</v>
      </c>
      <c r="R122" s="2">
        <f>R12/'Output-Calculation-sheet'!R11*'Output-Calculation-sheet'!R101</f>
        <v>0</v>
      </c>
      <c r="S122" s="2">
        <f>S12/'Output-Calculation-sheet'!S11*'Output-Calculation-sheet'!S101</f>
        <v>2457634134.1535978</v>
      </c>
      <c r="T122" s="2">
        <f>T12/'Output-Calculation-sheet'!T11*'Output-Calculation-sheet'!T101</f>
        <v>0</v>
      </c>
      <c r="U122" s="2">
        <f>U12/'Output-Calculation-sheet'!U11*'Output-Calculation-sheet'!U101</f>
        <v>36307430.371276043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85158752.093664527</v>
      </c>
      <c r="Y122" s="2">
        <f>Y12/'Output-Calculation-sheet'!Y11*'Output-Calculation-sheet'!Y101</f>
        <v>131892345.89098568</v>
      </c>
      <c r="AA122" s="2">
        <f t="shared" si="10"/>
        <v>64142.271770928026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45747023712.795555</v>
      </c>
      <c r="C129" s="2">
        <f>C8/'Output-Calculation-sheet'!C7*'Output-Calculation-sheet'!C106</f>
        <v>0</v>
      </c>
      <c r="D129" s="2">
        <f>D8/'Output-Calculation-sheet'!D7*'Output-Calculation-sheet'!D106</f>
        <v>19780085432.881176</v>
      </c>
      <c r="E129" s="2">
        <f>E8/'Output-Calculation-sheet'!E7*'Output-Calculation-sheet'!E106</f>
        <v>15693508941.724291</v>
      </c>
      <c r="F129" s="2">
        <f>F8/'Output-Calculation-sheet'!F7*'Output-Calculation-sheet'!F106</f>
        <v>10102471270.546711</v>
      </c>
      <c r="G129" s="2">
        <f>G8/'Output-Calculation-sheet'!G7*'Output-Calculation-sheet'!G106</f>
        <v>7098289976.6407394</v>
      </c>
      <c r="H129" s="2">
        <f>H8/'Output-Calculation-sheet'!H7*'Output-Calculation-sheet'!H106</f>
        <v>0</v>
      </c>
      <c r="I129" s="2">
        <f>I8/'Output-Calculation-sheet'!I7*'Output-Calculation-sheet'!I106</f>
        <v>6467085895.1537428</v>
      </c>
      <c r="J129" s="2">
        <f>J8/'Output-Calculation-sheet'!J7*'Output-Calculation-sheet'!J106</f>
        <v>6294596072.3913727</v>
      </c>
      <c r="K129" s="2">
        <f>K8/'Output-Calculation-sheet'!K7*'Output-Calculation-sheet'!K106</f>
        <v>6234259582.6600065</v>
      </c>
      <c r="L129" s="2">
        <f>L8/'Output-Calculation-sheet'!L7*'Output-Calculation-sheet'!L106</f>
        <v>5001215934.7908201</v>
      </c>
      <c r="M129" s="2">
        <f>M8/'Output-Calculation-sheet'!M7*'Output-Calculation-sheet'!M106</f>
        <v>0</v>
      </c>
      <c r="N129" s="2">
        <f>N8/'Output-Calculation-sheet'!N7*'Output-Calculation-sheet'!N106</f>
        <v>3089938779.153213</v>
      </c>
      <c r="O129" s="2">
        <f>O8/'Output-Calculation-sheet'!O7*'Output-Calculation-sheet'!O106</f>
        <v>0</v>
      </c>
      <c r="P129" s="2">
        <f>P8/'Output-Calculation-sheet'!P7*'Output-Calculation-sheet'!P106</f>
        <v>4268301739.6813512</v>
      </c>
      <c r="Q129" s="2">
        <f>Q8/'Output-Calculation-sheet'!Q7*'Output-Calculation-sheet'!Q106</f>
        <v>4199311267.4143095</v>
      </c>
      <c r="R129" s="2">
        <f>R8/'Output-Calculation-sheet'!R7*'Output-Calculation-sheet'!R106</f>
        <v>4039938790.3675432</v>
      </c>
      <c r="S129" s="2">
        <f>S8/'Output-Calculation-sheet'!S7*'Output-Calculation-sheet'!S106</f>
        <v>2206001794.9004302</v>
      </c>
      <c r="T129" s="2">
        <f>T8/'Output-Calculation-sheet'!T7*'Output-Calculation-sheet'!T106</f>
        <v>1485036583.2801621</v>
      </c>
      <c r="U129" s="2">
        <f>U8/'Output-Calculation-sheet'!U7*'Output-Calculation-sheet'!U106</f>
        <v>1293418412.7012506</v>
      </c>
      <c r="V129" s="2">
        <f>V8/'Output-Calculation-sheet'!V7*'Output-Calculation-sheet'!V106</f>
        <v>995953737.25903726</v>
      </c>
      <c r="W129" s="2">
        <f>W8/'Output-Calculation-sheet'!W7*'Output-Calculation-sheet'!W106</f>
        <v>862281993.23337817</v>
      </c>
      <c r="X129" s="2">
        <f>X8/'Output-Calculation-sheet'!X7*'Output-Calculation-sheet'!X106</f>
        <v>0</v>
      </c>
      <c r="Y129" s="2">
        <f>Y8/'Output-Calculation-sheet'!Y7*'Output-Calculation-sheet'!Y106</f>
        <v>503134004.55415416</v>
      </c>
      <c r="AA129" s="2">
        <f t="shared" si="11"/>
        <v>145361.85392212923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3.0247228122894157E-8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3178228097.6880469</v>
      </c>
      <c r="O130" s="2">
        <f>O9/'Output-Calculation-sheet'!O8*'Output-Calculation-sheet'!O107</f>
        <v>0</v>
      </c>
      <c r="P130" s="2">
        <f>P9/'Output-Calculation-sheet'!P8*'Output-Calculation-sheet'!P107</f>
        <v>5548191109.4358711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2615972702.6502066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183859.08792957052</v>
      </c>
    </row>
    <row r="131" spans="1:27" x14ac:dyDescent="0.25">
      <c r="A131" s="2">
        <v>2033</v>
      </c>
      <c r="B131" s="2">
        <f>B10/'Output-Calculation-sheet'!B9*'Output-Calculation-sheet'!B108</f>
        <v>57293248834.253326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2860790538.0710654</v>
      </c>
      <c r="O131" s="2">
        <f>O10/'Output-Calculation-sheet'!O9*'Output-Calculation-sheet'!O108</f>
        <v>0</v>
      </c>
      <c r="P131" s="2">
        <f>P10/'Output-Calculation-sheet'!P9*'Output-Calculation-sheet'!P108</f>
        <v>6477914909.016511</v>
      </c>
      <c r="Q131" s="2">
        <f>Q10/'Output-Calculation-sheet'!Q9*'Output-Calculation-sheet'!Q108</f>
        <v>6234028543.0048695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2361230457.1159387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205529.73582692188</v>
      </c>
    </row>
    <row r="132" spans="1:27" x14ac:dyDescent="0.25">
      <c r="A132" s="2">
        <v>2034</v>
      </c>
      <c r="B132" s="2">
        <f>B11/'Output-Calculation-sheet'!B10*'Output-Calculation-sheet'!B109</f>
        <v>46261841656.838295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24758824121.204079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10178768593.760284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7579171086.274848</v>
      </c>
      <c r="M132" s="2">
        <f>M11/'Output-Calculation-sheet'!M10*'Output-Calculation-sheet'!M109</f>
        <v>0</v>
      </c>
      <c r="N132" s="2">
        <f>N11/'Output-Calculation-sheet'!N10*'Output-Calculation-sheet'!N109</f>
        <v>2304244546.8150897</v>
      </c>
      <c r="O132" s="2">
        <f>O11/'Output-Calculation-sheet'!O10*'Output-Calculation-sheet'!O109</f>
        <v>0</v>
      </c>
      <c r="P132" s="2">
        <f>P11/'Output-Calculation-sheet'!P10*'Output-Calculation-sheet'!P109</f>
        <v>6901602555.799367</v>
      </c>
      <c r="Q132" s="2">
        <f>Q11/'Output-Calculation-sheet'!Q10*'Output-Calculation-sheet'!Q109</f>
        <v>5775396867.9033489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1741697979.8543184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779700322.36251569</v>
      </c>
      <c r="AA132" s="2">
        <f t="shared" si="11"/>
        <v>200653.16023435033</v>
      </c>
    </row>
    <row r="133" spans="1:27" x14ac:dyDescent="0.25">
      <c r="A133" s="2">
        <v>2035</v>
      </c>
      <c r="B133" s="2">
        <f>B12/'Output-Calculation-sheet'!B11*'Output-Calculation-sheet'!B110</f>
        <v>37687527168.229561</v>
      </c>
      <c r="C133" s="2">
        <f>C12/'Output-Calculation-sheet'!C11*'Output-Calculation-sheet'!C110</f>
        <v>0</v>
      </c>
      <c r="D133" s="2">
        <f>D12/'Output-Calculation-sheet'!D11*'Output-Calculation-sheet'!D110</f>
        <v>28304651387.820793</v>
      </c>
      <c r="E133" s="2">
        <f>E12/'Output-Calculation-sheet'!E11*'Output-Calculation-sheet'!E110</f>
        <v>21448467950.139149</v>
      </c>
      <c r="F133" s="2">
        <f>F12/'Output-Calculation-sheet'!F11*'Output-Calculation-sheet'!F110</f>
        <v>15263873833.764141</v>
      </c>
      <c r="G133" s="2">
        <f>G12/'Output-Calculation-sheet'!G11*'Output-Calculation-sheet'!G110</f>
        <v>10579638273.073744</v>
      </c>
      <c r="H133" s="2">
        <f>H12/'Output-Calculation-sheet'!H11*'Output-Calculation-sheet'!H110</f>
        <v>0</v>
      </c>
      <c r="I133" s="2">
        <f>I12/'Output-Calculation-sheet'!I11*'Output-Calculation-sheet'!I110</f>
        <v>9549950279.6371841</v>
      </c>
      <c r="J133" s="2">
        <f>J12/'Output-Calculation-sheet'!J11*'Output-Calculation-sheet'!J110</f>
        <v>9198557231.7476349</v>
      </c>
      <c r="K133" s="2">
        <f>K12/'Output-Calculation-sheet'!K11*'Output-Calculation-sheet'!K110</f>
        <v>9098978703.1878242</v>
      </c>
      <c r="L133" s="2">
        <f>L12/'Output-Calculation-sheet'!L11*'Output-Calculation-sheet'!L110</f>
        <v>6690451837.0113029</v>
      </c>
      <c r="M133" s="2">
        <f>M12/'Output-Calculation-sheet'!M11*'Output-Calculation-sheet'!M110</f>
        <v>0</v>
      </c>
      <c r="N133" s="2">
        <f>N12/'Output-Calculation-sheet'!N11*'Output-Calculation-sheet'!N110</f>
        <v>2049400517.3821378</v>
      </c>
      <c r="O133" s="2">
        <f>O12/'Output-Calculation-sheet'!O11*'Output-Calculation-sheet'!O110</f>
        <v>0</v>
      </c>
      <c r="P133" s="2">
        <f>P12/'Output-Calculation-sheet'!P11*'Output-Calculation-sheet'!P110</f>
        <v>6286319948.6935282</v>
      </c>
      <c r="Q133" s="2">
        <f>Q12/'Output-Calculation-sheet'!Q11*'Output-Calculation-sheet'!Q110</f>
        <v>5015838114.4523697</v>
      </c>
      <c r="R133" s="2">
        <f>R12/'Output-Calculation-sheet'!R11*'Output-Calculation-sheet'!R110</f>
        <v>6052216889.8411512</v>
      </c>
      <c r="S133" s="2">
        <f>S12/'Output-Calculation-sheet'!S11*'Output-Calculation-sheet'!S110</f>
        <v>1429490618.1443777</v>
      </c>
      <c r="T133" s="2">
        <f>T12/'Output-Calculation-sheet'!T11*'Output-Calculation-sheet'!T110</f>
        <v>2272662143.7830825</v>
      </c>
      <c r="U133" s="2">
        <f>U12/'Output-Calculation-sheet'!U11*'Output-Calculation-sheet'!U110</f>
        <v>1845068339.5425501</v>
      </c>
      <c r="V133" s="2">
        <f>V12/'Output-Calculation-sheet'!V11*'Output-Calculation-sheet'!V110</f>
        <v>1530023468.4955282</v>
      </c>
      <c r="W133" s="2">
        <f>W12/'Output-Calculation-sheet'!W11*'Output-Calculation-sheet'!W110</f>
        <v>1343476195.3975141</v>
      </c>
      <c r="X133" s="2">
        <f>X12/'Output-Calculation-sheet'!X11*'Output-Calculation-sheet'!X110</f>
        <v>731458.08149958821</v>
      </c>
      <c r="Y133" s="2">
        <f>Y12/'Output-Calculation-sheet'!Y11*'Output-Calculation-sheet'!Y110</f>
        <v>639503267.92388391</v>
      </c>
      <c r="AA133" s="2">
        <f t="shared" si="11"/>
        <v>176286.82762634897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11068422500.456266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2192174653.1696577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257294554.80276617</v>
      </c>
      <c r="Y140" s="2">
        <f>Y8/'Output-Calculation-sheet'!Y7*'Output-Calculation-sheet'!Y115</f>
        <v>0</v>
      </c>
      <c r="AA140" s="2">
        <f t="shared" si="12"/>
        <v>13517.89170842869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20358908863.067997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330965058.75856489</v>
      </c>
      <c r="Y141" s="2">
        <f>Y9/'Output-Calculation-sheet'!Y8*'Output-Calculation-sheet'!Y116</f>
        <v>0</v>
      </c>
      <c r="AA141" s="2">
        <f t="shared" si="12"/>
        <v>20689.873921826562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25476474324.554062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318931593.51912832</v>
      </c>
      <c r="Y142" s="2">
        <f>Y10/'Output-Calculation-sheet'!Y9*'Output-Calculation-sheet'!Y117</f>
        <v>0</v>
      </c>
      <c r="AA142" s="2">
        <f t="shared" si="12"/>
        <v>25795.405918073189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28461482363.156982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28928.006462633097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34875337139.64077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728413685.46151006</v>
      </c>
      <c r="Y144" s="2">
        <f>Y12/'Output-Calculation-sheet'!Y11*'Output-Calculation-sheet'!Y119</f>
        <v>0</v>
      </c>
      <c r="AA144" s="2">
        <f t="shared" si="12"/>
        <v>35603.750825102281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47094297528.904671</v>
      </c>
      <c r="C151" s="2">
        <f>C8/'Output-Calculation-sheet'!C7*'Output-Calculation-sheet'!C124</f>
        <v>22193242182.319218</v>
      </c>
      <c r="D151" s="2">
        <f>D8/'Output-Calculation-sheet'!D7*'Output-Calculation-sheet'!D124</f>
        <v>19780085432.881176</v>
      </c>
      <c r="E151" s="2">
        <f>E8/'Output-Calculation-sheet'!E7*'Output-Calculation-sheet'!E124</f>
        <v>15693508941.724291</v>
      </c>
      <c r="F151" s="2">
        <f>F8/'Output-Calculation-sheet'!F7*'Output-Calculation-sheet'!F124</f>
        <v>10102471270.546711</v>
      </c>
      <c r="G151" s="2">
        <f>G8/'Output-Calculation-sheet'!G7*'Output-Calculation-sheet'!G124</f>
        <v>7098289976.6407394</v>
      </c>
      <c r="H151" s="2">
        <f>H8/'Output-Calculation-sheet'!H7*'Output-Calculation-sheet'!H124</f>
        <v>6924117414.1751461</v>
      </c>
      <c r="I151" s="2">
        <f>I8/'Output-Calculation-sheet'!I7*'Output-Calculation-sheet'!I124</f>
        <v>6467085895.1537428</v>
      </c>
      <c r="J151" s="2">
        <f>J8/'Output-Calculation-sheet'!J7*'Output-Calculation-sheet'!J124</f>
        <v>6294596072.3913727</v>
      </c>
      <c r="K151" s="2">
        <f>K8/'Output-Calculation-sheet'!K7*'Output-Calculation-sheet'!K124</f>
        <v>6234259582.6600065</v>
      </c>
      <c r="L151" s="2">
        <f>L8/'Output-Calculation-sheet'!L7*'Output-Calculation-sheet'!L124</f>
        <v>5001215934.7908201</v>
      </c>
      <c r="M151" s="2">
        <f>M8/'Output-Calculation-sheet'!M7*'Output-Calculation-sheet'!M124</f>
        <v>4777033697.3244648</v>
      </c>
      <c r="N151" s="2">
        <f>N8/'Output-Calculation-sheet'!N7*'Output-Calculation-sheet'!N124</f>
        <v>4688636608.7559118</v>
      </c>
      <c r="O151" s="2">
        <f>O8/'Output-Calculation-sheet'!O7*'Output-Calculation-sheet'!O124</f>
        <v>4595638213.3438997</v>
      </c>
      <c r="P151" s="2">
        <f>P8/'Output-Calculation-sheet'!P7*'Output-Calculation-sheet'!P124</f>
        <v>4268301739.6813512</v>
      </c>
      <c r="Q151" s="2">
        <f>Q8/'Output-Calculation-sheet'!Q7*'Output-Calculation-sheet'!Q124</f>
        <v>4199311267.4143095</v>
      </c>
      <c r="R151" s="2">
        <f>R8/'Output-Calculation-sheet'!R7*'Output-Calculation-sheet'!R124</f>
        <v>4039938790.3675432</v>
      </c>
      <c r="S151" s="2">
        <f>S8/'Output-Calculation-sheet'!S7*'Output-Calculation-sheet'!S124</f>
        <v>2685143934.7510929</v>
      </c>
      <c r="T151" s="2">
        <f>T8/'Output-Calculation-sheet'!T7*'Output-Calculation-sheet'!T124</f>
        <v>1485036583.2801621</v>
      </c>
      <c r="U151" s="2">
        <f>U8/'Output-Calculation-sheet'!U7*'Output-Calculation-sheet'!U124</f>
        <v>1293418412.7012506</v>
      </c>
      <c r="V151" s="2">
        <f>V8/'Output-Calculation-sheet'!V7*'Output-Calculation-sheet'!V124</f>
        <v>995953737.25903726</v>
      </c>
      <c r="W151" s="2">
        <f>W8/'Output-Calculation-sheet'!W7*'Output-Calculation-sheet'!W124</f>
        <v>862281993.23337817</v>
      </c>
      <c r="X151" s="2">
        <f>X8/'Output-Calculation-sheet'!X7*'Output-Calculation-sheet'!X124</f>
        <v>517366453.02785665</v>
      </c>
      <c r="Y151" s="2">
        <f>Y8/'Output-Calculation-sheet'!Y7*'Output-Calculation-sheet'!Y124</f>
        <v>503134004.55415416</v>
      </c>
      <c r="AA151" s="2">
        <f t="shared" si="13"/>
        <v>187794.36566788235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17308988244.204498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6286954314.9380531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149167.5915407264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6019185629.579073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98703.631543037642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1948540614.7014239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1182246580.4930277</v>
      </c>
      <c r="N154" s="2">
        <f>N11/'Output-Calculation-sheet'!N10*'Output-Calculation-sheet'!N127</f>
        <v>1171952220.4452922</v>
      </c>
      <c r="O154" s="2">
        <f>O11/'Output-Calculation-sheet'!O10*'Output-Calculation-sheet'!O127</f>
        <v>5353884792.9398336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1422084741.4969497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632179922.34335899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48655.862286858806</v>
      </c>
    </row>
    <row r="155" spans="1:27" x14ac:dyDescent="0.25">
      <c r="A155" s="2">
        <v>2035</v>
      </c>
      <c r="B155" s="2">
        <f>B12/'Output-Calculation-sheet'!B11*'Output-Calculation-sheet'!B128</f>
        <v>6402845631.6589727</v>
      </c>
      <c r="C155" s="2">
        <f>C12/'Output-Calculation-sheet'!C11*'Output-Calculation-sheet'!C128</f>
        <v>46871438.535317108</v>
      </c>
      <c r="D155" s="2">
        <f>D12/'Output-Calculation-sheet'!D11*'Output-Calculation-sheet'!D128</f>
        <v>3810438000.7357521</v>
      </c>
      <c r="E155" s="2">
        <f>E12/'Output-Calculation-sheet'!E11*'Output-Calculation-sheet'!E128</f>
        <v>1728889148.0599551</v>
      </c>
      <c r="F155" s="2">
        <f>F12/'Output-Calculation-sheet'!F11*'Output-Calculation-sheet'!F128</f>
        <v>1097617807.3495626</v>
      </c>
      <c r="G155" s="2">
        <f>G12/'Output-Calculation-sheet'!G11*'Output-Calculation-sheet'!G128</f>
        <v>981381131.84423006</v>
      </c>
      <c r="H155" s="2">
        <f>H12/'Output-Calculation-sheet'!H11*'Output-Calculation-sheet'!H128</f>
        <v>1566149573.0447834</v>
      </c>
      <c r="I155" s="2">
        <f>I12/'Output-Calculation-sheet'!I11*'Output-Calculation-sheet'!I128</f>
        <v>978840225.26462197</v>
      </c>
      <c r="J155" s="2">
        <f>J12/'Output-Calculation-sheet'!J11*'Output-Calculation-sheet'!J128</f>
        <v>935685640.32296658</v>
      </c>
      <c r="K155" s="2">
        <f>K12/'Output-Calculation-sheet'!K11*'Output-Calculation-sheet'!K128</f>
        <v>1063936916.2290097</v>
      </c>
      <c r="L155" s="2">
        <f>L12/'Output-Calculation-sheet'!L11*'Output-Calculation-sheet'!L128</f>
        <v>772221607.37646627</v>
      </c>
      <c r="M155" s="2">
        <f>M12/'Output-Calculation-sheet'!M11*'Output-Calculation-sheet'!M128</f>
        <v>953721726.98842096</v>
      </c>
      <c r="N155" s="2">
        <f>N12/'Output-Calculation-sheet'!N11*'Output-Calculation-sheet'!N128</f>
        <v>928659372.75237012</v>
      </c>
      <c r="O155" s="2">
        <f>O12/'Output-Calculation-sheet'!O11*'Output-Calculation-sheet'!O128</f>
        <v>4329771162.2327776</v>
      </c>
      <c r="P155" s="2">
        <f>P12/'Output-Calculation-sheet'!P11*'Output-Calculation-sheet'!P128</f>
        <v>512661486.41043633</v>
      </c>
      <c r="Q155" s="2">
        <f>Q12/'Output-Calculation-sheet'!Q11*'Output-Calculation-sheet'!Q128</f>
        <v>1146652918.6425955</v>
      </c>
      <c r="R155" s="2">
        <f>R12/'Output-Calculation-sheet'!R11*'Output-Calculation-sheet'!R128</f>
        <v>494586663.68734616</v>
      </c>
      <c r="S155" s="2">
        <f>S12/'Output-Calculation-sheet'!S11*'Output-Calculation-sheet'!S128</f>
        <v>495819554.10083276</v>
      </c>
      <c r="T155" s="2">
        <f>T12/'Output-Calculation-sheet'!T11*'Output-Calculation-sheet'!T128</f>
        <v>118290532.63148056</v>
      </c>
      <c r="U155" s="2">
        <f>U12/'Output-Calculation-sheet'!U11*'Output-Calculation-sheet'!U128</f>
        <v>228908208.5171161</v>
      </c>
      <c r="V155" s="2">
        <f>V12/'Output-Calculation-sheet'!V11*'Output-Calculation-sheet'!V128</f>
        <v>57075693.574699156</v>
      </c>
      <c r="W155" s="2">
        <f>W12/'Output-Calculation-sheet'!W11*'Output-Calculation-sheet'!W128</f>
        <v>53032149.170976326</v>
      </c>
      <c r="X155" s="2">
        <f>X12/'Output-Calculation-sheet'!X11*'Output-Calculation-sheet'!X128</f>
        <v>6524652.31557649</v>
      </c>
      <c r="Y155" s="2">
        <f>Y12/'Output-Calculation-sheet'!Y11*'Output-Calculation-sheet'!Y128</f>
        <v>57045453.134026304</v>
      </c>
      <c r="AA155" s="2">
        <f t="shared" si="13"/>
        <v>28767.626694580293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1050.5753093398268</v>
      </c>
      <c r="C19" s="2">
        <f>C8/'Output-Calculation-sheet'!C7*'Output-Calculation-sheet'!C25</f>
        <v>7490.6664885514219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4720.2048544562067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3276.4785205973167</v>
      </c>
      <c r="N19" s="2">
        <f>N8/'Output-Calculation-sheet'!N7*'Output-Calculation-sheet'!N25</f>
        <v>1120.3226195460754</v>
      </c>
      <c r="O19" s="2">
        <f>O8/'Output-Calculation-sheet'!O7*'Output-Calculation-sheet'!O25</f>
        <v>1222.1160769589785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400.13476480563605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172.97698838568346</v>
      </c>
      <c r="Y19" s="2">
        <f>Y8/'Output-Calculation-sheet'!Y7*'Output-Calculation-sheet'!Y25</f>
        <v>0</v>
      </c>
      <c r="AA19" s="2">
        <f t="shared" si="0"/>
        <v>19.45347562264114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5549.3248437838947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6255.063820535298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4346.3929198065489</v>
      </c>
      <c r="N20" s="2">
        <f>N9/'Output-Calculation-sheet'!N8*'Output-Calculation-sheet'!N26</f>
        <v>1958.1263899702078</v>
      </c>
      <c r="O20" s="2">
        <f>O9/'Output-Calculation-sheet'!O8*'Output-Calculation-sheet'!O26</f>
        <v>2066.0328406661929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711.74113929144005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232.26524649941771</v>
      </c>
      <c r="Y20" s="2">
        <f>Y9/'Output-Calculation-sheet'!Y8*'Output-Calculation-sheet'!Y26</f>
        <v>0</v>
      </c>
      <c r="AA20" s="2">
        <f t="shared" si="0"/>
        <v>26.868122483152991</v>
      </c>
    </row>
    <row r="21" spans="1:27" x14ac:dyDescent="0.25">
      <c r="A21" s="2">
        <v>2033</v>
      </c>
      <c r="B21" s="2">
        <f>B10/'Output-Calculation-sheet'!B9*'Output-Calculation-sheet'!B27</f>
        <v>13169.775051348895</v>
      </c>
      <c r="C21" s="2">
        <f>C10/'Output-Calculation-sheet'!C9*'Output-Calculation-sheet'!C27</f>
        <v>5461.9781450259188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7635.3670489816077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5304.3319836293995</v>
      </c>
      <c r="N21" s="2">
        <f>N10/'Output-Calculation-sheet'!N9*'Output-Calculation-sheet'!N27</f>
        <v>2893.6283690901114</v>
      </c>
      <c r="O21" s="2">
        <f>O10/'Output-Calculation-sheet'!O9*'Output-Calculation-sheet'!O27</f>
        <v>2267.3165692673597</v>
      </c>
      <c r="P21" s="2">
        <f>P10/'Output-Calculation-sheet'!P9*'Output-Calculation-sheet'!P27</f>
        <v>0</v>
      </c>
      <c r="Q21" s="2">
        <f>Q10/'Output-Calculation-sheet'!Q9*'Output-Calculation-sheet'!Q27</f>
        <v>197.469669171042</v>
      </c>
      <c r="R21" s="2">
        <f>R10/'Output-Calculation-sheet'!R9*'Output-Calculation-sheet'!R27</f>
        <v>0</v>
      </c>
      <c r="S21" s="2">
        <f>S10/'Output-Calculation-sheet'!S9*'Output-Calculation-sheet'!S27</f>
        <v>1261.4191085814164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336.17652567826701</v>
      </c>
      <c r="Y21" s="2">
        <f>Y10/'Output-Calculation-sheet'!Y9*'Output-Calculation-sheet'!Y27</f>
        <v>0</v>
      </c>
      <c r="AA21" s="2">
        <f t="shared" si="0"/>
        <v>38.527462470774012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5233.8402041682957</v>
      </c>
      <c r="D22" s="2">
        <f>D11/'Output-Calculation-sheet'!D10*'Output-Calculation-sheet'!D28</f>
        <v>0</v>
      </c>
      <c r="E22" s="2">
        <f>E11/'Output-Calculation-sheet'!E10*'Output-Calculation-sheet'!E28</f>
        <v>1248.8860815039709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9098.288060582785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748.79172810201192</v>
      </c>
      <c r="M22" s="2">
        <f>M11/'Output-Calculation-sheet'!M10*'Output-Calculation-sheet'!M28</f>
        <v>6615.5374113036023</v>
      </c>
      <c r="N22" s="2">
        <f>N11/'Output-Calculation-sheet'!N10*'Output-Calculation-sheet'!N28</f>
        <v>3810.4796346599173</v>
      </c>
      <c r="O22" s="2">
        <f>O11/'Output-Calculation-sheet'!O10*'Output-Calculation-sheet'!O28</f>
        <v>2420.522106104715</v>
      </c>
      <c r="P22" s="2">
        <f>P11/'Output-Calculation-sheet'!P10*'Output-Calculation-sheet'!P28</f>
        <v>0</v>
      </c>
      <c r="Q22" s="2">
        <f>Q11/'Output-Calculation-sheet'!Q10*'Output-Calculation-sheet'!Q28</f>
        <v>888.99589328132356</v>
      </c>
      <c r="R22" s="2">
        <f>R11/'Output-Calculation-sheet'!R10*'Output-Calculation-sheet'!R28</f>
        <v>0</v>
      </c>
      <c r="S22" s="2">
        <f>S11/'Output-Calculation-sheet'!S10*'Output-Calculation-sheet'!S28</f>
        <v>1977.0901436096933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68.188498025214599</v>
      </c>
      <c r="AA22" s="2">
        <f t="shared" si="0"/>
        <v>56.97687292161131</v>
      </c>
    </row>
    <row r="23" spans="1:27" x14ac:dyDescent="0.25">
      <c r="A23" s="2">
        <v>2035</v>
      </c>
      <c r="B23" s="2">
        <f>B12/'Output-Calculation-sheet'!B11*'Output-Calculation-sheet'!B29</f>
        <v>28576.986554789266</v>
      </c>
      <c r="C23" s="2">
        <f>C12/'Output-Calculation-sheet'!C11*'Output-Calculation-sheet'!C29</f>
        <v>147.89586411237838</v>
      </c>
      <c r="D23" s="2">
        <f>D12/'Output-Calculation-sheet'!D11*'Output-Calculation-sheet'!D29</f>
        <v>0</v>
      </c>
      <c r="E23" s="2">
        <f>E12/'Output-Calculation-sheet'!E11*'Output-Calculation-sheet'!E29</f>
        <v>4346.1160735572093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8833.0412468531795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978.09526058938127</v>
      </c>
      <c r="M23" s="2">
        <f>M12/'Output-Calculation-sheet'!M11*'Output-Calculation-sheet'!M29</f>
        <v>6434.030406531655</v>
      </c>
      <c r="N23" s="2">
        <f>N12/'Output-Calculation-sheet'!N11*'Output-Calculation-sheet'!N29</f>
        <v>3735.9347464212206</v>
      </c>
      <c r="O23" s="2">
        <f>O12/'Output-Calculation-sheet'!O11*'Output-Calculation-sheet'!O29</f>
        <v>2574.6712967989401</v>
      </c>
      <c r="P23" s="2">
        <f>P12/'Output-Calculation-sheet'!P11*'Output-Calculation-sheet'!P29</f>
        <v>449.41873839018945</v>
      </c>
      <c r="Q23" s="2">
        <f>Q12/'Output-Calculation-sheet'!Q11*'Output-Calculation-sheet'!Q29</f>
        <v>1001.2330270414886</v>
      </c>
      <c r="R23" s="2">
        <f>R12/'Output-Calculation-sheet'!R11*'Output-Calculation-sheet'!R29</f>
        <v>0</v>
      </c>
      <c r="S23" s="2">
        <f>S12/'Output-Calculation-sheet'!S11*'Output-Calculation-sheet'!S29</f>
        <v>2029.4291538799507</v>
      </c>
      <c r="T23" s="2">
        <f>T12/'Output-Calculation-sheet'!T11*'Output-Calculation-sheet'!T29</f>
        <v>0</v>
      </c>
      <c r="U23" s="2">
        <f>U12/'Output-Calculation-sheet'!U11*'Output-Calculation-sheet'!U29</f>
        <v>89.357376331398555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66.293935670850942</v>
      </c>
      <c r="Y23" s="2">
        <f>Y12/'Output-Calculation-sheet'!Y11*'Output-Calculation-sheet'!Y29</f>
        <v>190.92476137074206</v>
      </c>
      <c r="AA23" s="2">
        <f t="shared" si="0"/>
        <v>59.453428442337845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18312.578023390273</v>
      </c>
      <c r="C30" s="2">
        <f>C8/'Output-Calculation-sheet'!C7*'Output-Calculation-sheet'!C16</f>
        <v>0</v>
      </c>
      <c r="D30" s="2">
        <f>D8/'Output-Calculation-sheet'!D7*'Output-Calculation-sheet'!D16</f>
        <v>3083.573065885395</v>
      </c>
      <c r="E30" s="2">
        <f>E8/'Output-Calculation-sheet'!E7*'Output-Calculation-sheet'!E16</f>
        <v>3317.7546665830555</v>
      </c>
      <c r="F30" s="2">
        <f>F8/'Output-Calculation-sheet'!F7*'Output-Calculation-sheet'!F16</f>
        <v>1673.8522365514234</v>
      </c>
      <c r="G30" s="2">
        <f>G8/'Output-Calculation-sheet'!G7*'Output-Calculation-sheet'!G16</f>
        <v>1096.1598306459553</v>
      </c>
      <c r="H30" s="2">
        <f>H8/'Output-Calculation-sheet'!H7*'Output-Calculation-sheet'!H16</f>
        <v>0</v>
      </c>
      <c r="I30" s="2">
        <f>I8/'Output-Calculation-sheet'!I7*'Output-Calculation-sheet'!I16</f>
        <v>1068.6047620804609</v>
      </c>
      <c r="J30" s="2">
        <f>J8/'Output-Calculation-sheet'!J7*'Output-Calculation-sheet'!J16</f>
        <v>951.25061687134394</v>
      </c>
      <c r="K30" s="2">
        <f>K8/'Output-Calculation-sheet'!K7*'Output-Calculation-sheet'!K16</f>
        <v>1270.1024956833255</v>
      </c>
      <c r="L30" s="2">
        <f>L8/'Output-Calculation-sheet'!L7*'Output-Calculation-sheet'!L16</f>
        <v>1072.8244494564401</v>
      </c>
      <c r="M30" s="2">
        <f>M8/'Output-Calculation-sheet'!M7*'Output-Calculation-sheet'!M16</f>
        <v>0</v>
      </c>
      <c r="N30" s="2">
        <f>N8/'Output-Calculation-sheet'!N7*'Output-Calculation-sheet'!N16</f>
        <v>1524.9981291538684</v>
      </c>
      <c r="O30" s="2">
        <f>O8/'Output-Calculation-sheet'!O7*'Output-Calculation-sheet'!O16</f>
        <v>0</v>
      </c>
      <c r="P30" s="2">
        <f>P8/'Output-Calculation-sheet'!P7*'Output-Calculation-sheet'!P16</f>
        <v>1369.5992070641203</v>
      </c>
      <c r="Q30" s="2">
        <f>Q8/'Output-Calculation-sheet'!Q7*'Output-Calculation-sheet'!Q16</f>
        <v>1506.1138034356509</v>
      </c>
      <c r="R30" s="2">
        <f>R8/'Output-Calculation-sheet'!R7*'Output-Calculation-sheet'!R16</f>
        <v>955.63459018793537</v>
      </c>
      <c r="S30" s="2">
        <f>S8/'Output-Calculation-sheet'!S7*'Output-Calculation-sheet'!S16</f>
        <v>961.08958867743729</v>
      </c>
      <c r="T30" s="2">
        <f>T8/'Output-Calculation-sheet'!T7*'Output-Calculation-sheet'!T16</f>
        <v>286.86598386872544</v>
      </c>
      <c r="U30" s="2">
        <f>U8/'Output-Calculation-sheet'!U7*'Output-Calculation-sheet'!U16</f>
        <v>286.3545272817662</v>
      </c>
      <c r="V30" s="2">
        <f>V8/'Output-Calculation-sheet'!V7*'Output-Calculation-sheet'!V16</f>
        <v>222.86331756262081</v>
      </c>
      <c r="W30" s="2">
        <f>W8/'Output-Calculation-sheet'!W7*'Output-Calculation-sheet'!W16</f>
        <v>135.1795127037839</v>
      </c>
      <c r="X30" s="2">
        <f>X8/'Output-Calculation-sheet'!X7*'Output-Calculation-sheet'!X16</f>
        <v>0</v>
      </c>
      <c r="Y30" s="2">
        <f>Y8/'Output-Calculation-sheet'!Y7*'Output-Calculation-sheet'!Y16</f>
        <v>114.41204618689981</v>
      </c>
      <c r="AA30" s="2">
        <f t="shared" si="1"/>
        <v>39.209810853270476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1667.316706137454</v>
      </c>
      <c r="O31" s="2">
        <f>O9/'Output-Calculation-sheet'!O8*'Output-Calculation-sheet'!O17</f>
        <v>0</v>
      </c>
      <c r="P31" s="2">
        <f>P9/'Output-Calculation-sheet'!P8*'Output-Calculation-sheet'!P17</f>
        <v>2064.2007792756704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1239.8377980640848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53.012748743149608</v>
      </c>
    </row>
    <row r="32" spans="1:27" x14ac:dyDescent="0.25">
      <c r="A32" s="2">
        <v>2033</v>
      </c>
      <c r="B32" s="2">
        <f>B10/'Output-Calculation-sheet'!B9*'Output-Calculation-sheet'!B18</f>
        <v>26815.520798499634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2554.0524813328338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1642.6069959114907</v>
      </c>
      <c r="O32" s="2">
        <f>O10/'Output-Calculation-sheet'!O9*'Output-Calculation-sheet'!O18</f>
        <v>0</v>
      </c>
      <c r="P32" s="2">
        <f>P10/'Output-Calculation-sheet'!P9*'Output-Calculation-sheet'!P18</f>
        <v>2628.691918299734</v>
      </c>
      <c r="Q32" s="2">
        <f>Q10/'Output-Calculation-sheet'!Q9*'Output-Calculation-sheet'!Q18</f>
        <v>2862.7411731180591</v>
      </c>
      <c r="R32" s="2">
        <f>R10/'Output-Calculation-sheet'!R9*'Output-Calculation-sheet'!R18</f>
        <v>1887.6638461632981</v>
      </c>
      <c r="S32" s="2">
        <f>S10/'Output-Calculation-sheet'!S9*'Output-Calculation-sheet'!S18</f>
        <v>1236.206920968481</v>
      </c>
      <c r="T32" s="2">
        <f>T10/'Output-Calculation-sheet'!T9*'Output-Calculation-sheet'!T18</f>
        <v>551.13766781348534</v>
      </c>
      <c r="U32" s="2">
        <f>U10/'Output-Calculation-sheet'!U9*'Output-Calculation-sheet'!U18</f>
        <v>609.28319443251507</v>
      </c>
      <c r="V32" s="2">
        <f>V10/'Output-Calculation-sheet'!V9*'Output-Calculation-sheet'!V18</f>
        <v>449.71321976399145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260.36096917455967</v>
      </c>
      <c r="AA32" s="2">
        <f t="shared" si="1"/>
        <v>64.412157885781312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7413.6147235408898</v>
      </c>
      <c r="E33" s="2">
        <f>E11/'Output-Calculation-sheet'!E10*'Output-Calculation-sheet'!E19</f>
        <v>9180.550370161005</v>
      </c>
      <c r="F33" s="2">
        <f>F11/'Output-Calculation-sheet'!F10*'Output-Calculation-sheet'!F19</f>
        <v>4207.9222905764691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2753.8990086774415</v>
      </c>
      <c r="J33" s="2">
        <f>J11/'Output-Calculation-sheet'!J10*'Output-Calculation-sheet'!J19</f>
        <v>2328.3661694683797</v>
      </c>
      <c r="K33" s="2">
        <f>K11/'Output-Calculation-sheet'!K10*'Output-Calculation-sheet'!K19</f>
        <v>3229.5950675403251</v>
      </c>
      <c r="L33" s="2">
        <f>L11/'Output-Calculation-sheet'!L10*'Output-Calculation-sheet'!L19</f>
        <v>2627.4804154755507</v>
      </c>
      <c r="M33" s="2">
        <f>M11/'Output-Calculation-sheet'!M10*'Output-Calculation-sheet'!M19</f>
        <v>0</v>
      </c>
      <c r="N33" s="2">
        <f>N11/'Output-Calculation-sheet'!N10*'Output-Calculation-sheet'!N19</f>
        <v>1494.032643523891</v>
      </c>
      <c r="O33" s="2">
        <f>O11/'Output-Calculation-sheet'!O10*'Output-Calculation-sheet'!O19</f>
        <v>0</v>
      </c>
      <c r="P33" s="2">
        <f>P11/'Output-Calculation-sheet'!P10*'Output-Calculation-sheet'!P19</f>
        <v>3266.924418239058</v>
      </c>
      <c r="Q33" s="2">
        <f>Q11/'Output-Calculation-sheet'!Q10*'Output-Calculation-sheet'!Q19</f>
        <v>2669.2955961098496</v>
      </c>
      <c r="R33" s="2">
        <f>R11/'Output-Calculation-sheet'!R10*'Output-Calculation-sheet'!R19</f>
        <v>2332.9244535298685</v>
      </c>
      <c r="S33" s="2">
        <f>S11/'Output-Calculation-sheet'!S10*'Output-Calculation-sheet'!S19</f>
        <v>1086.7881041774665</v>
      </c>
      <c r="T33" s="2">
        <f>T11/'Output-Calculation-sheet'!T10*'Output-Calculation-sheet'!T19</f>
        <v>684.52559600941117</v>
      </c>
      <c r="U33" s="2">
        <f>U11/'Output-Calculation-sheet'!U10*'Output-Calculation-sheet'!U19</f>
        <v>787.34271523563166</v>
      </c>
      <c r="V33" s="2">
        <f>V11/'Output-Calculation-sheet'!V10*'Output-Calculation-sheet'!V19</f>
        <v>536.92339696849115</v>
      </c>
      <c r="W33" s="2">
        <f>W11/'Output-Calculation-sheet'!W10*'Output-Calculation-sheet'!W19</f>
        <v>334.28150567093769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72.61096371361289</v>
      </c>
    </row>
    <row r="34" spans="1:27" x14ac:dyDescent="0.25">
      <c r="A34" s="2">
        <v>2035</v>
      </c>
      <c r="B34" s="2">
        <f>B12/'Output-Calculation-sheet'!B11*'Output-Calculation-sheet'!B20</f>
        <v>22504.43025504439</v>
      </c>
      <c r="C34" s="2">
        <f>C12/'Output-Calculation-sheet'!C11*'Output-Calculation-sheet'!C20</f>
        <v>0</v>
      </c>
      <c r="D34" s="2">
        <f>D12/'Output-Calculation-sheet'!D11*'Output-Calculation-sheet'!D20</f>
        <v>7047.39764639242</v>
      </c>
      <c r="E34" s="2">
        <f>E12/'Output-Calculation-sheet'!E11*'Output-Calculation-sheet'!E20</f>
        <v>7764.8039537612785</v>
      </c>
      <c r="F34" s="2">
        <f>F12/'Output-Calculation-sheet'!F11*'Output-Calculation-sheet'!F20</f>
        <v>4805.8242528794908</v>
      </c>
      <c r="G34" s="2">
        <f>G12/'Output-Calculation-sheet'!G11*'Output-Calculation-sheet'!G20</f>
        <v>2595.6847902672107</v>
      </c>
      <c r="H34" s="2">
        <f>H12/'Output-Calculation-sheet'!H11*'Output-Calculation-sheet'!H20</f>
        <v>0</v>
      </c>
      <c r="I34" s="2">
        <f>I12/'Output-Calculation-sheet'!I11*'Output-Calculation-sheet'!I20</f>
        <v>2827.2191688969447</v>
      </c>
      <c r="J34" s="2">
        <f>J12/'Output-Calculation-sheet'!J11*'Output-Calculation-sheet'!J20</f>
        <v>2422.7394289965446</v>
      </c>
      <c r="K34" s="2">
        <f>K12/'Output-Calculation-sheet'!K11*'Output-Calculation-sheet'!K20</f>
        <v>3184.4468898639025</v>
      </c>
      <c r="L34" s="2">
        <f>L12/'Output-Calculation-sheet'!L11*'Output-Calculation-sheet'!L20</f>
        <v>2521.3439730018308</v>
      </c>
      <c r="M34" s="2">
        <f>M12/'Output-Calculation-sheet'!M11*'Output-Calculation-sheet'!M20</f>
        <v>0</v>
      </c>
      <c r="N34" s="2">
        <f>N12/'Output-Calculation-sheet'!N11*'Output-Calculation-sheet'!N20</f>
        <v>1405.166281086528</v>
      </c>
      <c r="O34" s="2">
        <f>O12/'Output-Calculation-sheet'!O11*'Output-Calculation-sheet'!O20</f>
        <v>0</v>
      </c>
      <c r="P34" s="2">
        <f>P12/'Output-Calculation-sheet'!P11*'Output-Calculation-sheet'!P20</f>
        <v>3144.3696470146274</v>
      </c>
      <c r="Q34" s="2">
        <f>Q12/'Output-Calculation-sheet'!Q11*'Output-Calculation-sheet'!Q20</f>
        <v>2477.983918523717</v>
      </c>
      <c r="R34" s="2">
        <f>R12/'Output-Calculation-sheet'!R11*'Output-Calculation-sheet'!R20</f>
        <v>2500.5601083309593</v>
      </c>
      <c r="S34" s="2">
        <f>S12/'Output-Calculation-sheet'!S11*'Output-Calculation-sheet'!S20</f>
        <v>965.81640259719427</v>
      </c>
      <c r="T34" s="2">
        <f>T12/'Output-Calculation-sheet'!T11*'Output-Calculation-sheet'!T20</f>
        <v>780.42924555664263</v>
      </c>
      <c r="U34" s="2">
        <f>U12/'Output-Calculation-sheet'!U11*'Output-Calculation-sheet'!U20</f>
        <v>714.42570660290232</v>
      </c>
      <c r="V34" s="2">
        <f>V12/'Output-Calculation-sheet'!V11*'Output-Calculation-sheet'!V20</f>
        <v>654.543993251497</v>
      </c>
      <c r="W34" s="2">
        <f>W12/'Output-Calculation-sheet'!W11*'Output-Calculation-sheet'!W20</f>
        <v>423.30072757949705</v>
      </c>
      <c r="X34" s="2">
        <f>X12/'Output-Calculation-sheet'!X11*'Output-Calculation-sheet'!X20</f>
        <v>0.99913227048325493</v>
      </c>
      <c r="Y34" s="2">
        <f>Y12/'Output-Calculation-sheet'!Y11*'Output-Calculation-sheet'!Y20</f>
        <v>236.01342764201902</v>
      </c>
      <c r="AA34" s="2">
        <f t="shared" si="1"/>
        <v>68.977498949560086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3.8784861113544247E-2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3.8784861113544247E-2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0.4313615938095382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0.4313615938095382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0.55231755169491215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0.55231755169491215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4.8527964143487035E-2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1.1130654016347582E-2</v>
      </c>
      <c r="N44" s="2">
        <f>N11/'Output-Calculation-sheet'!N10*'Output-Calculation-sheet'!N37*0.0114</f>
        <v>1.0939627784960916E-2</v>
      </c>
      <c r="O44" s="2">
        <f>O11/'Output-Calculation-sheet'!O10*'Output-Calculation-sheet'!O37*0.0114</f>
        <v>0.63293750946906713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2.8754366591278703E-2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6.2709723008794573E-3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0.73856109430602079</v>
      </c>
    </row>
    <row r="45" spans="1:27" x14ac:dyDescent="0.25">
      <c r="A45" s="2">
        <v>2035</v>
      </c>
      <c r="B45" s="2">
        <f>B12/'Output-Calculation-sheet'!B11*'Output-Calculation-sheet'!B38*0.0114</f>
        <v>0.52536663967825237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0.17554253966098832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0.21492246390542605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4.231863587372179E-2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4.4556898882285673E-2</v>
      </c>
      <c r="M45" s="2">
        <f>M12/'Output-Calculation-sheet'!M11*'Output-Calculation-sheet'!M38*0.0114</f>
        <v>0.12676077541594891</v>
      </c>
      <c r="N45" s="2">
        <f>N12/'Output-Calculation-sheet'!N11*'Output-Calculation-sheet'!N38*0.0114</f>
        <v>9.3438963609876635E-2</v>
      </c>
      <c r="O45" s="2">
        <f>O12/'Output-Calculation-sheet'!O11*'Output-Calculation-sheet'!O38*0.0114</f>
        <v>0.65881126225350128</v>
      </c>
      <c r="P45" s="2">
        <f>P12/'Output-Calculation-sheet'!P11*'Output-Calculation-sheet'!P38*0.0114</f>
        <v>5.7547459817978021E-2</v>
      </c>
      <c r="Q45" s="2">
        <f>Q12/'Output-Calculation-sheet'!Q11*'Output-Calculation-sheet'!Q38*0.0114</f>
        <v>8.1866838200874037E-2</v>
      </c>
      <c r="R45" s="2">
        <f>R12/'Output-Calculation-sheet'!R11*'Output-Calculation-sheet'!R38*0.0114</f>
        <v>3.6082844406352371E-2</v>
      </c>
      <c r="S45" s="2">
        <f>S12/'Output-Calculation-sheet'!S11*'Output-Calculation-sheet'!S38*0.0114</f>
        <v>4.1659675254538064E-2</v>
      </c>
      <c r="T45" s="2">
        <f>T12/'Output-Calculation-sheet'!T11*'Output-Calculation-sheet'!T38*0.0114</f>
        <v>1.0011969868841352E-2</v>
      </c>
      <c r="U45" s="2">
        <f>U12/'Output-Calculation-sheet'!U11*'Output-Calculation-sheet'!U38*0.0114</f>
        <v>1.4511357668806462E-2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6.7097397375235927E-3</v>
      </c>
      <c r="AA45" s="2">
        <f t="shared" si="2"/>
        <v>2.6225834561870576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2893.9308945118287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6665.813875109754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4558.9078229033857</v>
      </c>
      <c r="N52" s="2">
        <f>N8/'Output-Calculation-sheet'!N7*'Output-Calculation-sheet'!N43</f>
        <v>144.00842021840728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30.825237182738817</v>
      </c>
      <c r="Y52" s="2">
        <f>Y8/'Output-Calculation-sheet'!Y7*'Output-Calculation-sheet'!Y43</f>
        <v>0</v>
      </c>
      <c r="AA52" s="2">
        <f t="shared" si="3"/>
        <v>14.293486249926115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482.2919037918881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12500.988514831935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8561.6228772955747</v>
      </c>
      <c r="N53" s="2">
        <f>N9/'Output-Calculation-sheet'!N8*'Output-Calculation-sheet'!N44</f>
        <v>3035.311533216845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947.45116020268154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261.3156841686897</v>
      </c>
      <c r="Y53" s="2">
        <f>Y9/'Output-Calculation-sheet'!Y8*'Output-Calculation-sheet'!Y44</f>
        <v>0</v>
      </c>
      <c r="AA53" s="2">
        <f t="shared" si="3"/>
        <v>25.923656705273974</v>
      </c>
    </row>
    <row r="54" spans="1:27" x14ac:dyDescent="0.25">
      <c r="A54" s="2">
        <v>2033</v>
      </c>
      <c r="B54" s="2">
        <f>B10/'Output-Calculation-sheet'!B9*'Output-Calculation-sheet'!B45</f>
        <v>25241.020443897134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18401.375249061923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12613.099223692891</v>
      </c>
      <c r="N54" s="2">
        <f>N10/'Output-Calculation-sheet'!N9*'Output-Calculation-sheet'!N45</f>
        <v>7038.3084784517923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738.96638193787885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707.9690901886662</v>
      </c>
      <c r="Y54" s="2">
        <f>Y10/'Output-Calculation-sheet'!Y9*'Output-Calculation-sheet'!Y45</f>
        <v>15.616084896390962</v>
      </c>
      <c r="AA54" s="2">
        <f t="shared" si="3"/>
        <v>76.135030689176773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21118.178080336769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3059.705655548677</v>
      </c>
      <c r="L55" s="2">
        <f>L11/'Output-Calculation-sheet'!L10*'Output-Calculation-sheet'!L46</f>
        <v>1130.4972141675739</v>
      </c>
      <c r="M55" s="2">
        <f>M11/'Output-Calculation-sheet'!M10*'Output-Calculation-sheet'!M46</f>
        <v>14826.226424406845</v>
      </c>
      <c r="N55" s="2">
        <f>N11/'Output-Calculation-sheet'!N10*'Output-Calculation-sheet'!N46</f>
        <v>10931.950853181996</v>
      </c>
      <c r="O55" s="2">
        <f>O11/'Output-Calculation-sheet'!O10*'Output-Calculation-sheet'!O46</f>
        <v>243.57527246121427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2473.5481436123378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5542.6593775141591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170.47100959538372</v>
      </c>
    </row>
    <row r="56" spans="1:27" x14ac:dyDescent="0.25">
      <c r="A56" s="2">
        <v>2035</v>
      </c>
      <c r="B56" s="2">
        <f>B12/'Output-Calculation-sheet'!B11*'Output-Calculation-sheet'!B47</f>
        <v>85413.555261374815</v>
      </c>
      <c r="C56" s="2">
        <f>C12/'Output-Calculation-sheet'!C11*'Output-Calculation-sheet'!C47</f>
        <v>293.09698578825578</v>
      </c>
      <c r="D56" s="2">
        <f>D12/'Output-Calculation-sheet'!D11*'Output-Calculation-sheet'!D47</f>
        <v>6874.4702314661645</v>
      </c>
      <c r="E56" s="2">
        <f>E12/'Output-Calculation-sheet'!E11*'Output-Calculation-sheet'!E47</f>
        <v>18989.391220169367</v>
      </c>
      <c r="F56" s="2">
        <f>F12/'Output-Calculation-sheet'!F11*'Output-Calculation-sheet'!F47</f>
        <v>2242.9480902324667</v>
      </c>
      <c r="G56" s="2">
        <f>G12/'Output-Calculation-sheet'!G11*'Output-Calculation-sheet'!G47</f>
        <v>5388.0068072973354</v>
      </c>
      <c r="H56" s="2">
        <f>H12/'Output-Calculation-sheet'!H11*'Output-Calculation-sheet'!H47</f>
        <v>20386.661535490253</v>
      </c>
      <c r="I56" s="2">
        <f>I12/'Output-Calculation-sheet'!I11*'Output-Calculation-sheet'!I47</f>
        <v>2680.6522562394493</v>
      </c>
      <c r="J56" s="2">
        <f>J12/'Output-Calculation-sheet'!J11*'Output-Calculation-sheet'!J47</f>
        <v>2461.1627705506617</v>
      </c>
      <c r="K56" s="2">
        <f>K12/'Output-Calculation-sheet'!K11*'Output-Calculation-sheet'!K47</f>
        <v>3503.4514429251426</v>
      </c>
      <c r="L56" s="2">
        <f>L12/'Output-Calculation-sheet'!L11*'Output-Calculation-sheet'!L47</f>
        <v>1922.9819517618027</v>
      </c>
      <c r="M56" s="2">
        <f>M12/'Output-Calculation-sheet'!M11*'Output-Calculation-sheet'!M47</f>
        <v>14162.366165624</v>
      </c>
      <c r="N56" s="2">
        <f>N12/'Output-Calculation-sheet'!N11*'Output-Calculation-sheet'!N47</f>
        <v>10668.07036770073</v>
      </c>
      <c r="O56" s="2">
        <f>O12/'Output-Calculation-sheet'!O11*'Output-Calculation-sheet'!O47</f>
        <v>1049.5767658450388</v>
      </c>
      <c r="P56" s="2">
        <f>P12/'Output-Calculation-sheet'!P11*'Output-Calculation-sheet'!P47</f>
        <v>5621.8147149668002</v>
      </c>
      <c r="Q56" s="2">
        <f>Q12/'Output-Calculation-sheet'!Q11*'Output-Calculation-sheet'!Q47</f>
        <v>2699.3714779099109</v>
      </c>
      <c r="R56" s="2">
        <f>R12/'Output-Calculation-sheet'!R11*'Output-Calculation-sheet'!R47</f>
        <v>4147.1532353879993</v>
      </c>
      <c r="S56" s="2">
        <f>S12/'Output-Calculation-sheet'!S11*'Output-Calculation-sheet'!S47</f>
        <v>5513.3813328718852</v>
      </c>
      <c r="T56" s="2">
        <f>T12/'Output-Calculation-sheet'!T11*'Output-Calculation-sheet'!T47</f>
        <v>1443.5386965864534</v>
      </c>
      <c r="U56" s="2">
        <f>U12/'Output-Calculation-sheet'!U11*'Output-Calculation-sheet'!U47</f>
        <v>1394.8724327612388</v>
      </c>
      <c r="V56" s="2">
        <f>V12/'Output-Calculation-sheet'!V11*'Output-Calculation-sheet'!V47</f>
        <v>974.07755032988462</v>
      </c>
      <c r="W56" s="2">
        <f>W12/'Output-Calculation-sheet'!W11*'Output-Calculation-sheet'!W47</f>
        <v>563.17297084810093</v>
      </c>
      <c r="X56" s="2">
        <f>X12/'Output-Calculation-sheet'!X11*'Output-Calculation-sheet'!X47</f>
        <v>113.54468879131099</v>
      </c>
      <c r="Y56" s="2">
        <f>Y12/'Output-Calculation-sheet'!Y11*'Output-Calculation-sheet'!Y47</f>
        <v>748.37141019835508</v>
      </c>
      <c r="AA56" s="2">
        <f t="shared" si="3"/>
        <v>199.25569036311742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6.9618058906521423</v>
      </c>
      <c r="C63" s="2">
        <f>C8*'Output-Calculation-sheet'!C52/10^9</f>
        <v>3.7839139911155124</v>
      </c>
      <c r="D63" s="2">
        <f>D8*'Output-Calculation-sheet'!D52/10^9</f>
        <v>1.6300417572446824</v>
      </c>
      <c r="E63" s="2">
        <f>E8*'Output-Calculation-sheet'!E52/10^9</f>
        <v>1.8648396211453202</v>
      </c>
      <c r="F63" s="2">
        <f>F8*'Output-Calculation-sheet'!F52/10^9</f>
        <v>0.87169272143493548</v>
      </c>
      <c r="G63" s="2">
        <f>G8*'Output-Calculation-sheet'!G52/10^9</f>
        <v>0.66489729222246219</v>
      </c>
      <c r="H63" s="2">
        <f>H8*'Output-Calculation-sheet'!H52/10^9</f>
        <v>0.99382311714521765</v>
      </c>
      <c r="I63" s="2">
        <f>I8*'Output-Calculation-sheet'!I52/10^9</f>
        <v>0.52522467750268209</v>
      </c>
      <c r="J63" s="2">
        <f>J8*'Output-Calculation-sheet'!J52/10^9</f>
        <v>0.74249321931328782</v>
      </c>
      <c r="K63" s="2">
        <f>K8*'Output-Calculation-sheet'!K52/10^9</f>
        <v>0.48741034087655388</v>
      </c>
      <c r="L63" s="2">
        <f>L8*'Output-Calculation-sheet'!L52/10^9</f>
        <v>0.57707387180516445</v>
      </c>
      <c r="M63" s="2">
        <f>M8*'Output-Calculation-sheet'!M52/10^9</f>
        <v>0.72765374673096417</v>
      </c>
      <c r="N63" s="2">
        <f>N8*'Output-Calculation-sheet'!N52/10^9</f>
        <v>0.58022800608220015</v>
      </c>
      <c r="O63" s="2">
        <f>O8*'Output-Calculation-sheet'!O52/10^9</f>
        <v>0.68745251602346169</v>
      </c>
      <c r="P63" s="2">
        <f>P8*'Output-Calculation-sheet'!P52/10^9</f>
        <v>0.49570471369634689</v>
      </c>
      <c r="Q63" s="2">
        <f>Q8*'Output-Calculation-sheet'!Q52/10^9</f>
        <v>0.4623846589532965</v>
      </c>
      <c r="R63" s="2">
        <f>R8*'Output-Calculation-sheet'!R52/10^9</f>
        <v>0.41881252834191041</v>
      </c>
      <c r="S63" s="2">
        <f>S8*'Output-Calculation-sheet'!S52/10^9</f>
        <v>0.35534685278594957</v>
      </c>
      <c r="T63" s="2">
        <f>T8*'Output-Calculation-sheet'!T52/10^9</f>
        <v>0.17010516142722182</v>
      </c>
      <c r="U63" s="2">
        <f>U8*'Output-Calculation-sheet'!U52/10^9</f>
        <v>0.13265645658672393</v>
      </c>
      <c r="V63" s="2">
        <f>V8*'Output-Calculation-sheet'!V52/10^9</f>
        <v>0.21963952116101335</v>
      </c>
      <c r="W63" s="2">
        <f>W8*'Output-Calculation-sheet'!W52/10^9</f>
        <v>9.2170723577391381E-2</v>
      </c>
      <c r="X63" s="2">
        <f>X8*'Output-Calculation-sheet'!X52/10^9</f>
        <v>9.6982662203547662E-2</v>
      </c>
      <c r="Y63" s="2">
        <f>Y8*'Output-Calculation-sheet'!Y52/10^9</f>
        <v>5.3225166590733071E-2</v>
      </c>
      <c r="AA63" s="2">
        <f t="shared" si="4"/>
        <v>23.595579214618731</v>
      </c>
    </row>
    <row r="64" spans="1:27" x14ac:dyDescent="0.25">
      <c r="A64" s="2">
        <v>2032</v>
      </c>
      <c r="B64" s="2">
        <f>B9*'Output-Calculation-sheet'!B53/10^9</f>
        <v>7.0731457965505218</v>
      </c>
      <c r="C64" s="2">
        <f>C9*'Output-Calculation-sheet'!C53/10^9</f>
        <v>4.1779102607744729</v>
      </c>
      <c r="D64" s="2">
        <f>D9*'Output-Calculation-sheet'!D53/10^9</f>
        <v>1.4852664158395357</v>
      </c>
      <c r="E64" s="2">
        <f>E9*'Output-Calculation-sheet'!E53/10^9</f>
        <v>1.7342222383173294</v>
      </c>
      <c r="F64" s="2">
        <f>F9*'Output-Calculation-sheet'!F53/10^9</f>
        <v>0.79580532159242667</v>
      </c>
      <c r="G64" s="2">
        <f>G9*'Output-Calculation-sheet'!G53/10^9</f>
        <v>0.5958661197419034</v>
      </c>
      <c r="H64" s="2">
        <f>H9*'Output-Calculation-sheet'!H53/10^9</f>
        <v>1.1097060444937121</v>
      </c>
      <c r="I64" s="2">
        <f>I9*'Output-Calculation-sheet'!I53/10^9</f>
        <v>0.48320655029146586</v>
      </c>
      <c r="J64" s="2">
        <f>J9*'Output-Calculation-sheet'!J53/10^9</f>
        <v>0.64856625541062718</v>
      </c>
      <c r="K64" s="2">
        <f>K9*'Output-Calculation-sheet'!K53/10^9</f>
        <v>0.47878699202539704</v>
      </c>
      <c r="L64" s="2">
        <f>L9*'Output-Calculation-sheet'!L53/10^9</f>
        <v>0.53752031016616053</v>
      </c>
      <c r="M64" s="2">
        <f>M9*'Output-Calculation-sheet'!M53/10^9</f>
        <v>0.80022783398301023</v>
      </c>
      <c r="N64" s="2">
        <f>N9*'Output-Calculation-sheet'!N53/10^9</f>
        <v>0.65406073288050892</v>
      </c>
      <c r="O64" s="2">
        <f>O9*'Output-Calculation-sheet'!O53/10^9</f>
        <v>0.77264323536733492</v>
      </c>
      <c r="P64" s="2">
        <f>P9*'Output-Calculation-sheet'!P53/10^9</f>
        <v>0.51089213830757241</v>
      </c>
      <c r="Q64" s="2">
        <f>Q9*'Output-Calculation-sheet'!Q53/10^9</f>
        <v>0.48459516889682092</v>
      </c>
      <c r="R64" s="2">
        <f>R9*'Output-Calculation-sheet'!R53/10^9</f>
        <v>0.41225444006878265</v>
      </c>
      <c r="S64" s="2">
        <f>S9*'Output-Calculation-sheet'!S53/10^9</f>
        <v>0.38757530851236843</v>
      </c>
      <c r="T64" s="2">
        <f>T9*'Output-Calculation-sheet'!T53/10^9</f>
        <v>0.15410852940096639</v>
      </c>
      <c r="U64" s="2">
        <f>U9*'Output-Calculation-sheet'!U53/10^9</f>
        <v>0.13129964791649179</v>
      </c>
      <c r="V64" s="2">
        <f>V9*'Output-Calculation-sheet'!V53/10^9</f>
        <v>0.19136456589592546</v>
      </c>
      <c r="W64" s="2">
        <f>W9*'Output-Calculation-sheet'!W53/10^9</f>
        <v>8.156594982078072E-2</v>
      </c>
      <c r="X64" s="2">
        <f>X9*'Output-Calculation-sheet'!X53/10^9</f>
        <v>0.10415180410276448</v>
      </c>
      <c r="Y64" s="2">
        <f>Y9*'Output-Calculation-sheet'!Y53/10^9</f>
        <v>5.1880509623896912E-2</v>
      </c>
      <c r="AA64" s="2">
        <f t="shared" si="4"/>
        <v>23.856622169980771</v>
      </c>
    </row>
    <row r="65" spans="1:27" x14ac:dyDescent="0.25">
      <c r="A65" s="2">
        <v>2033</v>
      </c>
      <c r="B65" s="2">
        <f>B10*'Output-Calculation-sheet'!B54/10^9</f>
        <v>7.1843874965614063</v>
      </c>
      <c r="C65" s="2">
        <f>C10*'Output-Calculation-sheet'!C54/10^9</f>
        <v>4.4387033989680731</v>
      </c>
      <c r="D65" s="2">
        <f>D10*'Output-Calculation-sheet'!D54/10^9</f>
        <v>1.2806030651085718</v>
      </c>
      <c r="E65" s="2">
        <f>E10*'Output-Calculation-sheet'!E54/10^9</f>
        <v>1.6308649559672879</v>
      </c>
      <c r="F65" s="2">
        <f>F10*'Output-Calculation-sheet'!F54/10^9</f>
        <v>0.70079594419840385</v>
      </c>
      <c r="G65" s="2">
        <f>G10*'Output-Calculation-sheet'!G54/10^9</f>
        <v>0.49893277056748742</v>
      </c>
      <c r="H65" s="2">
        <f>H10*'Output-Calculation-sheet'!H54/10^9</f>
        <v>1.1723757511229256</v>
      </c>
      <c r="I65" s="2">
        <f>I10*'Output-Calculation-sheet'!I54/10^9</f>
        <v>0.43745989914411221</v>
      </c>
      <c r="J65" s="2">
        <f>J10*'Output-Calculation-sheet'!J54/10^9</f>
        <v>0.51758388077557937</v>
      </c>
      <c r="K65" s="2">
        <f>K10*'Output-Calculation-sheet'!K54/10^9</f>
        <v>0.48435723173037382</v>
      </c>
      <c r="L65" s="2">
        <f>L10*'Output-Calculation-sheet'!L54/10^9</f>
        <v>0.49950338378678089</v>
      </c>
      <c r="M65" s="2">
        <f>M10*'Output-Calculation-sheet'!M54/10^9</f>
        <v>0.83359905411894675</v>
      </c>
      <c r="N65" s="2">
        <f>N10*'Output-Calculation-sheet'!N54/10^9</f>
        <v>0.71032711989958319</v>
      </c>
      <c r="O65" s="2">
        <f>O10*'Output-Calculation-sheet'!O54/10^9</f>
        <v>0.82650857115250809</v>
      </c>
      <c r="P65" s="2">
        <f>P10*'Output-Calculation-sheet'!P54/10^9</f>
        <v>0.52398104462071571</v>
      </c>
      <c r="Q65" s="2">
        <f>Q10*'Output-Calculation-sheet'!Q54/10^9</f>
        <v>0.51709949422500356</v>
      </c>
      <c r="R65" s="2">
        <f>R10*'Output-Calculation-sheet'!R54/10^9</f>
        <v>0.409902864315147</v>
      </c>
      <c r="S65" s="2">
        <f>S10*'Output-Calculation-sheet'!S54/10^9</f>
        <v>0.41141139162770979</v>
      </c>
      <c r="T65" s="2">
        <f>T10*'Output-Calculation-sheet'!T54/10^9</f>
        <v>0.13881134386043245</v>
      </c>
      <c r="U65" s="2">
        <f>U10*'Output-Calculation-sheet'!U54/10^9</f>
        <v>0.13331832911031885</v>
      </c>
      <c r="V65" s="2">
        <f>V10*'Output-Calculation-sheet'!V54/10^9</f>
        <v>0.15708675750765605</v>
      </c>
      <c r="W65" s="2">
        <f>W10*'Output-Calculation-sheet'!W54/10^9</f>
        <v>6.7133201249820335E-2</v>
      </c>
      <c r="X65" s="2">
        <f>X10*'Output-Calculation-sheet'!X54/10^9</f>
        <v>0.10707482575245958</v>
      </c>
      <c r="Y65" s="2">
        <f>Y10*'Output-Calculation-sheet'!Y54/10^9</f>
        <v>5.2079315090795678E-2</v>
      </c>
      <c r="AA65" s="2">
        <f t="shared" si="4"/>
        <v>23.733901090462101</v>
      </c>
    </row>
    <row r="66" spans="1:27" x14ac:dyDescent="0.25">
      <c r="A66" s="2">
        <v>2034</v>
      </c>
      <c r="B66" s="2">
        <f>B11*'Output-Calculation-sheet'!B55/10^9</f>
        <v>7.2666736900138957</v>
      </c>
      <c r="C66" s="2">
        <f>C11*'Output-Calculation-sheet'!C55/10^9</f>
        <v>4.5564327205659136</v>
      </c>
      <c r="D66" s="2">
        <f>D11*'Output-Calculation-sheet'!D55/10^9</f>
        <v>1.3146432058470316</v>
      </c>
      <c r="E66" s="2">
        <f>E11*'Output-Calculation-sheet'!E55/10^9</f>
        <v>1.7027197685535946</v>
      </c>
      <c r="F66" s="2">
        <f>F11*'Output-Calculation-sheet'!F55/10^9</f>
        <v>0.67015587821517353</v>
      </c>
      <c r="G66" s="2">
        <f>G11*'Output-Calculation-sheet'!G55/10^9</f>
        <v>0.48885268650132563</v>
      </c>
      <c r="H66" s="2">
        <f>H11*'Output-Calculation-sheet'!H55/10^9</f>
        <v>1.2198635957624973</v>
      </c>
      <c r="I66" s="2">
        <f>I11*'Output-Calculation-sheet'!I55/10^9</f>
        <v>0.45443937203177304</v>
      </c>
      <c r="J66" s="2">
        <f>J11*'Output-Calculation-sheet'!J55/10^9</f>
        <v>0.45753511586113754</v>
      </c>
      <c r="K66" s="2">
        <f>K11*'Output-Calculation-sheet'!K55/10^9</f>
        <v>0.52097807060242318</v>
      </c>
      <c r="L66" s="2">
        <f>L11*'Output-Calculation-sheet'!L55/10^9</f>
        <v>0.50507069972431173</v>
      </c>
      <c r="M66" s="2">
        <f>M11*'Output-Calculation-sheet'!M55/10^9</f>
        <v>0.85679950260483961</v>
      </c>
      <c r="N66" s="2">
        <f>N11*'Output-Calculation-sheet'!N55/10^9</f>
        <v>0.74505423769117674</v>
      </c>
      <c r="O66" s="2">
        <f>O11*'Output-Calculation-sheet'!O55/10^9</f>
        <v>0.8498486193521374</v>
      </c>
      <c r="P66" s="2">
        <f>P11*'Output-Calculation-sheet'!P55/10^9</f>
        <v>0.54494740813124609</v>
      </c>
      <c r="Q66" s="2">
        <f>Q11*'Output-Calculation-sheet'!Q55/10^9</f>
        <v>0.56052573076731516</v>
      </c>
      <c r="R66" s="2">
        <f>R11*'Output-Calculation-sheet'!R55/10^9</f>
        <v>0.41471217761232493</v>
      </c>
      <c r="S66" s="2">
        <f>S11*'Output-Calculation-sheet'!S55/10^9</f>
        <v>0.43050553871426606</v>
      </c>
      <c r="T66" s="2">
        <f>T11*'Output-Calculation-sheet'!T55/10^9</f>
        <v>0.12994372726103823</v>
      </c>
      <c r="U66" s="2">
        <f>U11*'Output-Calculation-sheet'!U55/10^9</f>
        <v>0.1414245414134794</v>
      </c>
      <c r="V66" s="2">
        <f>V11*'Output-Calculation-sheet'!V55/10^9</f>
        <v>0.12280540939138995</v>
      </c>
      <c r="W66" s="2">
        <f>W11*'Output-Calculation-sheet'!W55/10^9</f>
        <v>6.0163861783458644E-2</v>
      </c>
      <c r="X66" s="2">
        <f>X11*'Output-Calculation-sheet'!X55/10^9</f>
        <v>0.10627123307396269</v>
      </c>
      <c r="Y66" s="2">
        <f>Y11*'Output-Calculation-sheet'!Y55/10^9</f>
        <v>5.7726629328472112E-2</v>
      </c>
      <c r="AA66" s="2">
        <f t="shared" si="4"/>
        <v>24.178093420804181</v>
      </c>
    </row>
    <row r="67" spans="1:27" x14ac:dyDescent="0.25">
      <c r="A67" s="2">
        <v>2035</v>
      </c>
      <c r="B67" s="2">
        <f>B12*'Output-Calculation-sheet'!B56/10^9</f>
        <v>7.5542260310006828</v>
      </c>
      <c r="C67" s="2">
        <f>C12*'Output-Calculation-sheet'!C56/10^9</f>
        <v>4.5625707251750169</v>
      </c>
      <c r="D67" s="2">
        <f>D12*'Output-Calculation-sheet'!D56/10^9</f>
        <v>1.4964169224848214</v>
      </c>
      <c r="E67" s="2">
        <f>E12*'Output-Calculation-sheet'!E56/10^9</f>
        <v>2.0491189850317144</v>
      </c>
      <c r="F67" s="2">
        <f>F12*'Output-Calculation-sheet'!F56/10^9</f>
        <v>0.8034084961430602</v>
      </c>
      <c r="G67" s="2">
        <f>G12*'Output-Calculation-sheet'!G56/10^9</f>
        <v>0.59195111873693751</v>
      </c>
      <c r="H67" s="2">
        <f>H12*'Output-Calculation-sheet'!H56/10^9</f>
        <v>1.2605447940301704</v>
      </c>
      <c r="I67" s="2">
        <f>I12*'Output-Calculation-sheet'!I56/10^9</f>
        <v>0.54242824621267161</v>
      </c>
      <c r="J67" s="2">
        <f>J12*'Output-Calculation-sheet'!J56/10^9</f>
        <v>0.49668326610020441</v>
      </c>
      <c r="K67" s="2">
        <f>K12*'Output-Calculation-sheet'!K56/10^9</f>
        <v>0.59495540691368298</v>
      </c>
      <c r="L67" s="2">
        <f>L12*'Output-Calculation-sheet'!L56/10^9</f>
        <v>0.55446408512092338</v>
      </c>
      <c r="M67" s="2">
        <f>M12*'Output-Calculation-sheet'!M56/10^9</f>
        <v>0.89177713125435409</v>
      </c>
      <c r="N67" s="2">
        <f>N12*'Output-Calculation-sheet'!N56/10^9</f>
        <v>0.76166276007882916</v>
      </c>
      <c r="O67" s="2">
        <f>O12*'Output-Calculation-sheet'!O56/10^9</f>
        <v>0.84256409682258349</v>
      </c>
      <c r="P67" s="2">
        <f>P12*'Output-Calculation-sheet'!P56/10^9</f>
        <v>0.61816378587362941</v>
      </c>
      <c r="Q67" s="2">
        <f>Q12*'Output-Calculation-sheet'!Q56/10^9</f>
        <v>0.58393928860719324</v>
      </c>
      <c r="R67" s="2">
        <f>R12*'Output-Calculation-sheet'!R56/10^9</f>
        <v>0.45805187030550432</v>
      </c>
      <c r="S67" s="2">
        <f>S12*'Output-Calculation-sheet'!S56/10^9</f>
        <v>0.44247350993263418</v>
      </c>
      <c r="T67" s="2">
        <f>T12*'Output-Calculation-sheet'!T56/10^9</f>
        <v>0.14254269128167221</v>
      </c>
      <c r="U67" s="2">
        <f>U12*'Output-Calculation-sheet'!U56/10^9</f>
        <v>0.15409742574872753</v>
      </c>
      <c r="V67" s="2">
        <f>V12*'Output-Calculation-sheet'!V56/10^9</f>
        <v>0.10993294335545675</v>
      </c>
      <c r="W67" s="2">
        <f>W12*'Output-Calculation-sheet'!W56/10^9</f>
        <v>7.4623549142568107E-2</v>
      </c>
      <c r="X67" s="2">
        <f>X12*'Output-Calculation-sheet'!X56/10^9</f>
        <v>0.1064466635757876</v>
      </c>
      <c r="Y67" s="2">
        <f>Y12*'Output-Calculation-sheet'!Y56/10^9</f>
        <v>6.9632635958489356E-2</v>
      </c>
      <c r="AA67" s="2">
        <f t="shared" si="4"/>
        <v>25.762676428887318</v>
      </c>
    </row>
    <row r="68" spans="1:27" x14ac:dyDescent="0.25">
      <c r="B68" s="2">
        <f>SUM(B60:B67)</f>
        <v>36.040238904778647</v>
      </c>
      <c r="C68" s="2">
        <f t="shared" ref="C68:Y68" si="5">SUM(C60:C67)</f>
        <v>21.519531096598993</v>
      </c>
      <c r="D68" s="2">
        <f t="shared" si="5"/>
        <v>7.2069713665246429</v>
      </c>
      <c r="E68" s="2">
        <f t="shared" si="5"/>
        <v>8.9817655690152467</v>
      </c>
      <c r="F68" s="2">
        <f t="shared" si="5"/>
        <v>3.8418583615839994</v>
      </c>
      <c r="G68" s="2">
        <f t="shared" si="5"/>
        <v>2.8404999877701163</v>
      </c>
      <c r="H68" s="2">
        <f t="shared" si="5"/>
        <v>5.7563133025545223</v>
      </c>
      <c r="I68" s="2">
        <f t="shared" si="5"/>
        <v>2.4427587451827044</v>
      </c>
      <c r="J68" s="2">
        <f t="shared" si="5"/>
        <v>2.8628617374608365</v>
      </c>
      <c r="K68" s="2">
        <f t="shared" si="5"/>
        <v>2.5664880421484311</v>
      </c>
      <c r="L68" s="2">
        <f t="shared" si="5"/>
        <v>2.673632350603341</v>
      </c>
      <c r="M68" s="2">
        <f t="shared" si="5"/>
        <v>4.1100572686921151</v>
      </c>
      <c r="N68" s="2">
        <f t="shared" si="5"/>
        <v>3.4513328566322978</v>
      </c>
      <c r="O68" s="2">
        <f t="shared" si="5"/>
        <v>3.9790170387180255</v>
      </c>
      <c r="P68" s="2">
        <f t="shared" si="5"/>
        <v>2.6936890906295106</v>
      </c>
      <c r="Q68" s="2">
        <f t="shared" si="5"/>
        <v>2.6085443414496292</v>
      </c>
      <c r="R68" s="2">
        <f t="shared" si="5"/>
        <v>2.1137338806436694</v>
      </c>
      <c r="S68" s="2">
        <f t="shared" si="5"/>
        <v>2.0273126015729281</v>
      </c>
      <c r="T68" s="2">
        <f t="shared" si="5"/>
        <v>0.73551145323133105</v>
      </c>
      <c r="U68" s="2">
        <f t="shared" si="5"/>
        <v>0.69279640077574145</v>
      </c>
      <c r="V68" s="2">
        <f t="shared" si="5"/>
        <v>0.80082919731144164</v>
      </c>
      <c r="W68" s="2">
        <f t="shared" si="5"/>
        <v>0.37565728557401923</v>
      </c>
      <c r="X68" s="2">
        <f t="shared" si="5"/>
        <v>0.52092718870852206</v>
      </c>
      <c r="Y68" s="2">
        <f t="shared" si="5"/>
        <v>0.28454425659238713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775.97626587485104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1415.1485120750342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954.32982532571975</v>
      </c>
      <c r="N74" s="2">
        <f>N8/'Output-Calculation-sheet'!N7*'Output-Calculation-sheet'!N61</f>
        <v>39.563123395065851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8.4684963484011373</v>
      </c>
      <c r="Y74" s="2">
        <f>Y8/'Output-Calculation-sheet'!Y7*'Output-Calculation-sheet'!Y61</f>
        <v>0</v>
      </c>
      <c r="AA74" s="2">
        <f t="shared" si="6"/>
        <v>3.1934862230190721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132.49578830036572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2379.2577411086681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1616.8334046501966</v>
      </c>
      <c r="N75" s="2">
        <f>N9/'Output-Calculation-sheet'!N8*'Output-Calculation-sheet'!N62</f>
        <v>622.67041146446206</v>
      </c>
      <c r="O75" s="2">
        <f>O9/'Output-Calculation-sheet'!O8*'Output-Calculation-sheet'!O62</f>
        <v>0</v>
      </c>
      <c r="P75" s="2">
        <f>P9/'Output-Calculation-sheet'!P8*'Output-Calculation-sheet'!P62</f>
        <v>49.331196569727943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209.23728361667654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56.786107230279136</v>
      </c>
      <c r="Y75" s="2">
        <f>Y9/'Output-Calculation-sheet'!Y8*'Output-Calculation-sheet'!Y62</f>
        <v>0</v>
      </c>
      <c r="AA75" s="2">
        <f t="shared" si="6"/>
        <v>5.0666119329403765</v>
      </c>
    </row>
    <row r="76" spans="1:27" x14ac:dyDescent="0.25">
      <c r="A76" s="2">
        <v>2033</v>
      </c>
      <c r="B76" s="2">
        <f>B10/'Output-Calculation-sheet'!B9*'Output-Calculation-sheet'!B63</f>
        <v>5081.8720013589536</v>
      </c>
      <c r="C76" s="2">
        <f>C10/'Output-Calculation-sheet'!C9*'Output-Calculation-sheet'!C63</f>
        <v>1024.7205478119754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3313.1253182411692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2261.2242023203567</v>
      </c>
      <c r="N76" s="2">
        <f>N10/'Output-Calculation-sheet'!N9*'Output-Calculation-sheet'!N63</f>
        <v>1287.8850648503117</v>
      </c>
      <c r="O76" s="2">
        <f>O10/'Output-Calculation-sheet'!O9*'Output-Calculation-sheet'!O63</f>
        <v>0</v>
      </c>
      <c r="P76" s="2">
        <f>P10/'Output-Calculation-sheet'!P9*'Output-Calculation-sheet'!P63</f>
        <v>446.61292436860083</v>
      </c>
      <c r="Q76" s="2">
        <f>Q10/'Output-Calculation-sheet'!Q9*'Output-Calculation-sheet'!Q63</f>
        <v>203.01234616820207</v>
      </c>
      <c r="R76" s="2">
        <f>R10/'Output-Calculation-sheet'!R9*'Output-Calculation-sheet'!R63</f>
        <v>338.91896405606428</v>
      </c>
      <c r="S76" s="2">
        <f>S10/'Output-Calculation-sheet'!S9*'Output-Calculation-sheet'!S63</f>
        <v>575.93724328259384</v>
      </c>
      <c r="T76" s="2">
        <f>T10/'Output-Calculation-sheet'!T9*'Output-Calculation-sheet'!T63</f>
        <v>22.330819242671822</v>
      </c>
      <c r="U76" s="2">
        <f>U10/'Output-Calculation-sheet'!U9*'Output-Calculation-sheet'!U63</f>
        <v>120.4408952870396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129.72235178796731</v>
      </c>
      <c r="Y76" s="2">
        <f>Y10/'Output-Calculation-sheet'!Y9*'Output-Calculation-sheet'!Y63</f>
        <v>5.7201296919131543</v>
      </c>
      <c r="AA76" s="2">
        <f t="shared" si="6"/>
        <v>14.905165264180333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1743.072292696914</v>
      </c>
      <c r="D77" s="2">
        <f>D11/'Output-Calculation-sheet'!D10*'Output-Calculation-sheet'!D64</f>
        <v>1481.3142341891726</v>
      </c>
      <c r="E77" s="2">
        <f>E11/'Output-Calculation-sheet'!E10*'Output-Calculation-sheet'!E64</f>
        <v>1852.7196592265852</v>
      </c>
      <c r="F77" s="2">
        <f>F11/'Output-Calculation-sheet'!F10*'Output-Calculation-sheet'!F64</f>
        <v>131.82558699380226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3917.1389541116341</v>
      </c>
      <c r="I77" s="2">
        <f>I11/'Output-Calculation-sheet'!I10*'Output-Calculation-sheet'!I64</f>
        <v>459.78197938575488</v>
      </c>
      <c r="J77" s="2">
        <f>J11/'Output-Calculation-sheet'!J10*'Output-Calculation-sheet'!J64</f>
        <v>324.19332840195852</v>
      </c>
      <c r="K77" s="2">
        <f>K11/'Output-Calculation-sheet'!K10*'Output-Calculation-sheet'!K64</f>
        <v>705.72376387320548</v>
      </c>
      <c r="L77" s="2">
        <f>L11/'Output-Calculation-sheet'!L10*'Output-Calculation-sheet'!L64</f>
        <v>289.08193425888715</v>
      </c>
      <c r="M77" s="2">
        <f>M11/'Output-Calculation-sheet'!M10*'Output-Calculation-sheet'!M64</f>
        <v>2768.3322988542686</v>
      </c>
      <c r="N77" s="2">
        <f>N11/'Output-Calculation-sheet'!N10*'Output-Calculation-sheet'!N64</f>
        <v>1918.7205095337422</v>
      </c>
      <c r="O77" s="2">
        <f>O11/'Output-Calculation-sheet'!O10*'Output-Calculation-sheet'!O64</f>
        <v>69.718944255396465</v>
      </c>
      <c r="P77" s="2">
        <f>P11/'Output-Calculation-sheet'!P10*'Output-Calculation-sheet'!P64</f>
        <v>870.19805676719966</v>
      </c>
      <c r="Q77" s="2">
        <f>Q11/'Output-Calculation-sheet'!Q10*'Output-Calculation-sheet'!Q64</f>
        <v>498.202191261069</v>
      </c>
      <c r="R77" s="2">
        <f>R11/'Output-Calculation-sheet'!R10*'Output-Calculation-sheet'!R64</f>
        <v>743.23070985657989</v>
      </c>
      <c r="S77" s="2">
        <f>S11/'Output-Calculation-sheet'!S10*'Output-Calculation-sheet'!S64</f>
        <v>984.73353083354891</v>
      </c>
      <c r="T77" s="2">
        <f>T11/'Output-Calculation-sheet'!T10*'Output-Calculation-sheet'!T64</f>
        <v>205.5175887438138</v>
      </c>
      <c r="U77" s="2">
        <f>U11/'Output-Calculation-sheet'!U10*'Output-Calculation-sheet'!U64</f>
        <v>272.57058796262231</v>
      </c>
      <c r="V77" s="2">
        <f>V11/'Output-Calculation-sheet'!V10*'Output-Calculation-sheet'!V64</f>
        <v>107.2761249407868</v>
      </c>
      <c r="W77" s="2">
        <f>W11/'Output-Calculation-sheet'!W10*'Output-Calculation-sheet'!W64</f>
        <v>23.373367996740026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32.434710462794442</v>
      </c>
    </row>
    <row r="78" spans="1:27" x14ac:dyDescent="0.25">
      <c r="A78" s="2">
        <v>2035</v>
      </c>
      <c r="B78" s="2">
        <f>B12/'Output-Calculation-sheet'!B11*'Output-Calculation-sheet'!B65</f>
        <v>14639.083339793959</v>
      </c>
      <c r="C78" s="2">
        <f>C12/'Output-Calculation-sheet'!C11*'Output-Calculation-sheet'!C65</f>
        <v>53.83360458373545</v>
      </c>
      <c r="D78" s="2">
        <f>D12/'Output-Calculation-sheet'!D11*'Output-Calculation-sheet'!D65</f>
        <v>1529.2789921904211</v>
      </c>
      <c r="E78" s="2">
        <f>E12/'Output-Calculation-sheet'!E11*'Output-Calculation-sheet'!E65</f>
        <v>2905.8726873681135</v>
      </c>
      <c r="F78" s="2">
        <f>F12/'Output-Calculation-sheet'!F11*'Output-Calculation-sheet'!F65</f>
        <v>621.232702784568</v>
      </c>
      <c r="G78" s="2">
        <f>G12/'Output-Calculation-sheet'!G11*'Output-Calculation-sheet'!G65</f>
        <v>1184.177136975946</v>
      </c>
      <c r="H78" s="2">
        <f>H12/'Output-Calculation-sheet'!H11*'Output-Calculation-sheet'!H65</f>
        <v>3790.9440840481325</v>
      </c>
      <c r="I78" s="2">
        <f>I12/'Output-Calculation-sheet'!I11*'Output-Calculation-sheet'!I65</f>
        <v>685.54430662341542</v>
      </c>
      <c r="J78" s="2">
        <f>J12/'Output-Calculation-sheet'!J11*'Output-Calculation-sheet'!J65</f>
        <v>628.02587978422514</v>
      </c>
      <c r="K78" s="2">
        <f>K12/'Output-Calculation-sheet'!K11*'Output-Calculation-sheet'!K65</f>
        <v>780.7265200579003</v>
      </c>
      <c r="L78" s="2">
        <f>L12/'Output-Calculation-sheet'!L11*'Output-Calculation-sheet'!L65</f>
        <v>457.14401128249614</v>
      </c>
      <c r="M78" s="2">
        <f>M12/'Output-Calculation-sheet'!M11*'Output-Calculation-sheet'!M65</f>
        <v>2655.0053677009055</v>
      </c>
      <c r="N78" s="2">
        <f>N12/'Output-Calculation-sheet'!N11*'Output-Calculation-sheet'!N65</f>
        <v>1869.0269856293248</v>
      </c>
      <c r="O78" s="2">
        <f>O12/'Output-Calculation-sheet'!O11*'Output-Calculation-sheet'!O65</f>
        <v>276.13472356667069</v>
      </c>
      <c r="P78" s="2">
        <f>P12/'Output-Calculation-sheet'!P11*'Output-Calculation-sheet'!P65</f>
        <v>1071.7457187679747</v>
      </c>
      <c r="Q78" s="2">
        <f>Q12/'Output-Calculation-sheet'!Q11*'Output-Calculation-sheet'!Q65</f>
        <v>522.61204238863218</v>
      </c>
      <c r="R78" s="2">
        <f>R12/'Output-Calculation-sheet'!R11*'Output-Calculation-sheet'!R65</f>
        <v>895.53742493373784</v>
      </c>
      <c r="S78" s="2">
        <f>S12/'Output-Calculation-sheet'!S11*'Output-Calculation-sheet'!S65</f>
        <v>1007.4635486260919</v>
      </c>
      <c r="T78" s="2">
        <f>T12/'Output-Calculation-sheet'!T11*'Output-Calculation-sheet'!T65</f>
        <v>317.26117478884953</v>
      </c>
      <c r="U78" s="2">
        <f>U12/'Output-Calculation-sheet'!U11*'Output-Calculation-sheet'!U65</f>
        <v>273.92326115739178</v>
      </c>
      <c r="V78" s="2">
        <f>V12/'Output-Calculation-sheet'!V11*'Output-Calculation-sheet'!V65</f>
        <v>173.00987519836443</v>
      </c>
      <c r="W78" s="2">
        <f>W12/'Output-Calculation-sheet'!W11*'Output-Calculation-sheet'!W65</f>
        <v>123.77430172338345</v>
      </c>
      <c r="X78" s="2">
        <f>X12/'Output-Calculation-sheet'!X11*'Output-Calculation-sheet'!X65</f>
        <v>22.696231324870155</v>
      </c>
      <c r="Y78" s="2">
        <f>Y12/'Output-Calculation-sheet'!Y11*'Output-Calculation-sheet'!Y65</f>
        <v>118.51950862331805</v>
      </c>
      <c r="AA78" s="2">
        <f t="shared" si="6"/>
        <v>36.602573429922423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25.516355995752793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2.5516355995752794E-2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282.88959995028199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0.28288959995028201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360.16735413405394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0.36016735413405393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22.703141119760016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4.8818657966436767</v>
      </c>
      <c r="N88" s="2">
        <f>N11/'Output-Calculation-sheet'!N10*'Output-Calculation-sheet'!N73</f>
        <v>4.7980823618249628</v>
      </c>
      <c r="O88" s="2">
        <f>O11/'Output-Calculation-sheet'!O10*'Output-Calculation-sheet'!O73</f>
        <v>412.82426692874918</v>
      </c>
      <c r="P88" s="2">
        <f>P11/'Output-Calculation-sheet'!P10*'Output-Calculation-sheet'!P73</f>
        <v>0</v>
      </c>
      <c r="Q88" s="2">
        <f>Q11/'Output-Calculation-sheet'!Q10*'Output-Calculation-sheet'!Q73</f>
        <v>17.656190012188677</v>
      </c>
      <c r="R88" s="2">
        <f>R11/'Output-Calculation-sheet'!R10*'Output-Calculation-sheet'!R73</f>
        <v>0</v>
      </c>
      <c r="S88" s="2">
        <f>S11/'Output-Calculation-sheet'!S10*'Output-Calculation-sheet'!S73</f>
        <v>0.55008528955082958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0.46341363150871734</v>
      </c>
    </row>
    <row r="89" spans="1:27" x14ac:dyDescent="0.25">
      <c r="A89" s="2">
        <v>2035</v>
      </c>
      <c r="B89" s="2">
        <f>B12/'Output-Calculation-sheet'!B11*'Output-Calculation-sheet'!B74</f>
        <v>285.72571631624248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96.878103600143234</v>
      </c>
      <c r="E89" s="2">
        <f>E12/'Output-Calculation-sheet'!E11*'Output-Calculation-sheet'!E74</f>
        <v>104.7095850609404</v>
      </c>
      <c r="F89" s="2">
        <f>F12/'Output-Calculation-sheet'!F11*'Output-Calculation-sheet'!F74</f>
        <v>40.675224434267527</v>
      </c>
      <c r="G89" s="2">
        <f>G12/'Output-Calculation-sheet'!G11*'Output-Calculation-sheet'!G74</f>
        <v>36.142460523666337</v>
      </c>
      <c r="H89" s="2">
        <f>H12/'Output-Calculation-sheet'!H11*'Output-Calculation-sheet'!H74</f>
        <v>138.70309387380249</v>
      </c>
      <c r="I89" s="2">
        <f>I12/'Output-Calculation-sheet'!I11*'Output-Calculation-sheet'!I74</f>
        <v>33.758214047791576</v>
      </c>
      <c r="J89" s="2">
        <f>J12/'Output-Calculation-sheet'!J11*'Output-Calculation-sheet'!J74</f>
        <v>19.798192221624227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26.382374338195465</v>
      </c>
      <c r="M89" s="2">
        <f>M12/'Output-Calculation-sheet'!M11*'Output-Calculation-sheet'!M74</f>
        <v>80.615405418037682</v>
      </c>
      <c r="N89" s="2">
        <f>N12/'Output-Calculation-sheet'!N11*'Output-Calculation-sheet'!N74</f>
        <v>60.106935655476192</v>
      </c>
      <c r="O89" s="2">
        <f>O12/'Output-Calculation-sheet'!O11*'Output-Calculation-sheet'!O74</f>
        <v>432.57860227945321</v>
      </c>
      <c r="P89" s="2">
        <f>P12/'Output-Calculation-sheet'!P11*'Output-Calculation-sheet'!P74</f>
        <v>32.812148141829574</v>
      </c>
      <c r="Q89" s="2">
        <f>Q12/'Output-Calculation-sheet'!Q11*'Output-Calculation-sheet'!Q74</f>
        <v>50.269111175975283</v>
      </c>
      <c r="R89" s="2">
        <f>R12/'Output-Calculation-sheet'!R11*'Output-Calculation-sheet'!R74</f>
        <v>19.782261187693184</v>
      </c>
      <c r="S89" s="2">
        <f>S12/'Output-Calculation-sheet'!S11*'Output-Calculation-sheet'!S74</f>
        <v>26.624604485982971</v>
      </c>
      <c r="T89" s="2">
        <f>T12/'Output-Calculation-sheet'!T11*'Output-Calculation-sheet'!T74</f>
        <v>4.6839625117386445</v>
      </c>
      <c r="U89" s="2">
        <f>U12/'Output-Calculation-sheet'!U11*'Output-Calculation-sheet'!U74</f>
        <v>8.6558975568319241</v>
      </c>
      <c r="V89" s="2">
        <f>V12/'Output-Calculation-sheet'!V11*'Output-Calculation-sheet'!V74</f>
        <v>1.1778446799635849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0.40660586854542879</v>
      </c>
      <c r="Y89" s="2">
        <f>Y12/'Output-Calculation-sheet'!Y11*'Output-Calculation-sheet'!Y74</f>
        <v>3.8257287977108203</v>
      </c>
      <c r="AA89" s="2">
        <f t="shared" si="7"/>
        <v>1.5510696539117059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11552546401.729856</v>
      </c>
      <c r="C96" s="2">
        <f>C8/'Output-Calculation-sheet'!C7*'Output-Calculation-sheet'!C79</f>
        <v>3908286508.8653178</v>
      </c>
      <c r="D96" s="2">
        <f>D8/'Output-Calculation-sheet'!D7*'Output-Calculation-sheet'!D79</f>
        <v>4079972978.4583426</v>
      </c>
      <c r="E96" s="2">
        <f>E8/'Output-Calculation-sheet'!E7*'Output-Calculation-sheet'!E79</f>
        <v>7253855816.0000401</v>
      </c>
      <c r="F96" s="2">
        <f>F8/'Output-Calculation-sheet'!F7*'Output-Calculation-sheet'!F79</f>
        <v>3002298761.7117457</v>
      </c>
      <c r="G96" s="2">
        <f>G8/'Output-Calculation-sheet'!G7*'Output-Calculation-sheet'!G79</f>
        <v>2338548967.2949257</v>
      </c>
      <c r="H96" s="2">
        <f>H8/'Output-Calculation-sheet'!H7*'Output-Calculation-sheet'!H79</f>
        <v>2001668704.0237584</v>
      </c>
      <c r="I96" s="2">
        <f>I8/'Output-Calculation-sheet'!I7*'Output-Calculation-sheet'!I79</f>
        <v>1629043936.7345936</v>
      </c>
      <c r="J96" s="2">
        <f>J8/'Output-Calculation-sheet'!J7*'Output-Calculation-sheet'!J79</f>
        <v>1101598487.8165765</v>
      </c>
      <c r="K96" s="2">
        <f>K8/'Output-Calculation-sheet'!K7*'Output-Calculation-sheet'!K79</f>
        <v>1576061155.8006659</v>
      </c>
      <c r="L96" s="2">
        <f>L8/'Output-Calculation-sheet'!L7*'Output-Calculation-sheet'!L79</f>
        <v>1112070057.7491746</v>
      </c>
      <c r="M96" s="2">
        <f>M8/'Output-Calculation-sheet'!M7*'Output-Calculation-sheet'!M79</f>
        <v>1494205222.9874172</v>
      </c>
      <c r="N96" s="2">
        <f>N8/'Output-Calculation-sheet'!N7*'Output-Calculation-sheet'!N79</f>
        <v>1111806070.9478424</v>
      </c>
      <c r="O96" s="2">
        <f>O8/'Output-Calculation-sheet'!O7*'Output-Calculation-sheet'!O79</f>
        <v>562055067.55292571</v>
      </c>
      <c r="P96" s="2">
        <f>P8/'Output-Calculation-sheet'!P7*'Output-Calculation-sheet'!P79</f>
        <v>1879968516.3718922</v>
      </c>
      <c r="Q96" s="2">
        <f>Q8/'Output-Calculation-sheet'!Q7*'Output-Calculation-sheet'!Q79</f>
        <v>876144268.17595232</v>
      </c>
      <c r="R96" s="2">
        <f>R8/'Output-Calculation-sheet'!R7*'Output-Calculation-sheet'!R79</f>
        <v>1093095986.2188568</v>
      </c>
      <c r="S96" s="2">
        <f>S8/'Output-Calculation-sheet'!S7*'Output-Calculation-sheet'!S79</f>
        <v>636928020.00465822</v>
      </c>
      <c r="T96" s="2">
        <f>T8/'Output-Calculation-sheet'!T7*'Output-Calculation-sheet'!T79</f>
        <v>486464112.56442833</v>
      </c>
      <c r="U96" s="2">
        <f>U8/'Output-Calculation-sheet'!U7*'Output-Calculation-sheet'!U79</f>
        <v>305584845.0078187</v>
      </c>
      <c r="V96" s="2">
        <f>V8/'Output-Calculation-sheet'!V7*'Output-Calculation-sheet'!V79</f>
        <v>158552640.66084725</v>
      </c>
      <c r="W96" s="2">
        <f>W8/'Output-Calculation-sheet'!W7*'Output-Calculation-sheet'!W79</f>
        <v>468514053.90583521</v>
      </c>
      <c r="X96" s="2">
        <f>X8/'Output-Calculation-sheet'!X7*'Output-Calculation-sheet'!X79</f>
        <v>164668518.76364681</v>
      </c>
      <c r="Y96" s="2">
        <f>Y8/'Output-Calculation-sheet'!Y7*'Output-Calculation-sheet'!Y79</f>
        <v>257539317.63813341</v>
      </c>
      <c r="AA96" s="2">
        <f t="shared" si="8"/>
        <v>49.051478416985269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1348.4579659752544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261.96792155639537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31.333904462982034</v>
      </c>
      <c r="Y107" s="2">
        <f>Y8/'Output-Calculation-sheet'!Y7*'Output-Calculation-sheet'!Y88</f>
        <v>0</v>
      </c>
      <c r="AA107" s="2">
        <f t="shared" si="9"/>
        <v>1.6417597919946318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2499.570539844497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2.5410577721764334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3.3029442236627444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3.9702243167481814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109.58028157299306</v>
      </c>
      <c r="Y111" s="2">
        <f>Y12/'Output-Calculation-sheet'!Y11*'Output-Calculation-sheet'!Y92</f>
        <v>0</v>
      </c>
      <c r="AA111" s="2">
        <f t="shared" si="9"/>
        <v>5.1622223500123274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1351704686.6906948</v>
      </c>
      <c r="C118" s="2">
        <f>C8/'Output-Calculation-sheet'!C7*'Output-Calculation-sheet'!C97</f>
        <v>11160709370.356754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6945605549.9436169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4791879511.9330416</v>
      </c>
      <c r="N118" s="2">
        <f>N8/'Output-Calculation-sheet'!N7*'Output-Calculation-sheet'!N97</f>
        <v>1603921123.5534387</v>
      </c>
      <c r="O118" s="2">
        <f>O8/'Output-Calculation-sheet'!O7*'Output-Calculation-sheet'!O97</f>
        <v>1888351534.1888833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480718516.32477319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260919762.33274052</v>
      </c>
      <c r="Y118" s="2">
        <f>Y8/'Output-Calculation-sheet'!Y7*'Output-Calculation-sheet'!Y97</f>
        <v>0</v>
      </c>
      <c r="AA118" s="2">
        <f t="shared" si="10"/>
        <v>28483.810055323946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8675564151.2736721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2979813796.738801</v>
      </c>
      <c r="O119" s="2">
        <f>O9/'Output-Calculation-sheet'!O8*'Output-Calculation-sheet'!O98</f>
        <v>3218172810.2471428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893359004.06919408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348986395.77349246</v>
      </c>
      <c r="Y119" s="2">
        <f>Y9/'Output-Calculation-sheet'!Y8*'Output-Calculation-sheet'!Y98</f>
        <v>0</v>
      </c>
      <c r="AA119" s="2">
        <f t="shared" si="10"/>
        <v>37536.792017661886</v>
      </c>
    </row>
    <row r="120" spans="1:27" x14ac:dyDescent="0.25">
      <c r="A120" s="2">
        <v>2033</v>
      </c>
      <c r="B120" s="2">
        <f>B10/'Output-Calculation-sheet'!B9*'Output-Calculation-sheet'!B99</f>
        <v>15111915924.852039</v>
      </c>
      <c r="C120" s="2">
        <f>C10/'Output-Calculation-sheet'!C9*'Output-Calculation-sheet'!C99</f>
        <v>8745803423.7248726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4533795222.1456766</v>
      </c>
      <c r="O120" s="2">
        <f>O10/'Output-Calculation-sheet'!O9*'Output-Calculation-sheet'!O99</f>
        <v>3535106569.9495702</v>
      </c>
      <c r="P120" s="2">
        <f>P10/'Output-Calculation-sheet'!P9*'Output-Calculation-sheet'!P99</f>
        <v>0</v>
      </c>
      <c r="Q120" s="2">
        <f>Q10/'Output-Calculation-sheet'!Q9*'Output-Calculation-sheet'!Q99</f>
        <v>148653773.12919122</v>
      </c>
      <c r="R120" s="2">
        <f>R10/'Output-Calculation-sheet'!R9*'Output-Calculation-sheet'!R99</f>
        <v>0</v>
      </c>
      <c r="S120" s="2">
        <f>S10/'Output-Calculation-sheet'!S9*'Output-Calculation-sheet'!S99</f>
        <v>1826244211.7122836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496827778.23532289</v>
      </c>
      <c r="Y120" s="2">
        <f>Y10/'Output-Calculation-sheet'!Y9*'Output-Calculation-sheet'!Y99</f>
        <v>0</v>
      </c>
      <c r="AA120" s="2">
        <f t="shared" si="10"/>
        <v>53321.420195362385</v>
      </c>
    </row>
    <row r="121" spans="1:27" x14ac:dyDescent="0.25">
      <c r="A121" s="2">
        <v>2034</v>
      </c>
      <c r="B121" s="2">
        <f>B11/'Output-Calculation-sheet'!B10*'Output-Calculation-sheet'!B100</f>
        <v>34162189609.677658</v>
      </c>
      <c r="C121" s="2">
        <f>C11/'Output-Calculation-sheet'!C10*'Output-Calculation-sheet'!C100</f>
        <v>8488763171.7133913</v>
      </c>
      <c r="D121" s="2">
        <f>D11/'Output-Calculation-sheet'!D10*'Output-Calculation-sheet'!D100</f>
        <v>0</v>
      </c>
      <c r="E121" s="2">
        <f>E11/'Output-Calculation-sheet'!E10*'Output-Calculation-sheet'!E100</f>
        <v>706631671.2097863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12535518085.080692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580812403.15686774</v>
      </c>
      <c r="M121" s="2">
        <f>M11/'Output-Calculation-sheet'!M10*'Output-Calculation-sheet'!M100</f>
        <v>8773115102.3103294</v>
      </c>
      <c r="N121" s="2">
        <f>N11/'Output-Calculation-sheet'!N10*'Output-Calculation-sheet'!N100</f>
        <v>5957737605.1697445</v>
      </c>
      <c r="O121" s="2">
        <f>O11/'Output-Calculation-sheet'!O10*'Output-Calculation-sheet'!O100</f>
        <v>3777467412.0235863</v>
      </c>
      <c r="P121" s="2">
        <f>P11/'Output-Calculation-sheet'!P10*'Output-Calculation-sheet'!P100</f>
        <v>0</v>
      </c>
      <c r="Q121" s="2">
        <f>Q11/'Output-Calculation-sheet'!Q10*'Output-Calculation-sheet'!Q100</f>
        <v>767608662.09947824</v>
      </c>
      <c r="R121" s="2">
        <f>R11/'Output-Calculation-sheet'!R10*'Output-Calculation-sheet'!R100</f>
        <v>0</v>
      </c>
      <c r="S121" s="2">
        <f>S11/'Output-Calculation-sheet'!S10*'Output-Calculation-sheet'!S100</f>
        <v>2962229637.3869305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38759647.260615528</v>
      </c>
      <c r="AA121" s="2">
        <f t="shared" si="10"/>
        <v>79173.825085123288</v>
      </c>
    </row>
    <row r="122" spans="1:27" x14ac:dyDescent="0.25">
      <c r="A122" s="2">
        <v>2035</v>
      </c>
      <c r="B122" s="2">
        <f>B12/'Output-Calculation-sheet'!B11*'Output-Calculation-sheet'!B101</f>
        <v>40977602463.37587</v>
      </c>
      <c r="C122" s="2">
        <f>C12/'Output-Calculation-sheet'!C11*'Output-Calculation-sheet'!C101</f>
        <v>240827775.42971042</v>
      </c>
      <c r="D122" s="2">
        <f>D12/'Output-Calculation-sheet'!D11*'Output-Calculation-sheet'!D101</f>
        <v>0</v>
      </c>
      <c r="E122" s="2">
        <f>E12/'Output-Calculation-sheet'!E11*'Output-Calculation-sheet'!E101</f>
        <v>3278269246.9436698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12566325242.809191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842368888.41909099</v>
      </c>
      <c r="M122" s="2">
        <f>M12/'Output-Calculation-sheet'!M11*'Output-Calculation-sheet'!M101</f>
        <v>8815036057.1967697</v>
      </c>
      <c r="N122" s="2">
        <f>N12/'Output-Calculation-sheet'!N11*'Output-Calculation-sheet'!N101</f>
        <v>5931409785.2846079</v>
      </c>
      <c r="O122" s="2">
        <f>O12/'Output-Calculation-sheet'!O11*'Output-Calculation-sheet'!O101</f>
        <v>4021145304.1833482</v>
      </c>
      <c r="P122" s="2">
        <f>P12/'Output-Calculation-sheet'!P11*'Output-Calculation-sheet'!P101</f>
        <v>252120301.21792638</v>
      </c>
      <c r="Q122" s="2">
        <f>Q12/'Output-Calculation-sheet'!Q11*'Output-Calculation-sheet'!Q101</f>
        <v>947909468.91977322</v>
      </c>
      <c r="R122" s="2">
        <f>R12/'Output-Calculation-sheet'!R11*'Output-Calculation-sheet'!R101</f>
        <v>0</v>
      </c>
      <c r="S122" s="2">
        <f>S12/'Output-Calculation-sheet'!S11*'Output-Calculation-sheet'!S101</f>
        <v>3115406050.8798647</v>
      </c>
      <c r="T122" s="2">
        <f>T12/'Output-Calculation-sheet'!T11*'Output-Calculation-sheet'!T101</f>
        <v>0</v>
      </c>
      <c r="U122" s="2">
        <f>U12/'Output-Calculation-sheet'!U11*'Output-Calculation-sheet'!U101</f>
        <v>46024909.362486675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107951011.85773152</v>
      </c>
      <c r="Y122" s="2">
        <f>Y12/'Output-Calculation-sheet'!Y11*'Output-Calculation-sheet'!Y101</f>
        <v>167192588.49121946</v>
      </c>
      <c r="AA122" s="2">
        <f t="shared" si="10"/>
        <v>81309.589094371258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45897506367.465103</v>
      </c>
      <c r="C129" s="2">
        <f>C8/'Output-Calculation-sheet'!C7*'Output-Calculation-sheet'!C106</f>
        <v>0</v>
      </c>
      <c r="D129" s="2">
        <f>D8/'Output-Calculation-sheet'!D7*'Output-Calculation-sheet'!D106</f>
        <v>19845151081.396751</v>
      </c>
      <c r="E129" s="2">
        <f>E8/'Output-Calculation-sheet'!E7*'Output-Calculation-sheet'!E106</f>
        <v>15745131991.596506</v>
      </c>
      <c r="F129" s="2">
        <f>F8/'Output-Calculation-sheet'!F7*'Output-Calculation-sheet'!F106</f>
        <v>10135702868.411066</v>
      </c>
      <c r="G129" s="2">
        <f>G8/'Output-Calculation-sheet'!G7*'Output-Calculation-sheet'!G106</f>
        <v>7121639463.2872419</v>
      </c>
      <c r="H129" s="2">
        <f>H8/'Output-Calculation-sheet'!H7*'Output-Calculation-sheet'!H106</f>
        <v>0</v>
      </c>
      <c r="I129" s="2">
        <f>I8/'Output-Calculation-sheet'!I7*'Output-Calculation-sheet'!I106</f>
        <v>6488359066.0509033</v>
      </c>
      <c r="J129" s="2">
        <f>J8/'Output-Calculation-sheet'!J7*'Output-Calculation-sheet'!J106</f>
        <v>6315301846.235652</v>
      </c>
      <c r="K129" s="2">
        <f>K8/'Output-Calculation-sheet'!K7*'Output-Calculation-sheet'!K106</f>
        <v>6254766882.4963312</v>
      </c>
      <c r="L129" s="2">
        <f>L8/'Output-Calculation-sheet'!L7*'Output-Calculation-sheet'!L106</f>
        <v>5017667196.3016863</v>
      </c>
      <c r="M129" s="2">
        <f>M8/'Output-Calculation-sheet'!M7*'Output-Calculation-sheet'!M106</f>
        <v>0</v>
      </c>
      <c r="N129" s="2">
        <f>N8/'Output-Calculation-sheet'!N7*'Output-Calculation-sheet'!N106</f>
        <v>3100102985.5324645</v>
      </c>
      <c r="O129" s="2">
        <f>O8/'Output-Calculation-sheet'!O7*'Output-Calculation-sheet'!O106</f>
        <v>0</v>
      </c>
      <c r="P129" s="2">
        <f>P8/'Output-Calculation-sheet'!P7*'Output-Calculation-sheet'!P106</f>
        <v>4282342114.8705735</v>
      </c>
      <c r="Q129" s="2">
        <f>Q8/'Output-Calculation-sheet'!Q7*'Output-Calculation-sheet'!Q106</f>
        <v>4213124701.732388</v>
      </c>
      <c r="R129" s="2">
        <f>R8/'Output-Calculation-sheet'!R7*'Output-Calculation-sheet'!R106</f>
        <v>4053227976.5164318</v>
      </c>
      <c r="S129" s="2">
        <f>S8/'Output-Calculation-sheet'!S7*'Output-Calculation-sheet'!S106</f>
        <v>2213258332.6893482</v>
      </c>
      <c r="T129" s="2">
        <f>T8/'Output-Calculation-sheet'!T7*'Output-Calculation-sheet'!T106</f>
        <v>1489921540.3592582</v>
      </c>
      <c r="U129" s="2">
        <f>U8/'Output-Calculation-sheet'!U7*'Output-Calculation-sheet'!U106</f>
        <v>1297673050.9387832</v>
      </c>
      <c r="V129" s="2">
        <f>V8/'Output-Calculation-sheet'!V7*'Output-Calculation-sheet'!V106</f>
        <v>999229879.62081623</v>
      </c>
      <c r="W129" s="2">
        <f>W8/'Output-Calculation-sheet'!W7*'Output-Calculation-sheet'!W106</f>
        <v>865118428.76260841</v>
      </c>
      <c r="X129" s="2">
        <f>X8/'Output-Calculation-sheet'!X7*'Output-Calculation-sheet'!X106</f>
        <v>0</v>
      </c>
      <c r="Y129" s="2">
        <f>Y8/'Output-Calculation-sheet'!Y7*'Output-Calculation-sheet'!Y106</f>
        <v>504789039.88793159</v>
      </c>
      <c r="AA129" s="2">
        <f t="shared" si="11"/>
        <v>145840.01481415189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3.0910931775583487E-8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3247966772.2186499</v>
      </c>
      <c r="O130" s="2">
        <f>O9/'Output-Calculation-sheet'!O8*'Output-Calculation-sheet'!O107</f>
        <v>0</v>
      </c>
      <c r="P130" s="2">
        <f>P9/'Output-Calculation-sheet'!P8*'Output-Calculation-sheet'!P107</f>
        <v>5669932998.9799213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2673374016.6162419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187893.4393664423</v>
      </c>
    </row>
    <row r="131" spans="1:27" x14ac:dyDescent="0.25">
      <c r="A131" s="2">
        <v>2033</v>
      </c>
      <c r="B131" s="2">
        <f>B10/'Output-Calculation-sheet'!B9*'Output-Calculation-sheet'!B108</f>
        <v>61055668923.989197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3048657276.5083132</v>
      </c>
      <c r="O131" s="2">
        <f>O10/'Output-Calculation-sheet'!O9*'Output-Calculation-sheet'!O108</f>
        <v>0</v>
      </c>
      <c r="P131" s="2">
        <f>P10/'Output-Calculation-sheet'!P9*'Output-Calculation-sheet'!P108</f>
        <v>6903316464.8576193</v>
      </c>
      <c r="Q131" s="2">
        <f>Q10/'Output-Calculation-sheet'!Q9*'Output-Calculation-sheet'!Q108</f>
        <v>6643414198.5127735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2516291325.352788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219026.7747075482</v>
      </c>
    </row>
    <row r="132" spans="1:27" x14ac:dyDescent="0.25">
      <c r="A132" s="2">
        <v>2034</v>
      </c>
      <c r="B132" s="2">
        <f>B11/'Output-Calculation-sheet'!B10*'Output-Calculation-sheet'!B109</f>
        <v>52882956002.969231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28302371021.006447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11635580262.911186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8663921641.2432404</v>
      </c>
      <c r="M132" s="2">
        <f>M11/'Output-Calculation-sheet'!M10*'Output-Calculation-sheet'!M109</f>
        <v>0</v>
      </c>
      <c r="N132" s="2">
        <f>N11/'Output-Calculation-sheet'!N10*'Output-Calculation-sheet'!N109</f>
        <v>2634033981.8981657</v>
      </c>
      <c r="O132" s="2">
        <f>O11/'Output-Calculation-sheet'!O10*'Output-Calculation-sheet'!O109</f>
        <v>0</v>
      </c>
      <c r="P132" s="2">
        <f>P11/'Output-Calculation-sheet'!P10*'Output-Calculation-sheet'!P109</f>
        <v>7889377751.4447079</v>
      </c>
      <c r="Q132" s="2">
        <f>Q11/'Output-Calculation-sheet'!Q10*'Output-Calculation-sheet'!Q109</f>
        <v>6601986594.7094841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1990974296.3179562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891293047.70993543</v>
      </c>
      <c r="AA132" s="2">
        <f t="shared" si="11"/>
        <v>229371.15913459056</v>
      </c>
    </row>
    <row r="133" spans="1:27" x14ac:dyDescent="0.25">
      <c r="A133" s="2">
        <v>2035</v>
      </c>
      <c r="B133" s="2">
        <f>B12/'Output-Calculation-sheet'!B11*'Output-Calculation-sheet'!B110</f>
        <v>47774381284.396515</v>
      </c>
      <c r="C133" s="2">
        <f>C12/'Output-Calculation-sheet'!C11*'Output-Calculation-sheet'!C110</f>
        <v>0</v>
      </c>
      <c r="D133" s="2">
        <f>D12/'Output-Calculation-sheet'!D11*'Output-Calculation-sheet'!D110</f>
        <v>35880231713.998039</v>
      </c>
      <c r="E133" s="2">
        <f>E12/'Output-Calculation-sheet'!E11*'Output-Calculation-sheet'!E110</f>
        <v>27189029443.139305</v>
      </c>
      <c r="F133" s="2">
        <f>F12/'Output-Calculation-sheet'!F11*'Output-Calculation-sheet'!F110</f>
        <v>19349163588.156628</v>
      </c>
      <c r="G133" s="2">
        <f>G12/'Output-Calculation-sheet'!G11*'Output-Calculation-sheet'!G110</f>
        <v>13411218795.349874</v>
      </c>
      <c r="H133" s="2">
        <f>H12/'Output-Calculation-sheet'!H11*'Output-Calculation-sheet'!H110</f>
        <v>0</v>
      </c>
      <c r="I133" s="2">
        <f>I12/'Output-Calculation-sheet'!I11*'Output-Calculation-sheet'!I110</f>
        <v>12105940617.165962</v>
      </c>
      <c r="J133" s="2">
        <f>J12/'Output-Calculation-sheet'!J11*'Output-Calculation-sheet'!J110</f>
        <v>11660499201.611549</v>
      </c>
      <c r="K133" s="2">
        <f>K12/'Output-Calculation-sheet'!K11*'Output-Calculation-sheet'!K110</f>
        <v>11534269041.433624</v>
      </c>
      <c r="L133" s="2">
        <f>L12/'Output-Calculation-sheet'!L11*'Output-Calculation-sheet'!L110</f>
        <v>8481113541.8754072</v>
      </c>
      <c r="M133" s="2">
        <f>M12/'Output-Calculation-sheet'!M11*'Output-Calculation-sheet'!M110</f>
        <v>0</v>
      </c>
      <c r="N133" s="2">
        <f>N12/'Output-Calculation-sheet'!N11*'Output-Calculation-sheet'!N110</f>
        <v>2597911008.7220182</v>
      </c>
      <c r="O133" s="2">
        <f>O12/'Output-Calculation-sheet'!O11*'Output-Calculation-sheet'!O110</f>
        <v>0</v>
      </c>
      <c r="P133" s="2">
        <f>P12/'Output-Calculation-sheet'!P11*'Output-Calculation-sheet'!P110</f>
        <v>7968818032.6610909</v>
      </c>
      <c r="Q133" s="2">
        <f>Q12/'Output-Calculation-sheet'!Q11*'Output-Calculation-sheet'!Q110</f>
        <v>6358298900.0844288</v>
      </c>
      <c r="R133" s="2">
        <f>R12/'Output-Calculation-sheet'!R11*'Output-Calculation-sheet'!R110</f>
        <v>7672058610.2788992</v>
      </c>
      <c r="S133" s="2">
        <f>S12/'Output-Calculation-sheet'!S11*'Output-Calculation-sheet'!S110</f>
        <v>1812085720.7969832</v>
      </c>
      <c r="T133" s="2">
        <f>T12/'Output-Calculation-sheet'!T11*'Output-Calculation-sheet'!T110</f>
        <v>2880927350.3949943</v>
      </c>
      <c r="U133" s="2">
        <f>U12/'Output-Calculation-sheet'!U11*'Output-Calculation-sheet'!U110</f>
        <v>2338890475.7694402</v>
      </c>
      <c r="V133" s="2">
        <f>V12/'Output-Calculation-sheet'!V11*'Output-Calculation-sheet'!V110</f>
        <v>1939525621.612016</v>
      </c>
      <c r="W133" s="2">
        <f>W12/'Output-Calculation-sheet'!W11*'Output-Calculation-sheet'!W110</f>
        <v>1703050022.8610878</v>
      </c>
      <c r="X133" s="2">
        <f>X12/'Output-Calculation-sheet'!X11*'Output-Calculation-sheet'!X110</f>
        <v>927228.71211812913</v>
      </c>
      <c r="Y133" s="2">
        <f>Y12/'Output-Calculation-sheet'!Y11*'Output-Calculation-sheet'!Y110</f>
        <v>810662711.24756432</v>
      </c>
      <c r="AA133" s="2">
        <f t="shared" si="11"/>
        <v>223469.00291026759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11104831548.864086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2199385707.2347116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258140912.98077184</v>
      </c>
      <c r="Y140" s="2">
        <f>Y8/'Output-Calculation-sheet'!Y7*'Output-Calculation-sheet'!Y115</f>
        <v>0</v>
      </c>
      <c r="AA140" s="2">
        <f t="shared" si="12"/>
        <v>13562.358169079569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20805636811.89978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338227301.68271363</v>
      </c>
      <c r="Y141" s="2">
        <f>Y9/'Output-Calculation-sheet'!Y8*'Output-Calculation-sheet'!Y116</f>
        <v>0</v>
      </c>
      <c r="AA141" s="2">
        <f t="shared" si="12"/>
        <v>21143.864113582495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27149502137.859619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339875677.84185976</v>
      </c>
      <c r="Y142" s="2">
        <f>Y10/'Output-Calculation-sheet'!Y9*'Output-Calculation-sheet'!Y117</f>
        <v>0</v>
      </c>
      <c r="AA142" s="2">
        <f t="shared" si="12"/>
        <v>27489.377815701479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32534963280.425999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33068.257514795798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44209524453.374817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923369500.64865232</v>
      </c>
      <c r="Y144" s="2">
        <f>Y12/'Output-Calculation-sheet'!Y11*'Output-Calculation-sheet'!Y119</f>
        <v>0</v>
      </c>
      <c r="AA144" s="2">
        <f t="shared" si="12"/>
        <v>45132.893954023471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47249211976.59507</v>
      </c>
      <c r="C151" s="2">
        <f>C8/'Output-Calculation-sheet'!C7*'Output-Calculation-sheet'!C124</f>
        <v>22266245794.97578</v>
      </c>
      <c r="D151" s="2">
        <f>D8/'Output-Calculation-sheet'!D7*'Output-Calculation-sheet'!D124</f>
        <v>19845151081.396751</v>
      </c>
      <c r="E151" s="2">
        <f>E8/'Output-Calculation-sheet'!E7*'Output-Calculation-sheet'!E124</f>
        <v>15745131991.596506</v>
      </c>
      <c r="F151" s="2">
        <f>F8/'Output-Calculation-sheet'!F7*'Output-Calculation-sheet'!F124</f>
        <v>10135702868.411066</v>
      </c>
      <c r="G151" s="2">
        <f>G8/'Output-Calculation-sheet'!G7*'Output-Calculation-sheet'!G124</f>
        <v>7121639463.2872419</v>
      </c>
      <c r="H151" s="2">
        <f>H8/'Output-Calculation-sheet'!H7*'Output-Calculation-sheet'!H124</f>
        <v>6946893968.4766951</v>
      </c>
      <c r="I151" s="2">
        <f>I8/'Output-Calculation-sheet'!I7*'Output-Calculation-sheet'!I124</f>
        <v>6488359066.0509033</v>
      </c>
      <c r="J151" s="2">
        <f>J8/'Output-Calculation-sheet'!J7*'Output-Calculation-sheet'!J124</f>
        <v>6315301846.235652</v>
      </c>
      <c r="K151" s="2">
        <f>K8/'Output-Calculation-sheet'!K7*'Output-Calculation-sheet'!K124</f>
        <v>6254766882.4963312</v>
      </c>
      <c r="L151" s="2">
        <f>L8/'Output-Calculation-sheet'!L7*'Output-Calculation-sheet'!L124</f>
        <v>5017667196.3016863</v>
      </c>
      <c r="M151" s="2">
        <f>M8/'Output-Calculation-sheet'!M7*'Output-Calculation-sheet'!M124</f>
        <v>4792747522.04741</v>
      </c>
      <c r="N151" s="2">
        <f>N8/'Output-Calculation-sheet'!N7*'Output-Calculation-sheet'!N124</f>
        <v>4704059655.4681091</v>
      </c>
      <c r="O151" s="2">
        <f>O8/'Output-Calculation-sheet'!O7*'Output-Calculation-sheet'!O124</f>
        <v>4610755346.2657385</v>
      </c>
      <c r="P151" s="2">
        <f>P8/'Output-Calculation-sheet'!P7*'Output-Calculation-sheet'!P124</f>
        <v>4282342114.8705735</v>
      </c>
      <c r="Q151" s="2">
        <f>Q8/'Output-Calculation-sheet'!Q7*'Output-Calculation-sheet'!Q124</f>
        <v>4213124701.732388</v>
      </c>
      <c r="R151" s="2">
        <f>R8/'Output-Calculation-sheet'!R7*'Output-Calculation-sheet'!R124</f>
        <v>4053227976.5164318</v>
      </c>
      <c r="S151" s="2">
        <f>S8/'Output-Calculation-sheet'!S7*'Output-Calculation-sheet'!S124</f>
        <v>2693976587.7780523</v>
      </c>
      <c r="T151" s="2">
        <f>T8/'Output-Calculation-sheet'!T7*'Output-Calculation-sheet'!T124</f>
        <v>1489921540.3592582</v>
      </c>
      <c r="U151" s="2">
        <f>U8/'Output-Calculation-sheet'!U7*'Output-Calculation-sheet'!U124</f>
        <v>1297673050.9387832</v>
      </c>
      <c r="V151" s="2">
        <f>V8/'Output-Calculation-sheet'!V7*'Output-Calculation-sheet'!V124</f>
        <v>999229879.62081623</v>
      </c>
      <c r="W151" s="2">
        <f>W8/'Output-Calculation-sheet'!W7*'Output-Calculation-sheet'!W124</f>
        <v>865118428.76260841</v>
      </c>
      <c r="X151" s="2">
        <f>X8/'Output-Calculation-sheet'!X7*'Output-Calculation-sheet'!X124</f>
        <v>519068305.322716</v>
      </c>
      <c r="Y151" s="2">
        <f>Y8/'Output-Calculation-sheet'!Y7*'Output-Calculation-sheet'!Y124</f>
        <v>504789039.88793159</v>
      </c>
      <c r="AA151" s="2">
        <f t="shared" si="13"/>
        <v>188412.10628539452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17688792921.68964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6424906610.1421566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152440.72040285566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6414462654.3135834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105185.4515445836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2227420783.6691751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1351452766.723825</v>
      </c>
      <c r="N154" s="2">
        <f>N11/'Output-Calculation-sheet'!N10*'Output-Calculation-sheet'!N127</f>
        <v>1339685051.2592885</v>
      </c>
      <c r="O154" s="2">
        <f>O11/'Output-Calculation-sheet'!O10*'Output-Calculation-sheet'!O127</f>
        <v>6120146622.138463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1625617185.215553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722659146.75929499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55619.615053136149</v>
      </c>
    </row>
    <row r="155" spans="1:27" x14ac:dyDescent="0.25">
      <c r="A155" s="2">
        <v>2035</v>
      </c>
      <c r="B155" s="2">
        <f>B12/'Output-Calculation-sheet'!B11*'Output-Calculation-sheet'!B128</f>
        <v>8116531157.5516195</v>
      </c>
      <c r="C155" s="2">
        <f>C12/'Output-Calculation-sheet'!C11*'Output-Calculation-sheet'!C128</f>
        <v>59416314.738263786</v>
      </c>
      <c r="D155" s="2">
        <f>D12/'Output-Calculation-sheet'!D11*'Output-Calculation-sheet'!D128</f>
        <v>4830280243.5168381</v>
      </c>
      <c r="E155" s="2">
        <f>E12/'Output-Calculation-sheet'!E11*'Output-Calculation-sheet'!E128</f>
        <v>2191616578.8531852</v>
      </c>
      <c r="F155" s="2">
        <f>F12/'Output-Calculation-sheet'!F11*'Output-Calculation-sheet'!F128</f>
        <v>1391389023.7156849</v>
      </c>
      <c r="G155" s="2">
        <f>G12/'Output-Calculation-sheet'!G11*'Output-Calculation-sheet'!G128</f>
        <v>1244042257.5021749</v>
      </c>
      <c r="H155" s="2">
        <f>H12/'Output-Calculation-sheet'!H11*'Output-Calculation-sheet'!H128</f>
        <v>1985320674.3187649</v>
      </c>
      <c r="I155" s="2">
        <f>I12/'Output-Calculation-sheet'!I11*'Output-Calculation-sheet'!I128</f>
        <v>1240821291.6054111</v>
      </c>
      <c r="J155" s="2">
        <f>J12/'Output-Calculation-sheet'!J11*'Output-Calculation-sheet'!J128</f>
        <v>1186116625.364785</v>
      </c>
      <c r="K155" s="2">
        <f>K12/'Output-Calculation-sheet'!K11*'Output-Calculation-sheet'!K128</f>
        <v>1348693632.0225945</v>
      </c>
      <c r="L155" s="2">
        <f>L12/'Output-Calculation-sheet'!L11*'Output-Calculation-sheet'!L128</f>
        <v>978902365.81913483</v>
      </c>
      <c r="M155" s="2">
        <f>M12/'Output-Calculation-sheet'!M11*'Output-Calculation-sheet'!M128</f>
        <v>1208979968.9157574</v>
      </c>
      <c r="N155" s="2">
        <f>N12/'Output-Calculation-sheet'!N11*'Output-Calculation-sheet'!N128</f>
        <v>1177209816.9019883</v>
      </c>
      <c r="O155" s="2">
        <f>O12/'Output-Calculation-sheet'!O11*'Output-Calculation-sheet'!O128</f>
        <v>5488609997.0249271</v>
      </c>
      <c r="P155" s="2">
        <f>P12/'Output-Calculation-sheet'!P11*'Output-Calculation-sheet'!P128</f>
        <v>649872442.20799863</v>
      </c>
      <c r="Q155" s="2">
        <f>Q12/'Output-Calculation-sheet'!Q11*'Output-Calculation-sheet'!Q128</f>
        <v>1453548106.0237174</v>
      </c>
      <c r="R155" s="2">
        <f>R12/'Output-Calculation-sheet'!R11*'Output-Calculation-sheet'!R128</f>
        <v>626959995.11200762</v>
      </c>
      <c r="S155" s="2">
        <f>S12/'Output-Calculation-sheet'!S11*'Output-Calculation-sheet'!S128</f>
        <v>628522861.6920532</v>
      </c>
      <c r="T155" s="2">
        <f>T12/'Output-Calculation-sheet'!T11*'Output-Calculation-sheet'!T128</f>
        <v>149950326.61720207</v>
      </c>
      <c r="U155" s="2">
        <f>U12/'Output-Calculation-sheet'!U11*'Output-Calculation-sheet'!U128</f>
        <v>290174199.64989918</v>
      </c>
      <c r="V155" s="2">
        <f>V12/'Output-Calculation-sheet'!V11*'Output-Calculation-sheet'!V128</f>
        <v>72351681.094314441</v>
      </c>
      <c r="W155" s="2">
        <f>W12/'Output-Calculation-sheet'!W11*'Output-Calculation-sheet'!W128</f>
        <v>67225904.833602652</v>
      </c>
      <c r="X155" s="2">
        <f>X12/'Output-Calculation-sheet'!X11*'Output-Calculation-sheet'!X128</f>
        <v>8270938.7135180132</v>
      </c>
      <c r="Y155" s="2">
        <f>Y12/'Output-Calculation-sheet'!Y11*'Output-Calculation-sheet'!Y128</f>
        <v>72313346.97022976</v>
      </c>
      <c r="AA155" s="2">
        <f t="shared" si="13"/>
        <v>36467.119750765676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1272.4977993017781</v>
      </c>
      <c r="C19" s="2">
        <f>C8/'Output-Calculation-sheet'!C7*'Output-Calculation-sheet'!C25</f>
        <v>9072.9874738584931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5717.2962624864067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3968.5986048345198</v>
      </c>
      <c r="N19" s="2">
        <f>N8/'Output-Calculation-sheet'!N7*'Output-Calculation-sheet'!N25</f>
        <v>1356.9784623781277</v>
      </c>
      <c r="O19" s="2">
        <f>O8/'Output-Calculation-sheet'!O7*'Output-Calculation-sheet'!O25</f>
        <v>1480.2746691228253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484.65883703212592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209.5164764427488</v>
      </c>
      <c r="Y19" s="2">
        <f>Y8/'Output-Calculation-sheet'!Y7*'Output-Calculation-sheet'!Y25</f>
        <v>0</v>
      </c>
      <c r="AA19" s="2">
        <f t="shared" si="0"/>
        <v>23.562808585457024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7006.4529447453806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7897.5031303225187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5487.6581078346735</v>
      </c>
      <c r="N20" s="2">
        <f>N9/'Output-Calculation-sheet'!N8*'Output-Calculation-sheet'!N26</f>
        <v>2472.2864127441376</v>
      </c>
      <c r="O20" s="2">
        <f>O9/'Output-Calculation-sheet'!O8*'Output-Calculation-sheet'!O26</f>
        <v>2608.5266744910755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898.62838122927894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293.25288501010129</v>
      </c>
      <c r="Y20" s="2">
        <f>Y9/'Output-Calculation-sheet'!Y8*'Output-Calculation-sheet'!Y26</f>
        <v>0</v>
      </c>
      <c r="AA20" s="2">
        <f t="shared" si="0"/>
        <v>33.923088157784875</v>
      </c>
    </row>
    <row r="21" spans="1:27" x14ac:dyDescent="0.25">
      <c r="A21" s="2">
        <v>2033</v>
      </c>
      <c r="B21" s="2">
        <f>B10/'Output-Calculation-sheet'!B9*'Output-Calculation-sheet'!B27</f>
        <v>17073.564237273484</v>
      </c>
      <c r="C21" s="2">
        <f>C10/'Output-Calculation-sheet'!C9*'Output-Calculation-sheet'!C27</f>
        <v>7081.0195586546752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9898.6451384070206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6876.643868647172</v>
      </c>
      <c r="N21" s="2">
        <f>N10/'Output-Calculation-sheet'!N9*'Output-Calculation-sheet'!N27</f>
        <v>3751.3586713386376</v>
      </c>
      <c r="O21" s="2">
        <f>O10/'Output-Calculation-sheet'!O9*'Output-Calculation-sheet'!O27</f>
        <v>2939.3953154618139</v>
      </c>
      <c r="P21" s="2">
        <f>P10/'Output-Calculation-sheet'!P9*'Output-Calculation-sheet'!P27</f>
        <v>0</v>
      </c>
      <c r="Q21" s="2">
        <f>Q10/'Output-Calculation-sheet'!Q9*'Output-Calculation-sheet'!Q27</f>
        <v>256.00369545868648</v>
      </c>
      <c r="R21" s="2">
        <f>R10/'Output-Calculation-sheet'!R9*'Output-Calculation-sheet'!R27</f>
        <v>0</v>
      </c>
      <c r="S21" s="2">
        <f>S10/'Output-Calculation-sheet'!S9*'Output-Calculation-sheet'!S27</f>
        <v>1635.3293884304569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435.82608540025359</v>
      </c>
      <c r="Y21" s="2">
        <f>Y10/'Output-Calculation-sheet'!Y9*'Output-Calculation-sheet'!Y27</f>
        <v>0</v>
      </c>
      <c r="AA21" s="2">
        <f t="shared" si="0"/>
        <v>49.947785959072199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6841.9479303865037</v>
      </c>
      <c r="D22" s="2">
        <f>D11/'Output-Calculation-sheet'!D10*'Output-Calculation-sheet'!D28</f>
        <v>0</v>
      </c>
      <c r="E22" s="2">
        <f>E11/'Output-Calculation-sheet'!E10*'Output-Calculation-sheet'!E28</f>
        <v>1632.6087934112713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11893.755013114067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978.85946351551127</v>
      </c>
      <c r="M22" s="2">
        <f>M11/'Output-Calculation-sheet'!M10*'Output-Calculation-sheet'!M28</f>
        <v>8648.1743297426274</v>
      </c>
      <c r="N22" s="2">
        <f>N11/'Output-Calculation-sheet'!N10*'Output-Calculation-sheet'!N28</f>
        <v>4981.2570183892867</v>
      </c>
      <c r="O22" s="2">
        <f>O11/'Output-Calculation-sheet'!O10*'Output-Calculation-sheet'!O28</f>
        <v>3164.2322975639336</v>
      </c>
      <c r="P22" s="2">
        <f>P11/'Output-Calculation-sheet'!P10*'Output-Calculation-sheet'!P28</f>
        <v>0</v>
      </c>
      <c r="Q22" s="2">
        <f>Q11/'Output-Calculation-sheet'!Q10*'Output-Calculation-sheet'!Q28</f>
        <v>1162.1416349918561</v>
      </c>
      <c r="R22" s="2">
        <f>R11/'Output-Calculation-sheet'!R10*'Output-Calculation-sheet'!R28</f>
        <v>0</v>
      </c>
      <c r="S22" s="2">
        <f>S11/'Output-Calculation-sheet'!S10*'Output-Calculation-sheet'!S28</f>
        <v>2584.5549899449934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89.139548541856726</v>
      </c>
      <c r="AA22" s="2">
        <f t="shared" si="0"/>
        <v>74.48312951080274</v>
      </c>
    </row>
    <row r="23" spans="1:27" x14ac:dyDescent="0.25">
      <c r="A23" s="2">
        <v>2035</v>
      </c>
      <c r="B23" s="2">
        <f>B12/'Output-Calculation-sheet'!B11*'Output-Calculation-sheet'!B29</f>
        <v>36861.442758082485</v>
      </c>
      <c r="C23" s="2">
        <f>C12/'Output-Calculation-sheet'!C11*'Output-Calculation-sheet'!C29</f>
        <v>190.77081198479021</v>
      </c>
      <c r="D23" s="2">
        <f>D12/'Output-Calculation-sheet'!D11*'Output-Calculation-sheet'!D29</f>
        <v>0</v>
      </c>
      <c r="E23" s="2">
        <f>E12/'Output-Calculation-sheet'!E11*'Output-Calculation-sheet'!E29</f>
        <v>5606.0532680119977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11393.73613366845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1261.6446591050692</v>
      </c>
      <c r="M23" s="2">
        <f>M12/'Output-Calculation-sheet'!M11*'Output-Calculation-sheet'!M29</f>
        <v>8299.2530748271438</v>
      </c>
      <c r="N23" s="2">
        <f>N12/'Output-Calculation-sheet'!N11*'Output-Calculation-sheet'!N29</f>
        <v>4818.9806346134092</v>
      </c>
      <c r="O23" s="2">
        <f>O12/'Output-Calculation-sheet'!O11*'Output-Calculation-sheet'!O29</f>
        <v>3321.0674066656152</v>
      </c>
      <c r="P23" s="2">
        <f>P12/'Output-Calculation-sheet'!P11*'Output-Calculation-sheet'!P29</f>
        <v>579.70503880169463</v>
      </c>
      <c r="Q23" s="2">
        <f>Q12/'Output-Calculation-sheet'!Q11*'Output-Calculation-sheet'!Q29</f>
        <v>1291.4900541745956</v>
      </c>
      <c r="R23" s="2">
        <f>R12/'Output-Calculation-sheet'!R11*'Output-Calculation-sheet'!R29</f>
        <v>0</v>
      </c>
      <c r="S23" s="2">
        <f>S12/'Output-Calculation-sheet'!S11*'Output-Calculation-sheet'!S29</f>
        <v>2617.7597992673027</v>
      </c>
      <c r="T23" s="2">
        <f>T12/'Output-Calculation-sheet'!T11*'Output-Calculation-sheet'!T29</f>
        <v>0</v>
      </c>
      <c r="U23" s="2">
        <f>U12/'Output-Calculation-sheet'!U11*'Output-Calculation-sheet'!U29</f>
        <v>115.26204158500617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85.512519322284263</v>
      </c>
      <c r="Y23" s="2">
        <f>Y12/'Output-Calculation-sheet'!Y11*'Output-Calculation-sheet'!Y29</f>
        <v>246.27376819018357</v>
      </c>
      <c r="AA23" s="2">
        <f t="shared" si="0"/>
        <v>76.688951968300017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22180.908904997461</v>
      </c>
      <c r="C30" s="2">
        <f>C8/'Output-Calculation-sheet'!C7*'Output-Calculation-sheet'!C16</f>
        <v>0</v>
      </c>
      <c r="D30" s="2">
        <f>D8/'Output-Calculation-sheet'!D7*'Output-Calculation-sheet'!D16</f>
        <v>3734.943992535967</v>
      </c>
      <c r="E30" s="2">
        <f>E8/'Output-Calculation-sheet'!E7*'Output-Calculation-sheet'!E16</f>
        <v>4018.5938831011649</v>
      </c>
      <c r="F30" s="2">
        <f>F8/'Output-Calculation-sheet'!F7*'Output-Calculation-sheet'!F16</f>
        <v>2027.4351285739847</v>
      </c>
      <c r="G30" s="2">
        <f>G8/'Output-Calculation-sheet'!G7*'Output-Calculation-sheet'!G16</f>
        <v>1327.7115498331166</v>
      </c>
      <c r="H30" s="2">
        <f>H8/'Output-Calculation-sheet'!H7*'Output-Calculation-sheet'!H16</f>
        <v>0</v>
      </c>
      <c r="I30" s="2">
        <f>I8/'Output-Calculation-sheet'!I7*'Output-Calculation-sheet'!I16</f>
        <v>1294.3357758191291</v>
      </c>
      <c r="J30" s="2">
        <f>J8/'Output-Calculation-sheet'!J7*'Output-Calculation-sheet'!J16</f>
        <v>1152.1918569682455</v>
      </c>
      <c r="K30" s="2">
        <f>K8/'Output-Calculation-sheet'!K7*'Output-Calculation-sheet'!K16</f>
        <v>1538.397691508985</v>
      </c>
      <c r="L30" s="2">
        <f>L8/'Output-Calculation-sheet'!L7*'Output-Calculation-sheet'!L16</f>
        <v>1299.446825785694</v>
      </c>
      <c r="M30" s="2">
        <f>M8/'Output-Calculation-sheet'!M7*'Output-Calculation-sheet'!M16</f>
        <v>0</v>
      </c>
      <c r="N30" s="2">
        <f>N8/'Output-Calculation-sheet'!N7*'Output-Calculation-sheet'!N16</f>
        <v>1847.1372266563703</v>
      </c>
      <c r="O30" s="2">
        <f>O8/'Output-Calculation-sheet'!O7*'Output-Calculation-sheet'!O16</f>
        <v>0</v>
      </c>
      <c r="P30" s="2">
        <f>P8/'Output-Calculation-sheet'!P7*'Output-Calculation-sheet'!P16</f>
        <v>1658.9119898598435</v>
      </c>
      <c r="Q30" s="2">
        <f>Q8/'Output-Calculation-sheet'!Q7*'Output-Calculation-sheet'!Q16</f>
        <v>1824.263794638603</v>
      </c>
      <c r="R30" s="2">
        <f>R8/'Output-Calculation-sheet'!R7*'Output-Calculation-sheet'!R16</f>
        <v>1157.5018964751382</v>
      </c>
      <c r="S30" s="2">
        <f>S8/'Output-Calculation-sheet'!S7*'Output-Calculation-sheet'!S16</f>
        <v>1164.109203453871</v>
      </c>
      <c r="T30" s="2">
        <f>T8/'Output-Calculation-sheet'!T7*'Output-Calculation-sheet'!T16</f>
        <v>347.46327076435705</v>
      </c>
      <c r="U30" s="2">
        <f>U8/'Output-Calculation-sheet'!U7*'Output-Calculation-sheet'!U16</f>
        <v>346.84377459348951</v>
      </c>
      <c r="V30" s="2">
        <f>V8/'Output-Calculation-sheet'!V7*'Output-Calculation-sheet'!V16</f>
        <v>269.94074448764263</v>
      </c>
      <c r="W30" s="2">
        <f>W8/'Output-Calculation-sheet'!W7*'Output-Calculation-sheet'!W16</f>
        <v>163.73469935662681</v>
      </c>
      <c r="X30" s="2">
        <f>X8/'Output-Calculation-sheet'!X7*'Output-Calculation-sheet'!X16</f>
        <v>0</v>
      </c>
      <c r="Y30" s="2">
        <f>Y8/'Output-Calculation-sheet'!Y7*'Output-Calculation-sheet'!Y16</f>
        <v>138.58033373916848</v>
      </c>
      <c r="AA30" s="2">
        <f t="shared" si="1"/>
        <v>47.49245254314885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2105.1166356976851</v>
      </c>
      <c r="O31" s="2">
        <f>O9/'Output-Calculation-sheet'!O8*'Output-Calculation-sheet'!O17</f>
        <v>0</v>
      </c>
      <c r="P31" s="2">
        <f>P9/'Output-Calculation-sheet'!P8*'Output-Calculation-sheet'!P17</f>
        <v>2606.2135549160053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1565.3913648582629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66.932706229398036</v>
      </c>
    </row>
    <row r="32" spans="1:27" x14ac:dyDescent="0.25">
      <c r="A32" s="2">
        <v>2033</v>
      </c>
      <c r="B32" s="2">
        <f>B10/'Output-Calculation-sheet'!B9*'Output-Calculation-sheet'!B18</f>
        <v>34764.186565375952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3311.1255837993622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2129.5091185644192</v>
      </c>
      <c r="O32" s="2">
        <f>O10/'Output-Calculation-sheet'!O9*'Output-Calculation-sheet'!O18</f>
        <v>0</v>
      </c>
      <c r="P32" s="2">
        <f>P10/'Output-Calculation-sheet'!P9*'Output-Calculation-sheet'!P18</f>
        <v>3407.8896679784443</v>
      </c>
      <c r="Q32" s="2">
        <f>Q10/'Output-Calculation-sheet'!Q9*'Output-Calculation-sheet'!Q18</f>
        <v>3711.3158822642658</v>
      </c>
      <c r="R32" s="2">
        <f>R10/'Output-Calculation-sheet'!R9*'Output-Calculation-sheet'!R18</f>
        <v>2447.2058034542351</v>
      </c>
      <c r="S32" s="2">
        <f>S10/'Output-Calculation-sheet'!S9*'Output-Calculation-sheet'!S18</f>
        <v>1602.6437956171194</v>
      </c>
      <c r="T32" s="2">
        <f>T10/'Output-Calculation-sheet'!T9*'Output-Calculation-sheet'!T18</f>
        <v>714.50608216963008</v>
      </c>
      <c r="U32" s="2">
        <f>U10/'Output-Calculation-sheet'!U9*'Output-Calculation-sheet'!U18</f>
        <v>789.88712550327614</v>
      </c>
      <c r="V32" s="2">
        <f>V10/'Output-Calculation-sheet'!V9*'Output-Calculation-sheet'!V18</f>
        <v>583.01736484141145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337.53725593250158</v>
      </c>
      <c r="AA32" s="2">
        <f t="shared" si="1"/>
        <v>83.505231565185213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9691.4624703323207</v>
      </c>
      <c r="E33" s="2">
        <f>E11/'Output-Calculation-sheet'!E10*'Output-Calculation-sheet'!E19</f>
        <v>12001.292579568475</v>
      </c>
      <c r="F33" s="2">
        <f>F11/'Output-Calculation-sheet'!F10*'Output-Calculation-sheet'!F19</f>
        <v>5500.8147142719181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3600.0399110213625</v>
      </c>
      <c r="J33" s="2">
        <f>J11/'Output-Calculation-sheet'!J10*'Output-Calculation-sheet'!J19</f>
        <v>3043.7612676231179</v>
      </c>
      <c r="K33" s="2">
        <f>K11/'Output-Calculation-sheet'!K10*'Output-Calculation-sheet'!K19</f>
        <v>4221.8945222565035</v>
      </c>
      <c r="L33" s="2">
        <f>L11/'Output-Calculation-sheet'!L10*'Output-Calculation-sheet'!L19</f>
        <v>3434.7789557038509</v>
      </c>
      <c r="M33" s="2">
        <f>M11/'Output-Calculation-sheet'!M10*'Output-Calculation-sheet'!M19</f>
        <v>0</v>
      </c>
      <c r="N33" s="2">
        <f>N11/'Output-Calculation-sheet'!N10*'Output-Calculation-sheet'!N19</f>
        <v>1953.0771201511195</v>
      </c>
      <c r="O33" s="2">
        <f>O11/'Output-Calculation-sheet'!O10*'Output-Calculation-sheet'!O19</f>
        <v>0</v>
      </c>
      <c r="P33" s="2">
        <f>P11/'Output-Calculation-sheet'!P10*'Output-Calculation-sheet'!P19</f>
        <v>4270.6933895876937</v>
      </c>
      <c r="Q33" s="2">
        <f>Q11/'Output-Calculation-sheet'!Q10*'Output-Calculation-sheet'!Q19</f>
        <v>3489.4419330663877</v>
      </c>
      <c r="R33" s="2">
        <f>R11/'Output-Calculation-sheet'!R10*'Output-Calculation-sheet'!R19</f>
        <v>3049.7200934534853</v>
      </c>
      <c r="S33" s="2">
        <f>S11/'Output-Calculation-sheet'!S10*'Output-Calculation-sheet'!S19</f>
        <v>1420.7058928210618</v>
      </c>
      <c r="T33" s="2">
        <f>T11/'Output-Calculation-sheet'!T10*'Output-Calculation-sheet'!T19</f>
        <v>894.84743557573427</v>
      </c>
      <c r="U33" s="2">
        <f>U11/'Output-Calculation-sheet'!U10*'Output-Calculation-sheet'!U19</f>
        <v>1029.255317485826</v>
      </c>
      <c r="V33" s="2">
        <f>V11/'Output-Calculation-sheet'!V10*'Output-Calculation-sheet'!V19</f>
        <v>701.89416974155154</v>
      </c>
      <c r="W33" s="2">
        <f>W11/'Output-Calculation-sheet'!W10*'Output-Calculation-sheet'!W19</f>
        <v>436.99015764184998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94.920825536107358</v>
      </c>
    </row>
    <row r="34" spans="1:27" x14ac:dyDescent="0.25">
      <c r="A34" s="2">
        <v>2035</v>
      </c>
      <c r="B34" s="2">
        <f>B12/'Output-Calculation-sheet'!B11*'Output-Calculation-sheet'!B20</f>
        <v>29028.45497929359</v>
      </c>
      <c r="C34" s="2">
        <f>C12/'Output-Calculation-sheet'!C11*'Output-Calculation-sheet'!C20</f>
        <v>0</v>
      </c>
      <c r="D34" s="2">
        <f>D12/'Output-Calculation-sheet'!D11*'Output-Calculation-sheet'!D20</f>
        <v>9090.4352156894201</v>
      </c>
      <c r="E34" s="2">
        <f>E12/'Output-Calculation-sheet'!E11*'Output-Calculation-sheet'!E20</f>
        <v>10015.817305318202</v>
      </c>
      <c r="F34" s="2">
        <f>F12/'Output-Calculation-sheet'!F11*'Output-Calculation-sheet'!F20</f>
        <v>6199.0306522796418</v>
      </c>
      <c r="G34" s="2">
        <f>G12/'Output-Calculation-sheet'!G11*'Output-Calculation-sheet'!G20</f>
        <v>3348.1727029201006</v>
      </c>
      <c r="H34" s="2">
        <f>H12/'Output-Calculation-sheet'!H11*'Output-Calculation-sheet'!H20</f>
        <v>0</v>
      </c>
      <c r="I34" s="2">
        <f>I12/'Output-Calculation-sheet'!I11*'Output-Calculation-sheet'!I20</f>
        <v>3646.8287990772287</v>
      </c>
      <c r="J34" s="2">
        <f>J12/'Output-Calculation-sheet'!J11*'Output-Calculation-sheet'!J20</f>
        <v>3125.0905552439599</v>
      </c>
      <c r="K34" s="2">
        <f>K12/'Output-Calculation-sheet'!K11*'Output-Calculation-sheet'!K20</f>
        <v>4107.6166838591862</v>
      </c>
      <c r="L34" s="2">
        <f>L12/'Output-Calculation-sheet'!L11*'Output-Calculation-sheet'!L20</f>
        <v>3252.2805144640843</v>
      </c>
      <c r="M34" s="2">
        <f>M12/'Output-Calculation-sheet'!M11*'Output-Calculation-sheet'!M20</f>
        <v>0</v>
      </c>
      <c r="N34" s="2">
        <f>N12/'Output-Calculation-sheet'!N11*'Output-Calculation-sheet'!N20</f>
        <v>1812.5233861363188</v>
      </c>
      <c r="O34" s="2">
        <f>O12/'Output-Calculation-sheet'!O11*'Output-Calculation-sheet'!O20</f>
        <v>0</v>
      </c>
      <c r="P34" s="2">
        <f>P12/'Output-Calculation-sheet'!P11*'Output-Calculation-sheet'!P20</f>
        <v>4055.9210654160752</v>
      </c>
      <c r="Q34" s="2">
        <f>Q12/'Output-Calculation-sheet'!Q11*'Output-Calculation-sheet'!Q20</f>
        <v>3196.3503987022991</v>
      </c>
      <c r="R34" s="2">
        <f>R12/'Output-Calculation-sheet'!R11*'Output-Calculation-sheet'!R20</f>
        <v>3225.4714162973405</v>
      </c>
      <c r="S34" s="2">
        <f>S12/'Output-Calculation-sheet'!S11*'Output-Calculation-sheet'!S20</f>
        <v>1245.8061654225442</v>
      </c>
      <c r="T34" s="2">
        <f>T12/'Output-Calculation-sheet'!T11*'Output-Calculation-sheet'!T20</f>
        <v>1006.6753506939814</v>
      </c>
      <c r="U34" s="2">
        <f>U12/'Output-Calculation-sheet'!U11*'Output-Calculation-sheet'!U20</f>
        <v>921.53741397313377</v>
      </c>
      <c r="V34" s="2">
        <f>V12/'Output-Calculation-sheet'!V11*'Output-Calculation-sheet'!V20</f>
        <v>844.29601748345374</v>
      </c>
      <c r="W34" s="2">
        <f>W12/'Output-Calculation-sheet'!W11*'Output-Calculation-sheet'!W20</f>
        <v>546.01542780623538</v>
      </c>
      <c r="X34" s="2">
        <f>X12/'Output-Calculation-sheet'!X11*'Output-Calculation-sheet'!X20</f>
        <v>1.2887802891869011</v>
      </c>
      <c r="Y34" s="2">
        <f>Y12/'Output-Calculation-sheet'!Y11*'Output-Calculation-sheet'!Y20</f>
        <v>304.43361956605992</v>
      </c>
      <c r="AA34" s="2">
        <f t="shared" si="1"/>
        <v>88.974046449932061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4.6977736840420885E-2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4.6977736840420885E-2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0.54462746266915008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0.54462746266915008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0.71603570763122848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0.71603570763122848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6.3438276845550617E-2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1.4550569417527588E-2</v>
      </c>
      <c r="N44" s="2">
        <f>N11/'Output-Calculation-sheet'!N10*'Output-Calculation-sheet'!N37*0.0114</f>
        <v>1.4300849999757701E-2</v>
      </c>
      <c r="O44" s="2">
        <f>O11/'Output-Calculation-sheet'!O10*'Output-Calculation-sheet'!O37*0.0114</f>
        <v>0.82740880769095437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3.7589202442996107E-2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8.197740909503249E-3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0.9654854473062896</v>
      </c>
    </row>
    <row r="45" spans="1:27" x14ac:dyDescent="0.25">
      <c r="A45" s="2">
        <v>2035</v>
      </c>
      <c r="B45" s="2">
        <f>B12/'Output-Calculation-sheet'!B11*'Output-Calculation-sheet'!B38*0.0114</f>
        <v>0.6776702042525371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0.22643224697313302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0.27722839444553637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5.4586790348540117E-2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5.7473924847817277E-2</v>
      </c>
      <c r="M45" s="2">
        <f>M12/'Output-Calculation-sheet'!M11*'Output-Calculation-sheet'!M38*0.0114</f>
        <v>0.16350867009740969</v>
      </c>
      <c r="N45" s="2">
        <f>N12/'Output-Calculation-sheet'!N11*'Output-Calculation-sheet'!N38*0.0114</f>
        <v>0.1205268792731676</v>
      </c>
      <c r="O45" s="2">
        <f>O12/'Output-Calculation-sheet'!O11*'Output-Calculation-sheet'!O38*0.0114</f>
        <v>0.84980036594752806</v>
      </c>
      <c r="P45" s="2">
        <f>P12/'Output-Calculation-sheet'!P11*'Output-Calculation-sheet'!P38*0.0114</f>
        <v>7.4230443853357933E-2</v>
      </c>
      <c r="Q45" s="2">
        <f>Q12/'Output-Calculation-sheet'!Q11*'Output-Calculation-sheet'!Q38*0.0114</f>
        <v>0.10559999964800248</v>
      </c>
      <c r="R45" s="2">
        <f>R12/'Output-Calculation-sheet'!R11*'Output-Calculation-sheet'!R38*0.0114</f>
        <v>4.654324559671414E-2</v>
      </c>
      <c r="S45" s="2">
        <f>S12/'Output-Calculation-sheet'!S11*'Output-Calculation-sheet'!S38*0.0114</f>
        <v>5.3736797327152044E-2</v>
      </c>
      <c r="T45" s="2">
        <f>T12/'Output-Calculation-sheet'!T11*'Output-Calculation-sheet'!T38*0.0114</f>
        <v>1.2914435659910102E-2</v>
      </c>
      <c r="U45" s="2">
        <f>U12/'Output-Calculation-sheet'!U11*'Output-Calculation-sheet'!U38*0.0114</f>
        <v>1.871819406238704E-2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8.654890423178881E-3</v>
      </c>
      <c r="AA45" s="2">
        <f t="shared" si="2"/>
        <v>3.3828692806076104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3505.2419963227521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8073.8938096333013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5521.9270054134877</v>
      </c>
      <c r="N52" s="2">
        <f>N8/'Output-Calculation-sheet'!N7*'Output-Calculation-sheet'!N43</f>
        <v>174.42861656819446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37.336729817721668</v>
      </c>
      <c r="Y52" s="2">
        <f>Y8/'Output-Calculation-sheet'!Y7*'Output-Calculation-sheet'!Y43</f>
        <v>0</v>
      </c>
      <c r="AA52" s="2">
        <f t="shared" si="3"/>
        <v>17.312828157755458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608.93092847767036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15783.467405063535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10809.712804544381</v>
      </c>
      <c r="N53" s="2">
        <f>N9/'Output-Calculation-sheet'!N8*'Output-Calculation-sheet'!N44</f>
        <v>3832.3161877879365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1196.2305610637304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329.9313153207741</v>
      </c>
      <c r="Y53" s="2">
        <f>Y9/'Output-Calculation-sheet'!Y8*'Output-Calculation-sheet'!Y44</f>
        <v>0</v>
      </c>
      <c r="AA53" s="2">
        <f t="shared" si="3"/>
        <v>32.730626873410046</v>
      </c>
    </row>
    <row r="54" spans="1:27" x14ac:dyDescent="0.25">
      <c r="A54" s="2">
        <v>2033</v>
      </c>
      <c r="B54" s="2">
        <f>B10/'Output-Calculation-sheet'!B9*'Output-Calculation-sheet'!B45</f>
        <v>32722.972281828854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23855.917139363297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16351.878372043111</v>
      </c>
      <c r="N54" s="2">
        <f>N10/'Output-Calculation-sheet'!N9*'Output-Calculation-sheet'!N45</f>
        <v>9124.6062639684296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958.01104741798099</v>
      </c>
      <c r="R54" s="2">
        <f>R10/'Output-Calculation-sheet'!R9*'Output-Calculation-sheet'!R45</f>
        <v>1624.240898160107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917.82552793885509</v>
      </c>
      <c r="Y54" s="2">
        <f>Y10/'Output-Calculation-sheet'!Y9*'Output-Calculation-sheet'!Y45</f>
        <v>20.2450100760027</v>
      </c>
      <c r="AA54" s="2">
        <f t="shared" si="3"/>
        <v>98.703002299595681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27606.779950068121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3999.8062533320708</v>
      </c>
      <c r="L55" s="2">
        <f>L11/'Output-Calculation-sheet'!L10*'Output-Calculation-sheet'!L46</f>
        <v>1477.8447130696584</v>
      </c>
      <c r="M55" s="2">
        <f>M11/'Output-Calculation-sheet'!M10*'Output-Calculation-sheet'!M46</f>
        <v>19381.613737294421</v>
      </c>
      <c r="N55" s="2">
        <f>N11/'Output-Calculation-sheet'!N10*'Output-Calculation-sheet'!N46</f>
        <v>14290.814315547344</v>
      </c>
      <c r="O55" s="2">
        <f>O11/'Output-Calculation-sheet'!O10*'Output-Calculation-sheet'!O46</f>
        <v>318.41425536494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3233.5506896869751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7245.6524038732232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222.84856353908825</v>
      </c>
    </row>
    <row r="56" spans="1:27" x14ac:dyDescent="0.25">
      <c r="A56" s="2">
        <v>2035</v>
      </c>
      <c r="B56" s="2">
        <f>B12/'Output-Calculation-sheet'!B11*'Output-Calculation-sheet'!B47</f>
        <v>110174.90847032036</v>
      </c>
      <c r="C56" s="2">
        <f>C12/'Output-Calculation-sheet'!C11*'Output-Calculation-sheet'!C47</f>
        <v>378.0656768510691</v>
      </c>
      <c r="D56" s="2">
        <f>D12/'Output-Calculation-sheet'!D11*'Output-Calculation-sheet'!D47</f>
        <v>8867.3762169952752</v>
      </c>
      <c r="E56" s="2">
        <f>E12/'Output-Calculation-sheet'!E11*'Output-Calculation-sheet'!E47</f>
        <v>24494.407628707686</v>
      </c>
      <c r="F56" s="2">
        <f>F12/'Output-Calculation-sheet'!F11*'Output-Calculation-sheet'!F47</f>
        <v>2893.1777841214785</v>
      </c>
      <c r="G56" s="2">
        <f>G12/'Output-Calculation-sheet'!G11*'Output-Calculation-sheet'!G47</f>
        <v>6949.9876807012097</v>
      </c>
      <c r="H56" s="2">
        <f>H12/'Output-Calculation-sheet'!H11*'Output-Calculation-sheet'!H47</f>
        <v>26296.74601197353</v>
      </c>
      <c r="I56" s="2">
        <f>I12/'Output-Calculation-sheet'!I11*'Output-Calculation-sheet'!I47</f>
        <v>3457.7722010067901</v>
      </c>
      <c r="J56" s="2">
        <f>J12/'Output-Calculation-sheet'!J11*'Output-Calculation-sheet'!J47</f>
        <v>3174.6528071124644</v>
      </c>
      <c r="K56" s="2">
        <f>K12/'Output-Calculation-sheet'!K11*'Output-Calculation-sheet'!K47</f>
        <v>4519.1005206762584</v>
      </c>
      <c r="L56" s="2">
        <f>L12/'Output-Calculation-sheet'!L11*'Output-Calculation-sheet'!L47</f>
        <v>2480.4535986952719</v>
      </c>
      <c r="M56" s="2">
        <f>M12/'Output-Calculation-sheet'!M11*'Output-Calculation-sheet'!M47</f>
        <v>18268.030071409426</v>
      </c>
      <c r="N56" s="2">
        <f>N12/'Output-Calculation-sheet'!N11*'Output-Calculation-sheet'!N47</f>
        <v>13760.739413312724</v>
      </c>
      <c r="O56" s="2">
        <f>O12/'Output-Calculation-sheet'!O11*'Output-Calculation-sheet'!O47</f>
        <v>1353.8486222203267</v>
      </c>
      <c r="P56" s="2">
        <f>P12/'Output-Calculation-sheet'!P11*'Output-Calculation-sheet'!P47</f>
        <v>7251.5764009961649</v>
      </c>
      <c r="Q56" s="2">
        <f>Q12/'Output-Calculation-sheet'!Q11*'Output-Calculation-sheet'!Q47</f>
        <v>3481.9181170486586</v>
      </c>
      <c r="R56" s="2">
        <f>R12/'Output-Calculation-sheet'!R11*'Output-Calculation-sheet'!R47</f>
        <v>5349.4111879907632</v>
      </c>
      <c r="S56" s="2">
        <f>S12/'Output-Calculation-sheet'!S11*'Output-Calculation-sheet'!S47</f>
        <v>7111.7082277199588</v>
      </c>
      <c r="T56" s="2">
        <f>T12/'Output-Calculation-sheet'!T11*'Output-Calculation-sheet'!T47</f>
        <v>1862.0199485092608</v>
      </c>
      <c r="U56" s="2">
        <f>U12/'Output-Calculation-sheet'!U11*'Output-Calculation-sheet'!U47</f>
        <v>1799.2453555757647</v>
      </c>
      <c r="V56" s="2">
        <f>V12/'Output-Calculation-sheet'!V11*'Output-Calculation-sheet'!V47</f>
        <v>1256.4622163564241</v>
      </c>
      <c r="W56" s="2">
        <f>W12/'Output-Calculation-sheet'!W11*'Output-Calculation-sheet'!W47</f>
        <v>726.43657468976289</v>
      </c>
      <c r="X56" s="2">
        <f>X12/'Output-Calculation-sheet'!X11*'Output-Calculation-sheet'!X47</f>
        <v>146.46124560197055</v>
      </c>
      <c r="Y56" s="2">
        <f>Y12/'Output-Calculation-sheet'!Y11*'Output-Calculation-sheet'!Y47</f>
        <v>965.32396255017079</v>
      </c>
      <c r="AA56" s="2">
        <f t="shared" si="3"/>
        <v>257.01982994114275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8.4324108859819447</v>
      </c>
      <c r="C63" s="2">
        <f>C8*'Output-Calculation-sheet'!C52/10^9</f>
        <v>4.5832242425984848</v>
      </c>
      <c r="D63" s="2">
        <f>D8*'Output-Calculation-sheet'!D52/10^9</f>
        <v>1.9743701669205298</v>
      </c>
      <c r="E63" s="2">
        <f>E8*'Output-Calculation-sheet'!E52/10^9</f>
        <v>2.258766499518591</v>
      </c>
      <c r="F63" s="2">
        <f>F8*'Output-Calculation-sheet'!F52/10^9</f>
        <v>1.0558282303344466</v>
      </c>
      <c r="G63" s="2">
        <f>G8*'Output-Calculation-sheet'!G52/10^9</f>
        <v>0.80534953905062201</v>
      </c>
      <c r="H63" s="2">
        <f>H8*'Output-Calculation-sheet'!H52/10^9</f>
        <v>1.2037573301215414</v>
      </c>
      <c r="I63" s="2">
        <f>I8*'Output-Calculation-sheet'!I52/10^9</f>
        <v>0.63617261924909807</v>
      </c>
      <c r="J63" s="2">
        <f>J8*'Output-Calculation-sheet'!J52/10^9</f>
        <v>0.89933675308471617</v>
      </c>
      <c r="K63" s="2">
        <f>K8*'Output-Calculation-sheet'!K52/10^9</f>
        <v>0.5903704195295536</v>
      </c>
      <c r="L63" s="2">
        <f>L8*'Output-Calculation-sheet'!L52/10^9</f>
        <v>0.69897438610857154</v>
      </c>
      <c r="M63" s="2">
        <f>M8*'Output-Calculation-sheet'!M52/10^9</f>
        <v>0.88136260498135743</v>
      </c>
      <c r="N63" s="2">
        <f>N8*'Output-Calculation-sheet'!N52/10^9</f>
        <v>0.70279479659275879</v>
      </c>
      <c r="O63" s="2">
        <f>O8*'Output-Calculation-sheet'!O52/10^9</f>
        <v>0.83266930603388267</v>
      </c>
      <c r="P63" s="2">
        <f>P8*'Output-Calculation-sheet'!P52/10^9</f>
        <v>0.60041688746568622</v>
      </c>
      <c r="Q63" s="2">
        <f>Q8*'Output-Calculation-sheet'!Q52/10^9</f>
        <v>0.5600583372920771</v>
      </c>
      <c r="R63" s="2">
        <f>R8*'Output-Calculation-sheet'!R52/10^9</f>
        <v>0.50728207287680183</v>
      </c>
      <c r="S63" s="2">
        <f>S8*'Output-Calculation-sheet'!S52/10^9</f>
        <v>0.43040997074553256</v>
      </c>
      <c r="T63" s="2">
        <f>T8*'Output-Calculation-sheet'!T52/10^9</f>
        <v>0.2060380075960801</v>
      </c>
      <c r="U63" s="2">
        <f>U8*'Output-Calculation-sheet'!U52/10^9</f>
        <v>0.16067867535917421</v>
      </c>
      <c r="V63" s="2">
        <f>V8*'Output-Calculation-sheet'!V52/10^9</f>
        <v>0.26603595652054263</v>
      </c>
      <c r="W63" s="2">
        <f>W8*'Output-Calculation-sheet'!W52/10^9</f>
        <v>0.11164077612483134</v>
      </c>
      <c r="X63" s="2">
        <f>X8*'Output-Calculation-sheet'!X52/10^9</f>
        <v>0.11746918391028255</v>
      </c>
      <c r="Y63" s="2">
        <f>Y8*'Output-Calculation-sheet'!Y52/10^9</f>
        <v>6.446839817389069E-2</v>
      </c>
      <c r="AA63" s="2">
        <f t="shared" si="4"/>
        <v>28.579886046170998</v>
      </c>
    </row>
    <row r="64" spans="1:27" x14ac:dyDescent="0.25">
      <c r="A64" s="2">
        <v>2032</v>
      </c>
      <c r="B64" s="2">
        <f>B9*'Output-Calculation-sheet'!B53/10^9</f>
        <v>8.9303950642513001</v>
      </c>
      <c r="C64" s="2">
        <f>C9*'Output-Calculation-sheet'!C53/10^9</f>
        <v>5.2749356856041336</v>
      </c>
      <c r="D64" s="2">
        <f>D9*'Output-Calculation-sheet'!D53/10^9</f>
        <v>1.8752640268747593</v>
      </c>
      <c r="E64" s="2">
        <f>E9*'Output-Calculation-sheet'!E53/10^9</f>
        <v>2.1895900583495487</v>
      </c>
      <c r="F64" s="2">
        <f>F9*'Output-Calculation-sheet'!F53/10^9</f>
        <v>1.0047659302484397</v>
      </c>
      <c r="G64" s="2">
        <f>G9*'Output-Calculation-sheet'!G53/10^9</f>
        <v>0.75232718337190296</v>
      </c>
      <c r="H64" s="2">
        <f>H9*'Output-Calculation-sheet'!H53/10^9</f>
        <v>1.4010899347429697</v>
      </c>
      <c r="I64" s="2">
        <f>I9*'Output-Calculation-sheet'!I53/10^9</f>
        <v>0.610085740610816</v>
      </c>
      <c r="J64" s="2">
        <f>J9*'Output-Calculation-sheet'!J53/10^9</f>
        <v>0.81886519135285907</v>
      </c>
      <c r="K64" s="2">
        <f>K9*'Output-Calculation-sheet'!K53/10^9</f>
        <v>0.60450570557962513</v>
      </c>
      <c r="L64" s="2">
        <f>L9*'Output-Calculation-sheet'!L53/10^9</f>
        <v>0.67866107428235634</v>
      </c>
      <c r="M64" s="2">
        <f>M9*'Output-Calculation-sheet'!M53/10^9</f>
        <v>1.0103496950909119</v>
      </c>
      <c r="N64" s="2">
        <f>N9*'Output-Calculation-sheet'!N53/10^9</f>
        <v>0.82580239523484367</v>
      </c>
      <c r="O64" s="2">
        <f>O9*'Output-Calculation-sheet'!O53/10^9</f>
        <v>0.97552200025576274</v>
      </c>
      <c r="P64" s="2">
        <f>P9*'Output-Calculation-sheet'!P53/10^9</f>
        <v>0.64504094239536147</v>
      </c>
      <c r="Q64" s="2">
        <f>Q9*'Output-Calculation-sheet'!Q53/10^9</f>
        <v>0.61183897928227637</v>
      </c>
      <c r="R64" s="2">
        <f>R9*'Output-Calculation-sheet'!R53/10^9</f>
        <v>0.52050319938285516</v>
      </c>
      <c r="S64" s="2">
        <f>S9*'Output-Calculation-sheet'!S53/10^9</f>
        <v>0.48934388201816964</v>
      </c>
      <c r="T64" s="2">
        <f>T9*'Output-Calculation-sheet'!T53/10^9</f>
        <v>0.19457396891106016</v>
      </c>
      <c r="U64" s="2">
        <f>U9*'Output-Calculation-sheet'!U53/10^9</f>
        <v>0.1657759872931239</v>
      </c>
      <c r="V64" s="2">
        <f>V9*'Output-Calculation-sheet'!V53/10^9</f>
        <v>0.24161260405278279</v>
      </c>
      <c r="W64" s="2">
        <f>W9*'Output-Calculation-sheet'!W53/10^9</f>
        <v>0.10298333678427897</v>
      </c>
      <c r="X64" s="2">
        <f>X9*'Output-Calculation-sheet'!X53/10^9</f>
        <v>0.1314997292641418</v>
      </c>
      <c r="Y64" s="2">
        <f>Y9*'Output-Calculation-sheet'!Y53/10^9</f>
        <v>6.5503166540415853E-2</v>
      </c>
      <c r="AA64" s="2">
        <f t="shared" si="4"/>
        <v>30.120835481774701</v>
      </c>
    </row>
    <row r="65" spans="1:27" x14ac:dyDescent="0.25">
      <c r="A65" s="2">
        <v>2033</v>
      </c>
      <c r="B65" s="2">
        <f>B10*'Output-Calculation-sheet'!B54/10^9</f>
        <v>9.3139860741540943</v>
      </c>
      <c r="C65" s="2">
        <f>C10*'Output-Calculation-sheet'!C54/10^9</f>
        <v>5.7544253654297188</v>
      </c>
      <c r="D65" s="2">
        <f>D10*'Output-Calculation-sheet'!D54/10^9</f>
        <v>1.6601998598556993</v>
      </c>
      <c r="E65" s="2">
        <f>E10*'Output-Calculation-sheet'!E54/10^9</f>
        <v>2.1142864991588248</v>
      </c>
      <c r="F65" s="2">
        <f>F10*'Output-Calculation-sheet'!F54/10^9</f>
        <v>0.9085261155821085</v>
      </c>
      <c r="G65" s="2">
        <f>G10*'Output-Calculation-sheet'!G54/10^9</f>
        <v>0.64682659158193656</v>
      </c>
      <c r="H65" s="2">
        <f>H10*'Output-Calculation-sheet'!H54/10^9</f>
        <v>1.519891768764027</v>
      </c>
      <c r="I65" s="2">
        <f>I10*'Output-Calculation-sheet'!I54/10^9</f>
        <v>0.56713191076890723</v>
      </c>
      <c r="J65" s="2">
        <f>J10*'Output-Calculation-sheet'!J54/10^9</f>
        <v>0.67100627020155823</v>
      </c>
      <c r="K65" s="2">
        <f>K10*'Output-Calculation-sheet'!K54/10^9</f>
        <v>0.62793056658089874</v>
      </c>
      <c r="L65" s="2">
        <f>L10*'Output-Calculation-sheet'!L54/10^9</f>
        <v>0.64756634616515918</v>
      </c>
      <c r="M65" s="2">
        <f>M10*'Output-Calculation-sheet'!M54/10^9</f>
        <v>1.0806947683721078</v>
      </c>
      <c r="N65" s="2">
        <f>N10*'Output-Calculation-sheet'!N54/10^9</f>
        <v>0.92088252561617046</v>
      </c>
      <c r="O65" s="2">
        <f>O10*'Output-Calculation-sheet'!O54/10^9</f>
        <v>1.0715025220407337</v>
      </c>
      <c r="P65" s="2">
        <f>P10*'Output-Calculation-sheet'!P54/10^9</f>
        <v>0.67929968352262426</v>
      </c>
      <c r="Q65" s="2">
        <f>Q10*'Output-Calculation-sheet'!Q54/10^9</f>
        <v>0.67037830162542988</v>
      </c>
      <c r="R65" s="2">
        <f>R10*'Output-Calculation-sheet'!R54/10^9</f>
        <v>0.53140641033274516</v>
      </c>
      <c r="S65" s="2">
        <f>S10*'Output-Calculation-sheet'!S54/10^9</f>
        <v>0.53336209582276306</v>
      </c>
      <c r="T65" s="2">
        <f>T10*'Output-Calculation-sheet'!T54/10^9</f>
        <v>0.17995784947143859</v>
      </c>
      <c r="U65" s="2">
        <f>U10*'Output-Calculation-sheet'!U54/10^9</f>
        <v>0.17283659342669325</v>
      </c>
      <c r="V65" s="2">
        <f>V10*'Output-Calculation-sheet'!V54/10^9</f>
        <v>0.20365046742823945</v>
      </c>
      <c r="W65" s="2">
        <f>W10*'Output-Calculation-sheet'!W54/10^9</f>
        <v>8.7032847525760737E-2</v>
      </c>
      <c r="X65" s="2">
        <f>X10*'Output-Calculation-sheet'!X54/10^9</f>
        <v>0.13881398190565439</v>
      </c>
      <c r="Y65" s="2">
        <f>Y10*'Output-Calculation-sheet'!Y54/10^9</f>
        <v>6.7516683327467575E-2</v>
      </c>
      <c r="AA65" s="2">
        <f t="shared" si="4"/>
        <v>30.769112098660774</v>
      </c>
    </row>
    <row r="66" spans="1:27" x14ac:dyDescent="0.25">
      <c r="A66" s="2">
        <v>2034</v>
      </c>
      <c r="B66" s="2">
        <f>B11*'Output-Calculation-sheet'!B55/10^9</f>
        <v>9.499373514420336</v>
      </c>
      <c r="C66" s="2">
        <f>C11*'Output-Calculation-sheet'!C55/10^9</f>
        <v>5.9564056612949754</v>
      </c>
      <c r="D66" s="2">
        <f>D11*'Output-Calculation-sheet'!D55/10^9</f>
        <v>1.7185699239113696</v>
      </c>
      <c r="E66" s="2">
        <f>E11*'Output-Calculation-sheet'!E55/10^9</f>
        <v>2.2258837759710945</v>
      </c>
      <c r="F66" s="2">
        <f>F11*'Output-Calculation-sheet'!F55/10^9</f>
        <v>0.87606259364566896</v>
      </c>
      <c r="G66" s="2">
        <f>G11*'Output-Calculation-sheet'!G55/10^9</f>
        <v>0.63905363866628206</v>
      </c>
      <c r="H66" s="2">
        <f>H11*'Output-Calculation-sheet'!H55/10^9</f>
        <v>1.5946690916803312</v>
      </c>
      <c r="I66" s="2">
        <f>I11*'Output-Calculation-sheet'!I55/10^9</f>
        <v>0.59406676544742143</v>
      </c>
      <c r="J66" s="2">
        <f>J11*'Output-Calculation-sheet'!J55/10^9</f>
        <v>0.59811368267455778</v>
      </c>
      <c r="K66" s="2">
        <f>K11*'Output-Calculation-sheet'!K55/10^9</f>
        <v>0.68104961039815204</v>
      </c>
      <c r="L66" s="2">
        <f>L11*'Output-Calculation-sheet'!L55/10^9</f>
        <v>0.66025466844124914</v>
      </c>
      <c r="M66" s="2">
        <f>M11*'Output-Calculation-sheet'!M55/10^9</f>
        <v>1.1200528397742553</v>
      </c>
      <c r="N66" s="2">
        <f>N11*'Output-Calculation-sheet'!N55/10^9</f>
        <v>0.97397362180393454</v>
      </c>
      <c r="O66" s="2">
        <f>O11*'Output-Calculation-sheet'!O55/10^9</f>
        <v>1.1109662839318915</v>
      </c>
      <c r="P66" s="2">
        <f>P11*'Output-Calculation-sheet'!P55/10^9</f>
        <v>0.71238357416102271</v>
      </c>
      <c r="Q66" s="2">
        <f>Q11*'Output-Calculation-sheet'!Q55/10^9</f>
        <v>0.73274836715448488</v>
      </c>
      <c r="R66" s="2">
        <f>R11*'Output-Calculation-sheet'!R55/10^9</f>
        <v>0.54213331218269789</v>
      </c>
      <c r="S66" s="2">
        <f>S11*'Output-Calculation-sheet'!S55/10^9</f>
        <v>0.56277921463482361</v>
      </c>
      <c r="T66" s="2">
        <f>T11*'Output-Calculation-sheet'!T55/10^9</f>
        <v>0.16986919376948181</v>
      </c>
      <c r="U66" s="2">
        <f>U11*'Output-Calculation-sheet'!U55/10^9</f>
        <v>0.18487751071559108</v>
      </c>
      <c r="V66" s="2">
        <f>V11*'Output-Calculation-sheet'!V55/10^9</f>
        <v>0.16053761365440988</v>
      </c>
      <c r="W66" s="2">
        <f>W11*'Output-Calculation-sheet'!W55/10^9</f>
        <v>7.8649326986628423E-2</v>
      </c>
      <c r="X66" s="2">
        <f>X11*'Output-Calculation-sheet'!X55/10^9</f>
        <v>0.13892327905061896</v>
      </c>
      <c r="Y66" s="2">
        <f>Y11*'Output-Calculation-sheet'!Y55/10^9</f>
        <v>7.5463250052528422E-2</v>
      </c>
      <c r="AA66" s="2">
        <f t="shared" si="4"/>
        <v>31.606860314423812</v>
      </c>
    </row>
    <row r="67" spans="1:27" x14ac:dyDescent="0.25">
      <c r="A67" s="2">
        <v>2035</v>
      </c>
      <c r="B67" s="2">
        <f>B12*'Output-Calculation-sheet'!B56/10^9</f>
        <v>9.7441929326407859</v>
      </c>
      <c r="C67" s="2">
        <f>C12*'Output-Calculation-sheet'!C56/10^9</f>
        <v>5.8852580307336746</v>
      </c>
      <c r="D67" s="2">
        <f>D12*'Output-Calculation-sheet'!D56/10^9</f>
        <v>1.9302275495229155</v>
      </c>
      <c r="E67" s="2">
        <f>E12*'Output-Calculation-sheet'!E56/10^9</f>
        <v>2.64315770406477</v>
      </c>
      <c r="F67" s="2">
        <f>F12*'Output-Calculation-sheet'!F56/10^9</f>
        <v>1.0363162762160223</v>
      </c>
      <c r="G67" s="2">
        <f>G12*'Output-Calculation-sheet'!G56/10^9</f>
        <v>0.76355749536676143</v>
      </c>
      <c r="H67" s="2">
        <f>H12*'Output-Calculation-sheet'!H56/10^9</f>
        <v>1.6259761917183237</v>
      </c>
      <c r="I67" s="2">
        <f>I12*'Output-Calculation-sheet'!I56/10^9</f>
        <v>0.699677963238028</v>
      </c>
      <c r="J67" s="2">
        <f>J12*'Output-Calculation-sheet'!J56/10^9</f>
        <v>0.64067153291856771</v>
      </c>
      <c r="K67" s="2">
        <f>K12*'Output-Calculation-sheet'!K56/10^9</f>
        <v>0.76743272540347518</v>
      </c>
      <c r="L67" s="2">
        <f>L12*'Output-Calculation-sheet'!L56/10^9</f>
        <v>0.71520298670792481</v>
      </c>
      <c r="M67" s="2">
        <f>M12*'Output-Calculation-sheet'!M56/10^9</f>
        <v>1.150302940923289</v>
      </c>
      <c r="N67" s="2">
        <f>N12*'Output-Calculation-sheet'!N56/10^9</f>
        <v>0.98246846908718477</v>
      </c>
      <c r="O67" s="2">
        <f>O12*'Output-Calculation-sheet'!O56/10^9</f>
        <v>1.0868230688178018</v>
      </c>
      <c r="P67" s="2">
        <f>P12*'Output-Calculation-sheet'!P56/10^9</f>
        <v>0.7973692035167208</v>
      </c>
      <c r="Q67" s="2">
        <f>Q12*'Output-Calculation-sheet'!Q56/10^9</f>
        <v>0.75322303910249333</v>
      </c>
      <c r="R67" s="2">
        <f>R12*'Output-Calculation-sheet'!R56/10^9</f>
        <v>0.59084091197394895</v>
      </c>
      <c r="S67" s="2">
        <f>S12*'Output-Calculation-sheet'!S56/10^9</f>
        <v>0.57074639157907203</v>
      </c>
      <c r="T67" s="2">
        <f>T12*'Output-Calculation-sheet'!T56/10^9</f>
        <v>0.18386575663562399</v>
      </c>
      <c r="U67" s="2">
        <f>U12*'Output-Calculation-sheet'!U56/10^9</f>
        <v>0.19877020369219517</v>
      </c>
      <c r="V67" s="2">
        <f>V12*'Output-Calculation-sheet'!V56/10^9</f>
        <v>0.14180245670604352</v>
      </c>
      <c r="W67" s="2">
        <f>W12*'Output-Calculation-sheet'!W56/10^9</f>
        <v>9.6256884183707939E-2</v>
      </c>
      <c r="X67" s="2">
        <f>X12*'Output-Calculation-sheet'!X56/10^9</f>
        <v>0.13730550590647092</v>
      </c>
      <c r="Y67" s="2">
        <f>Y12*'Output-Calculation-sheet'!Y56/10^9</f>
        <v>8.9819107398085102E-2</v>
      </c>
      <c r="AA67" s="2">
        <f t="shared" si="4"/>
        <v>33.23126532805388</v>
      </c>
    </row>
    <row r="68" spans="1:27" x14ac:dyDescent="0.25">
      <c r="B68" s="2">
        <f>SUM(B60:B67)</f>
        <v>45.920358471448459</v>
      </c>
      <c r="C68" s="2">
        <f t="shared" ref="C68:Y68" si="5">SUM(C60:C67)</f>
        <v>27.454248985660985</v>
      </c>
      <c r="D68" s="2">
        <f t="shared" si="5"/>
        <v>9.1586315270852729</v>
      </c>
      <c r="E68" s="2">
        <f t="shared" si="5"/>
        <v>11.431684537062829</v>
      </c>
      <c r="F68" s="2">
        <f t="shared" si="5"/>
        <v>4.8814991460266857</v>
      </c>
      <c r="G68" s="2">
        <f t="shared" si="5"/>
        <v>3.607114448037505</v>
      </c>
      <c r="H68" s="2">
        <f t="shared" si="5"/>
        <v>7.3453843170271931</v>
      </c>
      <c r="I68" s="2">
        <f t="shared" si="5"/>
        <v>3.1071349993142703</v>
      </c>
      <c r="J68" s="2">
        <f t="shared" si="5"/>
        <v>3.6279934302322592</v>
      </c>
      <c r="K68" s="2">
        <f t="shared" si="5"/>
        <v>3.2712890274917052</v>
      </c>
      <c r="L68" s="2">
        <f t="shared" si="5"/>
        <v>3.4006594617052608</v>
      </c>
      <c r="M68" s="2">
        <f t="shared" si="5"/>
        <v>5.242762849141922</v>
      </c>
      <c r="N68" s="2">
        <f t="shared" si="5"/>
        <v>4.4059218083348926</v>
      </c>
      <c r="O68" s="2">
        <f t="shared" si="5"/>
        <v>5.0774831810800727</v>
      </c>
      <c r="P68" s="2">
        <f t="shared" si="5"/>
        <v>3.4345102910614154</v>
      </c>
      <c r="Q68" s="2">
        <f t="shared" si="5"/>
        <v>3.3282470244567617</v>
      </c>
      <c r="R68" s="2">
        <f t="shared" si="5"/>
        <v>2.6921659067490489</v>
      </c>
      <c r="S68" s="2">
        <f t="shared" si="5"/>
        <v>2.586641554800361</v>
      </c>
      <c r="T68" s="2">
        <f t="shared" si="5"/>
        <v>0.9343047763836847</v>
      </c>
      <c r="U68" s="2">
        <f t="shared" si="5"/>
        <v>0.88293897048677761</v>
      </c>
      <c r="V68" s="2">
        <f t="shared" si="5"/>
        <v>1.0136390983620183</v>
      </c>
      <c r="W68" s="2">
        <f t="shared" si="5"/>
        <v>0.47656317160520739</v>
      </c>
      <c r="X68" s="2">
        <f t="shared" si="5"/>
        <v>0.66401168003716871</v>
      </c>
      <c r="Y68" s="2">
        <f t="shared" si="5"/>
        <v>0.3627706054923876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939.89272530748042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1714.0830850405748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1155.9215143730505</v>
      </c>
      <c r="N74" s="2">
        <f>N8/'Output-Calculation-sheet'!N7*'Output-Calculation-sheet'!N61</f>
        <v>47.920398477060864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10.257373146821081</v>
      </c>
      <c r="Y74" s="2">
        <f>Y8/'Output-Calculation-sheet'!Y7*'Output-Calculation-sheet'!Y61</f>
        <v>0</v>
      </c>
      <c r="AA74" s="2">
        <f t="shared" si="6"/>
        <v>3.8680750963449877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167.2862072839954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3003.9974007238434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2041.3775527780624</v>
      </c>
      <c r="N75" s="2">
        <f>N9/'Output-Calculation-sheet'!N8*'Output-Calculation-sheet'!N62</f>
        <v>786.16968024459993</v>
      </c>
      <c r="O75" s="2">
        <f>O9/'Output-Calculation-sheet'!O8*'Output-Calculation-sheet'!O62</f>
        <v>0</v>
      </c>
      <c r="P75" s="2">
        <f>P9/'Output-Calculation-sheet'!P8*'Output-Calculation-sheet'!P62</f>
        <v>62.284461119797363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264.1782961379073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71.696863929292491</v>
      </c>
      <c r="Y75" s="2">
        <f>Y9/'Output-Calculation-sheet'!Y8*'Output-Calculation-sheet'!Y62</f>
        <v>0</v>
      </c>
      <c r="AA75" s="2">
        <f t="shared" si="6"/>
        <v>6.3969904622174987</v>
      </c>
    </row>
    <row r="76" spans="1:27" x14ac:dyDescent="0.25">
      <c r="A76" s="2">
        <v>2033</v>
      </c>
      <c r="B76" s="2">
        <f>B10/'Output-Calculation-sheet'!B9*'Output-Calculation-sheet'!B63</f>
        <v>6588.2422230072043</v>
      </c>
      <c r="C76" s="2">
        <f>C10/'Output-Calculation-sheet'!C9*'Output-Calculation-sheet'!C63</f>
        <v>1328.4685600252431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4295.203048387224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2931.4970470387671</v>
      </c>
      <c r="N76" s="2">
        <f>N10/'Output-Calculation-sheet'!N9*'Output-Calculation-sheet'!N63</f>
        <v>1669.6403924298431</v>
      </c>
      <c r="O76" s="2">
        <f>O10/'Output-Calculation-sheet'!O9*'Output-Calculation-sheet'!O63</f>
        <v>0</v>
      </c>
      <c r="P76" s="2">
        <f>P10/'Output-Calculation-sheet'!P9*'Output-Calculation-sheet'!P63</f>
        <v>578.99807883376604</v>
      </c>
      <c r="Q76" s="2">
        <f>Q10/'Output-Calculation-sheet'!Q9*'Output-Calculation-sheet'!Q63</f>
        <v>263.18933465058581</v>
      </c>
      <c r="R76" s="2">
        <f>R10/'Output-Calculation-sheet'!R9*'Output-Calculation-sheet'!R63</f>
        <v>439.38143829181945</v>
      </c>
      <c r="S76" s="2">
        <f>S10/'Output-Calculation-sheet'!S9*'Output-Calculation-sheet'!S63</f>
        <v>746.65675620757213</v>
      </c>
      <c r="T76" s="2">
        <f>T10/'Output-Calculation-sheet'!T9*'Output-Calculation-sheet'!T63</f>
        <v>28.950128253834492</v>
      </c>
      <c r="U76" s="2">
        <f>U10/'Output-Calculation-sheet'!U9*'Output-Calculation-sheet'!U63</f>
        <v>156.14202630343192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168.17469528723646</v>
      </c>
      <c r="Y76" s="2">
        <f>Y10/'Output-Calculation-sheet'!Y9*'Output-Calculation-sheet'!Y63</f>
        <v>7.4156924745963408</v>
      </c>
      <c r="AA76" s="2">
        <f t="shared" si="6"/>
        <v>19.323359405375356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2278.6346927507811</v>
      </c>
      <c r="D77" s="2">
        <f>D11/'Output-Calculation-sheet'!D10*'Output-Calculation-sheet'!D64</f>
        <v>1936.4509544618836</v>
      </c>
      <c r="E77" s="2">
        <f>E11/'Output-Calculation-sheet'!E10*'Output-Calculation-sheet'!E64</f>
        <v>2421.9714289206286</v>
      </c>
      <c r="F77" s="2">
        <f>F11/'Output-Calculation-sheet'!F10*'Output-Calculation-sheet'!F64</f>
        <v>172.32925861701165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5120.6876241227046</v>
      </c>
      <c r="I77" s="2">
        <f>I11/'Output-Calculation-sheet'!I10*'Output-Calculation-sheet'!I64</f>
        <v>601.05089944893939</v>
      </c>
      <c r="J77" s="2">
        <f>J11/'Output-Calculation-sheet'!J10*'Output-Calculation-sheet'!J64</f>
        <v>423.802368008553</v>
      </c>
      <c r="K77" s="2">
        <f>K11/'Output-Calculation-sheet'!K10*'Output-Calculation-sheet'!K64</f>
        <v>922.5587823280033</v>
      </c>
      <c r="L77" s="2">
        <f>L11/'Output-Calculation-sheet'!L10*'Output-Calculation-sheet'!L64</f>
        <v>377.90292875955748</v>
      </c>
      <c r="M77" s="2">
        <f>M11/'Output-Calculation-sheet'!M10*'Output-Calculation-sheet'!M64</f>
        <v>3618.9078580739611</v>
      </c>
      <c r="N77" s="2">
        <f>N11/'Output-Calculation-sheet'!N10*'Output-Calculation-sheet'!N64</f>
        <v>2508.2511706680289</v>
      </c>
      <c r="O77" s="2">
        <f>O11/'Output-Calculation-sheet'!O10*'Output-Calculation-sheet'!O64</f>
        <v>91.140227394990461</v>
      </c>
      <c r="P77" s="2">
        <f>P11/'Output-Calculation-sheet'!P10*'Output-Calculation-sheet'!P64</f>
        <v>1137.5681261309769</v>
      </c>
      <c r="Q77" s="2">
        <f>Q11/'Output-Calculation-sheet'!Q10*'Output-Calculation-sheet'!Q64</f>
        <v>651.27579720488643</v>
      </c>
      <c r="R77" s="2">
        <f>R11/'Output-Calculation-sheet'!R10*'Output-Calculation-sheet'!R64</f>
        <v>971.58981144534062</v>
      </c>
      <c r="S77" s="2">
        <f>S11/'Output-Calculation-sheet'!S10*'Output-Calculation-sheet'!S64</f>
        <v>1287.2948505196941</v>
      </c>
      <c r="T77" s="2">
        <f>T11/'Output-Calculation-sheet'!T10*'Output-Calculation-sheet'!T64</f>
        <v>268.66327325849443</v>
      </c>
      <c r="U77" s="2">
        <f>U11/'Output-Calculation-sheet'!U10*'Output-Calculation-sheet'!U64</f>
        <v>356.31843874596234</v>
      </c>
      <c r="V77" s="2">
        <f>V11/'Output-Calculation-sheet'!V10*'Output-Calculation-sheet'!V64</f>
        <v>140.23692592562361</v>
      </c>
      <c r="W77" s="2">
        <f>W11/'Output-Calculation-sheet'!W10*'Output-Calculation-sheet'!W64</f>
        <v>30.554881416535363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42.400339228328882</v>
      </c>
    </row>
    <row r="78" spans="1:27" x14ac:dyDescent="0.25">
      <c r="A78" s="2">
        <v>2035</v>
      </c>
      <c r="B78" s="2">
        <f>B12/'Output-Calculation-sheet'!B11*'Output-Calculation-sheet'!B65</f>
        <v>18882.947350870294</v>
      </c>
      <c r="C78" s="2">
        <f>C12/'Output-Calculation-sheet'!C11*'Output-Calculation-sheet'!C65</f>
        <v>69.439943572078448</v>
      </c>
      <c r="D78" s="2">
        <f>D12/'Output-Calculation-sheet'!D11*'Output-Calculation-sheet'!D65</f>
        <v>1972.616319208013</v>
      </c>
      <c r="E78" s="2">
        <f>E12/'Output-Calculation-sheet'!E11*'Output-Calculation-sheet'!E65</f>
        <v>3748.2839389775859</v>
      </c>
      <c r="F78" s="2">
        <f>F12/'Output-Calculation-sheet'!F11*'Output-Calculation-sheet'!F65</f>
        <v>801.32779813008142</v>
      </c>
      <c r="G78" s="2">
        <f>G12/'Output-Calculation-sheet'!G11*'Output-Calculation-sheet'!G65</f>
        <v>1527.4695834838953</v>
      </c>
      <c r="H78" s="2">
        <f>H12/'Output-Calculation-sheet'!H11*'Output-Calculation-sheet'!H65</f>
        <v>4889.9371557359827</v>
      </c>
      <c r="I78" s="2">
        <f>I12/'Output-Calculation-sheet'!I11*'Output-Calculation-sheet'!I65</f>
        <v>884.28330846848178</v>
      </c>
      <c r="J78" s="2">
        <f>J12/'Output-Calculation-sheet'!J11*'Output-Calculation-sheet'!J65</f>
        <v>810.09031424206864</v>
      </c>
      <c r="K78" s="2">
        <f>K12/'Output-Calculation-sheet'!K11*'Output-Calculation-sheet'!K65</f>
        <v>1007.0588049462533</v>
      </c>
      <c r="L78" s="2">
        <f>L12/'Output-Calculation-sheet'!L11*'Output-Calculation-sheet'!L65</f>
        <v>589.66986500771759</v>
      </c>
      <c r="M78" s="2">
        <f>M12/'Output-Calculation-sheet'!M11*'Output-Calculation-sheet'!M65</f>
        <v>3424.6902904290628</v>
      </c>
      <c r="N78" s="2">
        <f>N12/'Output-Calculation-sheet'!N11*'Output-Calculation-sheet'!N65</f>
        <v>2410.8571109132772</v>
      </c>
      <c r="O78" s="2">
        <f>O12/'Output-Calculation-sheet'!O11*'Output-Calculation-sheet'!O65</f>
        <v>356.1860620522948</v>
      </c>
      <c r="P78" s="2">
        <f>P12/'Output-Calculation-sheet'!P11*'Output-Calculation-sheet'!P65</f>
        <v>1382.4443451321422</v>
      </c>
      <c r="Q78" s="2">
        <f>Q12/'Output-Calculation-sheet'!Q11*'Output-Calculation-sheet'!Q65</f>
        <v>674.11705038453795</v>
      </c>
      <c r="R78" s="2">
        <f>R12/'Output-Calculation-sheet'!R11*'Output-Calculation-sheet'!R65</f>
        <v>1155.1533421351326</v>
      </c>
      <c r="S78" s="2">
        <f>S12/'Output-Calculation-sheet'!S11*'Output-Calculation-sheet'!S65</f>
        <v>1299.526801306891</v>
      </c>
      <c r="T78" s="2">
        <f>T12/'Output-Calculation-sheet'!T11*'Output-Calculation-sheet'!T65</f>
        <v>409.2350539277291</v>
      </c>
      <c r="U78" s="2">
        <f>U12/'Output-Calculation-sheet'!U11*'Output-Calculation-sheet'!U65</f>
        <v>353.33349763459466</v>
      </c>
      <c r="V78" s="2">
        <f>V12/'Output-Calculation-sheet'!V11*'Output-Calculation-sheet'!V65</f>
        <v>223.16536416393794</v>
      </c>
      <c r="W78" s="2">
        <f>W12/'Output-Calculation-sheet'!W11*'Output-Calculation-sheet'!W65</f>
        <v>159.65641895623497</v>
      </c>
      <c r="X78" s="2">
        <f>X12/'Output-Calculation-sheet'!X11*'Output-Calculation-sheet'!X65</f>
        <v>29.27585909738583</v>
      </c>
      <c r="Y78" s="2">
        <f>Y12/'Output-Calculation-sheet'!Y11*'Output-Calculation-sheet'!Y65</f>
        <v>152.87826357962595</v>
      </c>
      <c r="AA78" s="2">
        <f t="shared" si="6"/>
        <v>47.213643842355289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30.906405816066371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3.0906405816066372E-2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357.17005697183191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0.35717005697183191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466.92828336097978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0.4669282833609798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29.678726009614323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6.3818286918980647</v>
      </c>
      <c r="N88" s="2">
        <f>N11/'Output-Calculation-sheet'!N10*'Output-Calculation-sheet'!N73</f>
        <v>6.2723026314726757</v>
      </c>
      <c r="O88" s="2">
        <f>O11/'Output-Calculation-sheet'!O10*'Output-Calculation-sheet'!O73</f>
        <v>539.66533721778433</v>
      </c>
      <c r="P88" s="2">
        <f>P11/'Output-Calculation-sheet'!P10*'Output-Calculation-sheet'!P73</f>
        <v>0</v>
      </c>
      <c r="Q88" s="2">
        <f>Q11/'Output-Calculation-sheet'!Q10*'Output-Calculation-sheet'!Q73</f>
        <v>23.081089219383575</v>
      </c>
      <c r="R88" s="2">
        <f>R11/'Output-Calculation-sheet'!R10*'Output-Calculation-sheet'!R73</f>
        <v>0</v>
      </c>
      <c r="S88" s="2">
        <f>S11/'Output-Calculation-sheet'!S10*'Output-Calculation-sheet'!S73</f>
        <v>0.71910007978098678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0.60579838384993401</v>
      </c>
    </row>
    <row r="89" spans="1:27" x14ac:dyDescent="0.25">
      <c r="A89" s="2">
        <v>2035</v>
      </c>
      <c r="B89" s="2">
        <f>B12/'Output-Calculation-sheet'!B11*'Output-Calculation-sheet'!B74</f>
        <v>368.55747950576574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124.96302447851289</v>
      </c>
      <c r="E89" s="2">
        <f>E12/'Output-Calculation-sheet'!E11*'Output-Calculation-sheet'!E74</f>
        <v>135.06484907169337</v>
      </c>
      <c r="F89" s="2">
        <f>F12/'Output-Calculation-sheet'!F11*'Output-Calculation-sheet'!F74</f>
        <v>52.466954634327337</v>
      </c>
      <c r="G89" s="2">
        <f>G12/'Output-Calculation-sheet'!G11*'Output-Calculation-sheet'!G74</f>
        <v>46.620144400988508</v>
      </c>
      <c r="H89" s="2">
        <f>H12/'Output-Calculation-sheet'!H11*'Output-Calculation-sheet'!H74</f>
        <v>178.91306157825969</v>
      </c>
      <c r="I89" s="2">
        <f>I12/'Output-Calculation-sheet'!I11*'Output-Calculation-sheet'!I74</f>
        <v>43.54470588954446</v>
      </c>
      <c r="J89" s="2">
        <f>J12/'Output-Calculation-sheet'!J11*'Output-Calculation-sheet'!J74</f>
        <v>25.537679695223446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34.030613396733912</v>
      </c>
      <c r="M89" s="2">
        <f>M12/'Output-Calculation-sheet'!M11*'Output-Calculation-sheet'!M74</f>
        <v>103.98577703563336</v>
      </c>
      <c r="N89" s="2">
        <f>N12/'Output-Calculation-sheet'!N11*'Output-Calculation-sheet'!N74</f>
        <v>77.531910643558106</v>
      </c>
      <c r="O89" s="2">
        <f>O12/'Output-Calculation-sheet'!O11*'Output-Calculation-sheet'!O74</f>
        <v>557.98295442117103</v>
      </c>
      <c r="P89" s="2">
        <f>P12/'Output-Calculation-sheet'!P11*'Output-Calculation-sheet'!P74</f>
        <v>42.324375881300575</v>
      </c>
      <c r="Q89" s="2">
        <f>Q12/'Output-Calculation-sheet'!Q11*'Output-Calculation-sheet'!Q74</f>
        <v>64.842105047019061</v>
      </c>
      <c r="R89" s="2">
        <f>R12/'Output-Calculation-sheet'!R11*'Output-Calculation-sheet'!R74</f>
        <v>25.517130261356435</v>
      </c>
      <c r="S89" s="2">
        <f>S12/'Output-Calculation-sheet'!S11*'Output-Calculation-sheet'!S74</f>
        <v>34.34306596096183</v>
      </c>
      <c r="T89" s="2">
        <f>T12/'Output-Calculation-sheet'!T11*'Output-Calculation-sheet'!T74</f>
        <v>6.041841244402387</v>
      </c>
      <c r="U89" s="2">
        <f>U12/'Output-Calculation-sheet'!U11*'Output-Calculation-sheet'!U74</f>
        <v>11.16523856352911</v>
      </c>
      <c r="V89" s="2">
        <f>V12/'Output-Calculation-sheet'!V11*'Output-Calculation-sheet'!V74</f>
        <v>1.5193013498868488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0.52448073626489</v>
      </c>
      <c r="Y89" s="2">
        <f>Y12/'Output-Calculation-sheet'!Y11*'Output-Calculation-sheet'!Y74</f>
        <v>4.9348059430405895</v>
      </c>
      <c r="AA89" s="2">
        <f t="shared" si="7"/>
        <v>2.000724084460304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13992894885.156448</v>
      </c>
      <c r="C96" s="2">
        <f>C8/'Output-Calculation-sheet'!C7*'Output-Calculation-sheet'!C79</f>
        <v>4733869088.0686302</v>
      </c>
      <c r="D96" s="2">
        <f>D8/'Output-Calculation-sheet'!D7*'Output-Calculation-sheet'!D79</f>
        <v>4941822437.8045015</v>
      </c>
      <c r="E96" s="2">
        <f>E8/'Output-Calculation-sheet'!E7*'Output-Calculation-sheet'!E79</f>
        <v>8786153148.8997555</v>
      </c>
      <c r="F96" s="2">
        <f>F8/'Output-Calculation-sheet'!F7*'Output-Calculation-sheet'!F79</f>
        <v>3636501384.6797624</v>
      </c>
      <c r="G96" s="2">
        <f>G8/'Output-Calculation-sheet'!G7*'Output-Calculation-sheet'!G79</f>
        <v>2832541739.7370648</v>
      </c>
      <c r="H96" s="2">
        <f>H8/'Output-Calculation-sheet'!H7*'Output-Calculation-sheet'!H79</f>
        <v>2424499222.6231399</v>
      </c>
      <c r="I96" s="2">
        <f>I8/'Output-Calculation-sheet'!I7*'Output-Calculation-sheet'!I79</f>
        <v>1973161567.7921305</v>
      </c>
      <c r="J96" s="2">
        <f>J8/'Output-Calculation-sheet'!J7*'Output-Calculation-sheet'!J79</f>
        <v>1334299063.5689209</v>
      </c>
      <c r="K96" s="2">
        <f>K8/'Output-Calculation-sheet'!K7*'Output-Calculation-sheet'!K79</f>
        <v>1908986756.5816159</v>
      </c>
      <c r="L96" s="2">
        <f>L8/'Output-Calculation-sheet'!L7*'Output-Calculation-sheet'!L79</f>
        <v>1346982637.5840371</v>
      </c>
      <c r="M96" s="2">
        <f>M8/'Output-Calculation-sheet'!M7*'Output-Calculation-sheet'!M79</f>
        <v>1809839657.426861</v>
      </c>
      <c r="N96" s="2">
        <f>N8/'Output-Calculation-sheet'!N7*'Output-Calculation-sheet'!N79</f>
        <v>1346662886.4717147</v>
      </c>
      <c r="O96" s="2">
        <f>O8/'Output-Calculation-sheet'!O7*'Output-Calculation-sheet'!O79</f>
        <v>680783024.49059522</v>
      </c>
      <c r="P96" s="2">
        <f>P8/'Output-Calculation-sheet'!P7*'Output-Calculation-sheet'!P79</f>
        <v>2277091207.6195045</v>
      </c>
      <c r="Q96" s="2">
        <f>Q8/'Output-Calculation-sheet'!Q7*'Output-Calculation-sheet'!Q79</f>
        <v>1061220117.4091511</v>
      </c>
      <c r="R96" s="2">
        <f>R8/'Output-Calculation-sheet'!R7*'Output-Calculation-sheet'!R79</f>
        <v>1324000501.9375257</v>
      </c>
      <c r="S96" s="2">
        <f>S8/'Output-Calculation-sheet'!S7*'Output-Calculation-sheet'!S79</f>
        <v>771472065.4142077</v>
      </c>
      <c r="T96" s="2">
        <f>T8/'Output-Calculation-sheet'!T7*'Output-Calculation-sheet'!T79</f>
        <v>589224310.88402164</v>
      </c>
      <c r="U96" s="2">
        <f>U8/'Output-Calculation-sheet'!U7*'Output-Calculation-sheet'!U79</f>
        <v>370136285.62885052</v>
      </c>
      <c r="V96" s="2">
        <f>V8/'Output-Calculation-sheet'!V7*'Output-Calculation-sheet'!V79</f>
        <v>192045143.76146609</v>
      </c>
      <c r="W96" s="2">
        <f>W8/'Output-Calculation-sheet'!W7*'Output-Calculation-sheet'!W79</f>
        <v>567482499.57612896</v>
      </c>
      <c r="X96" s="2">
        <f>X8/'Output-Calculation-sheet'!X7*'Output-Calculation-sheet'!X79</f>
        <v>199452933.9097999</v>
      </c>
      <c r="Y96" s="2">
        <f>Y8/'Output-Calculation-sheet'!Y7*'Output-Calculation-sheet'!Y79</f>
        <v>311941668.54553419</v>
      </c>
      <c r="AA96" s="2">
        <f t="shared" si="8"/>
        <v>59.413064235571376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1633.3048938992551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317.30576637828142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37.952847471479451</v>
      </c>
      <c r="Y107" s="2">
        <f>Y8/'Output-Calculation-sheet'!Y7*'Output-Calculation-sheet'!Y88</f>
        <v>0</v>
      </c>
      <c r="AA107" s="2">
        <f t="shared" si="9"/>
        <v>1.988563507749016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3155.9016389371573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3.2082824869365378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4.2820040703019675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5.1900835691375509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141.34755842338785</v>
      </c>
      <c r="Y111" s="2">
        <f>Y12/'Output-Calculation-sheet'!Y11*'Output-Calculation-sheet'!Y92</f>
        <v>0</v>
      </c>
      <c r="AA111" s="2">
        <f t="shared" si="9"/>
        <v>6.6587484056321165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1637237448.689584</v>
      </c>
      <c r="C118" s="2">
        <f>C8/'Output-Calculation-sheet'!C7*'Output-Calculation-sheet'!C97</f>
        <v>13518286586.565708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8412788401.3144808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5804111403.7658014</v>
      </c>
      <c r="N118" s="2">
        <f>N8/'Output-Calculation-sheet'!N7*'Output-Calculation-sheet'!N97</f>
        <v>1942731836.3858421</v>
      </c>
      <c r="O118" s="2">
        <f>O8/'Output-Calculation-sheet'!O7*'Output-Calculation-sheet'!O97</f>
        <v>2287245045.8344269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582265020.57361829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316036195.03621668</v>
      </c>
      <c r="Y118" s="2">
        <f>Y8/'Output-Calculation-sheet'!Y7*'Output-Calculation-sheet'!Y97</f>
        <v>0</v>
      </c>
      <c r="AA118" s="2">
        <f t="shared" si="10"/>
        <v>34500.701938165679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10953572498.663048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3762245991.8416934</v>
      </c>
      <c r="O119" s="2">
        <f>O9/'Output-Calculation-sheet'!O8*'Output-Calculation-sheet'!O98</f>
        <v>4063192730.2494907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1127935019.3000088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440622387.25891459</v>
      </c>
      <c r="Y119" s="2">
        <f>Y9/'Output-Calculation-sheet'!Y8*'Output-Calculation-sheet'!Y98</f>
        <v>0</v>
      </c>
      <c r="AA119" s="2">
        <f t="shared" si="10"/>
        <v>47393.110760679767</v>
      </c>
    </row>
    <row r="120" spans="1:27" x14ac:dyDescent="0.25">
      <c r="A120" s="2">
        <v>2033</v>
      </c>
      <c r="B120" s="2">
        <f>B10/'Output-Calculation-sheet'!B9*'Output-Calculation-sheet'!B99</f>
        <v>19591395166.982044</v>
      </c>
      <c r="C120" s="2">
        <f>C10/'Output-Calculation-sheet'!C9*'Output-Calculation-sheet'!C99</f>
        <v>11338237439.844419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5877704339.0744495</v>
      </c>
      <c r="O120" s="2">
        <f>O10/'Output-Calculation-sheet'!O9*'Output-Calculation-sheet'!O99</f>
        <v>4582984057.9896288</v>
      </c>
      <c r="P120" s="2">
        <f>P10/'Output-Calculation-sheet'!P9*'Output-Calculation-sheet'!P99</f>
        <v>0</v>
      </c>
      <c r="Q120" s="2">
        <f>Q10/'Output-Calculation-sheet'!Q9*'Output-Calculation-sheet'!Q99</f>
        <v>192717774.96111217</v>
      </c>
      <c r="R120" s="2">
        <f>R10/'Output-Calculation-sheet'!R9*'Output-Calculation-sheet'!R99</f>
        <v>0</v>
      </c>
      <c r="S120" s="2">
        <f>S10/'Output-Calculation-sheet'!S9*'Output-Calculation-sheet'!S99</f>
        <v>2367580140.1349635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644097636.70897567</v>
      </c>
      <c r="Y120" s="2">
        <f>Y10/'Output-Calculation-sheet'!Y9*'Output-Calculation-sheet'!Y99</f>
        <v>0</v>
      </c>
      <c r="AA120" s="2">
        <f t="shared" si="10"/>
        <v>69126.973648264902</v>
      </c>
    </row>
    <row r="121" spans="1:27" x14ac:dyDescent="0.25">
      <c r="A121" s="2">
        <v>2034</v>
      </c>
      <c r="B121" s="2">
        <f>B11/'Output-Calculation-sheet'!B10*'Output-Calculation-sheet'!B100</f>
        <v>44658589750.458015</v>
      </c>
      <c r="C121" s="2">
        <f>C11/'Output-Calculation-sheet'!C10*'Output-Calculation-sheet'!C100</f>
        <v>11096952399.882257</v>
      </c>
      <c r="D121" s="2">
        <f>D11/'Output-Calculation-sheet'!D10*'Output-Calculation-sheet'!D100</f>
        <v>0</v>
      </c>
      <c r="E121" s="2">
        <f>E11/'Output-Calculation-sheet'!E10*'Output-Calculation-sheet'!E100</f>
        <v>923745645.98455024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16387080742.402914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759268159.65017188</v>
      </c>
      <c r="M121" s="2">
        <f>M11/'Output-Calculation-sheet'!M10*'Output-Calculation-sheet'!M100</f>
        <v>11468672022.025036</v>
      </c>
      <c r="N121" s="2">
        <f>N11/'Output-Calculation-sheet'!N10*'Output-Calculation-sheet'!N100</f>
        <v>7788264235.696991</v>
      </c>
      <c r="O121" s="2">
        <f>O11/'Output-Calculation-sheet'!O10*'Output-Calculation-sheet'!O100</f>
        <v>4938101725.2329874</v>
      </c>
      <c r="P121" s="2">
        <f>P11/'Output-Calculation-sheet'!P10*'Output-Calculation-sheet'!P100</f>
        <v>0</v>
      </c>
      <c r="Q121" s="2">
        <f>Q11/'Output-Calculation-sheet'!Q10*'Output-Calculation-sheet'!Q100</f>
        <v>1003457937.5991588</v>
      </c>
      <c r="R121" s="2">
        <f>R11/'Output-Calculation-sheet'!R10*'Output-Calculation-sheet'!R100</f>
        <v>0</v>
      </c>
      <c r="S121" s="2">
        <f>S11/'Output-Calculation-sheet'!S10*'Output-Calculation-sheet'!S100</f>
        <v>3872380536.3235655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50668625.332901351</v>
      </c>
      <c r="AA121" s="2">
        <f t="shared" si="10"/>
        <v>103500.13900892944</v>
      </c>
    </row>
    <row r="122" spans="1:27" x14ac:dyDescent="0.25">
      <c r="A122" s="2">
        <v>2035</v>
      </c>
      <c r="B122" s="2">
        <f>B12/'Output-Calculation-sheet'!B11*'Output-Calculation-sheet'!B101</f>
        <v>52856991924.995094</v>
      </c>
      <c r="C122" s="2">
        <f>C12/'Output-Calculation-sheet'!C11*'Output-Calculation-sheet'!C101</f>
        <v>310643644.72225499</v>
      </c>
      <c r="D122" s="2">
        <f>D12/'Output-Calculation-sheet'!D11*'Output-Calculation-sheet'!D101</f>
        <v>0</v>
      </c>
      <c r="E122" s="2">
        <f>E12/'Output-Calculation-sheet'!E11*'Output-Calculation-sheet'!E101</f>
        <v>4228638102.2055025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16209297566.388336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1086571269.5814674</v>
      </c>
      <c r="M122" s="2">
        <f>M12/'Output-Calculation-sheet'!M11*'Output-Calculation-sheet'!M101</f>
        <v>11370511247.216703</v>
      </c>
      <c r="N122" s="2">
        <f>N12/'Output-Calculation-sheet'!N11*'Output-Calculation-sheet'!N101</f>
        <v>7650922950.0392017</v>
      </c>
      <c r="O122" s="2">
        <f>O12/'Output-Calculation-sheet'!O11*'Output-Calculation-sheet'!O101</f>
        <v>5186873611.3201323</v>
      </c>
      <c r="P122" s="2">
        <f>P12/'Output-Calculation-sheet'!P11*'Output-Calculation-sheet'!P101</f>
        <v>325209868.91592294</v>
      </c>
      <c r="Q122" s="2">
        <f>Q12/'Output-Calculation-sheet'!Q11*'Output-Calculation-sheet'!Q101</f>
        <v>1222708019.3161483</v>
      </c>
      <c r="R122" s="2">
        <f>R12/'Output-Calculation-sheet'!R11*'Output-Calculation-sheet'!R101</f>
        <v>0</v>
      </c>
      <c r="S122" s="2">
        <f>S12/'Output-Calculation-sheet'!S11*'Output-Calculation-sheet'!S101</f>
        <v>4018560935.1258192</v>
      </c>
      <c r="T122" s="2">
        <f>T12/'Output-Calculation-sheet'!T11*'Output-Calculation-sheet'!T101</f>
        <v>0</v>
      </c>
      <c r="U122" s="2">
        <f>U12/'Output-Calculation-sheet'!U11*'Output-Calculation-sheet'!U101</f>
        <v>59367510.939564422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139245964.11317444</v>
      </c>
      <c r="Y122" s="2">
        <f>Y12/'Output-Calculation-sheet'!Y11*'Output-Calculation-sheet'!Y101</f>
        <v>215661648.52367416</v>
      </c>
      <c r="AA122" s="2">
        <f t="shared" si="10"/>
        <v>104881.20426340299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55592850247.679626</v>
      </c>
      <c r="C129" s="2">
        <f>C8/'Output-Calculation-sheet'!C7*'Output-Calculation-sheet'!C106</f>
        <v>0</v>
      </c>
      <c r="D129" s="2">
        <f>D8/'Output-Calculation-sheet'!D7*'Output-Calculation-sheet'!D106</f>
        <v>24037221180.990246</v>
      </c>
      <c r="E129" s="2">
        <f>E8/'Output-Calculation-sheet'!E7*'Output-Calculation-sheet'!E106</f>
        <v>19071118111.097446</v>
      </c>
      <c r="F129" s="2">
        <f>F8/'Output-Calculation-sheet'!F7*'Output-Calculation-sheet'!F106</f>
        <v>12276758724.259937</v>
      </c>
      <c r="G129" s="2">
        <f>G8/'Output-Calculation-sheet'!G7*'Output-Calculation-sheet'!G106</f>
        <v>8626007544.5218372</v>
      </c>
      <c r="H129" s="2">
        <f>H8/'Output-Calculation-sheet'!H7*'Output-Calculation-sheet'!H106</f>
        <v>0</v>
      </c>
      <c r="I129" s="2">
        <f>I8/'Output-Calculation-sheet'!I7*'Output-Calculation-sheet'!I106</f>
        <v>7858953622.1042395</v>
      </c>
      <c r="J129" s="2">
        <f>J8/'Output-Calculation-sheet'!J7*'Output-Calculation-sheet'!J106</f>
        <v>7649339966.224041</v>
      </c>
      <c r="K129" s="2">
        <f>K8/'Output-Calculation-sheet'!K7*'Output-Calculation-sheet'!K106</f>
        <v>7576017656.5768585</v>
      </c>
      <c r="L129" s="2">
        <f>L8/'Output-Calculation-sheet'!L7*'Output-Calculation-sheet'!L106</f>
        <v>6077594255.4131432</v>
      </c>
      <c r="M129" s="2">
        <f>M8/'Output-Calculation-sheet'!M7*'Output-Calculation-sheet'!M106</f>
        <v>0</v>
      </c>
      <c r="N129" s="2">
        <f>N8/'Output-Calculation-sheet'!N7*'Output-Calculation-sheet'!N106</f>
        <v>3754965676.0711994</v>
      </c>
      <c r="O129" s="2">
        <f>O8/'Output-Calculation-sheet'!O7*'Output-Calculation-sheet'!O106</f>
        <v>0</v>
      </c>
      <c r="P129" s="2">
        <f>P8/'Output-Calculation-sheet'!P7*'Output-Calculation-sheet'!P106</f>
        <v>5186939830.5718832</v>
      </c>
      <c r="Q129" s="2">
        <f>Q8/'Output-Calculation-sheet'!Q7*'Output-Calculation-sheet'!Q106</f>
        <v>5103100999.4965086</v>
      </c>
      <c r="R129" s="2">
        <f>R8/'Output-Calculation-sheet'!R7*'Output-Calculation-sheet'!R106</f>
        <v>4909427848.0869989</v>
      </c>
      <c r="S129" s="2">
        <f>S8/'Output-Calculation-sheet'!S7*'Output-Calculation-sheet'!S106</f>
        <v>2680784835.3139958</v>
      </c>
      <c r="T129" s="2">
        <f>T8/'Output-Calculation-sheet'!T7*'Output-Calculation-sheet'!T106</f>
        <v>1804651093.9142985</v>
      </c>
      <c r="U129" s="2">
        <f>U8/'Output-Calculation-sheet'!U7*'Output-Calculation-sheet'!U106</f>
        <v>1571792223.6060171</v>
      </c>
      <c r="V129" s="2">
        <f>V8/'Output-Calculation-sheet'!V7*'Output-Calculation-sheet'!V106</f>
        <v>1210306211.7584708</v>
      </c>
      <c r="W129" s="2">
        <f>W8/'Output-Calculation-sheet'!W7*'Output-Calculation-sheet'!W106</f>
        <v>1047865190.5760128</v>
      </c>
      <c r="X129" s="2">
        <f>X8/'Output-Calculation-sheet'!X7*'Output-Calculation-sheet'!X106</f>
        <v>0</v>
      </c>
      <c r="Y129" s="2">
        <f>Y8/'Output-Calculation-sheet'!Y7*'Output-Calculation-sheet'!Y106</f>
        <v>611420177.74308205</v>
      </c>
      <c r="AA129" s="2">
        <f t="shared" si="11"/>
        <v>176647.11539600586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3.9027448394277942E-8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4100809917.6492753</v>
      </c>
      <c r="O130" s="2">
        <f>O9/'Output-Calculation-sheet'!O8*'Output-Calculation-sheet'!O107</f>
        <v>0</v>
      </c>
      <c r="P130" s="2">
        <f>P9/'Output-Calculation-sheet'!P8*'Output-Calculation-sheet'!P107</f>
        <v>7158730093.393487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3375342006.1736226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237230.03763637925</v>
      </c>
    </row>
    <row r="131" spans="1:27" x14ac:dyDescent="0.25">
      <c r="A131" s="2">
        <v>2033</v>
      </c>
      <c r="B131" s="2">
        <f>B10/'Output-Calculation-sheet'!B9*'Output-Calculation-sheet'!B108</f>
        <v>79153811007.323303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3952341300.0561943</v>
      </c>
      <c r="O131" s="2">
        <f>O10/'Output-Calculation-sheet'!O9*'Output-Calculation-sheet'!O108</f>
        <v>0</v>
      </c>
      <c r="P131" s="2">
        <f>P10/'Output-Calculation-sheet'!P9*'Output-Calculation-sheet'!P108</f>
        <v>8949599871.9357185</v>
      </c>
      <c r="Q131" s="2">
        <f>Q10/'Output-Calculation-sheet'!Q9*'Output-Calculation-sheet'!Q108</f>
        <v>8612657287.6812382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3262171253.1608162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283950.76552724664</v>
      </c>
    </row>
    <row r="132" spans="1:27" x14ac:dyDescent="0.25">
      <c r="A132" s="2">
        <v>2034</v>
      </c>
      <c r="B132" s="2">
        <f>B11/'Output-Calculation-sheet'!B10*'Output-Calculation-sheet'!B109</f>
        <v>69131348543.861908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36998330342.219086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15210635249.289576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11325928654.666452</v>
      </c>
      <c r="M132" s="2">
        <f>M11/'Output-Calculation-sheet'!M10*'Output-Calculation-sheet'!M109</f>
        <v>0</v>
      </c>
      <c r="N132" s="2">
        <f>N11/'Output-Calculation-sheet'!N10*'Output-Calculation-sheet'!N109</f>
        <v>3443346118.3363962</v>
      </c>
      <c r="O132" s="2">
        <f>O11/'Output-Calculation-sheet'!O10*'Output-Calculation-sheet'!O109</f>
        <v>0</v>
      </c>
      <c r="P132" s="2">
        <f>P11/'Output-Calculation-sheet'!P10*'Output-Calculation-sheet'!P109</f>
        <v>10313404626.978315</v>
      </c>
      <c r="Q132" s="2">
        <f>Q11/'Output-Calculation-sheet'!Q10*'Output-Calculation-sheet'!Q109</f>
        <v>8630459998.0216599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2602705075.9586654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1165144594.6496806</v>
      </c>
      <c r="AA132" s="2">
        <f t="shared" si="11"/>
        <v>299845.90020180959</v>
      </c>
    </row>
    <row r="133" spans="1:27" x14ac:dyDescent="0.25">
      <c r="A133" s="2">
        <v>2035</v>
      </c>
      <c r="B133" s="2">
        <f>B12/'Output-Calculation-sheet'!B11*'Output-Calculation-sheet'!B110</f>
        <v>61624154024.821587</v>
      </c>
      <c r="C133" s="2">
        <f>C12/'Output-Calculation-sheet'!C11*'Output-Calculation-sheet'!C110</f>
        <v>0</v>
      </c>
      <c r="D133" s="2">
        <f>D12/'Output-Calculation-sheet'!D11*'Output-Calculation-sheet'!D110</f>
        <v>46281895571.33757</v>
      </c>
      <c r="E133" s="2">
        <f>E12/'Output-Calculation-sheet'!E11*'Output-Calculation-sheet'!E110</f>
        <v>35071117472.256142</v>
      </c>
      <c r="F133" s="2">
        <f>F12/'Output-Calculation-sheet'!F11*'Output-Calculation-sheet'!F110</f>
        <v>24958477852.594879</v>
      </c>
      <c r="G133" s="2">
        <f>G12/'Output-Calculation-sheet'!G11*'Output-Calculation-sheet'!G110</f>
        <v>17299125399.142525</v>
      </c>
      <c r="H133" s="2">
        <f>H12/'Output-Calculation-sheet'!H11*'Output-Calculation-sheet'!H110</f>
        <v>0</v>
      </c>
      <c r="I133" s="2">
        <f>I12/'Output-Calculation-sheet'!I11*'Output-Calculation-sheet'!I110</f>
        <v>15615447634.300064</v>
      </c>
      <c r="J133" s="2">
        <f>J12/'Output-Calculation-sheet'!J11*'Output-Calculation-sheet'!J110</f>
        <v>15040872942.5264</v>
      </c>
      <c r="K133" s="2">
        <f>K12/'Output-Calculation-sheet'!K11*'Output-Calculation-sheet'!K110</f>
        <v>14878048712.798008</v>
      </c>
      <c r="L133" s="2">
        <f>L12/'Output-Calculation-sheet'!L11*'Output-Calculation-sheet'!L110</f>
        <v>10939784737.248476</v>
      </c>
      <c r="M133" s="2">
        <f>M12/'Output-Calculation-sheet'!M11*'Output-Calculation-sheet'!M110</f>
        <v>0</v>
      </c>
      <c r="N133" s="2">
        <f>N12/'Output-Calculation-sheet'!N11*'Output-Calculation-sheet'!N110</f>
        <v>3351044301.1546283</v>
      </c>
      <c r="O133" s="2">
        <f>O12/'Output-Calculation-sheet'!O11*'Output-Calculation-sheet'!O110</f>
        <v>0</v>
      </c>
      <c r="P133" s="2">
        <f>P12/'Output-Calculation-sheet'!P11*'Output-Calculation-sheet'!P110</f>
        <v>10278974978.60157</v>
      </c>
      <c r="Q133" s="2">
        <f>Q12/'Output-Calculation-sheet'!Q11*'Output-Calculation-sheet'!Q110</f>
        <v>8201567036.9891214</v>
      </c>
      <c r="R133" s="2">
        <f>R12/'Output-Calculation-sheet'!R11*'Output-Calculation-sheet'!R110</f>
        <v>9896185126.3514023</v>
      </c>
      <c r="S133" s="2">
        <f>S12/'Output-Calculation-sheet'!S11*'Output-Calculation-sheet'!S110</f>
        <v>2337408597.7131186</v>
      </c>
      <c r="T133" s="2">
        <f>T12/'Output-Calculation-sheet'!T11*'Output-Calculation-sheet'!T110</f>
        <v>3716106959.4646211</v>
      </c>
      <c r="U133" s="2">
        <f>U12/'Output-Calculation-sheet'!U11*'Output-Calculation-sheet'!U110</f>
        <v>3016933826.2697482</v>
      </c>
      <c r="V133" s="2">
        <f>V12/'Output-Calculation-sheet'!V11*'Output-Calculation-sheet'!V110</f>
        <v>2501793271.3729019</v>
      </c>
      <c r="W133" s="2">
        <f>W12/'Output-Calculation-sheet'!W11*'Output-Calculation-sheet'!W110</f>
        <v>2196763497.4907513</v>
      </c>
      <c r="X133" s="2">
        <f>X12/'Output-Calculation-sheet'!X11*'Output-Calculation-sheet'!X110</f>
        <v>1196031.9199459066</v>
      </c>
      <c r="Y133" s="2">
        <f>Y12/'Output-Calculation-sheet'!Y11*'Output-Calculation-sheet'!Y110</f>
        <v>1045673485.1826434</v>
      </c>
      <c r="AA133" s="2">
        <f t="shared" si="11"/>
        <v>288252.57145953609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13450605189.290266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2663981770.1699495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312670344.29373789</v>
      </c>
      <c r="Y140" s="2">
        <f>Y8/'Output-Calculation-sheet'!Y7*'Output-Calculation-sheet'!Y115</f>
        <v>0</v>
      </c>
      <c r="AA140" s="2">
        <f t="shared" si="12"/>
        <v>16427.257303753955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26268729874.649036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427038196.6416415</v>
      </c>
      <c r="Y141" s="2">
        <f>Y9/'Output-Calculation-sheet'!Y8*'Output-Calculation-sheet'!Y116</f>
        <v>0</v>
      </c>
      <c r="AA141" s="2">
        <f t="shared" si="12"/>
        <v>26695.768071290677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35197166766.58519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440621741.50237364</v>
      </c>
      <c r="Y142" s="2">
        <f>Y10/'Output-Calculation-sheet'!Y9*'Output-Calculation-sheet'!Y117</f>
        <v>0</v>
      </c>
      <c r="AA142" s="2">
        <f t="shared" si="12"/>
        <v>35637.788508087564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42531394921.921402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43228.544861697468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57025846720.252304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1191053924.718848</v>
      </c>
      <c r="Y144" s="2">
        <f>Y12/'Output-Calculation-sheet'!Y11*'Output-Calculation-sheet'!Y119</f>
        <v>0</v>
      </c>
      <c r="AA144" s="2">
        <f t="shared" si="12"/>
        <v>58216.900644971152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57230088813.663643</v>
      </c>
      <c r="C151" s="2">
        <f>C8/'Output-Calculation-sheet'!C7*'Output-Calculation-sheet'!C124</f>
        <v>26969745548.868694</v>
      </c>
      <c r="D151" s="2">
        <f>D8/'Output-Calculation-sheet'!D7*'Output-Calculation-sheet'!D124</f>
        <v>24037221180.990246</v>
      </c>
      <c r="E151" s="2">
        <f>E8/'Output-Calculation-sheet'!E7*'Output-Calculation-sheet'!E124</f>
        <v>19071118111.097446</v>
      </c>
      <c r="F151" s="2">
        <f>F8/'Output-Calculation-sheet'!F7*'Output-Calculation-sheet'!F124</f>
        <v>12276758724.259937</v>
      </c>
      <c r="G151" s="2">
        <f>G8/'Output-Calculation-sheet'!G7*'Output-Calculation-sheet'!G124</f>
        <v>8626007544.5218372</v>
      </c>
      <c r="H151" s="2">
        <f>H8/'Output-Calculation-sheet'!H7*'Output-Calculation-sheet'!H124</f>
        <v>8414348984.1050205</v>
      </c>
      <c r="I151" s="2">
        <f>I8/'Output-Calculation-sheet'!I7*'Output-Calculation-sheet'!I124</f>
        <v>7858953622.1042395</v>
      </c>
      <c r="J151" s="2">
        <f>J8/'Output-Calculation-sheet'!J7*'Output-Calculation-sheet'!J124</f>
        <v>7649339966.224041</v>
      </c>
      <c r="K151" s="2">
        <f>K8/'Output-Calculation-sheet'!K7*'Output-Calculation-sheet'!K124</f>
        <v>7576017656.5768585</v>
      </c>
      <c r="L151" s="2">
        <f>L8/'Output-Calculation-sheet'!L7*'Output-Calculation-sheet'!L124</f>
        <v>6077594255.4131432</v>
      </c>
      <c r="M151" s="2">
        <f>M8/'Output-Calculation-sheet'!M7*'Output-Calculation-sheet'!M124</f>
        <v>5805162771.4787931</v>
      </c>
      <c r="N151" s="2">
        <f>N8/'Output-Calculation-sheet'!N7*'Output-Calculation-sheet'!N124</f>
        <v>5697740567.621891</v>
      </c>
      <c r="O151" s="2">
        <f>O8/'Output-Calculation-sheet'!O7*'Output-Calculation-sheet'!O124</f>
        <v>5584726748.3650885</v>
      </c>
      <c r="P151" s="2">
        <f>P8/'Output-Calculation-sheet'!P7*'Output-Calculation-sheet'!P124</f>
        <v>5186939830.5718832</v>
      </c>
      <c r="Q151" s="2">
        <f>Q8/'Output-Calculation-sheet'!Q7*'Output-Calculation-sheet'!Q124</f>
        <v>5103100999.4965086</v>
      </c>
      <c r="R151" s="2">
        <f>R8/'Output-Calculation-sheet'!R7*'Output-Calculation-sheet'!R124</f>
        <v>4909427848.0869989</v>
      </c>
      <c r="S151" s="2">
        <f>S8/'Output-Calculation-sheet'!S7*'Output-Calculation-sheet'!S124</f>
        <v>3263049539.4682956</v>
      </c>
      <c r="T151" s="2">
        <f>T8/'Output-Calculation-sheet'!T7*'Output-Calculation-sheet'!T124</f>
        <v>1804651093.9142985</v>
      </c>
      <c r="U151" s="2">
        <f>U8/'Output-Calculation-sheet'!U7*'Output-Calculation-sheet'!U124</f>
        <v>1571792223.6060171</v>
      </c>
      <c r="V151" s="2">
        <f>V8/'Output-Calculation-sheet'!V7*'Output-Calculation-sheet'!V124</f>
        <v>1210306211.7584708</v>
      </c>
      <c r="W151" s="2">
        <f>W8/'Output-Calculation-sheet'!W7*'Output-Calculation-sheet'!W124</f>
        <v>1047865190.5760128</v>
      </c>
      <c r="X151" s="2">
        <f>X8/'Output-Calculation-sheet'!X7*'Output-Calculation-sheet'!X124</f>
        <v>628715781.09476101</v>
      </c>
      <c r="Y151" s="2">
        <f>Y8/'Output-Calculation-sheet'!Y7*'Output-Calculation-sheet'!Y124</f>
        <v>611420177.74308205</v>
      </c>
      <c r="AA151" s="2">
        <f t="shared" si="13"/>
        <v>228212.09339160722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22333472763.626522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8111942822.8767796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192468.23071857073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8315839849.12465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136364.55875448868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2911800212.927393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1766689294.9725716</v>
      </c>
      <c r="N154" s="2">
        <f>N11/'Output-Calculation-sheet'!N10*'Output-Calculation-sheet'!N127</f>
        <v>1751305925.7203276</v>
      </c>
      <c r="O154" s="2">
        <f>O11/'Output-Calculation-sheet'!O10*'Output-Calculation-sheet'!O127</f>
        <v>8000573743.4729939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2125091271.8214588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944697595.01003754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72708.851485115432</v>
      </c>
    </row>
    <row r="155" spans="1:27" x14ac:dyDescent="0.25">
      <c r="A155" s="2">
        <v>2035</v>
      </c>
      <c r="B155" s="2">
        <f>B12/'Output-Calculation-sheet'!B11*'Output-Calculation-sheet'!B128</f>
        <v>10469510075.342102</v>
      </c>
      <c r="C155" s="2">
        <f>C12/'Output-Calculation-sheet'!C11*'Output-Calculation-sheet'!C128</f>
        <v>76641079.017257988</v>
      </c>
      <c r="D155" s="2">
        <f>D12/'Output-Calculation-sheet'!D11*'Output-Calculation-sheet'!D128</f>
        <v>6230576424.1629858</v>
      </c>
      <c r="E155" s="2">
        <f>E12/'Output-Calculation-sheet'!E11*'Output-Calculation-sheet'!E128</f>
        <v>2826965289.5057321</v>
      </c>
      <c r="F155" s="2">
        <f>F12/'Output-Calculation-sheet'!F11*'Output-Calculation-sheet'!F128</f>
        <v>1794752107.7349021</v>
      </c>
      <c r="G155" s="2">
        <f>G12/'Output-Calculation-sheet'!G11*'Output-Calculation-sheet'!G128</f>
        <v>1604689576.8954635</v>
      </c>
      <c r="H155" s="2">
        <f>H12/'Output-Calculation-sheet'!H11*'Output-Calculation-sheet'!H128</f>
        <v>2560864290.3103509</v>
      </c>
      <c r="I155" s="2">
        <f>I12/'Output-Calculation-sheet'!I11*'Output-Calculation-sheet'!I128</f>
        <v>1600534854.360193</v>
      </c>
      <c r="J155" s="2">
        <f>J12/'Output-Calculation-sheet'!J11*'Output-Calculation-sheet'!J128</f>
        <v>1529971328.72873</v>
      </c>
      <c r="K155" s="2">
        <f>K12/'Output-Calculation-sheet'!K11*'Output-Calculation-sheet'!K128</f>
        <v>1739679340.2157876</v>
      </c>
      <c r="L155" s="2">
        <f>L12/'Output-Calculation-sheet'!L11*'Output-Calculation-sheet'!L128</f>
        <v>1262685743.7963915</v>
      </c>
      <c r="M155" s="2">
        <f>M12/'Output-Calculation-sheet'!M11*'Output-Calculation-sheet'!M128</f>
        <v>1559462745.8152285</v>
      </c>
      <c r="N155" s="2">
        <f>N12/'Output-Calculation-sheet'!N11*'Output-Calculation-sheet'!N128</f>
        <v>1518482440.2947059</v>
      </c>
      <c r="O155" s="2">
        <f>O12/'Output-Calculation-sheet'!O11*'Output-Calculation-sheet'!O128</f>
        <v>7079755692.1853542</v>
      </c>
      <c r="P155" s="2">
        <f>P12/'Output-Calculation-sheet'!P11*'Output-Calculation-sheet'!P128</f>
        <v>838270185.78663659</v>
      </c>
      <c r="Q155" s="2">
        <f>Q12/'Output-Calculation-sheet'!Q11*'Output-Calculation-sheet'!Q128</f>
        <v>1874931081.4695721</v>
      </c>
      <c r="R155" s="2">
        <f>R12/'Output-Calculation-sheet'!R11*'Output-Calculation-sheet'!R128</f>
        <v>808715430.05838001</v>
      </c>
      <c r="S155" s="2">
        <f>S12/'Output-Calculation-sheet'!S11*'Output-Calculation-sheet'!S128</f>
        <v>810731370.99282432</v>
      </c>
      <c r="T155" s="2">
        <f>T12/'Output-Calculation-sheet'!T11*'Output-Calculation-sheet'!T128</f>
        <v>193420862.29275358</v>
      </c>
      <c r="U155" s="2">
        <f>U12/'Output-Calculation-sheet'!U11*'Output-Calculation-sheet'!U128</f>
        <v>374295576.25888151</v>
      </c>
      <c r="V155" s="2">
        <f>V12/'Output-Calculation-sheet'!V11*'Output-Calculation-sheet'!V128</f>
        <v>93326402.558080271</v>
      </c>
      <c r="W155" s="2">
        <f>W12/'Output-Calculation-sheet'!W11*'Output-Calculation-sheet'!W128</f>
        <v>86714665.947478801</v>
      </c>
      <c r="X155" s="2">
        <f>X12/'Output-Calculation-sheet'!X11*'Output-Calculation-sheet'!X128</f>
        <v>10668680.315869678</v>
      </c>
      <c r="Y155" s="2">
        <f>Y12/'Output-Calculation-sheet'!Y11*'Output-Calculation-sheet'!Y128</f>
        <v>93276955.387787491</v>
      </c>
      <c r="AA155" s="2">
        <f t="shared" si="13"/>
        <v>47038.922199433451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1293.0342926076157</v>
      </c>
      <c r="C19" s="2">
        <f>C8/'Output-Calculation-sheet'!C7*'Output-Calculation-sheet'!C25</f>
        <v>9219.4139326099994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5809.5661402704518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4032.646730282328</v>
      </c>
      <c r="N19" s="2">
        <f>N8/'Output-Calculation-sheet'!N7*'Output-Calculation-sheet'!N25</f>
        <v>1378.8783659568096</v>
      </c>
      <c r="O19" s="2">
        <f>O8/'Output-Calculation-sheet'!O7*'Output-Calculation-sheet'!O25</f>
        <v>1504.1644163977696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492.48061320163021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212.8978054464533</v>
      </c>
      <c r="Y19" s="2">
        <f>Y8/'Output-Calculation-sheet'!Y7*'Output-Calculation-sheet'!Y25</f>
        <v>0</v>
      </c>
      <c r="AA19" s="2">
        <f t="shared" si="0"/>
        <v>23.94308229677306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7395.1455074644964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8335.627921142599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5792.0934490953723</v>
      </c>
      <c r="N20" s="2">
        <f>N9/'Output-Calculation-sheet'!N8*'Output-Calculation-sheet'!N26</f>
        <v>2609.4398838547736</v>
      </c>
      <c r="O20" s="2">
        <f>O9/'Output-Calculation-sheet'!O8*'Output-Calculation-sheet'!O26</f>
        <v>2753.2382605140024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948.48102010186221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309.52149000870281</v>
      </c>
      <c r="Y20" s="2">
        <f>Y9/'Output-Calculation-sheet'!Y8*'Output-Calculation-sheet'!Y26</f>
        <v>0</v>
      </c>
      <c r="AA20" s="2">
        <f t="shared" si="0"/>
        <v>35.805017883907524</v>
      </c>
    </row>
    <row r="21" spans="1:27" x14ac:dyDescent="0.25">
      <c r="A21" s="2">
        <v>2033</v>
      </c>
      <c r="B21" s="2">
        <f>B10/'Output-Calculation-sheet'!B9*'Output-Calculation-sheet'!B27</f>
        <v>19158.559587558928</v>
      </c>
      <c r="C21" s="2">
        <f>C10/'Output-Calculation-sheet'!C9*'Output-Calculation-sheet'!C27</f>
        <v>7945.7419241724783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11107.451267044637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7716.4082138327703</v>
      </c>
      <c r="N21" s="2">
        <f>N10/'Output-Calculation-sheet'!N9*'Output-Calculation-sheet'!N27</f>
        <v>4209.4683711234484</v>
      </c>
      <c r="O21" s="2">
        <f>O10/'Output-Calculation-sheet'!O9*'Output-Calculation-sheet'!O27</f>
        <v>3298.3493967665963</v>
      </c>
      <c r="P21" s="2">
        <f>P10/'Output-Calculation-sheet'!P9*'Output-Calculation-sheet'!P27</f>
        <v>0</v>
      </c>
      <c r="Q21" s="2">
        <f>Q10/'Output-Calculation-sheet'!Q9*'Output-Calculation-sheet'!Q27</f>
        <v>287.26644219799829</v>
      </c>
      <c r="R21" s="2">
        <f>R10/'Output-Calculation-sheet'!R9*'Output-Calculation-sheet'!R27</f>
        <v>0</v>
      </c>
      <c r="S21" s="2">
        <f>S10/'Output-Calculation-sheet'!S9*'Output-Calculation-sheet'!S27</f>
        <v>1835.0331013563716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489.04844418629153</v>
      </c>
      <c r="Y21" s="2">
        <f>Y10/'Output-Calculation-sheet'!Y9*'Output-Calculation-sheet'!Y27</f>
        <v>0</v>
      </c>
      <c r="AA21" s="2">
        <f t="shared" si="0"/>
        <v>56.04732674823952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8421.2976575247994</v>
      </c>
      <c r="D22" s="2">
        <f>D11/'Output-Calculation-sheet'!D10*'Output-Calculation-sheet'!D28</f>
        <v>0</v>
      </c>
      <c r="E22" s="2">
        <f>E11/'Output-Calculation-sheet'!E10*'Output-Calculation-sheet'!E28</f>
        <v>2009.4693422830624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14639.230267490973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1204.8128677710492</v>
      </c>
      <c r="M22" s="2">
        <f>M11/'Output-Calculation-sheet'!M10*'Output-Calculation-sheet'!M28</f>
        <v>10644.46133848516</v>
      </c>
      <c r="N22" s="2">
        <f>N11/'Output-Calculation-sheet'!N10*'Output-Calculation-sheet'!N28</f>
        <v>6131.0972382861983</v>
      </c>
      <c r="O22" s="2">
        <f>O11/'Output-Calculation-sheet'!O10*'Output-Calculation-sheet'!O28</f>
        <v>3894.6426231914006</v>
      </c>
      <c r="P22" s="2">
        <f>P11/'Output-Calculation-sheet'!P10*'Output-Calculation-sheet'!P28</f>
        <v>0</v>
      </c>
      <c r="Q22" s="2">
        <f>Q11/'Output-Calculation-sheet'!Q10*'Output-Calculation-sheet'!Q28</f>
        <v>1430.4026759695175</v>
      </c>
      <c r="R22" s="2">
        <f>R11/'Output-Calculation-sheet'!R10*'Output-Calculation-sheet'!R28</f>
        <v>0</v>
      </c>
      <c r="S22" s="2">
        <f>S11/'Output-Calculation-sheet'!S10*'Output-Calculation-sheet'!S28</f>
        <v>3181.1564636298363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109.71592870423244</v>
      </c>
      <c r="AA22" s="2">
        <f t="shared" si="0"/>
        <v>91.676319442408541</v>
      </c>
    </row>
    <row r="23" spans="1:27" x14ac:dyDescent="0.25">
      <c r="A23" s="2">
        <v>2035</v>
      </c>
      <c r="B23" s="2">
        <f>B12/'Output-Calculation-sheet'!B11*'Output-Calculation-sheet'!B29</f>
        <v>51701.83072863899</v>
      </c>
      <c r="C23" s="2">
        <f>C12/'Output-Calculation-sheet'!C11*'Output-Calculation-sheet'!C29</f>
        <v>267.57499140589027</v>
      </c>
      <c r="D23" s="2">
        <f>D12/'Output-Calculation-sheet'!D11*'Output-Calculation-sheet'!D29</f>
        <v>0</v>
      </c>
      <c r="E23" s="2">
        <f>E12/'Output-Calculation-sheet'!E11*'Output-Calculation-sheet'!E29</f>
        <v>7863.0459209287665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15980.845373192535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1769.581810262679</v>
      </c>
      <c r="M23" s="2">
        <f>M12/'Output-Calculation-sheet'!M11*'Output-Calculation-sheet'!M29</f>
        <v>11640.525859633239</v>
      </c>
      <c r="N23" s="2">
        <f>N12/'Output-Calculation-sheet'!N11*'Output-Calculation-sheet'!N29</f>
        <v>6759.0984620573863</v>
      </c>
      <c r="O23" s="2">
        <f>O12/'Output-Calculation-sheet'!O11*'Output-Calculation-sheet'!O29</f>
        <v>4658.1265422709594</v>
      </c>
      <c r="P23" s="2">
        <f>P12/'Output-Calculation-sheet'!P11*'Output-Calculation-sheet'!P29</f>
        <v>813.0938331786399</v>
      </c>
      <c r="Q23" s="2">
        <f>Q12/'Output-Calculation-sheet'!Q11*'Output-Calculation-sheet'!Q29</f>
        <v>1811.4429380009758</v>
      </c>
      <c r="R23" s="2">
        <f>R12/'Output-Calculation-sheet'!R11*'Output-Calculation-sheet'!R29</f>
        <v>0</v>
      </c>
      <c r="S23" s="2">
        <f>S12/'Output-Calculation-sheet'!S11*'Output-Calculation-sheet'!S29</f>
        <v>3671.6678432310646</v>
      </c>
      <c r="T23" s="2">
        <f>T12/'Output-Calculation-sheet'!T11*'Output-Calculation-sheet'!T29</f>
        <v>0</v>
      </c>
      <c r="U23" s="2">
        <f>U12/'Output-Calculation-sheet'!U11*'Output-Calculation-sheet'!U29</f>
        <v>161.66644921022981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119.93979259563298</v>
      </c>
      <c r="Y23" s="2">
        <f>Y12/'Output-Calculation-sheet'!Y11*'Output-Calculation-sheet'!Y29</f>
        <v>345.42339428863158</v>
      </c>
      <c r="AA23" s="2">
        <f t="shared" si="0"/>
        <v>107.56386393889562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22538.880516024859</v>
      </c>
      <c r="C30" s="2">
        <f>C8/'Output-Calculation-sheet'!C7*'Output-Calculation-sheet'!C16</f>
        <v>0</v>
      </c>
      <c r="D30" s="2">
        <f>D8/'Output-Calculation-sheet'!D7*'Output-Calculation-sheet'!D16</f>
        <v>3795.2212302195849</v>
      </c>
      <c r="E30" s="2">
        <f>E8/'Output-Calculation-sheet'!E7*'Output-Calculation-sheet'!E16</f>
        <v>4083.4488686457134</v>
      </c>
      <c r="F30" s="2">
        <f>F8/'Output-Calculation-sheet'!F7*'Output-Calculation-sheet'!F16</f>
        <v>2060.1553485765853</v>
      </c>
      <c r="G30" s="2">
        <f>G8/'Output-Calculation-sheet'!G7*'Output-Calculation-sheet'!G16</f>
        <v>1349.139122729661</v>
      </c>
      <c r="H30" s="2">
        <f>H8/'Output-Calculation-sheet'!H7*'Output-Calculation-sheet'!H16</f>
        <v>0</v>
      </c>
      <c r="I30" s="2">
        <f>I8/'Output-Calculation-sheet'!I7*'Output-Calculation-sheet'!I16</f>
        <v>1315.2247062441568</v>
      </c>
      <c r="J30" s="2">
        <f>J8/'Output-Calculation-sheet'!J7*'Output-Calculation-sheet'!J16</f>
        <v>1170.7867656357905</v>
      </c>
      <c r="K30" s="2">
        <f>K8/'Output-Calculation-sheet'!K7*'Output-Calculation-sheet'!K16</f>
        <v>1563.2254703159313</v>
      </c>
      <c r="L30" s="2">
        <f>L8/'Output-Calculation-sheet'!L7*'Output-Calculation-sheet'!L16</f>
        <v>1320.4182420456534</v>
      </c>
      <c r="M30" s="2">
        <f>M8/'Output-Calculation-sheet'!M7*'Output-Calculation-sheet'!M16</f>
        <v>0</v>
      </c>
      <c r="N30" s="2">
        <f>N8/'Output-Calculation-sheet'!N7*'Output-Calculation-sheet'!N16</f>
        <v>1876.9476682233469</v>
      </c>
      <c r="O30" s="2">
        <f>O8/'Output-Calculation-sheet'!O7*'Output-Calculation-sheet'!O16</f>
        <v>0</v>
      </c>
      <c r="P30" s="2">
        <f>P8/'Output-Calculation-sheet'!P7*'Output-Calculation-sheet'!P16</f>
        <v>1685.6847159057543</v>
      </c>
      <c r="Q30" s="2">
        <f>Q8/'Output-Calculation-sheet'!Q7*'Output-Calculation-sheet'!Q16</f>
        <v>1853.7050881537937</v>
      </c>
      <c r="R30" s="2">
        <f>R8/'Output-Calculation-sheet'!R7*'Output-Calculation-sheet'!R16</f>
        <v>1176.1825024152815</v>
      </c>
      <c r="S30" s="2">
        <f>S8/'Output-Calculation-sheet'!S7*'Output-Calculation-sheet'!S16</f>
        <v>1182.896442910876</v>
      </c>
      <c r="T30" s="2">
        <f>T8/'Output-Calculation-sheet'!T7*'Output-Calculation-sheet'!T16</f>
        <v>353.07088528281997</v>
      </c>
      <c r="U30" s="2">
        <f>U8/'Output-Calculation-sheet'!U7*'Output-Calculation-sheet'!U16</f>
        <v>352.44139123299885</v>
      </c>
      <c r="V30" s="2">
        <f>V8/'Output-Calculation-sheet'!V7*'Output-Calculation-sheet'!V16</f>
        <v>274.29724419647118</v>
      </c>
      <c r="W30" s="2">
        <f>W8/'Output-Calculation-sheet'!W7*'Output-Calculation-sheet'!W16</f>
        <v>166.37716880460209</v>
      </c>
      <c r="X30" s="2">
        <f>X8/'Output-Calculation-sheet'!X7*'Output-Calculation-sheet'!X16</f>
        <v>0</v>
      </c>
      <c r="Y30" s="2">
        <f>Y8/'Output-Calculation-sheet'!Y7*'Output-Calculation-sheet'!Y16</f>
        <v>140.81684377299075</v>
      </c>
      <c r="AA30" s="2">
        <f t="shared" si="1"/>
        <v>48.258920221336879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2221.9008610974483</v>
      </c>
      <c r="O31" s="2">
        <f>O9/'Output-Calculation-sheet'!O8*'Output-Calculation-sheet'!O17</f>
        <v>0</v>
      </c>
      <c r="P31" s="2">
        <f>P9/'Output-Calculation-sheet'!P8*'Output-Calculation-sheet'!P17</f>
        <v>2750.7968174658995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1652.233592453819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70.645889678883961</v>
      </c>
    </row>
    <row r="32" spans="1:27" x14ac:dyDescent="0.25">
      <c r="A32" s="2">
        <v>2033</v>
      </c>
      <c r="B32" s="2">
        <f>B10/'Output-Calculation-sheet'!B9*'Output-Calculation-sheet'!B18</f>
        <v>39009.531376685227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3715.4747490053787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2389.5612405990328</v>
      </c>
      <c r="O32" s="2">
        <f>O10/'Output-Calculation-sheet'!O9*'Output-Calculation-sheet'!O18</f>
        <v>0</v>
      </c>
      <c r="P32" s="2">
        <f>P10/'Output-Calculation-sheet'!P9*'Output-Calculation-sheet'!P18</f>
        <v>3824.0555026732818</v>
      </c>
      <c r="Q32" s="2">
        <f>Q10/'Output-Calculation-sheet'!Q9*'Output-Calculation-sheet'!Q18</f>
        <v>4164.5356230532707</v>
      </c>
      <c r="R32" s="2">
        <f>R10/'Output-Calculation-sheet'!R9*'Output-Calculation-sheet'!R18</f>
        <v>2746.0545177873851</v>
      </c>
      <c r="S32" s="2">
        <f>S10/'Output-Calculation-sheet'!S9*'Output-Calculation-sheet'!S18</f>
        <v>1798.3559981536362</v>
      </c>
      <c r="T32" s="2">
        <f>T10/'Output-Calculation-sheet'!T9*'Output-Calculation-sheet'!T18</f>
        <v>801.76038000523226</v>
      </c>
      <c r="U32" s="2">
        <f>U10/'Output-Calculation-sheet'!U9*'Output-Calculation-sheet'!U18</f>
        <v>886.34683134075271</v>
      </c>
      <c r="V32" s="2">
        <f>V10/'Output-Calculation-sheet'!V9*'Output-Calculation-sheet'!V18</f>
        <v>654.21447857448004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378.7567458636654</v>
      </c>
      <c r="AA32" s="2">
        <f t="shared" si="1"/>
        <v>93.702751960945562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11928.575170373833</v>
      </c>
      <c r="E33" s="2">
        <f>E11/'Output-Calculation-sheet'!E10*'Output-Calculation-sheet'!E19</f>
        <v>14771.59109012402</v>
      </c>
      <c r="F33" s="2">
        <f>F11/'Output-Calculation-sheet'!F10*'Output-Calculation-sheet'!F19</f>
        <v>6770.5861750338108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4431.0491658429455</v>
      </c>
      <c r="J33" s="2">
        <f>J11/'Output-Calculation-sheet'!J10*'Output-Calculation-sheet'!J19</f>
        <v>3746.3628624328471</v>
      </c>
      <c r="K33" s="2">
        <f>K11/'Output-Calculation-sheet'!K10*'Output-Calculation-sheet'!K19</f>
        <v>5196.4485570978359</v>
      </c>
      <c r="L33" s="2">
        <f>L11/'Output-Calculation-sheet'!L10*'Output-Calculation-sheet'!L19</f>
        <v>4227.6404714103583</v>
      </c>
      <c r="M33" s="2">
        <f>M11/'Output-Calculation-sheet'!M10*'Output-Calculation-sheet'!M19</f>
        <v>0</v>
      </c>
      <c r="N33" s="2">
        <f>N11/'Output-Calculation-sheet'!N10*'Output-Calculation-sheet'!N19</f>
        <v>2403.912444853228</v>
      </c>
      <c r="O33" s="2">
        <f>O11/'Output-Calculation-sheet'!O10*'Output-Calculation-sheet'!O19</f>
        <v>0</v>
      </c>
      <c r="P33" s="2">
        <f>P11/'Output-Calculation-sheet'!P10*'Output-Calculation-sheet'!P19</f>
        <v>5256.5118302076644</v>
      </c>
      <c r="Q33" s="2">
        <f>Q11/'Output-Calculation-sheet'!Q10*'Output-Calculation-sheet'!Q19</f>
        <v>4294.9214866855573</v>
      </c>
      <c r="R33" s="2">
        <f>R11/'Output-Calculation-sheet'!R10*'Output-Calculation-sheet'!R19</f>
        <v>3753.6971839619555</v>
      </c>
      <c r="S33" s="2">
        <f>S11/'Output-Calculation-sheet'!S10*'Output-Calculation-sheet'!S19</f>
        <v>1748.6521863328223</v>
      </c>
      <c r="T33" s="2">
        <f>T11/'Output-Calculation-sheet'!T10*'Output-Calculation-sheet'!T19</f>
        <v>1101.4080624010694</v>
      </c>
      <c r="U33" s="2">
        <f>U11/'Output-Calculation-sheet'!U10*'Output-Calculation-sheet'!U19</f>
        <v>1266.8417652878413</v>
      </c>
      <c r="V33" s="2">
        <f>V11/'Output-Calculation-sheet'!V10*'Output-Calculation-sheet'!V19</f>
        <v>863.9147487842597</v>
      </c>
      <c r="W33" s="2">
        <f>W11/'Output-Calculation-sheet'!W10*'Output-Calculation-sheet'!W19</f>
        <v>537.86205746567543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116.83171720548083</v>
      </c>
    </row>
    <row r="34" spans="1:27" x14ac:dyDescent="0.25">
      <c r="A34" s="2">
        <v>2035</v>
      </c>
      <c r="B34" s="2">
        <f>B12/'Output-Calculation-sheet'!B11*'Output-Calculation-sheet'!B20</f>
        <v>40715.28820787336</v>
      </c>
      <c r="C34" s="2">
        <f>C12/'Output-Calculation-sheet'!C11*'Output-Calculation-sheet'!C20</f>
        <v>0</v>
      </c>
      <c r="D34" s="2">
        <f>D12/'Output-Calculation-sheet'!D11*'Output-Calculation-sheet'!D20</f>
        <v>12750.237310453065</v>
      </c>
      <c r="E34" s="2">
        <f>E12/'Output-Calculation-sheet'!E11*'Output-Calculation-sheet'!E20</f>
        <v>14048.177504256546</v>
      </c>
      <c r="F34" s="2">
        <f>F12/'Output-Calculation-sheet'!F11*'Output-Calculation-sheet'!F20</f>
        <v>8694.7555354580163</v>
      </c>
      <c r="G34" s="2">
        <f>G12/'Output-Calculation-sheet'!G11*'Output-Calculation-sheet'!G20</f>
        <v>4696.144409558362</v>
      </c>
      <c r="H34" s="2">
        <f>H12/'Output-Calculation-sheet'!H11*'Output-Calculation-sheet'!H20</f>
        <v>0</v>
      </c>
      <c r="I34" s="2">
        <f>I12/'Output-Calculation-sheet'!I11*'Output-Calculation-sheet'!I20</f>
        <v>5115.0392160077463</v>
      </c>
      <c r="J34" s="2">
        <f>J12/'Output-Calculation-sheet'!J11*'Output-Calculation-sheet'!J20</f>
        <v>4383.249564030265</v>
      </c>
      <c r="K34" s="2">
        <f>K12/'Output-Calculation-sheet'!K11*'Output-Calculation-sheet'!K20</f>
        <v>5761.3399421392705</v>
      </c>
      <c r="L34" s="2">
        <f>L12/'Output-Calculation-sheet'!L11*'Output-Calculation-sheet'!L20</f>
        <v>4561.6461011690481</v>
      </c>
      <c r="M34" s="2">
        <f>M12/'Output-Calculation-sheet'!M11*'Output-Calculation-sheet'!M20</f>
        <v>0</v>
      </c>
      <c r="N34" s="2">
        <f>N12/'Output-Calculation-sheet'!N11*'Output-Calculation-sheet'!N20</f>
        <v>2542.2438811397815</v>
      </c>
      <c r="O34" s="2">
        <f>O12/'Output-Calculation-sheet'!O11*'Output-Calculation-sheet'!O20</f>
        <v>0</v>
      </c>
      <c r="P34" s="2">
        <f>P12/'Output-Calculation-sheet'!P11*'Output-Calculation-sheet'!P20</f>
        <v>5688.8317082185577</v>
      </c>
      <c r="Q34" s="2">
        <f>Q12/'Output-Calculation-sheet'!Q11*'Output-Calculation-sheet'!Q20</f>
        <v>4483.1985646272242</v>
      </c>
      <c r="R34" s="2">
        <f>R12/'Output-Calculation-sheet'!R11*'Output-Calculation-sheet'!R20</f>
        <v>4524.0436810874153</v>
      </c>
      <c r="S34" s="2">
        <f>S12/'Output-Calculation-sheet'!S11*'Output-Calculation-sheet'!S20</f>
        <v>1747.3667514342783</v>
      </c>
      <c r="T34" s="2">
        <f>T12/'Output-Calculation-sheet'!T11*'Output-Calculation-sheet'!T20</f>
        <v>1411.9620580738488</v>
      </c>
      <c r="U34" s="2">
        <f>U12/'Output-Calculation-sheet'!U11*'Output-Calculation-sheet'!U20</f>
        <v>1292.5476547414758</v>
      </c>
      <c r="V34" s="2">
        <f>V12/'Output-Calculation-sheet'!V11*'Output-Calculation-sheet'!V20</f>
        <v>1184.2089325497764</v>
      </c>
      <c r="W34" s="2">
        <f>W12/'Output-Calculation-sheet'!W11*'Output-Calculation-sheet'!W20</f>
        <v>765.8408111948761</v>
      </c>
      <c r="X34" s="2">
        <f>X12/'Output-Calculation-sheet'!X11*'Output-Calculation-sheet'!X20</f>
        <v>1.8076422237525498</v>
      </c>
      <c r="Y34" s="2">
        <f>Y12/'Output-Calculation-sheet'!Y11*'Output-Calculation-sheet'!Y20</f>
        <v>426.9983562556053</v>
      </c>
      <c r="AA34" s="2">
        <f t="shared" si="1"/>
        <v>124.79492783249226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4.7735897662919816E-2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4.7735897662919816E-2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0.57484141627185636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0.57484141627185636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0.80347680079150841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0.80347680079150841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7.8081946491321247E-2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1.7909326027939394E-2</v>
      </c>
      <c r="N44" s="2">
        <f>N11/'Output-Calculation-sheet'!N10*'Output-Calculation-sheet'!N37*0.0114</f>
        <v>1.7601963041652353E-2</v>
      </c>
      <c r="O44" s="2">
        <f>O11/'Output-Calculation-sheet'!O10*'Output-Calculation-sheet'!O37*0.0114</f>
        <v>1.018402350458929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4.6266043779077191E-2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1.0090052865148757E-2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1.1883516826640681</v>
      </c>
    </row>
    <row r="45" spans="1:27" x14ac:dyDescent="0.25">
      <c r="A45" s="2">
        <v>2035</v>
      </c>
      <c r="B45" s="2">
        <f>B12/'Output-Calculation-sheet'!B11*'Output-Calculation-sheet'!B38*0.0114</f>
        <v>0.95049969747655849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0.31759369217699313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0.38884032881899849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7.6563389369807097E-2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8.0612881956195662E-2</v>
      </c>
      <c r="M45" s="2">
        <f>M12/'Output-Calculation-sheet'!M11*'Output-Calculation-sheet'!M38*0.0114</f>
        <v>0.22933713255668853</v>
      </c>
      <c r="N45" s="2">
        <f>N12/'Output-Calculation-sheet'!N11*'Output-Calculation-sheet'!N38*0.0114</f>
        <v>0.16905090642622952</v>
      </c>
      <c r="O45" s="2">
        <f>O12/'Output-Calculation-sheet'!O11*'Output-Calculation-sheet'!O38*0.0114</f>
        <v>1.1919293273923957</v>
      </c>
      <c r="P45" s="2">
        <f>P12/'Output-Calculation-sheet'!P11*'Output-Calculation-sheet'!P38*0.0114</f>
        <v>0.10411556238331281</v>
      </c>
      <c r="Q45" s="2">
        <f>Q12/'Output-Calculation-sheet'!Q11*'Output-Calculation-sheet'!Q38*0.0114</f>
        <v>0.14811447676036033</v>
      </c>
      <c r="R45" s="2">
        <f>R12/'Output-Calculation-sheet'!R11*'Output-Calculation-sheet'!R38*0.0114</f>
        <v>6.5281519803647645E-2</v>
      </c>
      <c r="S45" s="2">
        <f>S12/'Output-Calculation-sheet'!S11*'Output-Calculation-sheet'!S38*0.0114</f>
        <v>7.5371189824044768E-2</v>
      </c>
      <c r="T45" s="2">
        <f>T12/'Output-Calculation-sheet'!T11*'Output-Calculation-sheet'!T38*0.0114</f>
        <v>1.8113777337111062E-2</v>
      </c>
      <c r="U45" s="2">
        <f>U12/'Output-Calculation-sheet'!U11*'Output-Calculation-sheet'!U38*0.0114</f>
        <v>2.6254124324722784E-2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1.2139342525761477E-2</v>
      </c>
      <c r="AA45" s="2">
        <f t="shared" si="2"/>
        <v>4.7448098022353609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3561.8121364301237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8204.196169499508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5611.0438722907584</v>
      </c>
      <c r="N52" s="2">
        <f>N8/'Output-Calculation-sheet'!N7*'Output-Calculation-sheet'!N43</f>
        <v>177.24367221580718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37.939297069613382</v>
      </c>
      <c r="Y52" s="2">
        <f>Y8/'Output-Calculation-sheet'!Y7*'Output-Calculation-sheet'!Y43</f>
        <v>0</v>
      </c>
      <c r="AA52" s="2">
        <f t="shared" si="3"/>
        <v>17.592235147505811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642.7122048204202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16659.076852903869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11409.396411269678</v>
      </c>
      <c r="N53" s="2">
        <f>N9/'Output-Calculation-sheet'!N8*'Output-Calculation-sheet'!N44</f>
        <v>4044.9191713416039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1262.5930880156166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348.23470642104519</v>
      </c>
      <c r="Y53" s="2">
        <f>Y9/'Output-Calculation-sheet'!Y8*'Output-Calculation-sheet'!Y44</f>
        <v>0</v>
      </c>
      <c r="AA53" s="2">
        <f t="shared" si="3"/>
        <v>34.546403178361921</v>
      </c>
    </row>
    <row r="54" spans="1:27" x14ac:dyDescent="0.25">
      <c r="A54" s="2">
        <v>2033</v>
      </c>
      <c r="B54" s="2">
        <f>B10/'Output-Calculation-sheet'!B9*'Output-Calculation-sheet'!B45</f>
        <v>36719.047389929881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26769.162178368122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18348.742641292341</v>
      </c>
      <c r="N54" s="2">
        <f>N10/'Output-Calculation-sheet'!N9*'Output-Calculation-sheet'!N45</f>
        <v>10238.888048906249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1075.0017677871892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1029.9088593119293</v>
      </c>
      <c r="Y54" s="2">
        <f>Y10/'Output-Calculation-sheet'!Y9*'Output-Calculation-sheet'!Y45</f>
        <v>22.717297132667575</v>
      </c>
      <c r="AA54" s="2">
        <f t="shared" si="3"/>
        <v>110.75644925384067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33979.345310828481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4923.0949101706501</v>
      </c>
      <c r="L55" s="2">
        <f>L11/'Output-Calculation-sheet'!L10*'Output-Calculation-sheet'!L46</f>
        <v>1818.9805515891853</v>
      </c>
      <c r="M55" s="2">
        <f>M11/'Output-Calculation-sheet'!M10*'Output-Calculation-sheet'!M46</f>
        <v>23855.536467917515</v>
      </c>
      <c r="N55" s="2">
        <f>N11/'Output-Calculation-sheet'!N10*'Output-Calculation-sheet'!N46</f>
        <v>17589.610786886282</v>
      </c>
      <c r="O55" s="2">
        <f>O11/'Output-Calculation-sheet'!O10*'Output-Calculation-sheet'!O46</f>
        <v>391.91488302890309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3979.9620116387455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8918.1905850209532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274.28944289093363</v>
      </c>
    </row>
    <row r="56" spans="1:27" x14ac:dyDescent="0.25">
      <c r="A56" s="2">
        <v>2035</v>
      </c>
      <c r="B56" s="2">
        <f>B12/'Output-Calculation-sheet'!B11*'Output-Calculation-sheet'!B47</f>
        <v>154531.24028974152</v>
      </c>
      <c r="C56" s="2">
        <f>C12/'Output-Calculation-sheet'!C11*'Output-Calculation-sheet'!C47</f>
        <v>530.27462210703527</v>
      </c>
      <c r="D56" s="2">
        <f>D12/'Output-Calculation-sheet'!D11*'Output-Calculation-sheet'!D47</f>
        <v>12437.374933668974</v>
      </c>
      <c r="E56" s="2">
        <f>E12/'Output-Calculation-sheet'!E11*'Output-Calculation-sheet'!E47</f>
        <v>34355.836946725256</v>
      </c>
      <c r="F56" s="2">
        <f>F12/'Output-Calculation-sheet'!F11*'Output-Calculation-sheet'!F47</f>
        <v>4057.9688929758186</v>
      </c>
      <c r="G56" s="2">
        <f>G12/'Output-Calculation-sheet'!G11*'Output-Calculation-sheet'!G47</f>
        <v>9748.047275088049</v>
      </c>
      <c r="H56" s="2">
        <f>H12/'Output-Calculation-sheet'!H11*'Output-Calculation-sheet'!H47</f>
        <v>36883.795350819666</v>
      </c>
      <c r="I56" s="2">
        <f>I12/'Output-Calculation-sheet'!I11*'Output-Calculation-sheet'!I47</f>
        <v>4849.8685796949039</v>
      </c>
      <c r="J56" s="2">
        <f>J12/'Output-Calculation-sheet'!J11*'Output-Calculation-sheet'!J47</f>
        <v>4452.7655396650962</v>
      </c>
      <c r="K56" s="2">
        <f>K12/'Output-Calculation-sheet'!K11*'Output-Calculation-sheet'!K47</f>
        <v>6338.4868492288588</v>
      </c>
      <c r="L56" s="2">
        <f>L12/'Output-Calculation-sheet'!L11*'Output-Calculation-sheet'!L47</f>
        <v>3479.0822738989705</v>
      </c>
      <c r="M56" s="2">
        <f>M12/'Output-Calculation-sheet'!M11*'Output-Calculation-sheet'!M47</f>
        <v>25622.724663716574</v>
      </c>
      <c r="N56" s="2">
        <f>N12/'Output-Calculation-sheet'!N11*'Output-Calculation-sheet'!N47</f>
        <v>19300.80231848784</v>
      </c>
      <c r="O56" s="2">
        <f>O12/'Output-Calculation-sheet'!O11*'Output-Calculation-sheet'!O47</f>
        <v>1898.9070166790618</v>
      </c>
      <c r="P56" s="2">
        <f>P12/'Output-Calculation-sheet'!P11*'Output-Calculation-sheet'!P47</f>
        <v>10171.055377855208</v>
      </c>
      <c r="Q56" s="2">
        <f>Q12/'Output-Calculation-sheet'!Q11*'Output-Calculation-sheet'!Q47</f>
        <v>4883.7356226149996</v>
      </c>
      <c r="R56" s="2">
        <f>R12/'Output-Calculation-sheet'!R11*'Output-Calculation-sheet'!R47</f>
        <v>7503.0799405902917</v>
      </c>
      <c r="S56" s="2">
        <f>S12/'Output-Calculation-sheet'!S11*'Output-Calculation-sheet'!S47</f>
        <v>9974.8763876157482</v>
      </c>
      <c r="T56" s="2">
        <f>T12/'Output-Calculation-sheet'!T11*'Output-Calculation-sheet'!T47</f>
        <v>2611.6677207396096</v>
      </c>
      <c r="U56" s="2">
        <f>U12/'Output-Calculation-sheet'!U11*'Output-Calculation-sheet'!U47</f>
        <v>2523.6201258799319</v>
      </c>
      <c r="V56" s="2">
        <f>V12/'Output-Calculation-sheet'!V11*'Output-Calculation-sheet'!V47</f>
        <v>1762.3129201242816</v>
      </c>
      <c r="W56" s="2">
        <f>W12/'Output-Calculation-sheet'!W11*'Output-Calculation-sheet'!W47</f>
        <v>1018.8993704395143</v>
      </c>
      <c r="X56" s="2">
        <f>X12/'Output-Calculation-sheet'!X11*'Output-Calculation-sheet'!X47</f>
        <v>205.42642831738712</v>
      </c>
      <c r="Y56" s="2">
        <f>Y12/'Output-Calculation-sheet'!Y11*'Output-Calculation-sheet'!Y47</f>
        <v>1353.962633465414</v>
      </c>
      <c r="AA56" s="2">
        <f t="shared" si="3"/>
        <v>360.49581208014007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8.5684992547060883</v>
      </c>
      <c r="C63" s="2">
        <f>C8*'Output-Calculation-sheet'!C52/10^9</f>
        <v>4.6571916428006084</v>
      </c>
      <c r="D63" s="2">
        <f>D8*'Output-Calculation-sheet'!D52/10^9</f>
        <v>2.0062339860473348</v>
      </c>
      <c r="E63" s="2">
        <f>E8*'Output-Calculation-sheet'!E52/10^9</f>
        <v>2.2952201131297625</v>
      </c>
      <c r="F63" s="2">
        <f>F8*'Output-Calculation-sheet'!F52/10^9</f>
        <v>1.0728679528363443</v>
      </c>
      <c r="G63" s="2">
        <f>G8*'Output-Calculation-sheet'!G52/10^9</f>
        <v>0.81834685458755074</v>
      </c>
      <c r="H63" s="2">
        <f>H8*'Output-Calculation-sheet'!H52/10^9</f>
        <v>1.2231844398308538</v>
      </c>
      <c r="I63" s="2">
        <f>I8*'Output-Calculation-sheet'!I52/10^9</f>
        <v>0.64643963483351385</v>
      </c>
      <c r="J63" s="2">
        <f>J8*'Output-Calculation-sheet'!J52/10^9</f>
        <v>0.9138509025155066</v>
      </c>
      <c r="K63" s="2">
        <f>K8*'Output-Calculation-sheet'!K52/10^9</f>
        <v>0.5998982459629556</v>
      </c>
      <c r="L63" s="2">
        <f>L8*'Output-Calculation-sheet'!L52/10^9</f>
        <v>0.71025494220002183</v>
      </c>
      <c r="M63" s="2">
        <f>M8*'Output-Calculation-sheet'!M52/10^9</f>
        <v>0.89558667456100371</v>
      </c>
      <c r="N63" s="2">
        <f>N8*'Output-Calculation-sheet'!N52/10^9</f>
        <v>0.71413700924218271</v>
      </c>
      <c r="O63" s="2">
        <f>O8*'Output-Calculation-sheet'!O52/10^9</f>
        <v>0.84610752780426535</v>
      </c>
      <c r="P63" s="2">
        <f>P8*'Output-Calculation-sheet'!P52/10^9</f>
        <v>0.61010685109227691</v>
      </c>
      <c r="Q63" s="2">
        <f>Q8*'Output-Calculation-sheet'!Q52/10^9</f>
        <v>0.56909696533606136</v>
      </c>
      <c r="R63" s="2">
        <f>R8*'Output-Calculation-sheet'!R52/10^9</f>
        <v>0.51546895925061098</v>
      </c>
      <c r="S63" s="2">
        <f>S8*'Output-Calculation-sheet'!S52/10^9</f>
        <v>0.4373562393267682</v>
      </c>
      <c r="T63" s="2">
        <f>T8*'Output-Calculation-sheet'!T52/10^9</f>
        <v>0.20936319854420335</v>
      </c>
      <c r="U63" s="2">
        <f>U8*'Output-Calculation-sheet'!U52/10^9</f>
        <v>0.16327182447323563</v>
      </c>
      <c r="V63" s="2">
        <f>V8*'Output-Calculation-sheet'!V52/10^9</f>
        <v>0.27032943792632108</v>
      </c>
      <c r="W63" s="2">
        <f>W8*'Output-Calculation-sheet'!W52/10^9</f>
        <v>0.11344251602002341</v>
      </c>
      <c r="X63" s="2">
        <f>X8*'Output-Calculation-sheet'!X52/10^9</f>
        <v>0.11936498688168214</v>
      </c>
      <c r="Y63" s="2">
        <f>Y8*'Output-Calculation-sheet'!Y52/10^9</f>
        <v>6.5508835987034775E-2</v>
      </c>
      <c r="AA63" s="2">
        <f t="shared" si="4"/>
        <v>29.041128995896198</v>
      </c>
    </row>
    <row r="64" spans="1:27" x14ac:dyDescent="0.25">
      <c r="A64" s="2">
        <v>2032</v>
      </c>
      <c r="B64" s="2">
        <f>B9*'Output-Calculation-sheet'!B53/10^9</f>
        <v>9.4258209482174884</v>
      </c>
      <c r="C64" s="2">
        <f>C9*'Output-Calculation-sheet'!C53/10^9</f>
        <v>5.5675699594635857</v>
      </c>
      <c r="D64" s="2">
        <f>D9*'Output-Calculation-sheet'!D53/10^9</f>
        <v>1.979296864336056</v>
      </c>
      <c r="E64" s="2">
        <f>E9*'Output-Calculation-sheet'!E53/10^9</f>
        <v>2.3110605624399914</v>
      </c>
      <c r="F64" s="2">
        <f>F9*'Output-Calculation-sheet'!F53/10^9</f>
        <v>1.0605066948608703</v>
      </c>
      <c r="G64" s="2">
        <f>G9*'Output-Calculation-sheet'!G53/10^9</f>
        <v>0.79406356313698623</v>
      </c>
      <c r="H64" s="2">
        <f>H9*'Output-Calculation-sheet'!H53/10^9</f>
        <v>1.478817315720192</v>
      </c>
      <c r="I64" s="2">
        <f>I9*'Output-Calculation-sheet'!I53/10^9</f>
        <v>0.64393108173656377</v>
      </c>
      <c r="J64" s="2">
        <f>J9*'Output-Calculation-sheet'!J53/10^9</f>
        <v>0.86429285814210466</v>
      </c>
      <c r="K64" s="2">
        <f>K9*'Output-Calculation-sheet'!K53/10^9</f>
        <v>0.63804148662790727</v>
      </c>
      <c r="L64" s="2">
        <f>L9*'Output-Calculation-sheet'!L53/10^9</f>
        <v>0.71631072586224054</v>
      </c>
      <c r="M64" s="2">
        <f>M9*'Output-Calculation-sheet'!M53/10^9</f>
        <v>1.0664002266971917</v>
      </c>
      <c r="N64" s="2">
        <f>N9*'Output-Calculation-sheet'!N53/10^9</f>
        <v>0.87161491290031123</v>
      </c>
      <c r="O64" s="2">
        <f>O9*'Output-Calculation-sheet'!O53/10^9</f>
        <v>1.0296404178428902</v>
      </c>
      <c r="P64" s="2">
        <f>P9*'Output-Calculation-sheet'!P53/10^9</f>
        <v>0.68082547116272307</v>
      </c>
      <c r="Q64" s="2">
        <f>Q9*'Output-Calculation-sheet'!Q53/10^9</f>
        <v>0.64578158372194971</v>
      </c>
      <c r="R64" s="2">
        <f>R9*'Output-Calculation-sheet'!R53/10^9</f>
        <v>0.5493788264750703</v>
      </c>
      <c r="S64" s="2">
        <f>S9*'Output-Calculation-sheet'!S53/10^9</f>
        <v>0.51649090335015624</v>
      </c>
      <c r="T64" s="2">
        <f>T9*'Output-Calculation-sheet'!T53/10^9</f>
        <v>0.20536822603530006</v>
      </c>
      <c r="U64" s="2">
        <f>U9*'Output-Calculation-sheet'!U53/10^9</f>
        <v>0.17497263698825685</v>
      </c>
      <c r="V64" s="2">
        <f>V9*'Output-Calculation-sheet'!V53/10^9</f>
        <v>0.25501639381561086</v>
      </c>
      <c r="W64" s="2">
        <f>W9*'Output-Calculation-sheet'!W53/10^9</f>
        <v>0.1086964782850818</v>
      </c>
      <c r="X64" s="2">
        <f>X9*'Output-Calculation-sheet'!X53/10^9</f>
        <v>0.13879485665137165</v>
      </c>
      <c r="Y64" s="2">
        <f>Y9*'Output-Calculation-sheet'!Y53/10^9</f>
        <v>6.9137044319885682E-2</v>
      </c>
      <c r="AA64" s="2">
        <f t="shared" si="4"/>
        <v>31.791830038789794</v>
      </c>
    </row>
    <row r="65" spans="1:27" x14ac:dyDescent="0.25">
      <c r="A65" s="2">
        <v>2033</v>
      </c>
      <c r="B65" s="2">
        <f>B10*'Output-Calculation-sheet'!B54/10^9</f>
        <v>10.45139460744906</v>
      </c>
      <c r="C65" s="2">
        <f>C10*'Output-Calculation-sheet'!C54/10^9</f>
        <v>6.4571462480614024</v>
      </c>
      <c r="D65" s="2">
        <f>D10*'Output-Calculation-sheet'!D54/10^9</f>
        <v>1.8629407135074993</v>
      </c>
      <c r="E65" s="2">
        <f>E10*'Output-Calculation-sheet'!E54/10^9</f>
        <v>2.3724796601564373</v>
      </c>
      <c r="F65" s="2">
        <f>F10*'Output-Calculation-sheet'!F54/10^9</f>
        <v>1.0194738181400889</v>
      </c>
      <c r="G65" s="2">
        <f>G10*'Output-Calculation-sheet'!G54/10^9</f>
        <v>0.72581598226493815</v>
      </c>
      <c r="H65" s="2">
        <f>H10*'Output-Calculation-sheet'!H54/10^9</f>
        <v>1.7054984310151287</v>
      </c>
      <c r="I65" s="2">
        <f>I10*'Output-Calculation-sheet'!I54/10^9</f>
        <v>0.63638911919468</v>
      </c>
      <c r="J65" s="2">
        <f>J10*'Output-Calculation-sheet'!J54/10^9</f>
        <v>0.75294844313861575</v>
      </c>
      <c r="K65" s="2">
        <f>K10*'Output-Calculation-sheet'!K54/10^9</f>
        <v>0.70461240602746711</v>
      </c>
      <c r="L65" s="2">
        <f>L10*'Output-Calculation-sheet'!L54/10^9</f>
        <v>0.72664607445107332</v>
      </c>
      <c r="M65" s="2">
        <f>M10*'Output-Calculation-sheet'!M54/10^9</f>
        <v>1.2126674212886301</v>
      </c>
      <c r="N65" s="2">
        <f>N10*'Output-Calculation-sheet'!N54/10^9</f>
        <v>1.0333391724759502</v>
      </c>
      <c r="O65" s="2">
        <f>O10*'Output-Calculation-sheet'!O54/10^9</f>
        <v>1.2023526330794594</v>
      </c>
      <c r="P65" s="2">
        <f>P10*'Output-Calculation-sheet'!P54/10^9</f>
        <v>0.76225463434086183</v>
      </c>
      <c r="Q65" s="2">
        <f>Q10*'Output-Calculation-sheet'!Q54/10^9</f>
        <v>0.75224378808137782</v>
      </c>
      <c r="R65" s="2">
        <f>R10*'Output-Calculation-sheet'!R54/10^9</f>
        <v>0.59630087989152702</v>
      </c>
      <c r="S65" s="2">
        <f>S10*'Output-Calculation-sheet'!S54/10^9</f>
        <v>0.59849539045032607</v>
      </c>
      <c r="T65" s="2">
        <f>T10*'Output-Calculation-sheet'!T54/10^9</f>
        <v>0.20193400361130992</v>
      </c>
      <c r="U65" s="2">
        <f>U10*'Output-Calculation-sheet'!U54/10^9</f>
        <v>0.19394311158809255</v>
      </c>
      <c r="V65" s="2">
        <f>V10*'Output-Calculation-sheet'!V54/10^9</f>
        <v>0.22851992478175234</v>
      </c>
      <c r="W65" s="2">
        <f>W10*'Output-Calculation-sheet'!W54/10^9</f>
        <v>9.7661154532516781E-2</v>
      </c>
      <c r="X65" s="2">
        <f>X10*'Output-Calculation-sheet'!X54/10^9</f>
        <v>0.15576571517034948</v>
      </c>
      <c r="Y65" s="2">
        <f>Y10*'Output-Calculation-sheet'!Y54/10^9</f>
        <v>7.5761708727444921E-2</v>
      </c>
      <c r="AA65" s="2">
        <f t="shared" si="4"/>
        <v>34.526585041425982</v>
      </c>
    </row>
    <row r="66" spans="1:27" x14ac:dyDescent="0.25">
      <c r="A66" s="2">
        <v>2034</v>
      </c>
      <c r="B66" s="2">
        <f>B11*'Output-Calculation-sheet'!B55/10^9</f>
        <v>11.692145678229682</v>
      </c>
      <c r="C66" s="2">
        <f>C11*'Output-Calculation-sheet'!C55/10^9</f>
        <v>7.3313427043133386</v>
      </c>
      <c r="D66" s="2">
        <f>D11*'Output-Calculation-sheet'!D55/10^9</f>
        <v>2.1152731680771253</v>
      </c>
      <c r="E66" s="2">
        <f>E11*'Output-Calculation-sheet'!E55/10^9</f>
        <v>2.7396919735764396</v>
      </c>
      <c r="F66" s="2">
        <f>F11*'Output-Calculation-sheet'!F55/10^9</f>
        <v>1.0782870525728501</v>
      </c>
      <c r="G66" s="2">
        <f>G11*'Output-Calculation-sheet'!G55/10^9</f>
        <v>0.7865685277188379</v>
      </c>
      <c r="H66" s="2">
        <f>H11*'Output-Calculation-sheet'!H55/10^9</f>
        <v>1.9627718922929824</v>
      </c>
      <c r="I66" s="2">
        <f>I11*'Output-Calculation-sheet'!I55/10^9</f>
        <v>0.73119718407343881</v>
      </c>
      <c r="J66" s="2">
        <f>J11*'Output-Calculation-sheet'!J55/10^9</f>
        <v>0.73617826474108361</v>
      </c>
      <c r="K66" s="2">
        <f>K11*'Output-Calculation-sheet'!K55/10^9</f>
        <v>0.83825857008241578</v>
      </c>
      <c r="L66" s="2">
        <f>L11*'Output-Calculation-sheet'!L55/10^9</f>
        <v>0.81266346211436413</v>
      </c>
      <c r="M66" s="2">
        <f>M11*'Output-Calculation-sheet'!M55/10^9</f>
        <v>1.3785983833645021</v>
      </c>
      <c r="N66" s="2">
        <f>N11*'Output-Calculation-sheet'!N55/10^9</f>
        <v>1.198799210874012</v>
      </c>
      <c r="O66" s="2">
        <f>O11*'Output-Calculation-sheet'!O55/10^9</f>
        <v>1.3674143474424478</v>
      </c>
      <c r="P66" s="2">
        <f>P11*'Output-Calculation-sheet'!P55/10^9</f>
        <v>0.87682545751301411</v>
      </c>
      <c r="Q66" s="2">
        <f>Q11*'Output-Calculation-sheet'!Q55/10^9</f>
        <v>0.90189112379354242</v>
      </c>
      <c r="R66" s="2">
        <f>R11*'Output-Calculation-sheet'!R55/10^9</f>
        <v>0.66727575807382833</v>
      </c>
      <c r="S66" s="2">
        <f>S11*'Output-Calculation-sheet'!S55/10^9</f>
        <v>0.69268742324967691</v>
      </c>
      <c r="T66" s="2">
        <f>T11*'Output-Calculation-sheet'!T55/10^9</f>
        <v>0.20908066798101943</v>
      </c>
      <c r="U66" s="2">
        <f>U11*'Output-Calculation-sheet'!U55/10^9</f>
        <v>0.22755340493073192</v>
      </c>
      <c r="V66" s="2">
        <f>V11*'Output-Calculation-sheet'!V55/10^9</f>
        <v>0.19759504801377992</v>
      </c>
      <c r="W66" s="2">
        <f>W11*'Output-Calculation-sheet'!W55/10^9</f>
        <v>9.6804214217540971E-2</v>
      </c>
      <c r="X66" s="2">
        <f>X11*'Output-Calculation-sheet'!X55/10^9</f>
        <v>0.17099140425328446</v>
      </c>
      <c r="Y66" s="2">
        <f>Y11*'Output-Calculation-sheet'!Y55/10^9</f>
        <v>9.2882684487291395E-2</v>
      </c>
      <c r="AA66" s="2">
        <f t="shared" si="4"/>
        <v>38.902777605987239</v>
      </c>
    </row>
    <row r="67" spans="1:27" x14ac:dyDescent="0.25">
      <c r="A67" s="2">
        <v>2035</v>
      </c>
      <c r="B67" s="2">
        <f>B12*'Output-Calculation-sheet'!B56/10^9</f>
        <v>13.66719737197832</v>
      </c>
      <c r="C67" s="2">
        <f>C12*'Output-Calculation-sheet'!C56/10^9</f>
        <v>8.2546583023432412</v>
      </c>
      <c r="D67" s="2">
        <f>D12*'Output-Calculation-sheet'!D56/10^9</f>
        <v>2.7073356484753281</v>
      </c>
      <c r="E67" s="2">
        <f>E12*'Output-Calculation-sheet'!E56/10^9</f>
        <v>3.7072909245987304</v>
      </c>
      <c r="F67" s="2">
        <f>F12*'Output-Calculation-sheet'!F56/10^9</f>
        <v>1.4535363969850603</v>
      </c>
      <c r="G67" s="2">
        <f>G12*'Output-Calculation-sheet'!G56/10^9</f>
        <v>1.070965144693903</v>
      </c>
      <c r="H67" s="2">
        <f>H12*'Output-Calculation-sheet'!H56/10^9</f>
        <v>2.2805929324235406</v>
      </c>
      <c r="I67" s="2">
        <f>I12*'Output-Calculation-sheet'!I56/10^9</f>
        <v>0.98136776298479322</v>
      </c>
      <c r="J67" s="2">
        <f>J12*'Output-Calculation-sheet'!J56/10^9</f>
        <v>0.89860539005490969</v>
      </c>
      <c r="K67" s="2">
        <f>K12*'Output-Calculation-sheet'!K56/10^9</f>
        <v>1.0764005393068496</v>
      </c>
      <c r="L67" s="2">
        <f>L12*'Output-Calculation-sheet'!L56/10^9</f>
        <v>1.0031431487385902</v>
      </c>
      <c r="M67" s="2">
        <f>M12*'Output-Calculation-sheet'!M56/10^9</f>
        <v>1.6134140035859312</v>
      </c>
      <c r="N67" s="2">
        <f>N12*'Output-Calculation-sheet'!N56/10^9</f>
        <v>1.3780095049001564</v>
      </c>
      <c r="O67" s="2">
        <f>O12*'Output-Calculation-sheet'!O56/10^9</f>
        <v>1.5243771847122609</v>
      </c>
      <c r="P67" s="2">
        <f>P12*'Output-Calculation-sheet'!P56/10^9</f>
        <v>1.1183894200508961</v>
      </c>
      <c r="Q67" s="2">
        <f>Q12*'Output-Calculation-sheet'!Q56/10^9</f>
        <v>1.0564700444355022</v>
      </c>
      <c r="R67" s="2">
        <f>R12*'Output-Calculation-sheet'!R56/10^9</f>
        <v>0.82871300016420912</v>
      </c>
      <c r="S67" s="2">
        <f>S12*'Output-Calculation-sheet'!S56/10^9</f>
        <v>0.80052844160399628</v>
      </c>
      <c r="T67" s="2">
        <f>T12*'Output-Calculation-sheet'!T56/10^9</f>
        <v>0.25788996618380516</v>
      </c>
      <c r="U67" s="2">
        <f>U12*'Output-Calculation-sheet'!U56/10^9</f>
        <v>0.27879493194654215</v>
      </c>
      <c r="V67" s="2">
        <f>V12*'Output-Calculation-sheet'!V56/10^9</f>
        <v>0.19889201466248843</v>
      </c>
      <c r="W67" s="2">
        <f>W12*'Output-Calculation-sheet'!W56/10^9</f>
        <v>0.13500983033120864</v>
      </c>
      <c r="X67" s="2">
        <f>X12*'Output-Calculation-sheet'!X56/10^9</f>
        <v>0.1925845949947235</v>
      </c>
      <c r="Y67" s="2">
        <f>Y12*'Output-Calculation-sheet'!Y56/10^9</f>
        <v>0.12598020965619985</v>
      </c>
      <c r="AA67" s="2">
        <f t="shared" si="4"/>
        <v>46.610146709811175</v>
      </c>
    </row>
    <row r="68" spans="1:27" x14ac:dyDescent="0.25">
      <c r="B68" s="2">
        <f>SUM(B60:B67)</f>
        <v>53.805057860580632</v>
      </c>
      <c r="C68" s="2">
        <f t="shared" ref="C68:Y68" si="5">SUM(C60:C67)</f>
        <v>32.267908856982174</v>
      </c>
      <c r="D68" s="2">
        <f t="shared" si="5"/>
        <v>10.671080380443343</v>
      </c>
      <c r="E68" s="2">
        <f t="shared" si="5"/>
        <v>13.425743233901361</v>
      </c>
      <c r="F68" s="2">
        <f t="shared" si="5"/>
        <v>5.6846719153952145</v>
      </c>
      <c r="G68" s="2">
        <f t="shared" si="5"/>
        <v>4.1957600724022157</v>
      </c>
      <c r="H68" s="2">
        <f t="shared" si="5"/>
        <v>8.650865011282697</v>
      </c>
      <c r="I68" s="2">
        <f t="shared" si="5"/>
        <v>3.6393247828229898</v>
      </c>
      <c r="J68" s="2">
        <f t="shared" si="5"/>
        <v>4.1658758585922202</v>
      </c>
      <c r="K68" s="2">
        <f t="shared" si="5"/>
        <v>3.8572112480075953</v>
      </c>
      <c r="L68" s="2">
        <f t="shared" si="5"/>
        <v>3.9690183533662902</v>
      </c>
      <c r="M68" s="2">
        <f t="shared" si="5"/>
        <v>6.1666667094972594</v>
      </c>
      <c r="N68" s="2">
        <f t="shared" si="5"/>
        <v>5.1958998103926124</v>
      </c>
      <c r="O68" s="2">
        <f t="shared" si="5"/>
        <v>5.9698921108813234</v>
      </c>
      <c r="P68" s="2">
        <f t="shared" si="5"/>
        <v>4.0484018341597716</v>
      </c>
      <c r="Q68" s="2">
        <f t="shared" si="5"/>
        <v>3.925483505368434</v>
      </c>
      <c r="R68" s="2">
        <f t="shared" si="5"/>
        <v>3.1571374238552457</v>
      </c>
      <c r="S68" s="2">
        <f t="shared" si="5"/>
        <v>3.045558397980924</v>
      </c>
      <c r="T68" s="2">
        <f t="shared" si="5"/>
        <v>1.0836360623556378</v>
      </c>
      <c r="U68" s="2">
        <f t="shared" si="5"/>
        <v>1.0385359099268592</v>
      </c>
      <c r="V68" s="2">
        <f t="shared" si="5"/>
        <v>1.1503528191999526</v>
      </c>
      <c r="W68" s="2">
        <f t="shared" si="5"/>
        <v>0.55161419338637163</v>
      </c>
      <c r="X68" s="2">
        <f t="shared" si="5"/>
        <v>0.77750155795141118</v>
      </c>
      <c r="Y68" s="2">
        <f t="shared" si="5"/>
        <v>0.42927048317785665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955.06139646123313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1741.7462022741763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1174.5766149594886</v>
      </c>
      <c r="N74" s="2">
        <f>N8/'Output-Calculation-sheet'!N7*'Output-Calculation-sheet'!N61</f>
        <v>48.693772657414819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10.42291408141504</v>
      </c>
      <c r="Y74" s="2">
        <f>Y8/'Output-Calculation-sheet'!Y7*'Output-Calculation-sheet'!Y61</f>
        <v>0</v>
      </c>
      <c r="AA74" s="2">
        <f t="shared" si="6"/>
        <v>3.9305009004337275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176.56663849927139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3170.648266332611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2154.6257653506818</v>
      </c>
      <c r="N75" s="2">
        <f>N9/'Output-Calculation-sheet'!N8*'Output-Calculation-sheet'!N62</f>
        <v>829.78351882400773</v>
      </c>
      <c r="O75" s="2">
        <f>O9/'Output-Calculation-sheet'!O8*'Output-Calculation-sheet'!O62</f>
        <v>0</v>
      </c>
      <c r="P75" s="2">
        <f>P9/'Output-Calculation-sheet'!P8*'Output-Calculation-sheet'!P62</f>
        <v>65.739776812510257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278.83394854154221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75.674345545079348</v>
      </c>
      <c r="Y75" s="2">
        <f>Y9/'Output-Calculation-sheet'!Y8*'Output-Calculation-sheet'!Y62</f>
        <v>0</v>
      </c>
      <c r="AA75" s="2">
        <f t="shared" si="6"/>
        <v>6.7518722599057037</v>
      </c>
    </row>
    <row r="76" spans="1:27" x14ac:dyDescent="0.25">
      <c r="A76" s="2">
        <v>2033</v>
      </c>
      <c r="B76" s="2">
        <f>B10/'Output-Calculation-sheet'!B9*'Output-Calculation-sheet'!B63</f>
        <v>7392.7874375053016</v>
      </c>
      <c r="C76" s="2">
        <f>C10/'Output-Calculation-sheet'!C9*'Output-Calculation-sheet'!C63</f>
        <v>1490.6989374766097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4819.7261215993422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3289.4866049020166</v>
      </c>
      <c r="N76" s="2">
        <f>N10/'Output-Calculation-sheet'!N9*'Output-Calculation-sheet'!N63</f>
        <v>1873.5341082636555</v>
      </c>
      <c r="O76" s="2">
        <f>O10/'Output-Calculation-sheet'!O9*'Output-Calculation-sheet'!O63</f>
        <v>0</v>
      </c>
      <c r="P76" s="2">
        <f>P10/'Output-Calculation-sheet'!P9*'Output-Calculation-sheet'!P63</f>
        <v>649.70436402506402</v>
      </c>
      <c r="Q76" s="2">
        <f>Q10/'Output-Calculation-sheet'!Q9*'Output-Calculation-sheet'!Q63</f>
        <v>295.32957973152867</v>
      </c>
      <c r="R76" s="2">
        <f>R10/'Output-Calculation-sheet'!R9*'Output-Calculation-sheet'!R63</f>
        <v>493.0379708768674</v>
      </c>
      <c r="S76" s="2">
        <f>S10/'Output-Calculation-sheet'!S9*'Output-Calculation-sheet'!S63</f>
        <v>837.83724103881673</v>
      </c>
      <c r="T76" s="2">
        <f>T10/'Output-Calculation-sheet'!T9*'Output-Calculation-sheet'!T63</f>
        <v>32.485469906026694</v>
      </c>
      <c r="U76" s="2">
        <f>U10/'Output-Calculation-sheet'!U9*'Output-Calculation-sheet'!U63</f>
        <v>175.20983161358961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188.71191017902021</v>
      </c>
      <c r="Y76" s="2">
        <f>Y10/'Output-Calculation-sheet'!Y9*'Output-Calculation-sheet'!Y63</f>
        <v>8.3212845415957748</v>
      </c>
      <c r="AA76" s="2">
        <f t="shared" si="6"/>
        <v>21.683096010585551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2804.6195609285933</v>
      </c>
      <c r="D77" s="2">
        <f>D11/'Output-Calculation-sheet'!D10*'Output-Calculation-sheet'!D64</f>
        <v>2383.4484057232967</v>
      </c>
      <c r="E77" s="2">
        <f>E11/'Output-Calculation-sheet'!E10*'Output-Calculation-sheet'!E64</f>
        <v>2981.0431953709844</v>
      </c>
      <c r="F77" s="2">
        <f>F11/'Output-Calculation-sheet'!F10*'Output-Calculation-sheet'!F64</f>
        <v>212.10859782623996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6302.713077137485</v>
      </c>
      <c r="I77" s="2">
        <f>I11/'Output-Calculation-sheet'!I10*'Output-Calculation-sheet'!I64</f>
        <v>739.79348908850784</v>
      </c>
      <c r="J77" s="2">
        <f>J11/'Output-Calculation-sheet'!J10*'Output-Calculation-sheet'!J64</f>
        <v>521.630086238069</v>
      </c>
      <c r="K77" s="2">
        <f>K11/'Output-Calculation-sheet'!K10*'Output-Calculation-sheet'!K64</f>
        <v>1135.5161120188275</v>
      </c>
      <c r="L77" s="2">
        <f>L11/'Output-Calculation-sheet'!L10*'Output-Calculation-sheet'!L64</f>
        <v>465.13552589325928</v>
      </c>
      <c r="M77" s="2">
        <f>M11/'Output-Calculation-sheet'!M10*'Output-Calculation-sheet'!M64</f>
        <v>4454.2724642271205</v>
      </c>
      <c r="N77" s="2">
        <f>N11/'Output-Calculation-sheet'!N10*'Output-Calculation-sheet'!N64</f>
        <v>3087.2391785123214</v>
      </c>
      <c r="O77" s="2">
        <f>O11/'Output-Calculation-sheet'!O10*'Output-Calculation-sheet'!O64</f>
        <v>112.17843094932078</v>
      </c>
      <c r="P77" s="2">
        <f>P11/'Output-Calculation-sheet'!P10*'Output-Calculation-sheet'!P64</f>
        <v>1400.1567818597105</v>
      </c>
      <c r="Q77" s="2">
        <f>Q11/'Output-Calculation-sheet'!Q10*'Output-Calculation-sheet'!Q64</f>
        <v>801.61196799612003</v>
      </c>
      <c r="R77" s="2">
        <f>R11/'Output-Calculation-sheet'!R10*'Output-Calculation-sheet'!R64</f>
        <v>1195.8651375964801</v>
      </c>
      <c r="S77" s="2">
        <f>S11/'Output-Calculation-sheet'!S10*'Output-Calculation-sheet'!S64</f>
        <v>1584.4454268760921</v>
      </c>
      <c r="T77" s="2">
        <f>T11/'Output-Calculation-sheet'!T10*'Output-Calculation-sheet'!T64</f>
        <v>330.6797153054182</v>
      </c>
      <c r="U77" s="2">
        <f>U11/'Output-Calculation-sheet'!U10*'Output-Calculation-sheet'!U64</f>
        <v>438.56861584954487</v>
      </c>
      <c r="V77" s="2">
        <f>V11/'Output-Calculation-sheet'!V10*'Output-Calculation-sheet'!V64</f>
        <v>172.60828463060508</v>
      </c>
      <c r="W77" s="2">
        <f>W11/'Output-Calculation-sheet'!W10*'Output-Calculation-sheet'!W64</f>
        <v>37.607966900221896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52.187751361856996</v>
      </c>
    </row>
    <row r="78" spans="1:27" x14ac:dyDescent="0.25">
      <c r="A78" s="2">
        <v>2035</v>
      </c>
      <c r="B78" s="2">
        <f>B12/'Output-Calculation-sheet'!B11*'Output-Calculation-sheet'!B65</f>
        <v>26485.20715805221</v>
      </c>
      <c r="C78" s="2">
        <f>C12/'Output-Calculation-sheet'!C11*'Output-Calculation-sheet'!C65</f>
        <v>97.39641044252501</v>
      </c>
      <c r="D78" s="2">
        <f>D12/'Output-Calculation-sheet'!D11*'Output-Calculation-sheet'!D65</f>
        <v>2766.7901036207013</v>
      </c>
      <c r="E78" s="2">
        <f>E12/'Output-Calculation-sheet'!E11*'Output-Calculation-sheet'!E65</f>
        <v>5257.3401157338849</v>
      </c>
      <c r="F78" s="2">
        <f>F12/'Output-Calculation-sheet'!F11*'Output-Calculation-sheet'!F65</f>
        <v>1123.9417417537247</v>
      </c>
      <c r="G78" s="2">
        <f>G12/'Output-Calculation-sheet'!G11*'Output-Calculation-sheet'!G65</f>
        <v>2142.427640901627</v>
      </c>
      <c r="H78" s="2">
        <f>H12/'Output-Calculation-sheet'!H11*'Output-Calculation-sheet'!H65</f>
        <v>6858.62202298388</v>
      </c>
      <c r="I78" s="2">
        <f>I12/'Output-Calculation-sheet'!I11*'Output-Calculation-sheet'!I65</f>
        <v>1240.2950755521806</v>
      </c>
      <c r="J78" s="2">
        <f>J12/'Output-Calculation-sheet'!J11*'Output-Calculation-sheet'!J65</f>
        <v>1136.2320399862756</v>
      </c>
      <c r="K78" s="2">
        <f>K12/'Output-Calculation-sheet'!K11*'Output-Calculation-sheet'!K65</f>
        <v>1412.4998907076183</v>
      </c>
      <c r="L78" s="2">
        <f>L12/'Output-Calculation-sheet'!L11*'Output-Calculation-sheet'!L65</f>
        <v>827.07049060698057</v>
      </c>
      <c r="M78" s="2">
        <f>M12/'Output-Calculation-sheet'!M11*'Output-Calculation-sheet'!M65</f>
        <v>4803.4679178408687</v>
      </c>
      <c r="N78" s="2">
        <f>N12/'Output-Calculation-sheet'!N11*'Output-Calculation-sheet'!N65</f>
        <v>3381.4662946702815</v>
      </c>
      <c r="O78" s="2">
        <f>O12/'Output-Calculation-sheet'!O11*'Output-Calculation-sheet'!O65</f>
        <v>499.58629153467808</v>
      </c>
      <c r="P78" s="2">
        <f>P12/'Output-Calculation-sheet'!P11*'Output-Calculation-sheet'!P65</f>
        <v>1939.0153552281702</v>
      </c>
      <c r="Q78" s="2">
        <f>Q12/'Output-Calculation-sheet'!Q11*'Output-Calculation-sheet'!Q65</f>
        <v>945.51604664547915</v>
      </c>
      <c r="R78" s="2">
        <f>R12/'Output-Calculation-sheet'!R11*'Output-Calculation-sheet'!R65</f>
        <v>1620.2171725249912</v>
      </c>
      <c r="S78" s="2">
        <f>S12/'Output-Calculation-sheet'!S11*'Output-Calculation-sheet'!S65</f>
        <v>1822.7152732313084</v>
      </c>
      <c r="T78" s="2">
        <f>T12/'Output-Calculation-sheet'!T11*'Output-Calculation-sheet'!T65</f>
        <v>573.99276597109349</v>
      </c>
      <c r="U78" s="2">
        <f>U12/'Output-Calculation-sheet'!U11*'Output-Calculation-sheet'!U65</f>
        <v>495.58528691762109</v>
      </c>
      <c r="V78" s="2">
        <f>V12/'Output-Calculation-sheet'!V11*'Output-Calculation-sheet'!V65</f>
        <v>313.01156490867635</v>
      </c>
      <c r="W78" s="2">
        <f>W12/'Output-Calculation-sheet'!W11*'Output-Calculation-sheet'!W65</f>
        <v>223.9339681246195</v>
      </c>
      <c r="X78" s="2">
        <f>X12/'Output-Calculation-sheet'!X11*'Output-Calculation-sheet'!X65</f>
        <v>41.062297030048889</v>
      </c>
      <c r="Y78" s="2">
        <f>Y12/'Output-Calculation-sheet'!Y11*'Output-Calculation-sheet'!Y65</f>
        <v>214.42693270460703</v>
      </c>
      <c r="AA78" s="2">
        <f t="shared" si="6"/>
        <v>66.221819857674049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31.405195830868301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3.1405195830868302E-2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376.98455453083307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0.37698455453083307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523.94879098287709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0.52394879098287706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36.529565609974853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7.8549675561137686</v>
      </c>
      <c r="N88" s="2">
        <f>N11/'Output-Calculation-sheet'!N10*'Output-Calculation-sheet'!N73</f>
        <v>7.7201592287948912</v>
      </c>
      <c r="O88" s="2">
        <f>O11/'Output-Calculation-sheet'!O10*'Output-Calculation-sheet'!O73</f>
        <v>664.23809219236887</v>
      </c>
      <c r="P88" s="2">
        <f>P11/'Output-Calculation-sheet'!P10*'Output-Calculation-sheet'!P73</f>
        <v>0</v>
      </c>
      <c r="Q88" s="2">
        <f>Q11/'Output-Calculation-sheet'!Q10*'Output-Calculation-sheet'!Q73</f>
        <v>28.408974250310557</v>
      </c>
      <c r="R88" s="2">
        <f>R11/'Output-Calculation-sheet'!R10*'Output-Calculation-sheet'!R73</f>
        <v>0</v>
      </c>
      <c r="S88" s="2">
        <f>S11/'Output-Calculation-sheet'!S10*'Output-Calculation-sheet'!S73</f>
        <v>0.88509235659199614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0.74563685119415479</v>
      </c>
    </row>
    <row r="89" spans="1:27" x14ac:dyDescent="0.25">
      <c r="A89" s="2">
        <v>2035</v>
      </c>
      <c r="B89" s="2">
        <f>B12/'Output-Calculation-sheet'!B11*'Output-Calculation-sheet'!B74</f>
        <v>516.9384319609353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175.27304021517719</v>
      </c>
      <c r="E89" s="2">
        <f>E12/'Output-Calculation-sheet'!E11*'Output-Calculation-sheet'!E74</f>
        <v>189.44185147399588</v>
      </c>
      <c r="F89" s="2">
        <f>F12/'Output-Calculation-sheet'!F11*'Output-Calculation-sheet'!F74</f>
        <v>73.590109458110703</v>
      </c>
      <c r="G89" s="2">
        <f>G12/'Output-Calculation-sheet'!G11*'Output-Calculation-sheet'!G74</f>
        <v>65.389378006266583</v>
      </c>
      <c r="H89" s="2">
        <f>H12/'Output-Calculation-sheet'!H11*'Output-Calculation-sheet'!H74</f>
        <v>250.94331997717322</v>
      </c>
      <c r="I89" s="2">
        <f>I12/'Output-Calculation-sheet'!I11*'Output-Calculation-sheet'!I74</f>
        <v>61.075770359963805</v>
      </c>
      <c r="J89" s="2">
        <f>J12/'Output-Calculation-sheet'!J11*'Output-Calculation-sheet'!J74</f>
        <v>35.819129529734312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47.731311684589535</v>
      </c>
      <c r="M89" s="2">
        <f>M12/'Output-Calculation-sheet'!M11*'Output-Calculation-sheet'!M74</f>
        <v>145.85036938912208</v>
      </c>
      <c r="N89" s="2">
        <f>N12/'Output-Calculation-sheet'!N11*'Output-Calculation-sheet'!N74</f>
        <v>108.74619711628799</v>
      </c>
      <c r="O89" s="2">
        <f>O12/'Output-Calculation-sheet'!O11*'Output-Calculation-sheet'!O74</f>
        <v>782.6264546474838</v>
      </c>
      <c r="P89" s="2">
        <f>P12/'Output-Calculation-sheet'!P11*'Output-Calculation-sheet'!P74</f>
        <v>59.364136446625722</v>
      </c>
      <c r="Q89" s="2">
        <f>Q12/'Output-Calculation-sheet'!Q11*'Output-Calculation-sheet'!Q74</f>
        <v>90.947485730045813</v>
      </c>
      <c r="R89" s="2">
        <f>R12/'Output-Calculation-sheet'!R11*'Output-Calculation-sheet'!R74</f>
        <v>35.790306909894539</v>
      </c>
      <c r="S89" s="2">
        <f>S12/'Output-Calculation-sheet'!S11*'Output-Calculation-sheet'!S74</f>
        <v>48.169557406344396</v>
      </c>
      <c r="T89" s="2">
        <f>T12/'Output-Calculation-sheet'!T11*'Output-Calculation-sheet'!T74</f>
        <v>8.4742817951396781</v>
      </c>
      <c r="U89" s="2">
        <f>U12/'Output-Calculation-sheet'!U11*'Output-Calculation-sheet'!U74</f>
        <v>15.660354860360959</v>
      </c>
      <c r="V89" s="2">
        <f>V12/'Output-Calculation-sheet'!V11*'Output-Calculation-sheet'!V74</f>
        <v>2.1309708828588652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0.73563626971311413</v>
      </c>
      <c r="Y89" s="2">
        <f>Y12/'Output-Calculation-sheet'!Y11*'Output-Calculation-sheet'!Y74</f>
        <v>6.9215549488990886</v>
      </c>
      <c r="AA89" s="2">
        <f t="shared" si="7"/>
        <v>2.8062140331389132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14218722381.515171</v>
      </c>
      <c r="C96" s="2">
        <f>C8/'Output-Calculation-sheet'!C7*'Output-Calculation-sheet'!C79</f>
        <v>4810267704.1536064</v>
      </c>
      <c r="D96" s="2">
        <f>D8/'Output-Calculation-sheet'!D7*'Output-Calculation-sheet'!D79</f>
        <v>5021577156.0195723</v>
      </c>
      <c r="E96" s="2">
        <f>E8/'Output-Calculation-sheet'!E7*'Output-Calculation-sheet'!E79</f>
        <v>8927950467.0762196</v>
      </c>
      <c r="F96" s="2">
        <f>F8/'Output-Calculation-sheet'!F7*'Output-Calculation-sheet'!F79</f>
        <v>3695189884.0894451</v>
      </c>
      <c r="G96" s="2">
        <f>G8/'Output-Calculation-sheet'!G7*'Output-Calculation-sheet'!G79</f>
        <v>2878255354.7299824</v>
      </c>
      <c r="H96" s="2">
        <f>H8/'Output-Calculation-sheet'!H7*'Output-Calculation-sheet'!H79</f>
        <v>2463627551.2400761</v>
      </c>
      <c r="I96" s="2">
        <f>I8/'Output-Calculation-sheet'!I7*'Output-Calculation-sheet'!I79</f>
        <v>2005005881.6687701</v>
      </c>
      <c r="J96" s="2">
        <f>J8/'Output-Calculation-sheet'!J7*'Output-Calculation-sheet'!J79</f>
        <v>1355832950.5446026</v>
      </c>
      <c r="K96" s="2">
        <f>K8/'Output-Calculation-sheet'!K7*'Output-Calculation-sheet'!K79</f>
        <v>1939795370.764668</v>
      </c>
      <c r="L96" s="2">
        <f>L8/'Output-Calculation-sheet'!L7*'Output-Calculation-sheet'!L79</f>
        <v>1368721221.2853234</v>
      </c>
      <c r="M96" s="2">
        <f>M8/'Output-Calculation-sheet'!M7*'Output-Calculation-sheet'!M79</f>
        <v>1839048163.7439487</v>
      </c>
      <c r="N96" s="2">
        <f>N8/'Output-Calculation-sheet'!N7*'Output-Calculation-sheet'!N79</f>
        <v>1368396309.7974141</v>
      </c>
      <c r="O96" s="2">
        <f>O8/'Output-Calculation-sheet'!O7*'Output-Calculation-sheet'!O79</f>
        <v>691769995.18150771</v>
      </c>
      <c r="P96" s="2">
        <f>P8/'Output-Calculation-sheet'!P7*'Output-Calculation-sheet'!P79</f>
        <v>2313840558.6735649</v>
      </c>
      <c r="Q96" s="2">
        <f>Q8/'Output-Calculation-sheet'!Q7*'Output-Calculation-sheet'!Q79</f>
        <v>1078346858.0991168</v>
      </c>
      <c r="R96" s="2">
        <f>R8/'Output-Calculation-sheet'!R7*'Output-Calculation-sheet'!R79</f>
        <v>1345368183.2489474</v>
      </c>
      <c r="S96" s="2">
        <f>S8/'Output-Calculation-sheet'!S7*'Output-Calculation-sheet'!S79</f>
        <v>783922641.68688405</v>
      </c>
      <c r="T96" s="2">
        <f>T8/'Output-Calculation-sheet'!T7*'Output-Calculation-sheet'!T79</f>
        <v>598733640.58403862</v>
      </c>
      <c r="U96" s="2">
        <f>U8/'Output-Calculation-sheet'!U7*'Output-Calculation-sheet'!U79</f>
        <v>376109813.72157913</v>
      </c>
      <c r="V96" s="2">
        <f>V8/'Output-Calculation-sheet'!V7*'Output-Calculation-sheet'!V79</f>
        <v>195144507.71434674</v>
      </c>
      <c r="W96" s="2">
        <f>W8/'Output-Calculation-sheet'!W7*'Output-Calculation-sheet'!W79</f>
        <v>576640944.14092112</v>
      </c>
      <c r="X96" s="2">
        <f>X8/'Output-Calculation-sheet'!X7*'Output-Calculation-sheet'!X79</f>
        <v>202671850.15807623</v>
      </c>
      <c r="Y96" s="2">
        <f>Y8/'Output-Calculation-sheet'!Y7*'Output-Calculation-sheet'!Y79</f>
        <v>316976009.6590609</v>
      </c>
      <c r="AA96" s="2">
        <f t="shared" si="8"/>
        <v>60.371915399496849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1659.6643540400576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322.42667719691457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38.565358077362774</v>
      </c>
      <c r="Y107" s="2">
        <f>Y8/'Output-Calculation-sheet'!Y7*'Output-Calculation-sheet'!Y88</f>
        <v>0</v>
      </c>
      <c r="AA107" s="2">
        <f t="shared" si="9"/>
        <v>2.0206563893143352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3330.9795999827543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3.3862663471877448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4.8049153061991694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6.3881279202700636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198.25397468768426</v>
      </c>
      <c r="Y111" s="2">
        <f>Y12/'Output-Calculation-sheet'!Y11*'Output-Calculation-sheet'!Y92</f>
        <v>0</v>
      </c>
      <c r="AA111" s="2">
        <f t="shared" si="9"/>
        <v>9.3395552960850843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1663660375.2545881</v>
      </c>
      <c r="C118" s="2">
        <f>C8/'Output-Calculation-sheet'!C7*'Output-Calculation-sheet'!C97</f>
        <v>13736454509.640886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8548560088.1353302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5897782367.3267403</v>
      </c>
      <c r="N118" s="2">
        <f>N8/'Output-Calculation-sheet'!N7*'Output-Calculation-sheet'!N97</f>
        <v>1974085053.1653657</v>
      </c>
      <c r="O118" s="2">
        <f>O8/'Output-Calculation-sheet'!O7*'Output-Calculation-sheet'!O97</f>
        <v>2324158266.901185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591662036.19423056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321136616.59083545</v>
      </c>
      <c r="Y118" s="2">
        <f>Y8/'Output-Calculation-sheet'!Y7*'Output-Calculation-sheet'!Y97</f>
        <v>0</v>
      </c>
      <c r="AA118" s="2">
        <f t="shared" si="10"/>
        <v>35057.499313209162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11561236918.735691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3970961735.4113965</v>
      </c>
      <c r="O119" s="2">
        <f>O9/'Output-Calculation-sheet'!O8*'Output-Calculation-sheet'!O98</f>
        <v>4288603905.8610826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1190508757.6366315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465066517.01269066</v>
      </c>
      <c r="Y119" s="2">
        <f>Y9/'Output-Calculation-sheet'!Y8*'Output-Calculation-sheet'!Y98</f>
        <v>0</v>
      </c>
      <c r="AA119" s="2">
        <f t="shared" si="10"/>
        <v>50022.308419191839</v>
      </c>
    </row>
    <row r="120" spans="1:27" x14ac:dyDescent="0.25">
      <c r="A120" s="2">
        <v>2033</v>
      </c>
      <c r="B120" s="2">
        <f>B10/'Output-Calculation-sheet'!B9*'Output-Calculation-sheet'!B99</f>
        <v>21983863854.895878</v>
      </c>
      <c r="C120" s="2">
        <f>C10/'Output-Calculation-sheet'!C9*'Output-Calculation-sheet'!C99</f>
        <v>12722844192.949835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6595479845.5248709</v>
      </c>
      <c r="O120" s="2">
        <f>O10/'Output-Calculation-sheet'!O9*'Output-Calculation-sheet'!O99</f>
        <v>5142650470.8455906</v>
      </c>
      <c r="P120" s="2">
        <f>P10/'Output-Calculation-sheet'!P9*'Output-Calculation-sheet'!P99</f>
        <v>0</v>
      </c>
      <c r="Q120" s="2">
        <f>Q10/'Output-Calculation-sheet'!Q9*'Output-Calculation-sheet'!Q99</f>
        <v>216252150.0410423</v>
      </c>
      <c r="R120" s="2">
        <f>R10/'Output-Calculation-sheet'!R9*'Output-Calculation-sheet'!R99</f>
        <v>0</v>
      </c>
      <c r="S120" s="2">
        <f>S10/'Output-Calculation-sheet'!S9*'Output-Calculation-sheet'!S99</f>
        <v>2656705100.5127649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722753771.94852161</v>
      </c>
      <c r="Y120" s="2">
        <f>Y10/'Output-Calculation-sheet'!Y9*'Output-Calculation-sheet'!Y99</f>
        <v>0</v>
      </c>
      <c r="AA120" s="2">
        <f t="shared" si="10"/>
        <v>77568.645031752982</v>
      </c>
    </row>
    <row r="121" spans="1:27" x14ac:dyDescent="0.25">
      <c r="A121" s="2">
        <v>2034</v>
      </c>
      <c r="B121" s="2">
        <f>B11/'Output-Calculation-sheet'!B10*'Output-Calculation-sheet'!B100</f>
        <v>54967281405.874138</v>
      </c>
      <c r="C121" s="2">
        <f>C11/'Output-Calculation-sheet'!C10*'Output-Calculation-sheet'!C100</f>
        <v>13658499041.736145</v>
      </c>
      <c r="D121" s="2">
        <f>D11/'Output-Calculation-sheet'!D10*'Output-Calculation-sheet'!D100</f>
        <v>0</v>
      </c>
      <c r="E121" s="2">
        <f>E11/'Output-Calculation-sheet'!E10*'Output-Calculation-sheet'!E100</f>
        <v>1136976943.3832829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20169765405.079857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934532568.69991386</v>
      </c>
      <c r="M121" s="2">
        <f>M11/'Output-Calculation-sheet'!M10*'Output-Calculation-sheet'!M100</f>
        <v>14116023947.663067</v>
      </c>
      <c r="N121" s="2">
        <f>N11/'Output-Calculation-sheet'!N10*'Output-Calculation-sheet'!N100</f>
        <v>9586055321.0252495</v>
      </c>
      <c r="O121" s="2">
        <f>O11/'Output-Calculation-sheet'!O10*'Output-Calculation-sheet'!O100</f>
        <v>6077980264.4558516</v>
      </c>
      <c r="P121" s="2">
        <f>P11/'Output-Calculation-sheet'!P10*'Output-Calculation-sheet'!P100</f>
        <v>0</v>
      </c>
      <c r="Q121" s="2">
        <f>Q11/'Output-Calculation-sheet'!Q10*'Output-Calculation-sheet'!Q100</f>
        <v>1235089489.9095051</v>
      </c>
      <c r="R121" s="2">
        <f>R11/'Output-Calculation-sheet'!R10*'Output-Calculation-sheet'!R100</f>
        <v>0</v>
      </c>
      <c r="S121" s="2">
        <f>S11/'Output-Calculation-sheet'!S10*'Output-Calculation-sheet'!S100</f>
        <v>4766255088.6650934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62364633.605427004</v>
      </c>
      <c r="AA121" s="2">
        <f t="shared" si="10"/>
        <v>127391.42230510245</v>
      </c>
    </row>
    <row r="122" spans="1:27" x14ac:dyDescent="0.25">
      <c r="A122" s="2">
        <v>2035</v>
      </c>
      <c r="B122" s="2">
        <f>B12/'Output-Calculation-sheet'!B11*'Output-Calculation-sheet'!B101</f>
        <v>74137175456.376343</v>
      </c>
      <c r="C122" s="2">
        <f>C12/'Output-Calculation-sheet'!C11*'Output-Calculation-sheet'!C101</f>
        <v>435708532.67364007</v>
      </c>
      <c r="D122" s="2">
        <f>D12/'Output-Calculation-sheet'!D11*'Output-Calculation-sheet'!D101</f>
        <v>0</v>
      </c>
      <c r="E122" s="2">
        <f>E12/'Output-Calculation-sheet'!E11*'Output-Calculation-sheet'!E101</f>
        <v>5931084488.6819897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22735148065.353283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1524024011.300683</v>
      </c>
      <c r="M122" s="2">
        <f>M12/'Output-Calculation-sheet'!M11*'Output-Calculation-sheet'!M101</f>
        <v>15948270165.653839</v>
      </c>
      <c r="N122" s="2">
        <f>N12/'Output-Calculation-sheet'!N11*'Output-Calculation-sheet'!N101</f>
        <v>10731178534.623455</v>
      </c>
      <c r="O122" s="2">
        <f>O12/'Output-Calculation-sheet'!O11*'Output-Calculation-sheet'!O101</f>
        <v>7275104862.9130754</v>
      </c>
      <c r="P122" s="2">
        <f>P12/'Output-Calculation-sheet'!P11*'Output-Calculation-sheet'!P101</f>
        <v>456139107.31389314</v>
      </c>
      <c r="Q122" s="2">
        <f>Q12/'Output-Calculation-sheet'!Q11*'Output-Calculation-sheet'!Q101</f>
        <v>1714969309.8046663</v>
      </c>
      <c r="R122" s="2">
        <f>R12/'Output-Calculation-sheet'!R11*'Output-Calculation-sheet'!R101</f>
        <v>0</v>
      </c>
      <c r="S122" s="2">
        <f>S12/'Output-Calculation-sheet'!S11*'Output-Calculation-sheet'!S101</f>
        <v>5636430418.7480545</v>
      </c>
      <c r="T122" s="2">
        <f>T12/'Output-Calculation-sheet'!T11*'Output-Calculation-sheet'!T101</f>
        <v>0</v>
      </c>
      <c r="U122" s="2">
        <f>U12/'Output-Calculation-sheet'!U11*'Output-Calculation-sheet'!U101</f>
        <v>83268824.324706167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195306280.15494382</v>
      </c>
      <c r="Y122" s="2">
        <f>Y12/'Output-Calculation-sheet'!Y11*'Output-Calculation-sheet'!Y101</f>
        <v>302486859.23139548</v>
      </c>
      <c r="AA122" s="2">
        <f t="shared" si="10"/>
        <v>147106.29491715395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56490048024.831261</v>
      </c>
      <c r="C129" s="2">
        <f>C8/'Output-Calculation-sheet'!C7*'Output-Calculation-sheet'!C106</f>
        <v>0</v>
      </c>
      <c r="D129" s="2">
        <f>D8/'Output-Calculation-sheet'!D7*'Output-Calculation-sheet'!D106</f>
        <v>24425151307.191807</v>
      </c>
      <c r="E129" s="2">
        <f>E8/'Output-Calculation-sheet'!E7*'Output-Calculation-sheet'!E106</f>
        <v>19378901660.615795</v>
      </c>
      <c r="F129" s="2">
        <f>F8/'Output-Calculation-sheet'!F7*'Output-Calculation-sheet'!F106</f>
        <v>12474889969.356382</v>
      </c>
      <c r="G129" s="2">
        <f>G8/'Output-Calculation-sheet'!G7*'Output-Calculation-sheet'!G106</f>
        <v>8765220316.6707401</v>
      </c>
      <c r="H129" s="2">
        <f>H8/'Output-Calculation-sheet'!H7*'Output-Calculation-sheet'!H106</f>
        <v>0</v>
      </c>
      <c r="I129" s="2">
        <f>I8/'Output-Calculation-sheet'!I7*'Output-Calculation-sheet'!I106</f>
        <v>7985787121.1796713</v>
      </c>
      <c r="J129" s="2">
        <f>J8/'Output-Calculation-sheet'!J7*'Output-Calculation-sheet'!J106</f>
        <v>7772790567.9434547</v>
      </c>
      <c r="K129" s="2">
        <f>K8/'Output-Calculation-sheet'!K7*'Output-Calculation-sheet'!K106</f>
        <v>7698284929.6319227</v>
      </c>
      <c r="L129" s="2">
        <f>L8/'Output-Calculation-sheet'!L7*'Output-Calculation-sheet'!L106</f>
        <v>6175678883.7797899</v>
      </c>
      <c r="M129" s="2">
        <f>M8/'Output-Calculation-sheet'!M7*'Output-Calculation-sheet'!M106</f>
        <v>0</v>
      </c>
      <c r="N129" s="2">
        <f>N8/'Output-Calculation-sheet'!N7*'Output-Calculation-sheet'!N106</f>
        <v>3815566038.2192507</v>
      </c>
      <c r="O129" s="2">
        <f>O8/'Output-Calculation-sheet'!O7*'Output-Calculation-sheet'!O106</f>
        <v>0</v>
      </c>
      <c r="P129" s="2">
        <f>P8/'Output-Calculation-sheet'!P7*'Output-Calculation-sheet'!P106</f>
        <v>5270650431.2242155</v>
      </c>
      <c r="Q129" s="2">
        <f>Q8/'Output-Calculation-sheet'!Q7*'Output-Calculation-sheet'!Q106</f>
        <v>5185458548.2267923</v>
      </c>
      <c r="R129" s="2">
        <f>R8/'Output-Calculation-sheet'!R7*'Output-Calculation-sheet'!R106</f>
        <v>4988659758.8950586</v>
      </c>
      <c r="S129" s="2">
        <f>S8/'Output-Calculation-sheet'!S7*'Output-Calculation-sheet'!S106</f>
        <v>2724049287.2093349</v>
      </c>
      <c r="T129" s="2">
        <f>T8/'Output-Calculation-sheet'!T7*'Output-Calculation-sheet'!T106</f>
        <v>1833775863.4265752</v>
      </c>
      <c r="U129" s="2">
        <f>U8/'Output-Calculation-sheet'!U7*'Output-Calculation-sheet'!U106</f>
        <v>1597158947.6160421</v>
      </c>
      <c r="V129" s="2">
        <f>V8/'Output-Calculation-sheet'!V7*'Output-Calculation-sheet'!V106</f>
        <v>1229839012.0740623</v>
      </c>
      <c r="W129" s="2">
        <f>W8/'Output-Calculation-sheet'!W7*'Output-Calculation-sheet'!W106</f>
        <v>1064776399.7612016</v>
      </c>
      <c r="X129" s="2">
        <f>X8/'Output-Calculation-sheet'!X7*'Output-Calculation-sheet'!X106</f>
        <v>0</v>
      </c>
      <c r="Y129" s="2">
        <f>Y8/'Output-Calculation-sheet'!Y7*'Output-Calculation-sheet'!Y106</f>
        <v>621287720.45644832</v>
      </c>
      <c r="AA129" s="2">
        <f t="shared" si="11"/>
        <v>179497.97478830977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4.1192549487854372E-8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4328307958.1963797</v>
      </c>
      <c r="O130" s="2">
        <f>O9/'Output-Calculation-sheet'!O8*'Output-Calculation-sheet'!O107</f>
        <v>0</v>
      </c>
      <c r="P130" s="2">
        <f>P9/'Output-Calculation-sheet'!P8*'Output-Calculation-sheet'!P107</f>
        <v>7555870439.2659855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3562593721.8105688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250390.69853141747</v>
      </c>
    </row>
    <row r="131" spans="1:27" x14ac:dyDescent="0.25">
      <c r="A131" s="2">
        <v>2033</v>
      </c>
      <c r="B131" s="2">
        <f>B10/'Output-Calculation-sheet'!B9*'Output-Calculation-sheet'!B108</f>
        <v>88819943140.844162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4434994665.1554461</v>
      </c>
      <c r="O131" s="2">
        <f>O10/'Output-Calculation-sheet'!O9*'Output-Calculation-sheet'!O108</f>
        <v>0</v>
      </c>
      <c r="P131" s="2">
        <f>P10/'Output-Calculation-sheet'!P9*'Output-Calculation-sheet'!P108</f>
        <v>10042510166.504709</v>
      </c>
      <c r="Q131" s="2">
        <f>Q10/'Output-Calculation-sheet'!Q9*'Output-Calculation-sheet'!Q108</f>
        <v>9664420712.6381969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3660542196.6938858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318626.36211661139</v>
      </c>
    </row>
    <row r="132" spans="1:27" x14ac:dyDescent="0.25">
      <c r="A132" s="2">
        <v>2034</v>
      </c>
      <c r="B132" s="2">
        <f>B11/'Output-Calculation-sheet'!B10*'Output-Calculation-sheet'!B109</f>
        <v>85089168973.121292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45538778694.806198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18721757063.572159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13940330651.339468</v>
      </c>
      <c r="M132" s="2">
        <f>M11/'Output-Calculation-sheet'!M10*'Output-Calculation-sheet'!M109</f>
        <v>0</v>
      </c>
      <c r="N132" s="2">
        <f>N11/'Output-Calculation-sheet'!N10*'Output-Calculation-sheet'!N109</f>
        <v>4238185220.850596</v>
      </c>
      <c r="O132" s="2">
        <f>O11/'Output-Calculation-sheet'!O10*'Output-Calculation-sheet'!O109</f>
        <v>0</v>
      </c>
      <c r="P132" s="2">
        <f>P11/'Output-Calculation-sheet'!P10*'Output-Calculation-sheet'!P109</f>
        <v>12694082315.439606</v>
      </c>
      <c r="Q132" s="2">
        <f>Q11/'Output-Calculation-sheet'!Q10*'Output-Calculation-sheet'!Q109</f>
        <v>10622657948.318468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3203496194.710218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1434098818.8500807</v>
      </c>
      <c r="AA132" s="2">
        <f t="shared" si="11"/>
        <v>369060.33233217988</v>
      </c>
    </row>
    <row r="133" spans="1:27" x14ac:dyDescent="0.25">
      <c r="A133" s="2">
        <v>2035</v>
      </c>
      <c r="B133" s="2">
        <f>B12/'Output-Calculation-sheet'!B11*'Output-Calculation-sheet'!B110</f>
        <v>86433990147.830048</v>
      </c>
      <c r="C133" s="2">
        <f>C12/'Output-Calculation-sheet'!C11*'Output-Calculation-sheet'!C110</f>
        <v>0</v>
      </c>
      <c r="D133" s="2">
        <f>D12/'Output-Calculation-sheet'!D11*'Output-Calculation-sheet'!D110</f>
        <v>64914950462.842842</v>
      </c>
      <c r="E133" s="2">
        <f>E12/'Output-Calculation-sheet'!E11*'Output-Calculation-sheet'!E110</f>
        <v>49190721885.600014</v>
      </c>
      <c r="F133" s="2">
        <f>F12/'Output-Calculation-sheet'!F11*'Output-Calculation-sheet'!F110</f>
        <v>35006741479.1138</v>
      </c>
      <c r="G133" s="2">
        <f>G12/'Output-Calculation-sheet'!G11*'Output-Calculation-sheet'!G110</f>
        <v>24263739729.608238</v>
      </c>
      <c r="H133" s="2">
        <f>H12/'Output-Calculation-sheet'!H11*'Output-Calculation-sheet'!H110</f>
        <v>0</v>
      </c>
      <c r="I133" s="2">
        <f>I12/'Output-Calculation-sheet'!I11*'Output-Calculation-sheet'!I110</f>
        <v>21902214615.934525</v>
      </c>
      <c r="J133" s="2">
        <f>J12/'Output-Calculation-sheet'!J11*'Output-Calculation-sheet'!J110</f>
        <v>21096316603.477367</v>
      </c>
      <c r="K133" s="2">
        <f>K12/'Output-Calculation-sheet'!K11*'Output-Calculation-sheet'!K110</f>
        <v>20867939466.445946</v>
      </c>
      <c r="L133" s="2">
        <f>L12/'Output-Calculation-sheet'!L11*'Output-Calculation-sheet'!L110</f>
        <v>15344133500.280596</v>
      </c>
      <c r="M133" s="2">
        <f>M12/'Output-Calculation-sheet'!M11*'Output-Calculation-sheet'!M110</f>
        <v>0</v>
      </c>
      <c r="N133" s="2">
        <f>N12/'Output-Calculation-sheet'!N11*'Output-Calculation-sheet'!N110</f>
        <v>4700172110.9919882</v>
      </c>
      <c r="O133" s="2">
        <f>O12/'Output-Calculation-sheet'!O11*'Output-Calculation-sheet'!O110</f>
        <v>0</v>
      </c>
      <c r="P133" s="2">
        <f>P12/'Output-Calculation-sheet'!P11*'Output-Calculation-sheet'!P110</f>
        <v>14417282250.599003</v>
      </c>
      <c r="Q133" s="2">
        <f>Q12/'Output-Calculation-sheet'!Q11*'Output-Calculation-sheet'!Q110</f>
        <v>11503511499.506344</v>
      </c>
      <c r="R133" s="2">
        <f>R12/'Output-Calculation-sheet'!R11*'Output-Calculation-sheet'!R110</f>
        <v>13880381503.778957</v>
      </c>
      <c r="S133" s="2">
        <f>S12/'Output-Calculation-sheet'!S11*'Output-Calculation-sheet'!S110</f>
        <v>3278447467.6084423</v>
      </c>
      <c r="T133" s="2">
        <f>T12/'Output-Calculation-sheet'!T11*'Output-Calculation-sheet'!T110</f>
        <v>5212208709.4822006</v>
      </c>
      <c r="U133" s="2">
        <f>U12/'Output-Calculation-sheet'!U11*'Output-Calculation-sheet'!U110</f>
        <v>4231549020.7203627</v>
      </c>
      <c r="V133" s="2">
        <f>V12/'Output-Calculation-sheet'!V11*'Output-Calculation-sheet'!V110</f>
        <v>3509013282.0752978</v>
      </c>
      <c r="W133" s="2">
        <f>W12/'Output-Calculation-sheet'!W11*'Output-Calculation-sheet'!W110</f>
        <v>3081178760.2430782</v>
      </c>
      <c r="X133" s="2">
        <f>X12/'Output-Calculation-sheet'!X11*'Output-Calculation-sheet'!X110</f>
        <v>1677553.433730793</v>
      </c>
      <c r="Y133" s="2">
        <f>Y12/'Output-Calculation-sheet'!Y11*'Output-Calculation-sheet'!Y110</f>
        <v>1466660810.9495323</v>
      </c>
      <c r="AA133" s="2">
        <f t="shared" si="11"/>
        <v>404302.83086052223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13667680820.840195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2706975042.0011373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317716445.30550051</v>
      </c>
      <c r="Y140" s="2">
        <f>Y8/'Output-Calculation-sheet'!Y7*'Output-Calculation-sheet'!Y115</f>
        <v>0</v>
      </c>
      <c r="AA140" s="2">
        <f t="shared" si="12"/>
        <v>16692.372308146831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27726023602.998569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450728724.83623594</v>
      </c>
      <c r="Y141" s="2">
        <f>Y9/'Output-Calculation-sheet'!Y8*'Output-Calculation-sheet'!Y116</f>
        <v>0</v>
      </c>
      <c r="AA141" s="2">
        <f t="shared" si="12"/>
        <v>28176.752327834805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39495386402.022636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494429737.85860676</v>
      </c>
      <c r="Y142" s="2">
        <f>Y10/'Output-Calculation-sheet'!Y9*'Output-Calculation-sheet'!Y117</f>
        <v>0</v>
      </c>
      <c r="AA142" s="2">
        <f t="shared" si="12"/>
        <v>39989.816139881244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52349059079.583755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53207.134471930112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79984407925.577591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1670571301.5259726</v>
      </c>
      <c r="Y144" s="2">
        <f>Y12/'Output-Calculation-sheet'!Y11*'Output-Calculation-sheet'!Y119</f>
        <v>0</v>
      </c>
      <c r="AA144" s="2">
        <f t="shared" si="12"/>
        <v>81654.979227103555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58153709535.411987</v>
      </c>
      <c r="C151" s="2">
        <f>C8/'Output-Calculation-sheet'!C7*'Output-Calculation-sheet'!C124</f>
        <v>27405002882.302509</v>
      </c>
      <c r="D151" s="2">
        <f>D8/'Output-Calculation-sheet'!D7*'Output-Calculation-sheet'!D124</f>
        <v>24425151307.191807</v>
      </c>
      <c r="E151" s="2">
        <f>E8/'Output-Calculation-sheet'!E7*'Output-Calculation-sheet'!E124</f>
        <v>19378901660.615795</v>
      </c>
      <c r="F151" s="2">
        <f>F8/'Output-Calculation-sheet'!F7*'Output-Calculation-sheet'!F124</f>
        <v>12474889969.356382</v>
      </c>
      <c r="G151" s="2">
        <f>G8/'Output-Calculation-sheet'!G7*'Output-Calculation-sheet'!G124</f>
        <v>8765220316.6707401</v>
      </c>
      <c r="H151" s="2">
        <f>H8/'Output-Calculation-sheet'!H7*'Output-Calculation-sheet'!H124</f>
        <v>8550145856.7439117</v>
      </c>
      <c r="I151" s="2">
        <f>I8/'Output-Calculation-sheet'!I7*'Output-Calculation-sheet'!I124</f>
        <v>7985787121.1796713</v>
      </c>
      <c r="J151" s="2">
        <f>J8/'Output-Calculation-sheet'!J7*'Output-Calculation-sheet'!J124</f>
        <v>7772790567.9434547</v>
      </c>
      <c r="K151" s="2">
        <f>K8/'Output-Calculation-sheet'!K7*'Output-Calculation-sheet'!K124</f>
        <v>7698284929.6319227</v>
      </c>
      <c r="L151" s="2">
        <f>L8/'Output-Calculation-sheet'!L7*'Output-Calculation-sheet'!L124</f>
        <v>6175678883.7797899</v>
      </c>
      <c r="M151" s="2">
        <f>M8/'Output-Calculation-sheet'!M7*'Output-Calculation-sheet'!M124</f>
        <v>5898850702.7751665</v>
      </c>
      <c r="N151" s="2">
        <f>N8/'Output-Calculation-sheet'!N7*'Output-Calculation-sheet'!N124</f>
        <v>5789694841.404973</v>
      </c>
      <c r="O151" s="2">
        <f>O8/'Output-Calculation-sheet'!O7*'Output-Calculation-sheet'!O124</f>
        <v>5674857123.0861015</v>
      </c>
      <c r="P151" s="2">
        <f>P8/'Output-Calculation-sheet'!P7*'Output-Calculation-sheet'!P124</f>
        <v>5270650431.2242155</v>
      </c>
      <c r="Q151" s="2">
        <f>Q8/'Output-Calculation-sheet'!Q7*'Output-Calculation-sheet'!Q124</f>
        <v>5185458548.2267923</v>
      </c>
      <c r="R151" s="2">
        <f>R8/'Output-Calculation-sheet'!R7*'Output-Calculation-sheet'!R124</f>
        <v>4988659758.8950586</v>
      </c>
      <c r="S151" s="2">
        <f>S8/'Output-Calculation-sheet'!S7*'Output-Calculation-sheet'!S124</f>
        <v>3315711001.8776426</v>
      </c>
      <c r="T151" s="2">
        <f>T8/'Output-Calculation-sheet'!T7*'Output-Calculation-sheet'!T124</f>
        <v>1833775863.4265752</v>
      </c>
      <c r="U151" s="2">
        <f>U8/'Output-Calculation-sheet'!U7*'Output-Calculation-sheet'!U124</f>
        <v>1597158947.6160421</v>
      </c>
      <c r="V151" s="2">
        <f>V8/'Output-Calculation-sheet'!V7*'Output-Calculation-sheet'!V124</f>
        <v>1229839012.0740623</v>
      </c>
      <c r="W151" s="2">
        <f>W8/'Output-Calculation-sheet'!W7*'Output-Calculation-sheet'!W124</f>
        <v>1064776399.7612016</v>
      </c>
      <c r="X151" s="2">
        <f>X8/'Output-Calculation-sheet'!X7*'Output-Calculation-sheet'!X124</f>
        <v>638862452.81145227</v>
      </c>
      <c r="Y151" s="2">
        <f>Y8/'Output-Calculation-sheet'!Y7*'Output-Calculation-sheet'!Y124</f>
        <v>621287720.45644832</v>
      </c>
      <c r="AA151" s="2">
        <f t="shared" si="13"/>
        <v>231895.14583446371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23572452719.871281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8561963949.0187321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203145.66913569751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9331356420.7196674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153017.17252602524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3583940796.0709896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2174500094.5200419</v>
      </c>
      <c r="N154" s="2">
        <f>N11/'Output-Calculation-sheet'!N10*'Output-Calculation-sheet'!N127</f>
        <v>2155565730.6858168</v>
      </c>
      <c r="O154" s="2">
        <f>O11/'Output-Calculation-sheet'!O10*'Output-Calculation-sheet'!O127</f>
        <v>9847372942.6580849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2615633198.5422597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1162765300.8867505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89492.478885078599</v>
      </c>
    </row>
    <row r="155" spans="1:27" x14ac:dyDescent="0.25">
      <c r="A155" s="2">
        <v>2035</v>
      </c>
      <c r="B155" s="2">
        <f>B12/'Output-Calculation-sheet'!B11*'Output-Calculation-sheet'!B128</f>
        <v>14684526627.988003</v>
      </c>
      <c r="C155" s="2">
        <f>C12/'Output-Calculation-sheet'!C11*'Output-Calculation-sheet'!C128</f>
        <v>107496717.37527628</v>
      </c>
      <c r="D155" s="2">
        <f>D12/'Output-Calculation-sheet'!D11*'Output-Calculation-sheet'!D128</f>
        <v>8739001610.3829975</v>
      </c>
      <c r="E155" s="2">
        <f>E12/'Output-Calculation-sheet'!E11*'Output-Calculation-sheet'!E128</f>
        <v>3965099299.9104843</v>
      </c>
      <c r="F155" s="2">
        <f>F12/'Output-Calculation-sheet'!F11*'Output-Calculation-sheet'!F128</f>
        <v>2517317899.9791522</v>
      </c>
      <c r="G155" s="2">
        <f>G12/'Output-Calculation-sheet'!G11*'Output-Calculation-sheet'!G128</f>
        <v>2250736343.1527376</v>
      </c>
      <c r="H155" s="2">
        <f>H12/'Output-Calculation-sheet'!H11*'Output-Calculation-sheet'!H128</f>
        <v>3591866246.9501629</v>
      </c>
      <c r="I155" s="2">
        <f>I12/'Output-Calculation-sheet'!I11*'Output-Calculation-sheet'!I128</f>
        <v>2244908932.5803208</v>
      </c>
      <c r="J155" s="2">
        <f>J12/'Output-Calculation-sheet'!J11*'Output-Calculation-sheet'!J128</f>
        <v>2145936586.821718</v>
      </c>
      <c r="K155" s="2">
        <f>K12/'Output-Calculation-sheet'!K11*'Output-Calculation-sheet'!K128</f>
        <v>2440072879.4106989</v>
      </c>
      <c r="L155" s="2">
        <f>L12/'Output-Calculation-sheet'!L11*'Output-Calculation-sheet'!L128</f>
        <v>1771042034.8349557</v>
      </c>
      <c r="M155" s="2">
        <f>M12/'Output-Calculation-sheet'!M11*'Output-Calculation-sheet'!M128</f>
        <v>2187301225.3183894</v>
      </c>
      <c r="N155" s="2">
        <f>N12/'Output-Calculation-sheet'!N11*'Output-Calculation-sheet'!N128</f>
        <v>2129822280.906606</v>
      </c>
      <c r="O155" s="2">
        <f>O12/'Output-Calculation-sheet'!O11*'Output-Calculation-sheet'!O128</f>
        <v>9930059786.3122406</v>
      </c>
      <c r="P155" s="2">
        <f>P12/'Output-Calculation-sheet'!P11*'Output-Calculation-sheet'!P128</f>
        <v>1175757105.7335348</v>
      </c>
      <c r="Q155" s="2">
        <f>Q12/'Output-Calculation-sheet'!Q11*'Output-Calculation-sheet'!Q128</f>
        <v>2629776865.712851</v>
      </c>
      <c r="R155" s="2">
        <f>R12/'Output-Calculation-sheet'!R11*'Output-Calculation-sheet'!R128</f>
        <v>1134303628.5075641</v>
      </c>
      <c r="S155" s="2">
        <f>S12/'Output-Calculation-sheet'!S11*'Output-Calculation-sheet'!S128</f>
        <v>1137131185.6825671</v>
      </c>
      <c r="T155" s="2">
        <f>T12/'Output-Calculation-sheet'!T11*'Output-Calculation-sheet'!T128</f>
        <v>271291949.89131629</v>
      </c>
      <c r="U155" s="2">
        <f>U12/'Output-Calculation-sheet'!U11*'Output-Calculation-sheet'!U128</f>
        <v>524986681.97060406</v>
      </c>
      <c r="V155" s="2">
        <f>V12/'Output-Calculation-sheet'!V11*'Output-Calculation-sheet'!V128</f>
        <v>130899539.09936671</v>
      </c>
      <c r="W155" s="2">
        <f>W12/'Output-Calculation-sheet'!W11*'Output-Calculation-sheet'!W128</f>
        <v>121625922.51015419</v>
      </c>
      <c r="X155" s="2">
        <f>X12/'Output-Calculation-sheet'!X11*'Output-Calculation-sheet'!X128</f>
        <v>14963882.651286386</v>
      </c>
      <c r="Y155" s="2">
        <f>Y12/'Output-Calculation-sheet'!Y11*'Output-Calculation-sheet'!Y128</f>
        <v>130830184.53705983</v>
      </c>
      <c r="AA155" s="2">
        <f t="shared" si="13"/>
        <v>65976.75541822004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1294.5215009654914</v>
      </c>
      <c r="C19" s="2">
        <f>C8/'Output-Calculation-sheet'!C7*'Output-Calculation-sheet'!C25</f>
        <v>9230.0178195553653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5816.2481249392558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4037.2849567825251</v>
      </c>
      <c r="N19" s="2">
        <f>N8/'Output-Calculation-sheet'!N7*'Output-Calculation-sheet'!N25</f>
        <v>1380.4643095331473</v>
      </c>
      <c r="O19" s="2">
        <f>O8/'Output-Calculation-sheet'!O7*'Output-Calculation-sheet'!O25</f>
        <v>1505.8944601440764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493.04704928784429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213.14267396807216</v>
      </c>
      <c r="Y19" s="2">
        <f>Y8/'Output-Calculation-sheet'!Y7*'Output-Calculation-sheet'!Y25</f>
        <v>0</v>
      </c>
      <c r="AA19" s="2">
        <f t="shared" si="0"/>
        <v>23.970620895175781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7405.8435363564995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8347.6864787792747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5800.4724570541821</v>
      </c>
      <c r="N20" s="2">
        <f>N9/'Output-Calculation-sheet'!N8*'Output-Calculation-sheet'!N26</f>
        <v>2613.2147741853623</v>
      </c>
      <c r="O20" s="2">
        <f>O9/'Output-Calculation-sheet'!O8*'Output-Calculation-sheet'!O26</f>
        <v>2757.2211736869494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949.85311985924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309.96925264426767</v>
      </c>
      <c r="Y20" s="2">
        <f>Y9/'Output-Calculation-sheet'!Y8*'Output-Calculation-sheet'!Y26</f>
        <v>0</v>
      </c>
      <c r="AA20" s="2">
        <f t="shared" si="0"/>
        <v>35.856814446316477</v>
      </c>
    </row>
    <row r="21" spans="1:27" x14ac:dyDescent="0.25">
      <c r="A21" s="2">
        <v>2033</v>
      </c>
      <c r="B21" s="2">
        <f>B10/'Output-Calculation-sheet'!B9*'Output-Calculation-sheet'!B27</f>
        <v>19173.120267658764</v>
      </c>
      <c r="C21" s="2">
        <f>C10/'Output-Calculation-sheet'!C9*'Output-Calculation-sheet'!C27</f>
        <v>7951.7807605361922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11115.89303135812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7722.27275448406</v>
      </c>
      <c r="N21" s="2">
        <f>N10/'Output-Calculation-sheet'!N9*'Output-Calculation-sheet'!N27</f>
        <v>4212.6676054950203</v>
      </c>
      <c r="O21" s="2">
        <f>O10/'Output-Calculation-sheet'!O9*'Output-Calculation-sheet'!O27</f>
        <v>3300.8561724041037</v>
      </c>
      <c r="P21" s="2">
        <f>P10/'Output-Calculation-sheet'!P9*'Output-Calculation-sheet'!P27</f>
        <v>0</v>
      </c>
      <c r="Q21" s="2">
        <f>Q10/'Output-Calculation-sheet'!Q9*'Output-Calculation-sheet'!Q27</f>
        <v>287.48476731524664</v>
      </c>
      <c r="R21" s="2">
        <f>R10/'Output-Calculation-sheet'!R9*'Output-Calculation-sheet'!R27</f>
        <v>0</v>
      </c>
      <c r="S21" s="2">
        <f>S10/'Output-Calculation-sheet'!S9*'Output-Calculation-sheet'!S27</f>
        <v>1836.4277432572596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489.42012546622158</v>
      </c>
      <c r="Y21" s="2">
        <f>Y10/'Output-Calculation-sheet'!Y9*'Output-Calculation-sheet'!Y27</f>
        <v>0</v>
      </c>
      <c r="AA21" s="2">
        <f t="shared" si="0"/>
        <v>56.089923227974985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8426.1900291383845</v>
      </c>
      <c r="D22" s="2">
        <f>D11/'Output-Calculation-sheet'!D10*'Output-Calculation-sheet'!D28</f>
        <v>0</v>
      </c>
      <c r="E22" s="2">
        <f>E11/'Output-Calculation-sheet'!E10*'Output-Calculation-sheet'!E28</f>
        <v>2010.636747969023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14647.734960890743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1205.5128064875844</v>
      </c>
      <c r="M22" s="2">
        <f>M11/'Output-Calculation-sheet'!M10*'Output-Calculation-sheet'!M28</f>
        <v>10650.645261986281</v>
      </c>
      <c r="N22" s="2">
        <f>N11/'Output-Calculation-sheet'!N10*'Output-Calculation-sheet'!N28</f>
        <v>6134.6591128699729</v>
      </c>
      <c r="O22" s="2">
        <f>O11/'Output-Calculation-sheet'!O10*'Output-Calculation-sheet'!O28</f>
        <v>3896.9052244898767</v>
      </c>
      <c r="P22" s="2">
        <f>P11/'Output-Calculation-sheet'!P10*'Output-Calculation-sheet'!P28</f>
        <v>0</v>
      </c>
      <c r="Q22" s="2">
        <f>Q11/'Output-Calculation-sheet'!Q10*'Output-Calculation-sheet'!Q28</f>
        <v>1431.2336715871181</v>
      </c>
      <c r="R22" s="2">
        <f>R11/'Output-Calculation-sheet'!R10*'Output-Calculation-sheet'!R28</f>
        <v>0</v>
      </c>
      <c r="S22" s="2">
        <f>S11/'Output-Calculation-sheet'!S10*'Output-Calculation-sheet'!S28</f>
        <v>3183.0045635562337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109.77966841715794</v>
      </c>
      <c r="AA22" s="2">
        <f t="shared" si="0"/>
        <v>91.729579004190867</v>
      </c>
    </row>
    <row r="23" spans="1:27" x14ac:dyDescent="0.25">
      <c r="A23" s="2">
        <v>2035</v>
      </c>
      <c r="B23" s="2">
        <f>B12/'Output-Calculation-sheet'!B11*'Output-Calculation-sheet'!B29</f>
        <v>51830.084143442808</v>
      </c>
      <c r="C23" s="2">
        <f>C12/'Output-Calculation-sheet'!C11*'Output-Calculation-sheet'!C29</f>
        <v>268.23874752207172</v>
      </c>
      <c r="D23" s="2">
        <f>D12/'Output-Calculation-sheet'!D11*'Output-Calculation-sheet'!D29</f>
        <v>0</v>
      </c>
      <c r="E23" s="2">
        <f>E12/'Output-Calculation-sheet'!E11*'Output-Calculation-sheet'!E29</f>
        <v>7882.5512745285541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16020.488031134792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1773.9714983403051</v>
      </c>
      <c r="M23" s="2">
        <f>M12/'Output-Calculation-sheet'!M11*'Output-Calculation-sheet'!M29</f>
        <v>11669.401765390738</v>
      </c>
      <c r="N23" s="2">
        <f>N12/'Output-Calculation-sheet'!N11*'Output-Calculation-sheet'!N29</f>
        <v>6775.8653240144431</v>
      </c>
      <c r="O23" s="2">
        <f>O12/'Output-Calculation-sheet'!O11*'Output-Calculation-sheet'!O29</f>
        <v>4669.6816579644483</v>
      </c>
      <c r="P23" s="2">
        <f>P12/'Output-Calculation-sheet'!P11*'Output-Calculation-sheet'!P29</f>
        <v>815.11082289044384</v>
      </c>
      <c r="Q23" s="2">
        <f>Q12/'Output-Calculation-sheet'!Q11*'Output-Calculation-sheet'!Q29</f>
        <v>1815.9364682927808</v>
      </c>
      <c r="R23" s="2">
        <f>R12/'Output-Calculation-sheet'!R11*'Output-Calculation-sheet'!R29</f>
        <v>0</v>
      </c>
      <c r="S23" s="2">
        <f>S12/'Output-Calculation-sheet'!S11*'Output-Calculation-sheet'!S29</f>
        <v>3680.7759141114052</v>
      </c>
      <c r="T23" s="2">
        <f>T12/'Output-Calculation-sheet'!T11*'Output-Calculation-sheet'!T29</f>
        <v>0</v>
      </c>
      <c r="U23" s="2">
        <f>U12/'Output-Calculation-sheet'!U11*'Output-Calculation-sheet'!U29</f>
        <v>162.06748479984461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120.23731954495884</v>
      </c>
      <c r="Y23" s="2">
        <f>Y12/'Output-Calculation-sheet'!Y11*'Output-Calculation-sheet'!Y29</f>
        <v>346.28026394385074</v>
      </c>
      <c r="AA23" s="2">
        <f t="shared" si="0"/>
        <v>107.83069071592146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22564.804044636767</v>
      </c>
      <c r="C30" s="2">
        <f>C8/'Output-Calculation-sheet'!C7*'Output-Calculation-sheet'!C16</f>
        <v>0</v>
      </c>
      <c r="D30" s="2">
        <f>D8/'Output-Calculation-sheet'!D7*'Output-Calculation-sheet'!D16</f>
        <v>3799.5863771966124</v>
      </c>
      <c r="E30" s="2">
        <f>E8/'Output-Calculation-sheet'!E7*'Output-Calculation-sheet'!E16</f>
        <v>4088.14552620625</v>
      </c>
      <c r="F30" s="2">
        <f>F8/'Output-Calculation-sheet'!F7*'Output-Calculation-sheet'!F16</f>
        <v>2062.5248760287509</v>
      </c>
      <c r="G30" s="2">
        <f>G8/'Output-Calculation-sheet'!G7*'Output-Calculation-sheet'!G16</f>
        <v>1350.690861141188</v>
      </c>
      <c r="H30" s="2">
        <f>H8/'Output-Calculation-sheet'!H7*'Output-Calculation-sheet'!H16</f>
        <v>0</v>
      </c>
      <c r="I30" s="2">
        <f>I8/'Output-Calculation-sheet'!I7*'Output-Calculation-sheet'!I16</f>
        <v>1316.7374373347348</v>
      </c>
      <c r="J30" s="2">
        <f>J8/'Output-Calculation-sheet'!J7*'Output-Calculation-sheet'!J16</f>
        <v>1172.1333686401333</v>
      </c>
      <c r="K30" s="2">
        <f>K8/'Output-Calculation-sheet'!K7*'Output-Calculation-sheet'!K16</f>
        <v>1565.0234442737678</v>
      </c>
      <c r="L30" s="2">
        <f>L8/'Output-Calculation-sheet'!L7*'Output-Calculation-sheet'!L16</f>
        <v>1321.9369465817115</v>
      </c>
      <c r="M30" s="2">
        <f>M8/'Output-Calculation-sheet'!M7*'Output-Calculation-sheet'!M16</f>
        <v>0</v>
      </c>
      <c r="N30" s="2">
        <f>N8/'Output-Calculation-sheet'!N7*'Output-Calculation-sheet'!N16</f>
        <v>1879.1064758245345</v>
      </c>
      <c r="O30" s="2">
        <f>O8/'Output-Calculation-sheet'!O7*'Output-Calculation-sheet'!O16</f>
        <v>0</v>
      </c>
      <c r="P30" s="2">
        <f>P8/'Output-Calculation-sheet'!P7*'Output-Calculation-sheet'!P16</f>
        <v>1687.62353872938</v>
      </c>
      <c r="Q30" s="2">
        <f>Q8/'Output-Calculation-sheet'!Q7*'Output-Calculation-sheet'!Q16</f>
        <v>1855.83716285274</v>
      </c>
      <c r="R30" s="2">
        <f>R8/'Output-Calculation-sheet'!R7*'Output-Calculation-sheet'!R16</f>
        <v>1177.5353114304635</v>
      </c>
      <c r="S30" s="2">
        <f>S8/'Output-Calculation-sheet'!S7*'Output-Calculation-sheet'!S16</f>
        <v>1184.2569740943536</v>
      </c>
      <c r="T30" s="2">
        <f>T8/'Output-Calculation-sheet'!T7*'Output-Calculation-sheet'!T16</f>
        <v>353.47697657870992</v>
      </c>
      <c r="U30" s="2">
        <f>U8/'Output-Calculation-sheet'!U7*'Output-Calculation-sheet'!U16</f>
        <v>352.846758504153</v>
      </c>
      <c r="V30" s="2">
        <f>V8/'Output-Calculation-sheet'!V7*'Output-Calculation-sheet'!V16</f>
        <v>274.61273246808435</v>
      </c>
      <c r="W30" s="2">
        <f>W8/'Output-Calculation-sheet'!W7*'Output-Calculation-sheet'!W16</f>
        <v>166.56853071775515</v>
      </c>
      <c r="X30" s="2">
        <f>X8/'Output-Calculation-sheet'!X7*'Output-Calculation-sheet'!X16</f>
        <v>0</v>
      </c>
      <c r="Y30" s="2">
        <f>Y8/'Output-Calculation-sheet'!Y7*'Output-Calculation-sheet'!Y16</f>
        <v>140.97880698478349</v>
      </c>
      <c r="AA30" s="2">
        <f t="shared" si="1"/>
        <v>48.314426150224875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2225.1151263993538</v>
      </c>
      <c r="O31" s="2">
        <f>O9/'Output-Calculation-sheet'!O8*'Output-Calculation-sheet'!O17</f>
        <v>0</v>
      </c>
      <c r="P31" s="2">
        <f>P9/'Output-Calculation-sheet'!P8*'Output-Calculation-sheet'!P17</f>
        <v>2754.7761987775416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1654.6237608001438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70.748088042408128</v>
      </c>
    </row>
    <row r="32" spans="1:27" x14ac:dyDescent="0.25">
      <c r="A32" s="2">
        <v>2033</v>
      </c>
      <c r="B32" s="2">
        <f>B10/'Output-Calculation-sheet'!B9*'Output-Calculation-sheet'!B18</f>
        <v>39039.178976476047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3718.2985437166694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2391.3773289455667</v>
      </c>
      <c r="O32" s="2">
        <f>O10/'Output-Calculation-sheet'!O9*'Output-Calculation-sheet'!O18</f>
        <v>0</v>
      </c>
      <c r="P32" s="2">
        <f>P10/'Output-Calculation-sheet'!P9*'Output-Calculation-sheet'!P18</f>
        <v>3826.9618197481118</v>
      </c>
      <c r="Q32" s="2">
        <f>Q10/'Output-Calculation-sheet'!Q9*'Output-Calculation-sheet'!Q18</f>
        <v>4167.7007081263173</v>
      </c>
      <c r="R32" s="2">
        <f>R10/'Output-Calculation-sheet'!R9*'Output-Calculation-sheet'!R18</f>
        <v>2748.1415442774241</v>
      </c>
      <c r="S32" s="2">
        <f>S10/'Output-Calculation-sheet'!S9*'Output-Calculation-sheet'!S18</f>
        <v>1799.722765121428</v>
      </c>
      <c r="T32" s="2">
        <f>T10/'Output-Calculation-sheet'!T9*'Output-Calculation-sheet'!T18</f>
        <v>802.36972520974155</v>
      </c>
      <c r="U32" s="2">
        <f>U10/'Output-Calculation-sheet'!U9*'Output-Calculation-sheet'!U18</f>
        <v>887.02046302009057</v>
      </c>
      <c r="V32" s="2">
        <f>V10/'Output-Calculation-sheet'!V9*'Output-Calculation-sheet'!V18</f>
        <v>654.71168754761152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379.04460444650783</v>
      </c>
      <c r="AA32" s="2">
        <f t="shared" si="1"/>
        <v>93.773966907431628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11935.505102663061</v>
      </c>
      <c r="E33" s="2">
        <f>E11/'Output-Calculation-sheet'!E10*'Output-Calculation-sheet'!E19</f>
        <v>14780.172678838235</v>
      </c>
      <c r="F33" s="2">
        <f>F11/'Output-Calculation-sheet'!F10*'Output-Calculation-sheet'!F19</f>
        <v>6774.5195621384082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4433.6233937160114</v>
      </c>
      <c r="J33" s="2">
        <f>J11/'Output-Calculation-sheet'!J10*'Output-Calculation-sheet'!J19</f>
        <v>3748.5393202743508</v>
      </c>
      <c r="K33" s="2">
        <f>K11/'Output-Calculation-sheet'!K10*'Output-Calculation-sheet'!K19</f>
        <v>5199.4674454504502</v>
      </c>
      <c r="L33" s="2">
        <f>L11/'Output-Calculation-sheet'!L10*'Output-Calculation-sheet'!L19</f>
        <v>4230.0965285497587</v>
      </c>
      <c r="M33" s="2">
        <f>M11/'Output-Calculation-sheet'!M10*'Output-Calculation-sheet'!M19</f>
        <v>0</v>
      </c>
      <c r="N33" s="2">
        <f>N11/'Output-Calculation-sheet'!N10*'Output-Calculation-sheet'!N19</f>
        <v>2405.309003137359</v>
      </c>
      <c r="O33" s="2">
        <f>O11/'Output-Calculation-sheet'!O10*'Output-Calculation-sheet'!O19</f>
        <v>0</v>
      </c>
      <c r="P33" s="2">
        <f>P11/'Output-Calculation-sheet'!P10*'Output-Calculation-sheet'!P19</f>
        <v>5259.5656124524485</v>
      </c>
      <c r="Q33" s="2">
        <f>Q11/'Output-Calculation-sheet'!Q10*'Output-Calculation-sheet'!Q19</f>
        <v>4297.4166308804988</v>
      </c>
      <c r="R33" s="2">
        <f>R11/'Output-Calculation-sheet'!R10*'Output-Calculation-sheet'!R19</f>
        <v>3755.8779026938728</v>
      </c>
      <c r="S33" s="2">
        <f>S11/'Output-Calculation-sheet'!S10*'Output-Calculation-sheet'!S19</f>
        <v>1749.6680697116512</v>
      </c>
      <c r="T33" s="2">
        <f>T11/'Output-Calculation-sheet'!T10*'Output-Calculation-sheet'!T19</f>
        <v>1102.0479278658238</v>
      </c>
      <c r="U33" s="2">
        <f>U11/'Output-Calculation-sheet'!U10*'Output-Calculation-sheet'!U19</f>
        <v>1267.5777398304181</v>
      </c>
      <c r="V33" s="2">
        <f>V11/'Output-Calculation-sheet'!V10*'Output-Calculation-sheet'!V19</f>
        <v>864.41664197998762</v>
      </c>
      <c r="W33" s="2">
        <f>W11/'Output-Calculation-sheet'!W10*'Output-Calculation-sheet'!W19</f>
        <v>538.17452962483469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116.89959085157055</v>
      </c>
    </row>
    <row r="34" spans="1:27" x14ac:dyDescent="0.25">
      <c r="A34" s="2">
        <v>2035</v>
      </c>
      <c r="B34" s="2">
        <f>B12/'Output-Calculation-sheet'!B11*'Output-Calculation-sheet'!B20</f>
        <v>40816.28801143523</v>
      </c>
      <c r="C34" s="2">
        <f>C12/'Output-Calculation-sheet'!C11*'Output-Calculation-sheet'!C20</f>
        <v>0</v>
      </c>
      <c r="D34" s="2">
        <f>D12/'Output-Calculation-sheet'!D11*'Output-Calculation-sheet'!D20</f>
        <v>12781.866006218357</v>
      </c>
      <c r="E34" s="2">
        <f>E12/'Output-Calculation-sheet'!E11*'Output-Calculation-sheet'!E20</f>
        <v>14083.025916997438</v>
      </c>
      <c r="F34" s="2">
        <f>F12/'Output-Calculation-sheet'!F11*'Output-Calculation-sheet'!F20</f>
        <v>8716.3240577441993</v>
      </c>
      <c r="G34" s="2">
        <f>G12/'Output-Calculation-sheet'!G11*'Output-Calculation-sheet'!G20</f>
        <v>4707.7938337363767</v>
      </c>
      <c r="H34" s="2">
        <f>H12/'Output-Calculation-sheet'!H11*'Output-Calculation-sheet'!H20</f>
        <v>0</v>
      </c>
      <c r="I34" s="2">
        <f>I12/'Output-Calculation-sheet'!I11*'Output-Calculation-sheet'!I20</f>
        <v>5127.7277656599181</v>
      </c>
      <c r="J34" s="2">
        <f>J12/'Output-Calculation-sheet'!J11*'Output-Calculation-sheet'!J20</f>
        <v>4394.1228100372564</v>
      </c>
      <c r="K34" s="2">
        <f>K12/'Output-Calculation-sheet'!K11*'Output-Calculation-sheet'!K20</f>
        <v>5775.6317285424138</v>
      </c>
      <c r="L34" s="2">
        <f>L12/'Output-Calculation-sheet'!L11*'Output-Calculation-sheet'!L20</f>
        <v>4572.9618840215389</v>
      </c>
      <c r="M34" s="2">
        <f>M12/'Output-Calculation-sheet'!M11*'Output-Calculation-sheet'!M20</f>
        <v>0</v>
      </c>
      <c r="N34" s="2">
        <f>N12/'Output-Calculation-sheet'!N11*'Output-Calculation-sheet'!N20</f>
        <v>2548.5502624501769</v>
      </c>
      <c r="O34" s="2">
        <f>O12/'Output-Calculation-sheet'!O11*'Output-Calculation-sheet'!O20</f>
        <v>0</v>
      </c>
      <c r="P34" s="2">
        <f>P12/'Output-Calculation-sheet'!P11*'Output-Calculation-sheet'!P20</f>
        <v>5702.9436280972313</v>
      </c>
      <c r="Q34" s="2">
        <f>Q12/'Output-Calculation-sheet'!Q11*'Output-Calculation-sheet'!Q20</f>
        <v>4494.319747708244</v>
      </c>
      <c r="R34" s="2">
        <f>R12/'Output-Calculation-sheet'!R11*'Output-Calculation-sheet'!R20</f>
        <v>4535.2661860286134</v>
      </c>
      <c r="S34" s="2">
        <f>S12/'Output-Calculation-sheet'!S11*'Output-Calculation-sheet'!S20</f>
        <v>1751.7013320405699</v>
      </c>
      <c r="T34" s="2">
        <f>T12/'Output-Calculation-sheet'!T11*'Output-Calculation-sheet'!T20</f>
        <v>1415.4646217736115</v>
      </c>
      <c r="U34" s="2">
        <f>U12/'Output-Calculation-sheet'!U11*'Output-Calculation-sheet'!U20</f>
        <v>1295.7539947913547</v>
      </c>
      <c r="V34" s="2">
        <f>V12/'Output-Calculation-sheet'!V11*'Output-Calculation-sheet'!V20</f>
        <v>1187.1465236814688</v>
      </c>
      <c r="W34" s="2">
        <f>W12/'Output-Calculation-sheet'!W11*'Output-Calculation-sheet'!W20</f>
        <v>767.74058336633766</v>
      </c>
      <c r="X34" s="2">
        <f>X12/'Output-Calculation-sheet'!X11*'Output-Calculation-sheet'!X20</f>
        <v>1.8121263258563356</v>
      </c>
      <c r="Y34" s="2">
        <f>Y12/'Output-Calculation-sheet'!Y11*'Output-Calculation-sheet'!Y20</f>
        <v>428.05758368592279</v>
      </c>
      <c r="AA34" s="2">
        <f t="shared" si="1"/>
        <v>125.10449860434213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4.779080202731361E-2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4.779080202731361E-2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0.57567299829730634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0.57567299829730634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0.80408745049147679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0.80408745049147679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7.8127308371886833E-2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1.7919730490747954E-2</v>
      </c>
      <c r="N44" s="2">
        <f>N11/'Output-Calculation-sheet'!N10*'Output-Calculation-sheet'!N37*0.0114</f>
        <v>1.7612188941250079E-2</v>
      </c>
      <c r="O44" s="2">
        <f>O11/'Output-Calculation-sheet'!O10*'Output-Calculation-sheet'!O37*0.0114</f>
        <v>1.0189939935706227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4.6292922140163915E-2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1.0095914703813602E-2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1.1890420582184851</v>
      </c>
    </row>
    <row r="45" spans="1:27" x14ac:dyDescent="0.25">
      <c r="A45" s="2">
        <v>2035</v>
      </c>
      <c r="B45" s="2">
        <f>B12/'Output-Calculation-sheet'!B11*'Output-Calculation-sheet'!B38*0.0114</f>
        <v>0.95285754110130727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0.31838152647546591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0.38980490007850049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7.6753315258257196E-2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8.0812853161128906E-2</v>
      </c>
      <c r="M45" s="2">
        <f>M12/'Output-Calculation-sheet'!M11*'Output-Calculation-sheet'!M38*0.0114</f>
        <v>0.22990603446939048</v>
      </c>
      <c r="N45" s="2">
        <f>N12/'Output-Calculation-sheet'!N11*'Output-Calculation-sheet'!N38*0.0114</f>
        <v>0.16947026016514533</v>
      </c>
      <c r="O45" s="2">
        <f>O12/'Output-Calculation-sheet'!O11*'Output-Calculation-sheet'!O38*0.0114</f>
        <v>1.194886070012309</v>
      </c>
      <c r="P45" s="2">
        <f>P12/'Output-Calculation-sheet'!P11*'Output-Calculation-sheet'!P38*0.0114</f>
        <v>0.10437383517987907</v>
      </c>
      <c r="Q45" s="2">
        <f>Q12/'Output-Calculation-sheet'!Q11*'Output-Calculation-sheet'!Q38*0.0114</f>
        <v>0.14848189484128094</v>
      </c>
      <c r="R45" s="2">
        <f>R12/'Output-Calculation-sheet'!R11*'Output-Calculation-sheet'!R38*0.0114</f>
        <v>6.5443459481999575E-2</v>
      </c>
      <c r="S45" s="2">
        <f>S12/'Output-Calculation-sheet'!S11*'Output-Calculation-sheet'!S38*0.0114</f>
        <v>7.555815829956157E-2</v>
      </c>
      <c r="T45" s="2">
        <f>T12/'Output-Calculation-sheet'!T11*'Output-Calculation-sheet'!T38*0.0114</f>
        <v>1.8158711022548124E-2</v>
      </c>
      <c r="U45" s="2">
        <f>U12/'Output-Calculation-sheet'!U11*'Output-Calculation-sheet'!U38*0.0114</f>
        <v>2.6319251246726828E-2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1.2169455814023433E-2</v>
      </c>
      <c r="AA45" s="2">
        <f t="shared" si="2"/>
        <v>4.7565799475310904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3565.908823431208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8213.632384132552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5617.4975227399282</v>
      </c>
      <c r="N52" s="2">
        <f>N8/'Output-Calculation-sheet'!N7*'Output-Calculation-sheet'!N43</f>
        <v>177.44753244767188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37.98293368467953</v>
      </c>
      <c r="Y52" s="2">
        <f>Y8/'Output-Calculation-sheet'!Y7*'Output-Calculation-sheet'!Y43</f>
        <v>0</v>
      </c>
      <c r="AA52" s="2">
        <f t="shared" si="3"/>
        <v>17.612469196436038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643.64197066876909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16683.176349703026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11425.901570272279</v>
      </c>
      <c r="N53" s="2">
        <f>N9/'Output-Calculation-sheet'!N8*'Output-Calculation-sheet'!N44</f>
        <v>4050.7706670447174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1264.4195912697849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348.73847270214532</v>
      </c>
      <c r="Y53" s="2">
        <f>Y9/'Output-Calculation-sheet'!Y8*'Output-Calculation-sheet'!Y44</f>
        <v>0</v>
      </c>
      <c r="AA53" s="2">
        <f t="shared" si="3"/>
        <v>34.59637899275851</v>
      </c>
    </row>
    <row r="54" spans="1:27" x14ac:dyDescent="0.25">
      <c r="A54" s="2">
        <v>2033</v>
      </c>
      <c r="B54" s="2">
        <f>B10/'Output-Calculation-sheet'!B9*'Output-Calculation-sheet'!B45</f>
        <v>36746.954200991124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26789.506985880329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18362.6878531238</v>
      </c>
      <c r="N54" s="2">
        <f>N10/'Output-Calculation-sheet'!N9*'Output-Calculation-sheet'!N45</f>
        <v>10246.669697248695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1075.8187789396181</v>
      </c>
      <c r="R54" s="2">
        <f>R10/'Output-Calculation-sheet'!R9*'Output-Calculation-sheet'!R45</f>
        <v>1823.975688455718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1030.6915994424644</v>
      </c>
      <c r="Y54" s="2">
        <f>Y10/'Output-Calculation-sheet'!Y9*'Output-Calculation-sheet'!Y45</f>
        <v>22.734562485773587</v>
      </c>
      <c r="AA54" s="2">
        <f t="shared" si="3"/>
        <v>110.84062516587672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33999.08568709917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4925.9549931138035</v>
      </c>
      <c r="L55" s="2">
        <f>L11/'Output-Calculation-sheet'!L10*'Output-Calculation-sheet'!L46</f>
        <v>1820.0372923883078</v>
      </c>
      <c r="M55" s="2">
        <f>M11/'Output-Calculation-sheet'!M10*'Output-Calculation-sheet'!M46</f>
        <v>23869.395394912954</v>
      </c>
      <c r="N55" s="2">
        <f>N11/'Output-Calculation-sheet'!N10*'Output-Calculation-sheet'!N46</f>
        <v>17599.829510414111</v>
      </c>
      <c r="O55" s="2">
        <f>O11/'Output-Calculation-sheet'!O10*'Output-Calculation-sheet'!O46</f>
        <v>392.14256685230527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3982.2741794257968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8923.371627686478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274.44879195314229</v>
      </c>
    </row>
    <row r="56" spans="1:27" x14ac:dyDescent="0.25">
      <c r="A56" s="2">
        <v>2035</v>
      </c>
      <c r="B56" s="2">
        <f>B12/'Output-Calculation-sheet'!B11*'Output-Calculation-sheet'!B47</f>
        <v>154914.57602431256</v>
      </c>
      <c r="C56" s="2">
        <f>C12/'Output-Calculation-sheet'!C11*'Output-Calculation-sheet'!C47</f>
        <v>531.59004034485338</v>
      </c>
      <c r="D56" s="2">
        <f>D12/'Output-Calculation-sheet'!D11*'Output-Calculation-sheet'!D47</f>
        <v>12468.227531806373</v>
      </c>
      <c r="E56" s="2">
        <f>E12/'Output-Calculation-sheet'!E11*'Output-Calculation-sheet'!E47</f>
        <v>34441.061267503908</v>
      </c>
      <c r="F56" s="2">
        <f>F12/'Output-Calculation-sheet'!F11*'Output-Calculation-sheet'!F47</f>
        <v>4068.0352360889574</v>
      </c>
      <c r="G56" s="2">
        <f>G12/'Output-Calculation-sheet'!G11*'Output-Calculation-sheet'!G47</f>
        <v>9772.2286306238166</v>
      </c>
      <c r="H56" s="2">
        <f>H12/'Output-Calculation-sheet'!H11*'Output-Calculation-sheet'!H47</f>
        <v>36975.290615842219</v>
      </c>
      <c r="I56" s="2">
        <f>I12/'Output-Calculation-sheet'!I11*'Output-Calculation-sheet'!I47</f>
        <v>4861.8993375603341</v>
      </c>
      <c r="J56" s="2">
        <f>J12/'Output-Calculation-sheet'!J11*'Output-Calculation-sheet'!J47</f>
        <v>4463.811229493379</v>
      </c>
      <c r="K56" s="2">
        <f>K12/'Output-Calculation-sheet'!K11*'Output-Calculation-sheet'!K47</f>
        <v>6354.2103269403078</v>
      </c>
      <c r="L56" s="2">
        <f>L12/'Output-Calculation-sheet'!L11*'Output-Calculation-sheet'!L47</f>
        <v>3487.7126101118793</v>
      </c>
      <c r="M56" s="2">
        <f>M12/'Output-Calculation-sheet'!M11*'Output-Calculation-sheet'!M47</f>
        <v>25686.285313085995</v>
      </c>
      <c r="N56" s="2">
        <f>N12/'Output-Calculation-sheet'!N11*'Output-Calculation-sheet'!N47</f>
        <v>19348.68058064827</v>
      </c>
      <c r="O56" s="2">
        <f>O12/'Output-Calculation-sheet'!O11*'Output-Calculation-sheet'!O47</f>
        <v>1903.6175135000021</v>
      </c>
      <c r="P56" s="2">
        <f>P12/'Output-Calculation-sheet'!P11*'Output-Calculation-sheet'!P47</f>
        <v>10196.286062455438</v>
      </c>
      <c r="Q56" s="2">
        <f>Q12/'Output-Calculation-sheet'!Q11*'Output-Calculation-sheet'!Q47</f>
        <v>4895.8503922812224</v>
      </c>
      <c r="R56" s="2">
        <f>R12/'Output-Calculation-sheet'!R11*'Output-Calculation-sheet'!R47</f>
        <v>7521.6923496745567</v>
      </c>
      <c r="S56" s="2">
        <f>S12/'Output-Calculation-sheet'!S11*'Output-Calculation-sheet'!S47</f>
        <v>9999.6204235798214</v>
      </c>
      <c r="T56" s="2">
        <f>T12/'Output-Calculation-sheet'!T11*'Output-Calculation-sheet'!T47</f>
        <v>2618.1463173153447</v>
      </c>
      <c r="U56" s="2">
        <f>U12/'Output-Calculation-sheet'!U11*'Output-Calculation-sheet'!U47</f>
        <v>2529.8803084353735</v>
      </c>
      <c r="V56" s="2">
        <f>V12/'Output-Calculation-sheet'!V11*'Output-Calculation-sheet'!V47</f>
        <v>1766.6845767324423</v>
      </c>
      <c r="W56" s="2">
        <f>W12/'Output-Calculation-sheet'!W11*'Output-Calculation-sheet'!W47</f>
        <v>1021.4268887451274</v>
      </c>
      <c r="X56" s="2">
        <f>X12/'Output-Calculation-sheet'!X11*'Output-Calculation-sheet'!X47</f>
        <v>205.93601647995999</v>
      </c>
      <c r="Y56" s="2">
        <f>Y12/'Output-Calculation-sheet'!Y11*'Output-Calculation-sheet'!Y47</f>
        <v>1357.3213217132275</v>
      </c>
      <c r="AA56" s="2">
        <f t="shared" si="3"/>
        <v>361.3900709152752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8.5783544795666398</v>
      </c>
      <c r="C63" s="2">
        <f>C8*'Output-Calculation-sheet'!C52/10^9</f>
        <v>4.6625482016908091</v>
      </c>
      <c r="D63" s="2">
        <f>D8*'Output-Calculation-sheet'!D52/10^9</f>
        <v>2.0085414948032603</v>
      </c>
      <c r="E63" s="2">
        <f>E8*'Output-Calculation-sheet'!E52/10^9</f>
        <v>2.2978600048595696</v>
      </c>
      <c r="F63" s="2">
        <f>F8*'Output-Calculation-sheet'!F52/10^9</f>
        <v>1.0741019326275048</v>
      </c>
      <c r="G63" s="2">
        <f>G8*'Output-Calculation-sheet'!G52/10^9</f>
        <v>0.81928809202320252</v>
      </c>
      <c r="H63" s="2">
        <f>H8*'Output-Calculation-sheet'!H52/10^9</f>
        <v>1.2245913090318796</v>
      </c>
      <c r="I63" s="2">
        <f>I8*'Output-Calculation-sheet'!I52/10^9</f>
        <v>0.64718314986113756</v>
      </c>
      <c r="J63" s="2">
        <f>J8*'Output-Calculation-sheet'!J52/10^9</f>
        <v>0.9149019857758991</v>
      </c>
      <c r="K63" s="2">
        <f>K8*'Output-Calculation-sheet'!K52/10^9</f>
        <v>0.60058823051353694</v>
      </c>
      <c r="L63" s="2">
        <f>L8*'Output-Calculation-sheet'!L52/10^9</f>
        <v>0.71107185563557518</v>
      </c>
      <c r="M63" s="2">
        <f>M8*'Output-Calculation-sheet'!M52/10^9</f>
        <v>0.89661675086696402</v>
      </c>
      <c r="N63" s="2">
        <f>N8*'Output-Calculation-sheet'!N52/10^9</f>
        <v>0.71495838771210063</v>
      </c>
      <c r="O63" s="2">
        <f>O8*'Output-Calculation-sheet'!O52/10^9</f>
        <v>0.84708069471422753</v>
      </c>
      <c r="P63" s="2">
        <f>P8*'Output-Calculation-sheet'!P52/10^9</f>
        <v>0.61080857726715798</v>
      </c>
      <c r="Q63" s="2">
        <f>Q8*'Output-Calculation-sheet'!Q52/10^9</f>
        <v>0.56975152319901068</v>
      </c>
      <c r="R63" s="2">
        <f>R8*'Output-Calculation-sheet'!R52/10^9</f>
        <v>0.51606183582689802</v>
      </c>
      <c r="S63" s="2">
        <f>S8*'Output-Calculation-sheet'!S52/10^9</f>
        <v>0.43785927305001471</v>
      </c>
      <c r="T63" s="2">
        <f>T8*'Output-Calculation-sheet'!T52/10^9</f>
        <v>0.20960400166944657</v>
      </c>
      <c r="U63" s="2">
        <f>U8*'Output-Calculation-sheet'!U52/10^9</f>
        <v>0.16345961471464723</v>
      </c>
      <c r="V63" s="2">
        <f>V8*'Output-Calculation-sheet'!V52/10^9</f>
        <v>0.27064036254894119</v>
      </c>
      <c r="W63" s="2">
        <f>W8*'Output-Calculation-sheet'!W52/10^9</f>
        <v>0.11357299412020062</v>
      </c>
      <c r="X63" s="2">
        <f>X8*'Output-Calculation-sheet'!X52/10^9</f>
        <v>0.11950227682607342</v>
      </c>
      <c r="Y63" s="2">
        <f>Y8*'Output-Calculation-sheet'!Y52/10^9</f>
        <v>6.5584182239606423E-2</v>
      </c>
      <c r="AA63" s="2">
        <f t="shared" si="4"/>
        <v>29.074531211144304</v>
      </c>
    </row>
    <row r="64" spans="1:27" x14ac:dyDescent="0.25">
      <c r="A64" s="2">
        <v>2032</v>
      </c>
      <c r="B64" s="2">
        <f>B9*'Output-Calculation-sheet'!B53/10^9</f>
        <v>9.439456610251872</v>
      </c>
      <c r="C64" s="2">
        <f>C9*'Output-Calculation-sheet'!C53/10^9</f>
        <v>5.5756241653239673</v>
      </c>
      <c r="D64" s="2">
        <f>D9*'Output-Calculation-sheet'!D53/10^9</f>
        <v>1.9821601717610613</v>
      </c>
      <c r="E64" s="2">
        <f>E9*'Output-Calculation-sheet'!E53/10^9</f>
        <v>2.314403808714617</v>
      </c>
      <c r="F64" s="2">
        <f>F9*'Output-Calculation-sheet'!F53/10^9</f>
        <v>1.0620408541617701</v>
      </c>
      <c r="G64" s="2">
        <f>G9*'Output-Calculation-sheet'!G53/10^9</f>
        <v>0.79521227818687301</v>
      </c>
      <c r="H64" s="2">
        <f>H9*'Output-Calculation-sheet'!H53/10^9</f>
        <v>1.4809566151232392</v>
      </c>
      <c r="I64" s="2">
        <f>I9*'Output-Calculation-sheet'!I53/10^9</f>
        <v>0.64486261084710295</v>
      </c>
      <c r="J64" s="2">
        <f>J9*'Output-Calculation-sheet'!J53/10^9</f>
        <v>0.8655431688977514</v>
      </c>
      <c r="K64" s="2">
        <f>K9*'Output-Calculation-sheet'!K53/10^9</f>
        <v>0.63896449568179958</v>
      </c>
      <c r="L64" s="2">
        <f>L9*'Output-Calculation-sheet'!L53/10^9</f>
        <v>0.71734696143504839</v>
      </c>
      <c r="M64" s="2">
        <f>M9*'Output-Calculation-sheet'!M53/10^9</f>
        <v>1.0679429117497208</v>
      </c>
      <c r="N64" s="2">
        <f>N9*'Output-Calculation-sheet'!N53/10^9</f>
        <v>0.87287581594968267</v>
      </c>
      <c r="O64" s="2">
        <f>O9*'Output-Calculation-sheet'!O53/10^9</f>
        <v>1.0311299251050987</v>
      </c>
      <c r="P64" s="2">
        <f>P9*'Output-Calculation-sheet'!P53/10^9</f>
        <v>0.68181037275168543</v>
      </c>
      <c r="Q64" s="2">
        <f>Q9*'Output-Calculation-sheet'!Q53/10^9</f>
        <v>0.64671578982156019</v>
      </c>
      <c r="R64" s="2">
        <f>R9*'Output-Calculation-sheet'!R53/10^9</f>
        <v>0.55017357359023566</v>
      </c>
      <c r="S64" s="2">
        <f>S9*'Output-Calculation-sheet'!S53/10^9</f>
        <v>0.51723807385558018</v>
      </c>
      <c r="T64" s="2">
        <f>T9*'Output-Calculation-sheet'!T53/10^9</f>
        <v>0.20566531758182977</v>
      </c>
      <c r="U64" s="2">
        <f>U9*'Output-Calculation-sheet'!U53/10^9</f>
        <v>0.17522575740676932</v>
      </c>
      <c r="V64" s="2">
        <f>V9*'Output-Calculation-sheet'!V53/10^9</f>
        <v>0.25538530782091612</v>
      </c>
      <c r="W64" s="2">
        <f>W9*'Output-Calculation-sheet'!W53/10^9</f>
        <v>0.10885372171781468</v>
      </c>
      <c r="X64" s="2">
        <f>X9*'Output-Calculation-sheet'!X53/10^9</f>
        <v>0.13899564125865474</v>
      </c>
      <c r="Y64" s="2">
        <f>Y9*'Output-Calculation-sheet'!Y53/10^9</f>
        <v>6.9237059944580986E-2</v>
      </c>
      <c r="AA64" s="2">
        <f t="shared" si="4"/>
        <v>31.83782100893923</v>
      </c>
    </row>
    <row r="65" spans="1:27" x14ac:dyDescent="0.25">
      <c r="A65" s="2">
        <v>2033</v>
      </c>
      <c r="B65" s="2">
        <f>B10*'Output-Calculation-sheet'!B54/10^9</f>
        <v>10.459337762715027</v>
      </c>
      <c r="C65" s="2">
        <f>C10*'Output-Calculation-sheet'!C54/10^9</f>
        <v>6.4620537381285033</v>
      </c>
      <c r="D65" s="2">
        <f>D10*'Output-Calculation-sheet'!D54/10^9</f>
        <v>1.8643565654482668</v>
      </c>
      <c r="E65" s="2">
        <f>E10*'Output-Calculation-sheet'!E54/10^9</f>
        <v>2.3742827663459729</v>
      </c>
      <c r="F65" s="2">
        <f>F10*'Output-Calculation-sheet'!F54/10^9</f>
        <v>1.0202486275441183</v>
      </c>
      <c r="G65" s="2">
        <f>G10*'Output-Calculation-sheet'!G54/10^9</f>
        <v>0.72636760903420605</v>
      </c>
      <c r="H65" s="2">
        <f>H10*'Output-Calculation-sheet'!H54/10^9</f>
        <v>1.7067946253846114</v>
      </c>
      <c r="I65" s="2">
        <f>I10*'Output-Calculation-sheet'!I54/10^9</f>
        <v>0.63687278073203424</v>
      </c>
      <c r="J65" s="2">
        <f>J10*'Output-Calculation-sheet'!J54/10^9</f>
        <v>0.75352069082571926</v>
      </c>
      <c r="K65" s="2">
        <f>K10*'Output-Calculation-sheet'!K54/10^9</f>
        <v>0.70514791788532127</v>
      </c>
      <c r="L65" s="2">
        <f>L10*'Output-Calculation-sheet'!L54/10^9</f>
        <v>0.72719833209797691</v>
      </c>
      <c r="M65" s="2">
        <f>M10*'Output-Calculation-sheet'!M54/10^9</f>
        <v>1.2135890595938581</v>
      </c>
      <c r="N65" s="2">
        <f>N10*'Output-Calculation-sheet'!N54/10^9</f>
        <v>1.0341245196757902</v>
      </c>
      <c r="O65" s="2">
        <f>O10*'Output-Calculation-sheet'!O54/10^9</f>
        <v>1.2032664320515303</v>
      </c>
      <c r="P65" s="2">
        <f>P10*'Output-Calculation-sheet'!P54/10^9</f>
        <v>0.76283395481819394</v>
      </c>
      <c r="Q65" s="2">
        <f>Q10*'Output-Calculation-sheet'!Q54/10^9</f>
        <v>0.75281550022420829</v>
      </c>
      <c r="R65" s="2">
        <f>R10*'Output-Calculation-sheet'!R54/10^9</f>
        <v>0.59675407400122371</v>
      </c>
      <c r="S65" s="2">
        <f>S10*'Output-Calculation-sheet'!S54/10^9</f>
        <v>0.59895025240807143</v>
      </c>
      <c r="T65" s="2">
        <f>T10*'Output-Calculation-sheet'!T54/10^9</f>
        <v>0.20208747529661211</v>
      </c>
      <c r="U65" s="2">
        <f>U10*'Output-Calculation-sheet'!U54/10^9</f>
        <v>0.19409051012254375</v>
      </c>
      <c r="V65" s="2">
        <f>V10*'Output-Calculation-sheet'!V54/10^9</f>
        <v>0.22869360200972871</v>
      </c>
      <c r="W65" s="2">
        <f>W10*'Output-Calculation-sheet'!W54/10^9</f>
        <v>9.7735377901075879E-2</v>
      </c>
      <c r="X65" s="2">
        <f>X10*'Output-Calculation-sheet'!X54/10^9</f>
        <v>0.15588409853517149</v>
      </c>
      <c r="Y65" s="2">
        <f>Y10*'Output-Calculation-sheet'!Y54/10^9</f>
        <v>7.5819288317369504E-2</v>
      </c>
      <c r="AA65" s="2">
        <f t="shared" si="4"/>
        <v>34.55282556109713</v>
      </c>
    </row>
    <row r="66" spans="1:27" x14ac:dyDescent="0.25">
      <c r="A66" s="2">
        <v>2034</v>
      </c>
      <c r="B66" s="2">
        <f>B11*'Output-Calculation-sheet'!B55/10^9</f>
        <v>11.698938256279336</v>
      </c>
      <c r="C66" s="2">
        <f>C11*'Output-Calculation-sheet'!C55/10^9</f>
        <v>7.3356018641714389</v>
      </c>
      <c r="D66" s="2">
        <f>D11*'Output-Calculation-sheet'!D55/10^9</f>
        <v>2.1165020407311199</v>
      </c>
      <c r="E66" s="2">
        <f>E11*'Output-Calculation-sheet'!E55/10^9</f>
        <v>2.7412836037249737</v>
      </c>
      <c r="F66" s="2">
        <f>F11*'Output-Calculation-sheet'!F55/10^9</f>
        <v>1.0789134858354945</v>
      </c>
      <c r="G66" s="2">
        <f>G11*'Output-Calculation-sheet'!G55/10^9</f>
        <v>0.78702548645532344</v>
      </c>
      <c r="H66" s="2">
        <f>H11*'Output-Calculation-sheet'!H55/10^9</f>
        <v>1.9639121689914576</v>
      </c>
      <c r="I66" s="2">
        <f>I11*'Output-Calculation-sheet'!I55/10^9</f>
        <v>0.73162197470461898</v>
      </c>
      <c r="J66" s="2">
        <f>J11*'Output-Calculation-sheet'!J55/10^9</f>
        <v>0.73660594914216171</v>
      </c>
      <c r="K66" s="2">
        <f>K11*'Output-Calculation-sheet'!K55/10^9</f>
        <v>0.83874555826403552</v>
      </c>
      <c r="L66" s="2">
        <f>L11*'Output-Calculation-sheet'!L55/10^9</f>
        <v>0.81313558076105452</v>
      </c>
      <c r="M66" s="2">
        <f>M11*'Output-Calculation-sheet'!M55/10^9</f>
        <v>1.3793992831630364</v>
      </c>
      <c r="N66" s="2">
        <f>N11*'Output-Calculation-sheet'!N55/10^9</f>
        <v>1.1994956559431909</v>
      </c>
      <c r="O66" s="2">
        <f>O11*'Output-Calculation-sheet'!O55/10^9</f>
        <v>1.3682087498504261</v>
      </c>
      <c r="P66" s="2">
        <f>P11*'Output-Calculation-sheet'!P55/10^9</f>
        <v>0.87733485121370736</v>
      </c>
      <c r="Q66" s="2">
        <f>Q11*'Output-Calculation-sheet'!Q55/10^9</f>
        <v>0.90241507944883859</v>
      </c>
      <c r="R66" s="2">
        <f>R11*'Output-Calculation-sheet'!R55/10^9</f>
        <v>0.6676634134103332</v>
      </c>
      <c r="S66" s="2">
        <f>S11*'Output-Calculation-sheet'!S55/10^9</f>
        <v>0.69308984154961284</v>
      </c>
      <c r="T66" s="2">
        <f>T11*'Output-Calculation-sheet'!T55/10^9</f>
        <v>0.20920213386033865</v>
      </c>
      <c r="U66" s="2">
        <f>U11*'Output-Calculation-sheet'!U55/10^9</f>
        <v>0.22768560258768844</v>
      </c>
      <c r="V66" s="2">
        <f>V11*'Output-Calculation-sheet'!V55/10^9</f>
        <v>0.19770984129662081</v>
      </c>
      <c r="W66" s="2">
        <f>W11*'Output-Calculation-sheet'!W55/10^9</f>
        <v>9.686045284120369E-2</v>
      </c>
      <c r="X66" s="2">
        <f>X11*'Output-Calculation-sheet'!X55/10^9</f>
        <v>0.1710907420900831</v>
      </c>
      <c r="Y66" s="2">
        <f>Y11*'Output-Calculation-sheet'!Y55/10^9</f>
        <v>9.2936644889530975E-2</v>
      </c>
      <c r="AA66" s="2">
        <f t="shared" si="4"/>
        <v>38.92537826120563</v>
      </c>
    </row>
    <row r="67" spans="1:27" x14ac:dyDescent="0.25">
      <c r="A67" s="2">
        <v>2035</v>
      </c>
      <c r="B67" s="2">
        <f>B12*'Output-Calculation-sheet'!B56/10^9</f>
        <v>13.701100711745031</v>
      </c>
      <c r="C67" s="2">
        <f>C12*'Output-Calculation-sheet'!C56/10^9</f>
        <v>8.2751351036555754</v>
      </c>
      <c r="D67" s="2">
        <f>D12*'Output-Calculation-sheet'!D56/10^9</f>
        <v>2.7140515623422763</v>
      </c>
      <c r="E67" s="2">
        <f>E12*'Output-Calculation-sheet'!E56/10^9</f>
        <v>3.7164873633717908</v>
      </c>
      <c r="F67" s="2">
        <f>F12*'Output-Calculation-sheet'!F56/10^9</f>
        <v>1.4571420914803568</v>
      </c>
      <c r="G67" s="2">
        <f>G12*'Output-Calculation-sheet'!G56/10^9</f>
        <v>1.0736218192256775</v>
      </c>
      <c r="H67" s="2">
        <f>H12*'Output-Calculation-sheet'!H56/10^9</f>
        <v>2.2862502530104267</v>
      </c>
      <c r="I67" s="2">
        <f>I12*'Output-Calculation-sheet'!I56/10^9</f>
        <v>0.98380217903945488</v>
      </c>
      <c r="J67" s="2">
        <f>J12*'Output-Calculation-sheet'!J56/10^9</f>
        <v>0.90083450280027022</v>
      </c>
      <c r="K67" s="2">
        <f>K12*'Output-Calculation-sheet'!K56/10^9</f>
        <v>1.0790706970733586</v>
      </c>
      <c r="L67" s="2">
        <f>L12*'Output-Calculation-sheet'!L56/10^9</f>
        <v>1.0056315815957952</v>
      </c>
      <c r="M67" s="2">
        <f>M12*'Output-Calculation-sheet'!M56/10^9</f>
        <v>1.6174162962037362</v>
      </c>
      <c r="N67" s="2">
        <f>N12*'Output-Calculation-sheet'!N56/10^9</f>
        <v>1.3814278446793258</v>
      </c>
      <c r="O67" s="2">
        <f>O12*'Output-Calculation-sheet'!O56/10^9</f>
        <v>1.5281586094052186</v>
      </c>
      <c r="P67" s="2">
        <f>P12*'Output-Calculation-sheet'!P56/10^9</f>
        <v>1.1211637369402696</v>
      </c>
      <c r="Q67" s="2">
        <f>Q12*'Output-Calculation-sheet'!Q56/10^9</f>
        <v>1.0590907619019294</v>
      </c>
      <c r="R67" s="2">
        <f>R12*'Output-Calculation-sheet'!R56/10^9</f>
        <v>0.83076873534158102</v>
      </c>
      <c r="S67" s="2">
        <f>S12*'Output-Calculation-sheet'!S56/10^9</f>
        <v>0.80251426115499402</v>
      </c>
      <c r="T67" s="2">
        <f>T12*'Output-Calculation-sheet'!T56/10^9</f>
        <v>0.25852969727921482</v>
      </c>
      <c r="U67" s="2">
        <f>U12*'Output-Calculation-sheet'!U56/10^9</f>
        <v>0.27948652064946095</v>
      </c>
      <c r="V67" s="2">
        <f>V12*'Output-Calculation-sheet'!V56/10^9</f>
        <v>0.19938539332429178</v>
      </c>
      <c r="W67" s="2">
        <f>W12*'Output-Calculation-sheet'!W56/10^9</f>
        <v>0.13534474055639864</v>
      </c>
      <c r="X67" s="2">
        <f>X12*'Output-Calculation-sheet'!X56/10^9</f>
        <v>0.19306232724517947</v>
      </c>
      <c r="Y67" s="2">
        <f>Y12*'Output-Calculation-sheet'!Y56/10^9</f>
        <v>0.12629272068063369</v>
      </c>
      <c r="AA67" s="2">
        <f t="shared" si="4"/>
        <v>46.725769510702243</v>
      </c>
    </row>
    <row r="68" spans="1:27" x14ac:dyDescent="0.25">
      <c r="B68" s="2">
        <f>SUM(B60:B67)</f>
        <v>53.877187820557907</v>
      </c>
      <c r="C68" s="2">
        <f t="shared" ref="C68:Y68" si="5">SUM(C60:C67)</f>
        <v>32.310963072970296</v>
      </c>
      <c r="D68" s="2">
        <f t="shared" si="5"/>
        <v>10.685611835085986</v>
      </c>
      <c r="E68" s="2">
        <f t="shared" si="5"/>
        <v>13.444317547016922</v>
      </c>
      <c r="F68" s="2">
        <f t="shared" si="5"/>
        <v>5.6924469916492448</v>
      </c>
      <c r="G68" s="2">
        <f t="shared" si="5"/>
        <v>4.2015152849252821</v>
      </c>
      <c r="H68" s="2">
        <f t="shared" si="5"/>
        <v>8.6625049715416154</v>
      </c>
      <c r="I68" s="2">
        <f t="shared" si="5"/>
        <v>3.6443426951843483</v>
      </c>
      <c r="J68" s="2">
        <f t="shared" si="5"/>
        <v>4.171406297441802</v>
      </c>
      <c r="K68" s="2">
        <f t="shared" si="5"/>
        <v>3.8625168994180523</v>
      </c>
      <c r="L68" s="2">
        <f t="shared" si="5"/>
        <v>3.97438431152545</v>
      </c>
      <c r="M68" s="2">
        <f t="shared" si="5"/>
        <v>6.1749643015773152</v>
      </c>
      <c r="N68" s="2">
        <f t="shared" si="5"/>
        <v>5.2028822239600903</v>
      </c>
      <c r="O68" s="2">
        <f t="shared" si="5"/>
        <v>5.977844411126501</v>
      </c>
      <c r="P68" s="2">
        <f t="shared" si="5"/>
        <v>4.0539514929910139</v>
      </c>
      <c r="Q68" s="2">
        <f t="shared" si="5"/>
        <v>3.9307886545955473</v>
      </c>
      <c r="R68" s="2">
        <f t="shared" si="5"/>
        <v>3.1614216321702715</v>
      </c>
      <c r="S68" s="2">
        <f t="shared" si="5"/>
        <v>3.0496517020182732</v>
      </c>
      <c r="T68" s="2">
        <f t="shared" si="5"/>
        <v>1.0850886256874419</v>
      </c>
      <c r="U68" s="2">
        <f t="shared" si="5"/>
        <v>1.0399480054811097</v>
      </c>
      <c r="V68" s="2">
        <f t="shared" si="5"/>
        <v>1.1518145070004988</v>
      </c>
      <c r="W68" s="2">
        <f t="shared" si="5"/>
        <v>0.55236728713669359</v>
      </c>
      <c r="X68" s="2">
        <f t="shared" si="5"/>
        <v>0.77853508595516219</v>
      </c>
      <c r="Y68" s="2">
        <f t="shared" si="5"/>
        <v>0.42986989607172155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956.15987876693998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1743.7495052987981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1175.9275769322064</v>
      </c>
      <c r="N74" s="2">
        <f>N8/'Output-Calculation-sheet'!N7*'Output-Calculation-sheet'!N61</f>
        <v>48.749778740228429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10.434902197294038</v>
      </c>
      <c r="Y74" s="2">
        <f>Y8/'Output-Calculation-sheet'!Y7*'Output-Calculation-sheet'!Y61</f>
        <v>0</v>
      </c>
      <c r="AA74" s="2">
        <f t="shared" si="6"/>
        <v>3.9350216419354669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176.82206484593658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3175.2350167522427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2157.7427085759246</v>
      </c>
      <c r="N75" s="2">
        <f>N9/'Output-Calculation-sheet'!N8*'Output-Calculation-sheet'!N62</f>
        <v>830.98390738289766</v>
      </c>
      <c r="O75" s="2">
        <f>O9/'Output-Calculation-sheet'!O8*'Output-Calculation-sheet'!O62</f>
        <v>0</v>
      </c>
      <c r="P75" s="2">
        <f>P9/'Output-Calculation-sheet'!P8*'Output-Calculation-sheet'!P62</f>
        <v>65.834877852913593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279.2373177023731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75.783818216605198</v>
      </c>
      <c r="Y75" s="2">
        <f>Y9/'Output-Calculation-sheet'!Y8*'Output-Calculation-sheet'!Y62</f>
        <v>0</v>
      </c>
      <c r="AA75" s="2">
        <f t="shared" si="6"/>
        <v>6.7616397113288933</v>
      </c>
    </row>
    <row r="76" spans="1:27" x14ac:dyDescent="0.25">
      <c r="A76" s="2">
        <v>2033</v>
      </c>
      <c r="B76" s="2">
        <f>B10/'Output-Calculation-sheet'!B9*'Output-Calculation-sheet'!B63</f>
        <v>7398.4060234136869</v>
      </c>
      <c r="C76" s="2">
        <f>C10/'Output-Calculation-sheet'!C9*'Output-Calculation-sheet'!C63</f>
        <v>1491.8318822710535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4823.3891574296058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3291.9866447368372</v>
      </c>
      <c r="N76" s="2">
        <f>N10/'Output-Calculation-sheet'!N9*'Output-Calculation-sheet'!N63</f>
        <v>1874.9580112810977</v>
      </c>
      <c r="O76" s="2">
        <f>O10/'Output-Calculation-sheet'!O9*'Output-Calculation-sheet'!O63</f>
        <v>0</v>
      </c>
      <c r="P76" s="2">
        <f>P10/'Output-Calculation-sheet'!P9*'Output-Calculation-sheet'!P63</f>
        <v>650.19814526998516</v>
      </c>
      <c r="Q76" s="2">
        <f>Q10/'Output-Calculation-sheet'!Q9*'Output-Calculation-sheet'!Q63</f>
        <v>295.55403290687508</v>
      </c>
      <c r="R76" s="2">
        <f>R10/'Output-Calculation-sheet'!R9*'Output-Calculation-sheet'!R63</f>
        <v>493.41268423348504</v>
      </c>
      <c r="S76" s="2">
        <f>S10/'Output-Calculation-sheet'!S9*'Output-Calculation-sheet'!S63</f>
        <v>838.47400498689672</v>
      </c>
      <c r="T76" s="2">
        <f>T10/'Output-Calculation-sheet'!T9*'Output-Calculation-sheet'!T63</f>
        <v>32.510159159570676</v>
      </c>
      <c r="U76" s="2">
        <f>U10/'Output-Calculation-sheet'!U9*'Output-Calculation-sheet'!U63</f>
        <v>175.34299268432738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188.85533295266808</v>
      </c>
      <c r="Y76" s="2">
        <f>Y10/'Output-Calculation-sheet'!Y9*'Output-Calculation-sheet'!Y63</f>
        <v>8.32760879377539</v>
      </c>
      <c r="AA76" s="2">
        <f t="shared" si="6"/>
        <v>21.699575361402161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2806.2489109034791</v>
      </c>
      <c r="D77" s="2">
        <f>D11/'Output-Calculation-sheet'!D10*'Output-Calculation-sheet'!D64</f>
        <v>2384.833075378358</v>
      </c>
      <c r="E77" s="2">
        <f>E11/'Output-Calculation-sheet'!E10*'Output-Calculation-sheet'!E64</f>
        <v>2982.7750390488864</v>
      </c>
      <c r="F77" s="2">
        <f>F11/'Output-Calculation-sheet'!F10*'Output-Calculation-sheet'!F64</f>
        <v>212.23182278814062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6306.3746523247273</v>
      </c>
      <c r="I77" s="2">
        <f>I11/'Output-Calculation-sheet'!I10*'Output-Calculation-sheet'!I64</f>
        <v>740.22327376221551</v>
      </c>
      <c r="J77" s="2">
        <f>J11/'Output-Calculation-sheet'!J10*'Output-Calculation-sheet'!J64</f>
        <v>521.93312839742362</v>
      </c>
      <c r="K77" s="2">
        <f>K11/'Output-Calculation-sheet'!K10*'Output-Calculation-sheet'!K64</f>
        <v>1136.1757926309058</v>
      </c>
      <c r="L77" s="2">
        <f>L11/'Output-Calculation-sheet'!L10*'Output-Calculation-sheet'!L64</f>
        <v>465.40574741206734</v>
      </c>
      <c r="M77" s="2">
        <f>M11/'Output-Calculation-sheet'!M10*'Output-Calculation-sheet'!M64</f>
        <v>4456.8601837270589</v>
      </c>
      <c r="N77" s="2">
        <f>N11/'Output-Calculation-sheet'!N10*'Output-Calculation-sheet'!N64</f>
        <v>3089.0327169829407</v>
      </c>
      <c r="O77" s="2">
        <f>O11/'Output-Calculation-sheet'!O10*'Output-Calculation-sheet'!O64</f>
        <v>112.24360125840525</v>
      </c>
      <c r="P77" s="2">
        <f>P11/'Output-Calculation-sheet'!P10*'Output-Calculation-sheet'!P64</f>
        <v>1400.9702060578231</v>
      </c>
      <c r="Q77" s="2">
        <f>Q11/'Output-Calculation-sheet'!Q10*'Output-Calculation-sheet'!Q64</f>
        <v>802.07766625271017</v>
      </c>
      <c r="R77" s="2">
        <f>R11/'Output-Calculation-sheet'!R10*'Output-Calculation-sheet'!R64</f>
        <v>1196.5598781092592</v>
      </c>
      <c r="S77" s="2">
        <f>S11/'Output-Calculation-sheet'!S10*'Output-Calculation-sheet'!S64</f>
        <v>1585.3659139726146</v>
      </c>
      <c r="T77" s="2">
        <f>T11/'Output-Calculation-sheet'!T10*'Output-Calculation-sheet'!T64</f>
        <v>330.87182442186815</v>
      </c>
      <c r="U77" s="2">
        <f>U11/'Output-Calculation-sheet'!U10*'Output-Calculation-sheet'!U64</f>
        <v>438.82340326284503</v>
      </c>
      <c r="V77" s="2">
        <f>V11/'Output-Calculation-sheet'!V10*'Output-Calculation-sheet'!V64</f>
        <v>172.7085617976569</v>
      </c>
      <c r="W77" s="2">
        <f>W11/'Output-Calculation-sheet'!W10*'Output-Calculation-sheet'!W64</f>
        <v>37.629815332279499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52.2180699521412</v>
      </c>
    </row>
    <row r="78" spans="1:27" x14ac:dyDescent="0.25">
      <c r="A78" s="2">
        <v>2035</v>
      </c>
      <c r="B78" s="2">
        <f>B12/'Output-Calculation-sheet'!B11*'Output-Calculation-sheet'!B65</f>
        <v>26550.907312416861</v>
      </c>
      <c r="C78" s="2">
        <f>C12/'Output-Calculation-sheet'!C11*'Output-Calculation-sheet'!C65</f>
        <v>97.638015469906946</v>
      </c>
      <c r="D78" s="2">
        <f>D12/'Output-Calculation-sheet'!D11*'Output-Calculation-sheet'!D65</f>
        <v>2773.6535023405113</v>
      </c>
      <c r="E78" s="2">
        <f>E12/'Output-Calculation-sheet'!E11*'Output-Calculation-sheet'!E65</f>
        <v>5270.3816620993712</v>
      </c>
      <c r="F78" s="2">
        <f>F12/'Output-Calculation-sheet'!F11*'Output-Calculation-sheet'!F65</f>
        <v>1126.7298319313641</v>
      </c>
      <c r="G78" s="2">
        <f>G12/'Output-Calculation-sheet'!G11*'Output-Calculation-sheet'!G65</f>
        <v>2147.7422237131709</v>
      </c>
      <c r="H78" s="2">
        <f>H12/'Output-Calculation-sheet'!H11*'Output-Calculation-sheet'!H65</f>
        <v>6875.6357666540671</v>
      </c>
      <c r="I78" s="2">
        <f>I12/'Output-Calculation-sheet'!I11*'Output-Calculation-sheet'!I65</f>
        <v>1243.3717959808798</v>
      </c>
      <c r="J78" s="2">
        <f>J12/'Output-Calculation-sheet'!J11*'Output-Calculation-sheet'!J65</f>
        <v>1139.0506179183149</v>
      </c>
      <c r="K78" s="2">
        <f>K12/'Output-Calculation-sheet'!K11*'Output-Calculation-sheet'!K65</f>
        <v>1416.0037885742943</v>
      </c>
      <c r="L78" s="2">
        <f>L12/'Output-Calculation-sheet'!L11*'Output-Calculation-sheet'!L65</f>
        <v>829.12215131626135</v>
      </c>
      <c r="M78" s="2">
        <f>M12/'Output-Calculation-sheet'!M11*'Output-Calculation-sheet'!M65</f>
        <v>4815.3835725610506</v>
      </c>
      <c r="N78" s="2">
        <f>N12/'Output-Calculation-sheet'!N11*'Output-Calculation-sheet'!N65</f>
        <v>3389.8544811856054</v>
      </c>
      <c r="O78" s="2">
        <f>O12/'Output-Calculation-sheet'!O11*'Output-Calculation-sheet'!O65</f>
        <v>500.82558319950903</v>
      </c>
      <c r="P78" s="2">
        <f>P12/'Output-Calculation-sheet'!P11*'Output-Calculation-sheet'!P65</f>
        <v>1943.8253462315897</v>
      </c>
      <c r="Q78" s="2">
        <f>Q12/'Output-Calculation-sheet'!Q11*'Output-Calculation-sheet'!Q65</f>
        <v>947.86152764731389</v>
      </c>
      <c r="R78" s="2">
        <f>R12/'Output-Calculation-sheet'!R11*'Output-Calculation-sheet'!R65</f>
        <v>1624.236341327558</v>
      </c>
      <c r="S78" s="2">
        <f>S12/'Output-Calculation-sheet'!S11*'Output-Calculation-sheet'!S65</f>
        <v>1827.2367660819964</v>
      </c>
      <c r="T78" s="2">
        <f>T12/'Output-Calculation-sheet'!T11*'Output-Calculation-sheet'!T65</f>
        <v>575.41663300386585</v>
      </c>
      <c r="U78" s="2">
        <f>U12/'Output-Calculation-sheet'!U11*'Output-Calculation-sheet'!U65</f>
        <v>496.81465354696405</v>
      </c>
      <c r="V78" s="2">
        <f>V12/'Output-Calculation-sheet'!V11*'Output-Calculation-sheet'!V65</f>
        <v>313.78803261797924</v>
      </c>
      <c r="W78" s="2">
        <f>W12/'Output-Calculation-sheet'!W11*'Output-Calculation-sheet'!W65</f>
        <v>224.48946675392909</v>
      </c>
      <c r="X78" s="2">
        <f>X12/'Output-Calculation-sheet'!X11*'Output-Calculation-sheet'!X65</f>
        <v>41.164157636135243</v>
      </c>
      <c r="Y78" s="2">
        <f>Y12/'Output-Calculation-sheet'!Y11*'Output-Calculation-sheet'!Y65</f>
        <v>214.95884784102876</v>
      </c>
      <c r="AA78" s="2">
        <f t="shared" si="6"/>
        <v>66.386092078049501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31.441317123232636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3.1441317123232636E-2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377.52991116406469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0.3775299111640647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524.34699684482268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0.52434699684482267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36.550787542403192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7.859530916994717</v>
      </c>
      <c r="N88" s="2">
        <f>N11/'Output-Calculation-sheet'!N10*'Output-Calculation-sheet'!N73</f>
        <v>7.7246442724781037</v>
      </c>
      <c r="O88" s="2">
        <f>O11/'Output-Calculation-sheet'!O10*'Output-Calculation-sheet'!O73</f>
        <v>664.62398279012029</v>
      </c>
      <c r="P88" s="2">
        <f>P11/'Output-Calculation-sheet'!P10*'Output-Calculation-sheet'!P73</f>
        <v>0</v>
      </c>
      <c r="Q88" s="2">
        <f>Q11/'Output-Calculation-sheet'!Q10*'Output-Calculation-sheet'!Q73</f>
        <v>28.425478507118196</v>
      </c>
      <c r="R88" s="2">
        <f>R11/'Output-Calculation-sheet'!R10*'Output-Calculation-sheet'!R73</f>
        <v>0</v>
      </c>
      <c r="S88" s="2">
        <f>S11/'Output-Calculation-sheet'!S10*'Output-Calculation-sheet'!S73</f>
        <v>0.88560655296610535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0.74607003058208066</v>
      </c>
    </row>
    <row r="89" spans="1:27" x14ac:dyDescent="0.25">
      <c r="A89" s="2">
        <v>2035</v>
      </c>
      <c r="B89" s="2">
        <f>B12/'Output-Calculation-sheet'!B11*'Output-Calculation-sheet'!B74</f>
        <v>518.2207679673777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175.70782880223186</v>
      </c>
      <c r="E89" s="2">
        <f>E12/'Output-Calculation-sheet'!E11*'Output-Calculation-sheet'!E74</f>
        <v>189.91178772220775</v>
      </c>
      <c r="F89" s="2">
        <f>F12/'Output-Calculation-sheet'!F11*'Output-Calculation-sheet'!F74</f>
        <v>73.772659721820474</v>
      </c>
      <c r="G89" s="2">
        <f>G12/'Output-Calculation-sheet'!G11*'Output-Calculation-sheet'!G74</f>
        <v>65.551585241542625</v>
      </c>
      <c r="H89" s="2">
        <f>H12/'Output-Calculation-sheet'!H11*'Output-Calculation-sheet'!H74</f>
        <v>251.56581897296709</v>
      </c>
      <c r="I89" s="2">
        <f>I12/'Output-Calculation-sheet'!I11*'Output-Calculation-sheet'!I74</f>
        <v>61.22727710547062</v>
      </c>
      <c r="J89" s="2">
        <f>J12/'Output-Calculation-sheet'!J11*'Output-Calculation-sheet'!J74</f>
        <v>35.907983746553072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47.849715687510539</v>
      </c>
      <c r="M89" s="2">
        <f>M12/'Output-Calculation-sheet'!M11*'Output-Calculation-sheet'!M74</f>
        <v>146.21217104412992</v>
      </c>
      <c r="N89" s="2">
        <f>N12/'Output-Calculation-sheet'!N11*'Output-Calculation-sheet'!N74</f>
        <v>109.01595683138004</v>
      </c>
      <c r="O89" s="2">
        <f>O12/'Output-Calculation-sheet'!O11*'Output-Calculation-sheet'!O74</f>
        <v>784.56786588785508</v>
      </c>
      <c r="P89" s="2">
        <f>P12/'Output-Calculation-sheet'!P11*'Output-Calculation-sheet'!P74</f>
        <v>59.51139725168543</v>
      </c>
      <c r="Q89" s="2">
        <f>Q12/'Output-Calculation-sheet'!Q11*'Output-Calculation-sheet'!Q74</f>
        <v>91.173093323593548</v>
      </c>
      <c r="R89" s="2">
        <f>R12/'Output-Calculation-sheet'!R11*'Output-Calculation-sheet'!R74</f>
        <v>35.879089628289243</v>
      </c>
      <c r="S89" s="2">
        <f>S12/'Output-Calculation-sheet'!S11*'Output-Calculation-sheet'!S74</f>
        <v>48.289048537313782</v>
      </c>
      <c r="T89" s="2">
        <f>T12/'Output-Calculation-sheet'!T11*'Output-Calculation-sheet'!T74</f>
        <v>8.495303402361694</v>
      </c>
      <c r="U89" s="2">
        <f>U12/'Output-Calculation-sheet'!U11*'Output-Calculation-sheet'!U74</f>
        <v>15.699202498047581</v>
      </c>
      <c r="V89" s="2">
        <f>V12/'Output-Calculation-sheet'!V11*'Output-Calculation-sheet'!V74</f>
        <v>2.136257045625686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0.73746111541615034</v>
      </c>
      <c r="Y89" s="2">
        <f>Y12/'Output-Calculation-sheet'!Y11*'Output-Calculation-sheet'!Y74</f>
        <v>6.9387248062414306</v>
      </c>
      <c r="AA89" s="2">
        <f t="shared" si="7"/>
        <v>2.8131752282716254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14235076319.600958</v>
      </c>
      <c r="C96" s="2">
        <f>C8/'Output-Calculation-sheet'!C7*'Output-Calculation-sheet'!C79</f>
        <v>4815800326.4314041</v>
      </c>
      <c r="D96" s="2">
        <f>D8/'Output-Calculation-sheet'!D7*'Output-Calculation-sheet'!D79</f>
        <v>5027352819.943449</v>
      </c>
      <c r="E96" s="2">
        <f>E8/'Output-Calculation-sheet'!E7*'Output-Calculation-sheet'!E79</f>
        <v>8938219121.6890526</v>
      </c>
      <c r="F96" s="2">
        <f>F8/'Output-Calculation-sheet'!F7*'Output-Calculation-sheet'!F79</f>
        <v>3699439978.0822911</v>
      </c>
      <c r="G96" s="2">
        <f>G8/'Output-Calculation-sheet'!G7*'Output-Calculation-sheet'!G79</f>
        <v>2881565835.7003069</v>
      </c>
      <c r="H96" s="2">
        <f>H8/'Output-Calculation-sheet'!H7*'Output-Calculation-sheet'!H79</f>
        <v>2466461140.0364785</v>
      </c>
      <c r="I96" s="2">
        <f>I8/'Output-Calculation-sheet'!I7*'Output-Calculation-sheet'!I79</f>
        <v>2007311977.8967321</v>
      </c>
      <c r="J96" s="2">
        <f>J8/'Output-Calculation-sheet'!J7*'Output-Calculation-sheet'!J79</f>
        <v>1357392387.9914367</v>
      </c>
      <c r="K96" s="2">
        <f>K8/'Output-Calculation-sheet'!K7*'Output-Calculation-sheet'!K79</f>
        <v>1942026463.8644125</v>
      </c>
      <c r="L96" s="2">
        <f>L8/'Output-Calculation-sheet'!L7*'Output-Calculation-sheet'!L79</f>
        <v>1370295482.4256001</v>
      </c>
      <c r="M96" s="2">
        <f>M8/'Output-Calculation-sheet'!M7*'Output-Calculation-sheet'!M79</f>
        <v>1841163380.4982858</v>
      </c>
      <c r="N96" s="2">
        <f>N8/'Output-Calculation-sheet'!N7*'Output-Calculation-sheet'!N79</f>
        <v>1369970197.2344699</v>
      </c>
      <c r="O96" s="2">
        <f>O8/'Output-Calculation-sheet'!O7*'Output-Calculation-sheet'!O79</f>
        <v>692565647.79833567</v>
      </c>
      <c r="P96" s="2">
        <f>P8/'Output-Calculation-sheet'!P7*'Output-Calculation-sheet'!P79</f>
        <v>2316501867.0683417</v>
      </c>
      <c r="Q96" s="2">
        <f>Q8/'Output-Calculation-sheet'!Q7*'Output-Calculation-sheet'!Q79</f>
        <v>1079587139.558953</v>
      </c>
      <c r="R96" s="2">
        <f>R8/'Output-Calculation-sheet'!R7*'Output-Calculation-sheet'!R79</f>
        <v>1346915584.4416201</v>
      </c>
      <c r="S96" s="2">
        <f>S8/'Output-Calculation-sheet'!S7*'Output-Calculation-sheet'!S79</f>
        <v>784824285.44939685</v>
      </c>
      <c r="T96" s="2">
        <f>T8/'Output-Calculation-sheet'!T7*'Output-Calculation-sheet'!T79</f>
        <v>599422285.64125681</v>
      </c>
      <c r="U96" s="2">
        <f>U8/'Output-Calculation-sheet'!U7*'Output-Calculation-sheet'!U79</f>
        <v>376542403.68585438</v>
      </c>
      <c r="V96" s="2">
        <f>V8/'Output-Calculation-sheet'!V7*'Output-Calculation-sheet'!V79</f>
        <v>195368956.93779394</v>
      </c>
      <c r="W96" s="2">
        <f>W8/'Output-Calculation-sheet'!W7*'Output-Calculation-sheet'!W79</f>
        <v>577304178.85675395</v>
      </c>
      <c r="X96" s="2">
        <f>X8/'Output-Calculation-sheet'!X7*'Output-Calculation-sheet'!X79</f>
        <v>202904957.09977481</v>
      </c>
      <c r="Y96" s="2">
        <f>Y8/'Output-Calculation-sheet'!Y7*'Output-Calculation-sheet'!Y79</f>
        <v>317340585.7368232</v>
      </c>
      <c r="AA96" s="2">
        <f t="shared" si="8"/>
        <v>60.44135332366978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1661.5732490420758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322.79752246518837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38.609714768585128</v>
      </c>
      <c r="Y107" s="2">
        <f>Y8/'Output-Calculation-sheet'!Y7*'Output-Calculation-sheet'!Y88</f>
        <v>0</v>
      </c>
      <c r="AA107" s="2">
        <f t="shared" si="9"/>
        <v>2.0229804862758494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3335.798290292948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3.3911650168868968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4.8085670856745857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6.3918391174004912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198.74577060465251</v>
      </c>
      <c r="Y111" s="2">
        <f>Y12/'Output-Calculation-sheet'!Y11*'Output-Calculation-sheet'!Y92</f>
        <v>0</v>
      </c>
      <c r="AA111" s="2">
        <f t="shared" si="9"/>
        <v>9.3627233317733936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1665573866.3575625</v>
      </c>
      <c r="C118" s="2">
        <f>C8/'Output-Calculation-sheet'!C7*'Output-Calculation-sheet'!C97</f>
        <v>13752253758.022087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8558392379.5784588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5904565815.5923939</v>
      </c>
      <c r="N118" s="2">
        <f>N8/'Output-Calculation-sheet'!N7*'Output-Calculation-sheet'!N97</f>
        <v>1976355585.2053976</v>
      </c>
      <c r="O118" s="2">
        <f>O8/'Output-Calculation-sheet'!O7*'Output-Calculation-sheet'!O97</f>
        <v>2326831442.4072967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592342547.70911956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321505978.07099432</v>
      </c>
      <c r="Y118" s="2">
        <f>Y8/'Output-Calculation-sheet'!Y7*'Output-Calculation-sheet'!Y97</f>
        <v>0</v>
      </c>
      <c r="AA118" s="2">
        <f t="shared" si="10"/>
        <v>35097.821372943305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11577961734.556974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3976706242.1735134</v>
      </c>
      <c r="O119" s="2">
        <f>O9/'Output-Calculation-sheet'!O8*'Output-Calculation-sheet'!O98</f>
        <v>4294807922.8672304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1192230981.6378391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465739295.53079855</v>
      </c>
      <c r="Y119" s="2">
        <f>Y9/'Output-Calculation-sheet'!Y8*'Output-Calculation-sheet'!Y98</f>
        <v>0</v>
      </c>
      <c r="AA119" s="2">
        <f t="shared" si="10"/>
        <v>50094.672120510899</v>
      </c>
    </row>
    <row r="120" spans="1:27" x14ac:dyDescent="0.25">
      <c r="A120" s="2">
        <v>2033</v>
      </c>
      <c r="B120" s="2">
        <f>B10/'Output-Calculation-sheet'!B9*'Output-Calculation-sheet'!B99</f>
        <v>22000571792.018528</v>
      </c>
      <c r="C120" s="2">
        <f>C10/'Output-Calculation-sheet'!C9*'Output-Calculation-sheet'!C99</f>
        <v>12732513670.626743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6600492470.3882771</v>
      </c>
      <c r="O120" s="2">
        <f>O10/'Output-Calculation-sheet'!O9*'Output-Calculation-sheet'!O99</f>
        <v>5146558932.127821</v>
      </c>
      <c r="P120" s="2">
        <f>P10/'Output-Calculation-sheet'!P9*'Output-Calculation-sheet'!P99</f>
        <v>0</v>
      </c>
      <c r="Q120" s="2">
        <f>Q10/'Output-Calculation-sheet'!Q9*'Output-Calculation-sheet'!Q99</f>
        <v>216416503.64827773</v>
      </c>
      <c r="R120" s="2">
        <f>R10/'Output-Calculation-sheet'!R9*'Output-Calculation-sheet'!R99</f>
        <v>0</v>
      </c>
      <c r="S120" s="2">
        <f>S10/'Output-Calculation-sheet'!S9*'Output-Calculation-sheet'!S99</f>
        <v>2658724220.6304016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723303071.4100076</v>
      </c>
      <c r="Y120" s="2">
        <f>Y10/'Output-Calculation-sheet'!Y9*'Output-Calculation-sheet'!Y99</f>
        <v>0</v>
      </c>
      <c r="AA120" s="2">
        <f t="shared" si="10"/>
        <v>77627.59790975634</v>
      </c>
    </row>
    <row r="121" spans="1:27" x14ac:dyDescent="0.25">
      <c r="A121" s="2">
        <v>2034</v>
      </c>
      <c r="B121" s="2">
        <f>B11/'Output-Calculation-sheet'!B10*'Output-Calculation-sheet'!B100</f>
        <v>54999214770.322533</v>
      </c>
      <c r="C121" s="2">
        <f>C11/'Output-Calculation-sheet'!C10*'Output-Calculation-sheet'!C100</f>
        <v>13666433977.147942</v>
      </c>
      <c r="D121" s="2">
        <f>D11/'Output-Calculation-sheet'!D10*'Output-Calculation-sheet'!D100</f>
        <v>0</v>
      </c>
      <c r="E121" s="2">
        <f>E11/'Output-Calculation-sheet'!E10*'Output-Calculation-sheet'!E100</f>
        <v>1137637472.6685934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20181483075.174603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935075487.47526371</v>
      </c>
      <c r="M121" s="2">
        <f>M11/'Output-Calculation-sheet'!M10*'Output-Calculation-sheet'!M100</f>
        <v>14124224683.187067</v>
      </c>
      <c r="N121" s="2">
        <f>N11/'Output-Calculation-sheet'!N10*'Output-Calculation-sheet'!N100</f>
        <v>9591624361.1953182</v>
      </c>
      <c r="O121" s="2">
        <f>O11/'Output-Calculation-sheet'!O10*'Output-Calculation-sheet'!O100</f>
        <v>6081511280.6154814</v>
      </c>
      <c r="P121" s="2">
        <f>P11/'Output-Calculation-sheet'!P10*'Output-Calculation-sheet'!P100</f>
        <v>0</v>
      </c>
      <c r="Q121" s="2">
        <f>Q11/'Output-Calculation-sheet'!Q10*'Output-Calculation-sheet'!Q100</f>
        <v>1235807017.8970444</v>
      </c>
      <c r="R121" s="2">
        <f>R11/'Output-Calculation-sheet'!R10*'Output-Calculation-sheet'!R100</f>
        <v>0</v>
      </c>
      <c r="S121" s="2">
        <f>S11/'Output-Calculation-sheet'!S10*'Output-Calculation-sheet'!S100</f>
        <v>4769024055.164937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62400864.478096642</v>
      </c>
      <c r="AA121" s="2">
        <f t="shared" si="10"/>
        <v>127465.43063536768</v>
      </c>
    </row>
    <row r="122" spans="1:27" x14ac:dyDescent="0.25">
      <c r="A122" s="2">
        <v>2035</v>
      </c>
      <c r="B122" s="2">
        <f>B12/'Output-Calculation-sheet'!B11*'Output-Calculation-sheet'!B101</f>
        <v>74321082791.613571</v>
      </c>
      <c r="C122" s="2">
        <f>C12/'Output-Calculation-sheet'!C11*'Output-Calculation-sheet'!C101</f>
        <v>436789366.87983787</v>
      </c>
      <c r="D122" s="2">
        <f>D12/'Output-Calculation-sheet'!D11*'Output-Calculation-sheet'!D101</f>
        <v>0</v>
      </c>
      <c r="E122" s="2">
        <f>E12/'Output-Calculation-sheet'!E11*'Output-Calculation-sheet'!E101</f>
        <v>5945797349.4925871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22791545688.693863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1527804559.8990152</v>
      </c>
      <c r="M122" s="2">
        <f>M12/'Output-Calculation-sheet'!M11*'Output-Calculation-sheet'!M101</f>
        <v>15987832016.368464</v>
      </c>
      <c r="N122" s="2">
        <f>N12/'Output-Calculation-sheet'!N11*'Output-Calculation-sheet'!N101</f>
        <v>10757798680.806648</v>
      </c>
      <c r="O122" s="2">
        <f>O12/'Output-Calculation-sheet'!O11*'Output-Calculation-sheet'!O101</f>
        <v>7293151748.8468018</v>
      </c>
      <c r="P122" s="2">
        <f>P12/'Output-Calculation-sheet'!P11*'Output-Calculation-sheet'!P101</f>
        <v>457270622.33597481</v>
      </c>
      <c r="Q122" s="2">
        <f>Q12/'Output-Calculation-sheet'!Q11*'Output-Calculation-sheet'!Q101</f>
        <v>1719223524.1558108</v>
      </c>
      <c r="R122" s="2">
        <f>R12/'Output-Calculation-sheet'!R11*'Output-Calculation-sheet'!R101</f>
        <v>0</v>
      </c>
      <c r="S122" s="2">
        <f>S12/'Output-Calculation-sheet'!S11*'Output-Calculation-sheet'!S101</f>
        <v>5650412350.1094952</v>
      </c>
      <c r="T122" s="2">
        <f>T12/'Output-Calculation-sheet'!T11*'Output-Calculation-sheet'!T101</f>
        <v>0</v>
      </c>
      <c r="U122" s="2">
        <f>U12/'Output-Calculation-sheet'!U11*'Output-Calculation-sheet'!U101</f>
        <v>83475383.955493659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195790763.91518</v>
      </c>
      <c r="Y122" s="2">
        <f>Y12/'Output-Calculation-sheet'!Y11*'Output-Calculation-sheet'!Y101</f>
        <v>303237218.97848701</v>
      </c>
      <c r="AA122" s="2">
        <f t="shared" si="10"/>
        <v>147471.21206605126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56555021144.291153</v>
      </c>
      <c r="C129" s="2">
        <f>C8/'Output-Calculation-sheet'!C7*'Output-Calculation-sheet'!C106</f>
        <v>0</v>
      </c>
      <c r="D129" s="2">
        <f>D8/'Output-Calculation-sheet'!D7*'Output-Calculation-sheet'!D106</f>
        <v>24453244366.574764</v>
      </c>
      <c r="E129" s="2">
        <f>E8/'Output-Calculation-sheet'!E7*'Output-Calculation-sheet'!E106</f>
        <v>19401190678.533489</v>
      </c>
      <c r="F129" s="2">
        <f>F8/'Output-Calculation-sheet'!F7*'Output-Calculation-sheet'!F106</f>
        <v>12489238204.922966</v>
      </c>
      <c r="G129" s="2">
        <f>G8/'Output-Calculation-sheet'!G7*'Output-Calculation-sheet'!G106</f>
        <v>8775301804.0590496</v>
      </c>
      <c r="H129" s="2">
        <f>H8/'Output-Calculation-sheet'!H7*'Output-Calculation-sheet'!H106</f>
        <v>0</v>
      </c>
      <c r="I129" s="2">
        <f>I8/'Output-Calculation-sheet'!I7*'Output-Calculation-sheet'!I106</f>
        <v>7994972128.4286938</v>
      </c>
      <c r="J129" s="2">
        <f>J8/'Output-Calculation-sheet'!J7*'Output-Calculation-sheet'!J106</f>
        <v>7781730593.0941801</v>
      </c>
      <c r="K129" s="2">
        <f>K8/'Output-Calculation-sheet'!K7*'Output-Calculation-sheet'!K106</f>
        <v>7707139260.6841717</v>
      </c>
      <c r="L129" s="2">
        <f>L8/'Output-Calculation-sheet'!L7*'Output-Calculation-sheet'!L106</f>
        <v>6182781960.0895386</v>
      </c>
      <c r="M129" s="2">
        <f>M8/'Output-Calculation-sheet'!M7*'Output-Calculation-sheet'!M106</f>
        <v>0</v>
      </c>
      <c r="N129" s="2">
        <f>N8/'Output-Calculation-sheet'!N7*'Output-Calculation-sheet'!N106</f>
        <v>3819954585.1700234</v>
      </c>
      <c r="O129" s="2">
        <f>O8/'Output-Calculation-sheet'!O7*'Output-Calculation-sheet'!O106</f>
        <v>0</v>
      </c>
      <c r="P129" s="2">
        <f>P8/'Output-Calculation-sheet'!P7*'Output-Calculation-sheet'!P106</f>
        <v>5276712571.5847397</v>
      </c>
      <c r="Q129" s="2">
        <f>Q8/'Output-Calculation-sheet'!Q7*'Output-Calculation-sheet'!Q106</f>
        <v>5191422703.4981794</v>
      </c>
      <c r="R129" s="2">
        <f>R8/'Output-Calculation-sheet'!R7*'Output-Calculation-sheet'!R106</f>
        <v>4994397562.2390556</v>
      </c>
      <c r="S129" s="2">
        <f>S8/'Output-Calculation-sheet'!S7*'Output-Calculation-sheet'!S106</f>
        <v>2727182405.0936513</v>
      </c>
      <c r="T129" s="2">
        <f>T8/'Output-Calculation-sheet'!T7*'Output-Calculation-sheet'!T106</f>
        <v>1835885016.1429033</v>
      </c>
      <c r="U129" s="2">
        <f>U8/'Output-Calculation-sheet'!U7*'Output-Calculation-sheet'!U106</f>
        <v>1598995950.8179915</v>
      </c>
      <c r="V129" s="2">
        <f>V8/'Output-Calculation-sheet'!V7*'Output-Calculation-sheet'!V106</f>
        <v>1231253535.159842</v>
      </c>
      <c r="W129" s="2">
        <f>W8/'Output-Calculation-sheet'!W7*'Output-Calculation-sheet'!W106</f>
        <v>1066001072.896359</v>
      </c>
      <c r="X129" s="2">
        <f>X8/'Output-Calculation-sheet'!X7*'Output-Calculation-sheet'!X106</f>
        <v>0</v>
      </c>
      <c r="Y129" s="2">
        <f>Y8/'Output-Calculation-sheet'!Y7*'Output-Calculation-sheet'!Y106</f>
        <v>622002306.52411175</v>
      </c>
      <c r="AA129" s="2">
        <f t="shared" si="11"/>
        <v>179704.4278498049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4.1252139807491953E-8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4334569412.219635</v>
      </c>
      <c r="O130" s="2">
        <f>O9/'Output-Calculation-sheet'!O8*'Output-Calculation-sheet'!O107</f>
        <v>0</v>
      </c>
      <c r="P130" s="2">
        <f>P9/'Output-Calculation-sheet'!P8*'Output-Calculation-sheet'!P107</f>
        <v>7566800977.4388857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3567747471.7304215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250752.92087369243</v>
      </c>
    </row>
    <row r="131" spans="1:27" x14ac:dyDescent="0.25">
      <c r="A131" s="2">
        <v>2033</v>
      </c>
      <c r="B131" s="2">
        <f>B10/'Output-Calculation-sheet'!B9*'Output-Calculation-sheet'!B108</f>
        <v>88887447108.073486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4438365301.5683088</v>
      </c>
      <c r="O131" s="2">
        <f>O10/'Output-Calculation-sheet'!O9*'Output-Calculation-sheet'!O108</f>
        <v>0</v>
      </c>
      <c r="P131" s="2">
        <f>P10/'Output-Calculation-sheet'!P9*'Output-Calculation-sheet'!P108</f>
        <v>10050142565.864672</v>
      </c>
      <c r="Q131" s="2">
        <f>Q10/'Output-Calculation-sheet'!Q9*'Output-Calculation-sheet'!Q108</f>
        <v>9671765760.5633221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3663324242.1641855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318868.52105914318</v>
      </c>
    </row>
    <row r="132" spans="1:27" x14ac:dyDescent="0.25">
      <c r="A132" s="2">
        <v>2034</v>
      </c>
      <c r="B132" s="2">
        <f>B11/'Output-Calculation-sheet'!B10*'Output-Calculation-sheet'!B109</f>
        <v>85138601715.18045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45565234549.623871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18732633509.99873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13948429317.452011</v>
      </c>
      <c r="M132" s="2">
        <f>M11/'Output-Calculation-sheet'!M10*'Output-Calculation-sheet'!M109</f>
        <v>0</v>
      </c>
      <c r="N132" s="2">
        <f>N11/'Output-Calculation-sheet'!N10*'Output-Calculation-sheet'!N109</f>
        <v>4240647403.9856486</v>
      </c>
      <c r="O132" s="2">
        <f>O11/'Output-Calculation-sheet'!O10*'Output-Calculation-sheet'!O109</f>
        <v>0</v>
      </c>
      <c r="P132" s="2">
        <f>P11/'Output-Calculation-sheet'!P10*'Output-Calculation-sheet'!P109</f>
        <v>12701456970.808199</v>
      </c>
      <c r="Q132" s="2">
        <f>Q11/'Output-Calculation-sheet'!Q10*'Output-Calculation-sheet'!Q109</f>
        <v>10628829205.091558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3205357272.9530978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1434931961.7501123</v>
      </c>
      <c r="AA132" s="2">
        <f t="shared" si="11"/>
        <v>369274.73875349789</v>
      </c>
    </row>
    <row r="133" spans="1:27" x14ac:dyDescent="0.25">
      <c r="A133" s="2">
        <v>2035</v>
      </c>
      <c r="B133" s="2">
        <f>B12/'Output-Calculation-sheet'!B11*'Output-Calculation-sheet'!B110</f>
        <v>86648401402.428787</v>
      </c>
      <c r="C133" s="2">
        <f>C12/'Output-Calculation-sheet'!C11*'Output-Calculation-sheet'!C110</f>
        <v>0</v>
      </c>
      <c r="D133" s="2">
        <f>D12/'Output-Calculation-sheet'!D11*'Output-Calculation-sheet'!D110</f>
        <v>65075980816.146538</v>
      </c>
      <c r="E133" s="2">
        <f>E12/'Output-Calculation-sheet'!E11*'Output-Calculation-sheet'!E110</f>
        <v>49312746153.785149</v>
      </c>
      <c r="F133" s="2">
        <f>F12/'Output-Calculation-sheet'!F11*'Output-Calculation-sheet'!F110</f>
        <v>35093580457.010277</v>
      </c>
      <c r="G133" s="2">
        <f>G12/'Output-Calculation-sheet'!G11*'Output-Calculation-sheet'!G110</f>
        <v>24323929232.23082</v>
      </c>
      <c r="H133" s="2">
        <f>H12/'Output-Calculation-sheet'!H11*'Output-Calculation-sheet'!H110</f>
        <v>0</v>
      </c>
      <c r="I133" s="2">
        <f>I12/'Output-Calculation-sheet'!I11*'Output-Calculation-sheet'!I110</f>
        <v>21956546034.700012</v>
      </c>
      <c r="J133" s="2">
        <f>J12/'Output-Calculation-sheet'!J11*'Output-Calculation-sheet'!J110</f>
        <v>21148648882.741901</v>
      </c>
      <c r="K133" s="2">
        <f>K12/'Output-Calculation-sheet'!K11*'Output-Calculation-sheet'!K110</f>
        <v>20919705225.197098</v>
      </c>
      <c r="L133" s="2">
        <f>L12/'Output-Calculation-sheet'!L11*'Output-Calculation-sheet'!L110</f>
        <v>15382196707.92494</v>
      </c>
      <c r="M133" s="2">
        <f>M12/'Output-Calculation-sheet'!M11*'Output-Calculation-sheet'!M110</f>
        <v>0</v>
      </c>
      <c r="N133" s="2">
        <f>N12/'Output-Calculation-sheet'!N11*'Output-Calculation-sheet'!N110</f>
        <v>4711831526.4305706</v>
      </c>
      <c r="O133" s="2">
        <f>O12/'Output-Calculation-sheet'!O11*'Output-Calculation-sheet'!O110</f>
        <v>0</v>
      </c>
      <c r="P133" s="2">
        <f>P12/'Output-Calculation-sheet'!P11*'Output-Calculation-sheet'!P110</f>
        <v>14453046277.805986</v>
      </c>
      <c r="Q133" s="2">
        <f>Q12/'Output-Calculation-sheet'!Q11*'Output-Calculation-sheet'!Q110</f>
        <v>11532047522.530178</v>
      </c>
      <c r="R133" s="2">
        <f>R12/'Output-Calculation-sheet'!R11*'Output-Calculation-sheet'!R110</f>
        <v>13914813675.745615</v>
      </c>
      <c r="S133" s="2">
        <f>S12/'Output-Calculation-sheet'!S11*'Output-Calculation-sheet'!S110</f>
        <v>3286580101.9281564</v>
      </c>
      <c r="T133" s="2">
        <f>T12/'Output-Calculation-sheet'!T11*'Output-Calculation-sheet'!T110</f>
        <v>5225138301.2633886</v>
      </c>
      <c r="U133" s="2">
        <f>U12/'Output-Calculation-sheet'!U11*'Output-Calculation-sheet'!U110</f>
        <v>4242045952.9211912</v>
      </c>
      <c r="V133" s="2">
        <f>V12/'Output-Calculation-sheet'!V11*'Output-Calculation-sheet'!V110</f>
        <v>3517717866.220108</v>
      </c>
      <c r="W133" s="2">
        <f>W12/'Output-Calculation-sheet'!W11*'Output-Calculation-sheet'!W110</f>
        <v>3088822042.7352653</v>
      </c>
      <c r="X133" s="2">
        <f>X12/'Output-Calculation-sheet'!X11*'Output-Calculation-sheet'!X110</f>
        <v>1681714.8329183985</v>
      </c>
      <c r="Y133" s="2">
        <f>Y12/'Output-Calculation-sheet'!Y11*'Output-Calculation-sheet'!Y110</f>
        <v>1470299062.3366158</v>
      </c>
      <c r="AA133" s="2">
        <f t="shared" si="11"/>
        <v>405305.75895691541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13683400967.83532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2710088521.6126533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318081873.00961804</v>
      </c>
      <c r="Y140" s="2">
        <f>Y8/'Output-Calculation-sheet'!Y7*'Output-Calculation-sheet'!Y115</f>
        <v>0</v>
      </c>
      <c r="AA140" s="2">
        <f t="shared" si="12"/>
        <v>16711.571362457591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27766132861.331059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451380761.89431483</v>
      </c>
      <c r="Y141" s="2">
        <f>Y9/'Output-Calculation-sheet'!Y8*'Output-Calculation-sheet'!Y116</f>
        <v>0</v>
      </c>
      <c r="AA141" s="2">
        <f t="shared" si="12"/>
        <v>28217.513623225372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39525403256.065918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494805508.97082967</v>
      </c>
      <c r="Y142" s="2">
        <f>Y10/'Output-Calculation-sheet'!Y9*'Output-Calculation-sheet'!Y117</f>
        <v>0</v>
      </c>
      <c r="AA142" s="2">
        <f t="shared" si="12"/>
        <v>40020.208765036754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52379471381.945496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53238.045275100463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80182820115.299835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1674715380.586123</v>
      </c>
      <c r="Y144" s="2">
        <f>Y12/'Output-Calculation-sheet'!Y11*'Output-Calculation-sheet'!Y119</f>
        <v>0</v>
      </c>
      <c r="AA144" s="2">
        <f t="shared" si="12"/>
        <v>81857.535495885953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58220596147.28067</v>
      </c>
      <c r="C151" s="2">
        <f>C8/'Output-Calculation-sheet'!C7*'Output-Calculation-sheet'!C124</f>
        <v>27436523275.510315</v>
      </c>
      <c r="D151" s="2">
        <f>D8/'Output-Calculation-sheet'!D7*'Output-Calculation-sheet'!D124</f>
        <v>24453244366.574764</v>
      </c>
      <c r="E151" s="2">
        <f>E8/'Output-Calculation-sheet'!E7*'Output-Calculation-sheet'!E124</f>
        <v>19401190678.533489</v>
      </c>
      <c r="F151" s="2">
        <f>F8/'Output-Calculation-sheet'!F7*'Output-Calculation-sheet'!F124</f>
        <v>12489238204.922966</v>
      </c>
      <c r="G151" s="2">
        <f>G8/'Output-Calculation-sheet'!G7*'Output-Calculation-sheet'!G124</f>
        <v>8775301804.0590496</v>
      </c>
      <c r="H151" s="2">
        <f>H8/'Output-Calculation-sheet'!H7*'Output-Calculation-sheet'!H124</f>
        <v>8559979972.0894232</v>
      </c>
      <c r="I151" s="2">
        <f>I8/'Output-Calculation-sheet'!I7*'Output-Calculation-sheet'!I124</f>
        <v>7994972128.4286938</v>
      </c>
      <c r="J151" s="2">
        <f>J8/'Output-Calculation-sheet'!J7*'Output-Calculation-sheet'!J124</f>
        <v>7781730593.0941801</v>
      </c>
      <c r="K151" s="2">
        <f>K8/'Output-Calculation-sheet'!K7*'Output-Calculation-sheet'!K124</f>
        <v>7707139260.6841717</v>
      </c>
      <c r="L151" s="2">
        <f>L8/'Output-Calculation-sheet'!L7*'Output-Calculation-sheet'!L124</f>
        <v>6182781960.0895386</v>
      </c>
      <c r="M151" s="2">
        <f>M8/'Output-Calculation-sheet'!M7*'Output-Calculation-sheet'!M124</f>
        <v>5905635379.8074646</v>
      </c>
      <c r="N151" s="2">
        <f>N8/'Output-Calculation-sheet'!N7*'Output-Calculation-sheet'!N124</f>
        <v>5796353970.7157087</v>
      </c>
      <c r="O151" s="2">
        <f>O8/'Output-Calculation-sheet'!O7*'Output-Calculation-sheet'!O124</f>
        <v>5681384169.577795</v>
      </c>
      <c r="P151" s="2">
        <f>P8/'Output-Calculation-sheet'!P7*'Output-Calculation-sheet'!P124</f>
        <v>5276712571.5847397</v>
      </c>
      <c r="Q151" s="2">
        <f>Q8/'Output-Calculation-sheet'!Q7*'Output-Calculation-sheet'!Q124</f>
        <v>5191422703.4981794</v>
      </c>
      <c r="R151" s="2">
        <f>R8/'Output-Calculation-sheet'!R7*'Output-Calculation-sheet'!R124</f>
        <v>4994397562.2390556</v>
      </c>
      <c r="S151" s="2">
        <f>S8/'Output-Calculation-sheet'!S7*'Output-Calculation-sheet'!S124</f>
        <v>3319524630.9070387</v>
      </c>
      <c r="T151" s="2">
        <f>T8/'Output-Calculation-sheet'!T7*'Output-Calculation-sheet'!T124</f>
        <v>1835885016.1429033</v>
      </c>
      <c r="U151" s="2">
        <f>U8/'Output-Calculation-sheet'!U7*'Output-Calculation-sheet'!U124</f>
        <v>1598995950.8179915</v>
      </c>
      <c r="V151" s="2">
        <f>V8/'Output-Calculation-sheet'!V7*'Output-Calculation-sheet'!V124</f>
        <v>1231253535.159842</v>
      </c>
      <c r="W151" s="2">
        <f>W8/'Output-Calculation-sheet'!W7*'Output-Calculation-sheet'!W124</f>
        <v>1066001072.896359</v>
      </c>
      <c r="X151" s="2">
        <f>X8/'Output-Calculation-sheet'!X7*'Output-Calculation-sheet'!X124</f>
        <v>639597252.79687095</v>
      </c>
      <c r="Y151" s="2">
        <f>Y8/'Output-Calculation-sheet'!Y7*'Output-Calculation-sheet'!Y124</f>
        <v>622002306.52411175</v>
      </c>
      <c r="AA151" s="2">
        <f t="shared" si="13"/>
        <v>232161.86451393529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23606553303.828419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8574349930.8234739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203439.54546788122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9338448336.7438736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153133.46697335836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3586022894.4516125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2175763375.1887479</v>
      </c>
      <c r="N154" s="2">
        <f>N11/'Output-Calculation-sheet'!N10*'Output-Calculation-sheet'!N127</f>
        <v>2156818011.3937197</v>
      </c>
      <c r="O154" s="2">
        <f>O11/'Output-Calculation-sheet'!O10*'Output-Calculation-sheet'!O127</f>
        <v>9853093795.881937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2617152756.469377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1163440811.9757378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89544.469739829525</v>
      </c>
    </row>
    <row r="155" spans="1:27" x14ac:dyDescent="0.25">
      <c r="A155" s="2">
        <v>2035</v>
      </c>
      <c r="B155" s="2">
        <f>B12/'Output-Calculation-sheet'!B11*'Output-Calculation-sheet'!B128</f>
        <v>14720953591.178185</v>
      </c>
      <c r="C155" s="2">
        <f>C12/'Output-Calculation-sheet'!C11*'Output-Calculation-sheet'!C128</f>
        <v>107763377.58612922</v>
      </c>
      <c r="D155" s="2">
        <f>D12/'Output-Calculation-sheet'!D11*'Output-Calculation-sheet'!D128</f>
        <v>8760679891.0688477</v>
      </c>
      <c r="E155" s="2">
        <f>E12/'Output-Calculation-sheet'!E11*'Output-Calculation-sheet'!E128</f>
        <v>3974935267.381712</v>
      </c>
      <c r="F155" s="2">
        <f>F12/'Output-Calculation-sheet'!F11*'Output-Calculation-sheet'!F128</f>
        <v>2523562449.0070906</v>
      </c>
      <c r="G155" s="2">
        <f>G12/'Output-Calculation-sheet'!G11*'Output-Calculation-sheet'!G128</f>
        <v>2256319600.4139266</v>
      </c>
      <c r="H155" s="2">
        <f>H12/'Output-Calculation-sheet'!H11*'Output-Calculation-sheet'!H128</f>
        <v>3600776359.1299005</v>
      </c>
      <c r="I155" s="2">
        <f>I12/'Output-Calculation-sheet'!I11*'Output-Calculation-sheet'!I128</f>
        <v>2250477734.1579328</v>
      </c>
      <c r="J155" s="2">
        <f>J12/'Output-Calculation-sheet'!J11*'Output-Calculation-sheet'!J128</f>
        <v>2151259874.0503058</v>
      </c>
      <c r="K155" s="2">
        <f>K12/'Output-Calculation-sheet'!K11*'Output-Calculation-sheet'!K128</f>
        <v>2446125811.6714001</v>
      </c>
      <c r="L155" s="2">
        <f>L12/'Output-Calculation-sheet'!L11*'Output-Calculation-sheet'!L128</f>
        <v>1775435345.1980045</v>
      </c>
      <c r="M155" s="2">
        <f>M12/'Output-Calculation-sheet'!M11*'Output-Calculation-sheet'!M128</f>
        <v>2192727123.1521444</v>
      </c>
      <c r="N155" s="2">
        <f>N12/'Output-Calculation-sheet'!N11*'Output-Calculation-sheet'!N128</f>
        <v>2135105594.4102466</v>
      </c>
      <c r="O155" s="2">
        <f>O12/'Output-Calculation-sheet'!O11*'Output-Calculation-sheet'!O128</f>
        <v>9954692648.6084557</v>
      </c>
      <c r="P155" s="2">
        <f>P12/'Output-Calculation-sheet'!P11*'Output-Calculation-sheet'!P128</f>
        <v>1178673730.9606307</v>
      </c>
      <c r="Q155" s="2">
        <f>Q12/'Output-Calculation-sheet'!Q11*'Output-Calculation-sheet'!Q128</f>
        <v>2636300384.4828153</v>
      </c>
      <c r="R155" s="2">
        <f>R12/'Output-Calculation-sheet'!R11*'Output-Calculation-sheet'!R128</f>
        <v>1137117422.7529559</v>
      </c>
      <c r="S155" s="2">
        <f>S12/'Output-Calculation-sheet'!S11*'Output-Calculation-sheet'!S128</f>
        <v>1139951994.0676548</v>
      </c>
      <c r="T155" s="2">
        <f>T12/'Output-Calculation-sheet'!T11*'Output-Calculation-sheet'!T128</f>
        <v>271964926.42796874</v>
      </c>
      <c r="U155" s="2">
        <f>U12/'Output-Calculation-sheet'!U11*'Output-Calculation-sheet'!U128</f>
        <v>526288982.75454849</v>
      </c>
      <c r="V155" s="2">
        <f>V12/'Output-Calculation-sheet'!V11*'Output-Calculation-sheet'!V128</f>
        <v>131224253.18877405</v>
      </c>
      <c r="W155" s="2">
        <f>W12/'Output-Calculation-sheet'!W11*'Output-Calculation-sheet'!W128</f>
        <v>121927632.13379335</v>
      </c>
      <c r="X155" s="2">
        <f>X12/'Output-Calculation-sheet'!X11*'Output-Calculation-sheet'!X128</f>
        <v>15001002.595042812</v>
      </c>
      <c r="Y155" s="2">
        <f>Y12/'Output-Calculation-sheet'!Y11*'Output-Calculation-sheet'!Y128</f>
        <v>131154726.58305354</v>
      </c>
      <c r="AA155" s="2">
        <f t="shared" si="13"/>
        <v>66140.419722961538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1258.8538847740458</v>
      </c>
      <c r="C19" s="2">
        <f>C8/'Output-Calculation-sheet'!C7*'Output-Calculation-sheet'!C25</f>
        <v>8975.7055251805177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5655.9945442611252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3926.0466882897913</v>
      </c>
      <c r="N19" s="2">
        <f>N8/'Output-Calculation-sheet'!N7*'Output-Calculation-sheet'!N25</f>
        <v>1342.4287333594843</v>
      </c>
      <c r="O19" s="2">
        <f>O8/'Output-Calculation-sheet'!O7*'Output-Calculation-sheet'!O25</f>
        <v>1464.4029394631273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479.46225142608023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207.27000898456924</v>
      </c>
      <c r="Y19" s="2">
        <f>Y8/'Output-Calculation-sheet'!Y7*'Output-Calculation-sheet'!Y25</f>
        <v>0</v>
      </c>
      <c r="AA19" s="2">
        <f t="shared" si="0"/>
        <v>23.310164575738742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6694.8501032173372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7546.2719958537264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5243.6016825334627</v>
      </c>
      <c r="N20" s="2">
        <f>N9/'Output-Calculation-sheet'!N8*'Output-Calculation-sheet'!N26</f>
        <v>2362.3347043179779</v>
      </c>
      <c r="O20" s="2">
        <f>O9/'Output-Calculation-sheet'!O8*'Output-Calculation-sheet'!O26</f>
        <v>2492.5158584072092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858.66305793701395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280.21084605314581</v>
      </c>
      <c r="Y20" s="2">
        <f>Y9/'Output-Calculation-sheet'!Y8*'Output-Calculation-sheet'!Y26</f>
        <v>0</v>
      </c>
      <c r="AA20" s="2">
        <f t="shared" si="0"/>
        <v>32.414403128893092</v>
      </c>
    </row>
    <row r="21" spans="1:27" x14ac:dyDescent="0.25">
      <c r="A21" s="2">
        <v>2033</v>
      </c>
      <c r="B21" s="2">
        <f>B10/'Output-Calculation-sheet'!B9*'Output-Calculation-sheet'!B27</f>
        <v>15332.895320897169</v>
      </c>
      <c r="C21" s="2">
        <f>C10/'Output-Calculation-sheet'!C9*'Output-Calculation-sheet'!C27</f>
        <v>6359.1017170891437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8889.4672264483052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6175.5623566209861</v>
      </c>
      <c r="N21" s="2">
        <f>N10/'Output-Calculation-sheet'!N9*'Output-Calculation-sheet'!N27</f>
        <v>3368.903470852586</v>
      </c>
      <c r="O21" s="2">
        <f>O10/'Output-Calculation-sheet'!O9*'Output-Calculation-sheet'!O27</f>
        <v>2639.7206847015527</v>
      </c>
      <c r="P21" s="2">
        <f>P10/'Output-Calculation-sheet'!P9*'Output-Calculation-sheet'!P27</f>
        <v>0</v>
      </c>
      <c r="Q21" s="2">
        <f>Q10/'Output-Calculation-sheet'!Q9*'Output-Calculation-sheet'!Q27</f>
        <v>229.90383318215191</v>
      </c>
      <c r="R21" s="2">
        <f>R10/'Output-Calculation-sheet'!R9*'Output-Calculation-sheet'!R27</f>
        <v>0</v>
      </c>
      <c r="S21" s="2">
        <f>S10/'Output-Calculation-sheet'!S9*'Output-Calculation-sheet'!S27</f>
        <v>1468.6057333741087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391.39312991073604</v>
      </c>
      <c r="Y21" s="2">
        <f>Y10/'Output-Calculation-sheet'!Y9*'Output-Calculation-sheet'!Y27</f>
        <v>0</v>
      </c>
      <c r="AA21" s="2">
        <f t="shared" si="0"/>
        <v>44.855553473076739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5610.7568437374312</v>
      </c>
      <c r="D22" s="2">
        <f>D11/'Output-Calculation-sheet'!D10*'Output-Calculation-sheet'!D28</f>
        <v>0</v>
      </c>
      <c r="E22" s="2">
        <f>E11/'Output-Calculation-sheet'!E10*'Output-Calculation-sheet'!E28</f>
        <v>1338.8250033438562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9753.5041214200501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802.7161986406046</v>
      </c>
      <c r="M22" s="2">
        <f>M11/'Output-Calculation-sheet'!M10*'Output-Calculation-sheet'!M28</f>
        <v>7091.9574074713482</v>
      </c>
      <c r="N22" s="2">
        <f>N11/'Output-Calculation-sheet'!N10*'Output-Calculation-sheet'!N28</f>
        <v>4084.8925175558848</v>
      </c>
      <c r="O22" s="2">
        <f>O11/'Output-Calculation-sheet'!O10*'Output-Calculation-sheet'!O28</f>
        <v>2594.8367627709999</v>
      </c>
      <c r="P22" s="2">
        <f>P11/'Output-Calculation-sheet'!P10*'Output-Calculation-sheet'!P28</f>
        <v>0</v>
      </c>
      <c r="Q22" s="2">
        <f>Q11/'Output-Calculation-sheet'!Q10*'Output-Calculation-sheet'!Q28</f>
        <v>953.01721063440164</v>
      </c>
      <c r="R22" s="2">
        <f>R11/'Output-Calculation-sheet'!R10*'Output-Calculation-sheet'!R28</f>
        <v>0</v>
      </c>
      <c r="S22" s="2">
        <f>S11/'Output-Calculation-sheet'!S10*'Output-Calculation-sheet'!S28</f>
        <v>2119.4709087811516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73.099114041435655</v>
      </c>
      <c r="AA22" s="2">
        <f t="shared" si="0"/>
        <v>61.080080248741403</v>
      </c>
    </row>
    <row r="23" spans="1:27" x14ac:dyDescent="0.25">
      <c r="A23" s="2">
        <v>2035</v>
      </c>
      <c r="B23" s="2">
        <f>B12/'Output-Calculation-sheet'!B11*'Output-Calculation-sheet'!B29</f>
        <v>26783.81955520319</v>
      </c>
      <c r="C23" s="2">
        <f>C12/'Output-Calculation-sheet'!C11*'Output-Calculation-sheet'!C29</f>
        <v>138.61559999519704</v>
      </c>
      <c r="D23" s="2">
        <f>D12/'Output-Calculation-sheet'!D11*'Output-Calculation-sheet'!D29</f>
        <v>0</v>
      </c>
      <c r="E23" s="2">
        <f>E12/'Output-Calculation-sheet'!E11*'Output-Calculation-sheet'!E29</f>
        <v>4073.4032070507415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8278.7799345390849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916.72111463533622</v>
      </c>
      <c r="M23" s="2">
        <f>M12/'Output-Calculation-sheet'!M11*'Output-Calculation-sheet'!M29</f>
        <v>6030.3037582650131</v>
      </c>
      <c r="N23" s="2">
        <f>N12/'Output-Calculation-sheet'!N11*'Output-Calculation-sheet'!N29</f>
        <v>3501.5099274486001</v>
      </c>
      <c r="O23" s="2">
        <f>O12/'Output-Calculation-sheet'!O11*'Output-Calculation-sheet'!O29</f>
        <v>2413.1141782640748</v>
      </c>
      <c r="P23" s="2">
        <f>P12/'Output-Calculation-sheet'!P11*'Output-Calculation-sheet'!P29</f>
        <v>421.21832442660326</v>
      </c>
      <c r="Q23" s="2">
        <f>Q12/'Output-Calculation-sheet'!Q11*'Output-Calculation-sheet'!Q29</f>
        <v>938.40701774396246</v>
      </c>
      <c r="R23" s="2">
        <f>R12/'Output-Calculation-sheet'!R11*'Output-Calculation-sheet'!R29</f>
        <v>0</v>
      </c>
      <c r="S23" s="2">
        <f>S12/'Output-Calculation-sheet'!S11*'Output-Calculation-sheet'!S29</f>
        <v>1902.0852374821059</v>
      </c>
      <c r="T23" s="2">
        <f>T12/'Output-Calculation-sheet'!T11*'Output-Calculation-sheet'!T29</f>
        <v>0</v>
      </c>
      <c r="U23" s="2">
        <f>U12/'Output-Calculation-sheet'!U11*'Output-Calculation-sheet'!U29</f>
        <v>83.750322624043832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62.134081464749222</v>
      </c>
      <c r="Y23" s="2">
        <f>Y12/'Output-Calculation-sheet'!Y11*'Output-Calculation-sheet'!Y29</f>
        <v>178.94449253317688</v>
      </c>
      <c r="AA23" s="2">
        <f t="shared" si="0"/>
        <v>55.722806751675883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21943.081833380318</v>
      </c>
      <c r="C30" s="2">
        <f>C8/'Output-Calculation-sheet'!C7*'Output-Calculation-sheet'!C16</f>
        <v>0</v>
      </c>
      <c r="D30" s="2">
        <f>D8/'Output-Calculation-sheet'!D7*'Output-Calculation-sheet'!D16</f>
        <v>3694.8973562054457</v>
      </c>
      <c r="E30" s="2">
        <f>E8/'Output-Calculation-sheet'!E7*'Output-Calculation-sheet'!E16</f>
        <v>3975.5059095952101</v>
      </c>
      <c r="F30" s="2">
        <f>F8/'Output-Calculation-sheet'!F7*'Output-Calculation-sheet'!F16</f>
        <v>2005.6966614269581</v>
      </c>
      <c r="G30" s="2">
        <f>G8/'Output-Calculation-sheet'!G7*'Output-Calculation-sheet'!G16</f>
        <v>1313.4756250925429</v>
      </c>
      <c r="H30" s="2">
        <f>H8/'Output-Calculation-sheet'!H7*'Output-Calculation-sheet'!H16</f>
        <v>0</v>
      </c>
      <c r="I30" s="2">
        <f>I8/'Output-Calculation-sheet'!I7*'Output-Calculation-sheet'!I16</f>
        <v>1280.4577111928859</v>
      </c>
      <c r="J30" s="2">
        <f>J8/'Output-Calculation-sheet'!J7*'Output-Calculation-sheet'!J16</f>
        <v>1139.8378810127272</v>
      </c>
      <c r="K30" s="2">
        <f>K8/'Output-Calculation-sheet'!K7*'Output-Calculation-sheet'!K16</f>
        <v>1521.9027579820852</v>
      </c>
      <c r="L30" s="2">
        <f>L8/'Output-Calculation-sheet'!L7*'Output-Calculation-sheet'!L16</f>
        <v>1285.5139597060188</v>
      </c>
      <c r="M30" s="2">
        <f>M8/'Output-Calculation-sheet'!M7*'Output-Calculation-sheet'!M16</f>
        <v>0</v>
      </c>
      <c r="N30" s="2">
        <f>N8/'Output-Calculation-sheet'!N7*'Output-Calculation-sheet'!N16</f>
        <v>1827.3319409770393</v>
      </c>
      <c r="O30" s="2">
        <f>O8/'Output-Calculation-sheet'!O7*'Output-Calculation-sheet'!O16</f>
        <v>0</v>
      </c>
      <c r="P30" s="2">
        <f>P8/'Output-Calculation-sheet'!P7*'Output-Calculation-sheet'!P16</f>
        <v>1641.1248837358901</v>
      </c>
      <c r="Q30" s="2">
        <f>Q8/'Output-Calculation-sheet'!Q7*'Output-Calculation-sheet'!Q16</f>
        <v>1804.703761368806</v>
      </c>
      <c r="R30" s="2">
        <f>R8/'Output-Calculation-sheet'!R7*'Output-Calculation-sheet'!R16</f>
        <v>1145.0909854701365</v>
      </c>
      <c r="S30" s="2">
        <f>S8/'Output-Calculation-sheet'!S7*'Output-Calculation-sheet'!S16</f>
        <v>1151.6274479006699</v>
      </c>
      <c r="T30" s="2">
        <f>T8/'Output-Calculation-sheet'!T7*'Output-Calculation-sheet'!T16</f>
        <v>343.73771684164188</v>
      </c>
      <c r="U30" s="2">
        <f>U8/'Output-Calculation-sheet'!U7*'Output-Calculation-sheet'!U16</f>
        <v>343.12486300273758</v>
      </c>
      <c r="V30" s="2">
        <f>V8/'Output-Calculation-sheet'!V7*'Output-Calculation-sheet'!V16</f>
        <v>267.04639885705473</v>
      </c>
      <c r="W30" s="2">
        <f>W8/'Output-Calculation-sheet'!W7*'Output-Calculation-sheet'!W16</f>
        <v>161.97911106054366</v>
      </c>
      <c r="X30" s="2">
        <f>X8/'Output-Calculation-sheet'!X7*'Output-Calculation-sheet'!X16</f>
        <v>0</v>
      </c>
      <c r="Y30" s="2">
        <f>Y8/'Output-Calculation-sheet'!Y7*'Output-Calculation-sheet'!Y16</f>
        <v>137.09445436884715</v>
      </c>
      <c r="AA30" s="2">
        <f t="shared" si="1"/>
        <v>46.983231259177565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2011.4943234371988</v>
      </c>
      <c r="O31" s="2">
        <f>O9/'Output-Calculation-sheet'!O8*'Output-Calculation-sheet'!O17</f>
        <v>0</v>
      </c>
      <c r="P31" s="2">
        <f>P9/'Output-Calculation-sheet'!P8*'Output-Calculation-sheet'!P17</f>
        <v>2490.3056118033942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1495.7726289243949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63.955961560344917</v>
      </c>
    </row>
    <row r="32" spans="1:27" x14ac:dyDescent="0.25">
      <c r="A32" s="2">
        <v>2033</v>
      </c>
      <c r="B32" s="2">
        <f>B10/'Output-Calculation-sheet'!B9*'Output-Calculation-sheet'!B18</f>
        <v>31219.938972049742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2973.5526375860923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1912.4032888553115</v>
      </c>
      <c r="O32" s="2">
        <f>O10/'Output-Calculation-sheet'!O9*'Output-Calculation-sheet'!O18</f>
        <v>0</v>
      </c>
      <c r="P32" s="2">
        <f>P10/'Output-Calculation-sheet'!P9*'Output-Calculation-sheet'!P18</f>
        <v>3060.451515460773</v>
      </c>
      <c r="Q32" s="2">
        <f>Q10/'Output-Calculation-sheet'!Q9*'Output-Calculation-sheet'!Q18</f>
        <v>3332.9430887846315</v>
      </c>
      <c r="R32" s="2">
        <f>R10/'Output-Calculation-sheet'!R9*'Output-Calculation-sheet'!R18</f>
        <v>2197.7104423890296</v>
      </c>
      <c r="S32" s="2">
        <f>S10/'Output-Calculation-sheet'!S9*'Output-Calculation-sheet'!S18</f>
        <v>1439.2524732027921</v>
      </c>
      <c r="T32" s="2">
        <f>T10/'Output-Calculation-sheet'!T9*'Output-Calculation-sheet'!T18</f>
        <v>641.66139019375532</v>
      </c>
      <c r="U32" s="2">
        <f>U10/'Output-Calculation-sheet'!U9*'Output-Calculation-sheet'!U18</f>
        <v>709.35725208599843</v>
      </c>
      <c r="V32" s="2">
        <f>V10/'Output-Calculation-sheet'!V9*'Output-Calculation-sheet'!V18</f>
        <v>523.5780942483641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303.12495623013501</v>
      </c>
      <c r="AA32" s="2">
        <f t="shared" si="1"/>
        <v>74.991780072555599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7947.5085070063978</v>
      </c>
      <c r="E33" s="2">
        <f>E11/'Output-Calculation-sheet'!E10*'Output-Calculation-sheet'!E19</f>
        <v>9841.6905769560908</v>
      </c>
      <c r="F33" s="2">
        <f>F11/'Output-Calculation-sheet'!F10*'Output-Calculation-sheet'!F19</f>
        <v>4510.9571306674979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2952.221907270487</v>
      </c>
      <c r="J33" s="2">
        <f>J11/'Output-Calculation-sheet'!J10*'Output-Calculation-sheet'!J19</f>
        <v>2496.0441875292959</v>
      </c>
      <c r="K33" s="2">
        <f>K11/'Output-Calculation-sheet'!K10*'Output-Calculation-sheet'!K19</f>
        <v>3462.175366621082</v>
      </c>
      <c r="L33" s="2">
        <f>L11/'Output-Calculation-sheet'!L10*'Output-Calculation-sheet'!L19</f>
        <v>2816.6992395325096</v>
      </c>
      <c r="M33" s="2">
        <f>M11/'Output-Calculation-sheet'!M10*'Output-Calculation-sheet'!M19</f>
        <v>0</v>
      </c>
      <c r="N33" s="2">
        <f>N11/'Output-Calculation-sheet'!N10*'Output-Calculation-sheet'!N19</f>
        <v>1601.6258717151406</v>
      </c>
      <c r="O33" s="2">
        <f>O11/'Output-Calculation-sheet'!O10*'Output-Calculation-sheet'!O19</f>
        <v>0</v>
      </c>
      <c r="P33" s="2">
        <f>P11/'Output-Calculation-sheet'!P10*'Output-Calculation-sheet'!P19</f>
        <v>3502.1930021878661</v>
      </c>
      <c r="Q33" s="2">
        <f>Q11/'Output-Calculation-sheet'!Q10*'Output-Calculation-sheet'!Q19</f>
        <v>2861.5257534809407</v>
      </c>
      <c r="R33" s="2">
        <f>R11/'Output-Calculation-sheet'!R10*'Output-Calculation-sheet'!R19</f>
        <v>2500.9307378434091</v>
      </c>
      <c r="S33" s="2">
        <f>S11/'Output-Calculation-sheet'!S10*'Output-Calculation-sheet'!S19</f>
        <v>1165.0534894721968</v>
      </c>
      <c r="T33" s="2">
        <f>T11/'Output-Calculation-sheet'!T10*'Output-Calculation-sheet'!T19</f>
        <v>733.82192094142647</v>
      </c>
      <c r="U33" s="2">
        <f>U11/'Output-Calculation-sheet'!U10*'Output-Calculation-sheet'!U19</f>
        <v>844.04344717229014</v>
      </c>
      <c r="V33" s="2">
        <f>V11/'Output-Calculation-sheet'!V10*'Output-Calculation-sheet'!V19</f>
        <v>575.59010336320182</v>
      </c>
      <c r="W33" s="2">
        <f>W11/'Output-Calculation-sheet'!W10*'Output-Calculation-sheet'!W19</f>
        <v>358.35489287279677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77.84006497983323</v>
      </c>
    </row>
    <row r="34" spans="1:27" x14ac:dyDescent="0.25">
      <c r="A34" s="2">
        <v>2035</v>
      </c>
      <c r="B34" s="2">
        <f>B12/'Output-Calculation-sheet'!B11*'Output-Calculation-sheet'!B20</f>
        <v>21092.307895660455</v>
      </c>
      <c r="C34" s="2">
        <f>C12/'Output-Calculation-sheet'!C11*'Output-Calculation-sheet'!C20</f>
        <v>0</v>
      </c>
      <c r="D34" s="2">
        <f>D12/'Output-Calculation-sheet'!D11*'Output-Calculation-sheet'!D20</f>
        <v>6605.1830389059787</v>
      </c>
      <c r="E34" s="2">
        <f>E12/'Output-Calculation-sheet'!E11*'Output-Calculation-sheet'!E20</f>
        <v>7277.5730772150355</v>
      </c>
      <c r="F34" s="2">
        <f>F12/'Output-Calculation-sheet'!F11*'Output-Calculation-sheet'!F20</f>
        <v>4504.2653239997189</v>
      </c>
      <c r="G34" s="2">
        <f>G12/'Output-Calculation-sheet'!G11*'Output-Calculation-sheet'!G20</f>
        <v>2432.8091036264645</v>
      </c>
      <c r="H34" s="2">
        <f>H12/'Output-Calculation-sheet'!H11*'Output-Calculation-sheet'!H20</f>
        <v>0</v>
      </c>
      <c r="I34" s="2">
        <f>I12/'Output-Calculation-sheet'!I11*'Output-Calculation-sheet'!I20</f>
        <v>2649.8150152244316</v>
      </c>
      <c r="J34" s="2">
        <f>J12/'Output-Calculation-sheet'!J11*'Output-Calculation-sheet'!J20</f>
        <v>2270.7158283155086</v>
      </c>
      <c r="K34" s="2">
        <f>K12/'Output-Calculation-sheet'!K11*'Output-Calculation-sheet'!K20</f>
        <v>2984.6271830557516</v>
      </c>
      <c r="L34" s="2">
        <f>L12/'Output-Calculation-sheet'!L11*'Output-Calculation-sheet'!L20</f>
        <v>2363.1330714316509</v>
      </c>
      <c r="M34" s="2">
        <f>M12/'Output-Calculation-sheet'!M11*'Output-Calculation-sheet'!M20</f>
        <v>0</v>
      </c>
      <c r="N34" s="2">
        <f>N12/'Output-Calculation-sheet'!N11*'Output-Calculation-sheet'!N20</f>
        <v>1316.9940100409246</v>
      </c>
      <c r="O34" s="2">
        <f>O12/'Output-Calculation-sheet'!O11*'Output-Calculation-sheet'!O20</f>
        <v>0</v>
      </c>
      <c r="P34" s="2">
        <f>P12/'Output-Calculation-sheet'!P11*'Output-Calculation-sheet'!P20</f>
        <v>2947.0647326312815</v>
      </c>
      <c r="Q34" s="2">
        <f>Q12/'Output-Calculation-sheet'!Q11*'Output-Calculation-sheet'!Q20</f>
        <v>2322.493801338599</v>
      </c>
      <c r="R34" s="2">
        <f>R12/'Output-Calculation-sheet'!R11*'Output-Calculation-sheet'!R20</f>
        <v>2343.6533659722554</v>
      </c>
      <c r="S34" s="2">
        <f>S12/'Output-Calculation-sheet'!S11*'Output-Calculation-sheet'!S20</f>
        <v>905.21273826485469</v>
      </c>
      <c r="T34" s="2">
        <f>T12/'Output-Calculation-sheet'!T11*'Output-Calculation-sheet'!T20</f>
        <v>731.45837292943418</v>
      </c>
      <c r="U34" s="2">
        <f>U12/'Output-Calculation-sheet'!U11*'Output-Calculation-sheet'!U20</f>
        <v>669.59646618316367</v>
      </c>
      <c r="V34" s="2">
        <f>V12/'Output-Calculation-sheet'!V11*'Output-Calculation-sheet'!V20</f>
        <v>613.47224881736702</v>
      </c>
      <c r="W34" s="2">
        <f>W12/'Output-Calculation-sheet'!W11*'Output-Calculation-sheet'!W20</f>
        <v>396.73918323537805</v>
      </c>
      <c r="X34" s="2">
        <f>X12/'Output-Calculation-sheet'!X11*'Output-Calculation-sheet'!X20</f>
        <v>0.93643808079963964</v>
      </c>
      <c r="Y34" s="2">
        <f>Y12/'Output-Calculation-sheet'!Y11*'Output-Calculation-sheet'!Y20</f>
        <v>221.20390638282461</v>
      </c>
      <c r="AA34" s="2">
        <f t="shared" si="1"/>
        <v>64.649254801311869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4.6474034416331286E-2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4.6474034416331286E-2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0.52040586776509923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0.52040586776509923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0.64303506863353099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0.64303506863353099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5.2022720661946929E-2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1.1932231547260204E-2</v>
      </c>
      <c r="N44" s="2">
        <f>N11/'Output-Calculation-sheet'!N10*'Output-Calculation-sheet'!N37*0.0114</f>
        <v>1.1727448502062813E-2</v>
      </c>
      <c r="O44" s="2">
        <f>O11/'Output-Calculation-sheet'!O10*'Output-Calculation-sheet'!O37*0.0114</f>
        <v>0.67851870221093624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3.0825121296378846E-2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6.7225783328320916E-3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0.79174880255141711</v>
      </c>
    </row>
    <row r="45" spans="1:27" x14ac:dyDescent="0.25">
      <c r="A45" s="2">
        <v>2035</v>
      </c>
      <c r="B45" s="2">
        <f>B12/'Output-Calculation-sheet'!B11*'Output-Calculation-sheet'!B38*0.0114</f>
        <v>0.49240059830967481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0.16452748429326763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0.20143637190597585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3.9663199088224195E-2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4.1761014140329983E-2</v>
      </c>
      <c r="M45" s="2">
        <f>M12/'Output-Calculation-sheet'!M11*'Output-Calculation-sheet'!M38*0.0114</f>
        <v>0.11880670933966674</v>
      </c>
      <c r="N45" s="2">
        <f>N12/'Output-Calculation-sheet'!N11*'Output-Calculation-sheet'!N38*0.0114</f>
        <v>8.7575795857758487E-2</v>
      </c>
      <c r="O45" s="2">
        <f>O12/'Output-Calculation-sheet'!O11*'Output-Calculation-sheet'!O38*0.0114</f>
        <v>0.61747175249925679</v>
      </c>
      <c r="P45" s="2">
        <f>P12/'Output-Calculation-sheet'!P11*'Output-Calculation-sheet'!P38*0.0114</f>
        <v>5.3936435063574394E-2</v>
      </c>
      <c r="Q45" s="2">
        <f>Q12/'Output-Calculation-sheet'!Q11*'Output-Calculation-sheet'!Q38*0.0114</f>
        <v>7.6729805563062276E-2</v>
      </c>
      <c r="R45" s="2">
        <f>R12/'Output-Calculation-sheet'!R11*'Output-Calculation-sheet'!R38*0.0114</f>
        <v>3.3818695045585483E-2</v>
      </c>
      <c r="S45" s="2">
        <f>S12/'Output-Calculation-sheet'!S11*'Output-Calculation-sheet'!S38*0.0114</f>
        <v>3.904558735073875E-2</v>
      </c>
      <c r="T45" s="2">
        <f>T12/'Output-Calculation-sheet'!T11*'Output-Calculation-sheet'!T38*0.0114</f>
        <v>9.3837323905741534E-3</v>
      </c>
      <c r="U45" s="2">
        <f>U12/'Output-Calculation-sheet'!U11*'Output-Calculation-sheet'!U38*0.0114</f>
        <v>1.3600789731875651E-2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6.288712704107355E-3</v>
      </c>
      <c r="AA45" s="2">
        <f t="shared" si="2"/>
        <v>2.458019914881584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3467.658259656891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7987.324294852946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5462.7200660132157</v>
      </c>
      <c r="N52" s="2">
        <f>N8/'Output-Calculation-sheet'!N7*'Output-Calculation-sheet'!N43</f>
        <v>172.55836646878143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36.936399734119519</v>
      </c>
      <c r="Y52" s="2">
        <f>Y8/'Output-Calculation-sheet'!Y7*'Output-Calculation-sheet'!Y43</f>
        <v>0</v>
      </c>
      <c r="AA52" s="2">
        <f t="shared" si="3"/>
        <v>17.127197386725953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581.84952093746074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15081.518311653643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10328.964949308407</v>
      </c>
      <c r="N53" s="2">
        <f>N9/'Output-Calculation-sheet'!N8*'Output-Calculation-sheet'!N44</f>
        <v>3661.8789318517174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1143.0297696090904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315.25805109224012</v>
      </c>
      <c r="Y53" s="2">
        <f>Y9/'Output-Calculation-sheet'!Y8*'Output-Calculation-sheet'!Y44</f>
        <v>0</v>
      </c>
      <c r="AA53" s="2">
        <f t="shared" si="3"/>
        <v>31.274975002316317</v>
      </c>
    </row>
    <row r="54" spans="1:27" x14ac:dyDescent="0.25">
      <c r="A54" s="2">
        <v>2033</v>
      </c>
      <c r="B54" s="2">
        <f>B10/'Output-Calculation-sheet'!B9*'Output-Calculation-sheet'!B45</f>
        <v>29386.82876130526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21423.779780165358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14684.786134533426</v>
      </c>
      <c r="N54" s="2">
        <f>N10/'Output-Calculation-sheet'!N9*'Output-Calculation-sheet'!N45</f>
        <v>8194.3424785551724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860.34075265052491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824.25219170177093</v>
      </c>
      <c r="Y54" s="2">
        <f>Y10/'Output-Calculation-sheet'!Y9*'Output-Calculation-sheet'!Y45</f>
        <v>18.181008719209796</v>
      </c>
      <c r="AA54" s="2">
        <f t="shared" si="3"/>
        <v>88.640121130305474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22639.010281045503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3280.0513154795285</v>
      </c>
      <c r="L55" s="2">
        <f>L11/'Output-Calculation-sheet'!L10*'Output-Calculation-sheet'!L46</f>
        <v>1211.9103246914597</v>
      </c>
      <c r="M55" s="2">
        <f>M11/'Output-Calculation-sheet'!M10*'Output-Calculation-sheet'!M46</f>
        <v>15893.941758346158</v>
      </c>
      <c r="N55" s="2">
        <f>N11/'Output-Calculation-sheet'!N10*'Output-Calculation-sheet'!N46</f>
        <v>11719.218713640312</v>
      </c>
      <c r="O55" s="2">
        <f>O11/'Output-Calculation-sheet'!O10*'Output-Calculation-sheet'!O46</f>
        <v>261.11642190347288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2651.6814869575014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5941.8157264575575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182.74753267865972</v>
      </c>
    </row>
    <row r="56" spans="1:27" x14ac:dyDescent="0.25">
      <c r="A56" s="2">
        <v>2035</v>
      </c>
      <c r="B56" s="2">
        <f>B12/'Output-Calculation-sheet'!B11*'Output-Calculation-sheet'!B47</f>
        <v>80053.970956767647</v>
      </c>
      <c r="C56" s="2">
        <f>C12/'Output-Calculation-sheet'!C11*'Output-Calculation-sheet'!C47</f>
        <v>274.70554897297097</v>
      </c>
      <c r="D56" s="2">
        <f>D12/'Output-Calculation-sheet'!D11*'Output-Calculation-sheet'!D47</f>
        <v>6443.106583830755</v>
      </c>
      <c r="E56" s="2">
        <f>E12/'Output-Calculation-sheet'!E11*'Output-Calculation-sheet'!E47</f>
        <v>17797.832774601546</v>
      </c>
      <c r="F56" s="2">
        <f>F12/'Output-Calculation-sheet'!F11*'Output-Calculation-sheet'!F47</f>
        <v>2102.2061512782552</v>
      </c>
      <c r="G56" s="2">
        <f>G12/'Output-Calculation-sheet'!G11*'Output-Calculation-sheet'!G47</f>
        <v>5049.9167157522725</v>
      </c>
      <c r="H56" s="2">
        <f>H12/'Output-Calculation-sheet'!H11*'Output-Calculation-sheet'!H47</f>
        <v>19107.426279978496</v>
      </c>
      <c r="I56" s="2">
        <f>I12/'Output-Calculation-sheet'!I11*'Output-Calculation-sheet'!I47</f>
        <v>2512.4449767896522</v>
      </c>
      <c r="J56" s="2">
        <f>J12/'Output-Calculation-sheet'!J11*'Output-Calculation-sheet'!J47</f>
        <v>2306.7281574993544</v>
      </c>
      <c r="K56" s="2">
        <f>K12/'Output-Calculation-sheet'!K11*'Output-Calculation-sheet'!K47</f>
        <v>3283.6146347277181</v>
      </c>
      <c r="L56" s="2">
        <f>L12/'Output-Calculation-sheet'!L11*'Output-Calculation-sheet'!L47</f>
        <v>1802.3174523721361</v>
      </c>
      <c r="M56" s="2">
        <f>M12/'Output-Calculation-sheet'!M11*'Output-Calculation-sheet'!M47</f>
        <v>13273.696970376215</v>
      </c>
      <c r="N56" s="2">
        <f>N12/'Output-Calculation-sheet'!N11*'Output-Calculation-sheet'!N47</f>
        <v>9998.6634763916463</v>
      </c>
      <c r="O56" s="2">
        <f>O12/'Output-Calculation-sheet'!O11*'Output-Calculation-sheet'!O47</f>
        <v>983.71725275616893</v>
      </c>
      <c r="P56" s="2">
        <f>P12/'Output-Calculation-sheet'!P11*'Output-Calculation-sheet'!P47</f>
        <v>5269.0534955380717</v>
      </c>
      <c r="Q56" s="2">
        <f>Q12/'Output-Calculation-sheet'!Q11*'Output-Calculation-sheet'!Q47</f>
        <v>2529.989592785962</v>
      </c>
      <c r="R56" s="2">
        <f>R12/'Output-Calculation-sheet'!R11*'Output-Calculation-sheet'!R47</f>
        <v>3886.9250160945944</v>
      </c>
      <c r="S56" s="2">
        <f>S12/'Output-Calculation-sheet'!S11*'Output-Calculation-sheet'!S47</f>
        <v>5167.4241605407506</v>
      </c>
      <c r="T56" s="2">
        <f>T12/'Output-Calculation-sheet'!T11*'Output-Calculation-sheet'!T47</f>
        <v>1352.9586087111447</v>
      </c>
      <c r="U56" s="2">
        <f>U12/'Output-Calculation-sheet'!U11*'Output-Calculation-sheet'!U47</f>
        <v>1307.3460866832752</v>
      </c>
      <c r="V56" s="2">
        <f>V12/'Output-Calculation-sheet'!V11*'Output-Calculation-sheet'!V47</f>
        <v>912.9555102246286</v>
      </c>
      <c r="W56" s="2">
        <f>W12/'Output-Calculation-sheet'!W11*'Output-Calculation-sheet'!W47</f>
        <v>527.83463367082356</v>
      </c>
      <c r="X56" s="2">
        <f>X12/'Output-Calculation-sheet'!X11*'Output-Calculation-sheet'!X47</f>
        <v>106.41991415741147</v>
      </c>
      <c r="Y56" s="2">
        <f>Y12/'Output-Calculation-sheet'!Y11*'Output-Calculation-sheet'!Y47</f>
        <v>701.41212309407911</v>
      </c>
      <c r="AA56" s="2">
        <f t="shared" si="3"/>
        <v>186.75266707359557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8.3419972966977944</v>
      </c>
      <c r="C63" s="2">
        <f>C8*'Output-Calculation-sheet'!C52/10^9</f>
        <v>4.5340822166855466</v>
      </c>
      <c r="D63" s="2">
        <f>D8*'Output-Calculation-sheet'!D52/10^9</f>
        <v>1.9532006703458804</v>
      </c>
      <c r="E63" s="2">
        <f>E8*'Output-Calculation-sheet'!E52/10^9</f>
        <v>2.2345476623037466</v>
      </c>
      <c r="F63" s="2">
        <f>F8*'Output-Calculation-sheet'!F52/10^9</f>
        <v>1.0445074798085485</v>
      </c>
      <c r="G63" s="2">
        <f>G8*'Output-Calculation-sheet'!G52/10^9</f>
        <v>0.79671445906715621</v>
      </c>
      <c r="H63" s="2">
        <f>H8*'Output-Calculation-sheet'!H52/10^9</f>
        <v>1.1908504613369186</v>
      </c>
      <c r="I63" s="2">
        <f>I8*'Output-Calculation-sheet'!I52/10^9</f>
        <v>0.62935147987527673</v>
      </c>
      <c r="J63" s="2">
        <f>J8*'Output-Calculation-sheet'!J52/10^9</f>
        <v>0.88969392792818625</v>
      </c>
      <c r="K63" s="2">
        <f>K8*'Output-Calculation-sheet'!K52/10^9</f>
        <v>0.58404037829240396</v>
      </c>
      <c r="L63" s="2">
        <f>L8*'Output-Calculation-sheet'!L52/10^9</f>
        <v>0.69147987665922539</v>
      </c>
      <c r="M63" s="2">
        <f>M8*'Output-Calculation-sheet'!M52/10^9</f>
        <v>0.87191250136868048</v>
      </c>
      <c r="N63" s="2">
        <f>N8*'Output-Calculation-sheet'!N52/10^9</f>
        <v>0.69525932412238767</v>
      </c>
      <c r="O63" s="2">
        <f>O8*'Output-Calculation-sheet'!O52/10^9</f>
        <v>0.82374129936257368</v>
      </c>
      <c r="P63" s="2">
        <f>P8*'Output-Calculation-sheet'!P52/10^9</f>
        <v>0.59397912647459938</v>
      </c>
      <c r="Q63" s="2">
        <f>Q8*'Output-Calculation-sheet'!Q52/10^9</f>
        <v>0.5540533068010618</v>
      </c>
      <c r="R63" s="2">
        <f>R8*'Output-Calculation-sheet'!R52/10^9</f>
        <v>0.50184291750256094</v>
      </c>
      <c r="S63" s="2">
        <f>S8*'Output-Calculation-sheet'!S52/10^9</f>
        <v>0.42579504971701843</v>
      </c>
      <c r="T63" s="2">
        <f>T8*'Output-Calculation-sheet'!T52/10^9</f>
        <v>0.20382883680879257</v>
      </c>
      <c r="U63" s="2">
        <f>U8*'Output-Calculation-sheet'!U52/10^9</f>
        <v>0.15895585421619643</v>
      </c>
      <c r="V63" s="2">
        <f>V8*'Output-Calculation-sheet'!V52/10^9</f>
        <v>0.26318347861915731</v>
      </c>
      <c r="W63" s="2">
        <f>W8*'Output-Calculation-sheet'!W52/10^9</f>
        <v>0.11044374677979617</v>
      </c>
      <c r="X63" s="2">
        <f>X8*'Output-Calculation-sheet'!X52/10^9</f>
        <v>0.11620966149240977</v>
      </c>
      <c r="Y63" s="2">
        <f>Y8*'Output-Calculation-sheet'!Y52/10^9</f>
        <v>6.3777158224472316E-2</v>
      </c>
      <c r="AA63" s="2">
        <f t="shared" si="4"/>
        <v>28.273448170490386</v>
      </c>
    </row>
    <row r="64" spans="1:27" x14ac:dyDescent="0.25">
      <c r="A64" s="2">
        <v>2032</v>
      </c>
      <c r="B64" s="2">
        <f>B9*'Output-Calculation-sheet'!B53/10^9</f>
        <v>8.5332274103850612</v>
      </c>
      <c r="C64" s="2">
        <f>C9*'Output-Calculation-sheet'!C53/10^9</f>
        <v>5.0403398121322871</v>
      </c>
      <c r="D64" s="2">
        <f>D9*'Output-Calculation-sheet'!D53/10^9</f>
        <v>1.7918641091135572</v>
      </c>
      <c r="E64" s="2">
        <f>E9*'Output-Calculation-sheet'!E53/10^9</f>
        <v>2.0922109009722103</v>
      </c>
      <c r="F64" s="2">
        <f>F9*'Output-Calculation-sheet'!F53/10^9</f>
        <v>0.96008027812102648</v>
      </c>
      <c r="G64" s="2">
        <f>G9*'Output-Calculation-sheet'!G53/10^9</f>
        <v>0.71886841472730822</v>
      </c>
      <c r="H64" s="2">
        <f>H9*'Output-Calculation-sheet'!H53/10^9</f>
        <v>1.3387782902710437</v>
      </c>
      <c r="I64" s="2">
        <f>I9*'Output-Calculation-sheet'!I53/10^9</f>
        <v>0.58295297430962445</v>
      </c>
      <c r="J64" s="2">
        <f>J9*'Output-Calculation-sheet'!J53/10^9</f>
        <v>0.78244723172817909</v>
      </c>
      <c r="K64" s="2">
        <f>K9*'Output-Calculation-sheet'!K53/10^9</f>
        <v>0.5776211040467204</v>
      </c>
      <c r="L64" s="2">
        <f>L9*'Output-Calculation-sheet'!L53/10^9</f>
        <v>0.64847850960254116</v>
      </c>
      <c r="M64" s="2">
        <f>M9*'Output-Calculation-sheet'!M53/10^9</f>
        <v>0.96541571231672751</v>
      </c>
      <c r="N64" s="2">
        <f>N9*'Output-Calculation-sheet'!N53/10^9</f>
        <v>0.78907591253023535</v>
      </c>
      <c r="O64" s="2">
        <f>O9*'Output-Calculation-sheet'!O53/10^9</f>
        <v>0.93213693371067297</v>
      </c>
      <c r="P64" s="2">
        <f>P9*'Output-Calculation-sheet'!P53/10^9</f>
        <v>0.6163535891600751</v>
      </c>
      <c r="Q64" s="2">
        <f>Q9*'Output-Calculation-sheet'!Q53/10^9</f>
        <v>0.58462823998159241</v>
      </c>
      <c r="R64" s="2">
        <f>R9*'Output-Calculation-sheet'!R53/10^9</f>
        <v>0.4973544995726647</v>
      </c>
      <c r="S64" s="2">
        <f>S9*'Output-Calculation-sheet'!S53/10^9</f>
        <v>0.46758095214142192</v>
      </c>
      <c r="T64" s="2">
        <f>T9*'Output-Calculation-sheet'!T53/10^9</f>
        <v>0.18592054583404566</v>
      </c>
      <c r="U64" s="2">
        <f>U9*'Output-Calculation-sheet'!U53/10^9</f>
        <v>0.15840331682705089</v>
      </c>
      <c r="V64" s="2">
        <f>V9*'Output-Calculation-sheet'!V53/10^9</f>
        <v>0.23086719912884035</v>
      </c>
      <c r="W64" s="2">
        <f>W9*'Output-Calculation-sheet'!W53/10^9</f>
        <v>9.8403287417632268E-2</v>
      </c>
      <c r="X64" s="2">
        <f>X9*'Output-Calculation-sheet'!X53/10^9</f>
        <v>0.12565145059560298</v>
      </c>
      <c r="Y64" s="2">
        <f>Y9*'Output-Calculation-sheet'!Y53/10^9</f>
        <v>6.2589998781487841E-2</v>
      </c>
      <c r="AA64" s="2">
        <f t="shared" si="4"/>
        <v>28.781250673407602</v>
      </c>
    </row>
    <row r="65" spans="1:27" x14ac:dyDescent="0.25">
      <c r="A65" s="2">
        <v>2033</v>
      </c>
      <c r="B65" s="2">
        <f>B10*'Output-Calculation-sheet'!B54/10^9</f>
        <v>8.364414805874441</v>
      </c>
      <c r="C65" s="2">
        <f>C10*'Output-Calculation-sheet'!C54/10^9</f>
        <v>5.1677552814326297</v>
      </c>
      <c r="D65" s="2">
        <f>D10*'Output-Calculation-sheet'!D54/10^9</f>
        <v>1.490940632499161</v>
      </c>
      <c r="E65" s="2">
        <f>E10*'Output-Calculation-sheet'!E54/10^9</f>
        <v>1.8987326324761182</v>
      </c>
      <c r="F65" s="2">
        <f>F10*'Output-Calculation-sheet'!F54/10^9</f>
        <v>0.81590086480655988</v>
      </c>
      <c r="G65" s="2">
        <f>G10*'Output-Calculation-sheet'!G54/10^9</f>
        <v>0.58088189915536492</v>
      </c>
      <c r="H65" s="2">
        <f>H10*'Output-Calculation-sheet'!H54/10^9</f>
        <v>1.3649371077818715</v>
      </c>
      <c r="I65" s="2">
        <f>I10*'Output-Calculation-sheet'!I54/10^9</f>
        <v>0.5093121799358219</v>
      </c>
      <c r="J65" s="2">
        <f>J10*'Output-Calculation-sheet'!J54/10^9</f>
        <v>0.6025964325717803</v>
      </c>
      <c r="K65" s="2">
        <f>K10*'Output-Calculation-sheet'!K54/10^9</f>
        <v>0.56391234497818521</v>
      </c>
      <c r="L65" s="2">
        <f>L10*'Output-Calculation-sheet'!L54/10^9</f>
        <v>0.58154623493376911</v>
      </c>
      <c r="M65" s="2">
        <f>M10*'Output-Calculation-sheet'!M54/10^9</f>
        <v>0.97051673142249939</v>
      </c>
      <c r="N65" s="2">
        <f>N10*'Output-Calculation-sheet'!N54/10^9</f>
        <v>0.82699752505637147</v>
      </c>
      <c r="O65" s="2">
        <f>O10*'Output-Calculation-sheet'!O54/10^9</f>
        <v>0.9622616448568504</v>
      </c>
      <c r="P65" s="2">
        <f>P10*'Output-Calculation-sheet'!P54/10^9</f>
        <v>0.61004432315500334</v>
      </c>
      <c r="Q65" s="2">
        <f>Q10*'Output-Calculation-sheet'!Q54/10^9</f>
        <v>0.60203248609237048</v>
      </c>
      <c r="R65" s="2">
        <f>R10*'Output-Calculation-sheet'!R54/10^9</f>
        <v>0.47722893411427958</v>
      </c>
      <c r="S65" s="2">
        <f>S10*'Output-Calculation-sheet'!S54/10^9</f>
        <v>0.47898523528738673</v>
      </c>
      <c r="T65" s="2">
        <f>T10*'Output-Calculation-sheet'!T54/10^9</f>
        <v>0.16161094600830531</v>
      </c>
      <c r="U65" s="2">
        <f>U10*'Output-Calculation-sheet'!U54/10^9</f>
        <v>0.15521570995975875</v>
      </c>
      <c r="V65" s="2">
        <f>V10*'Output-Calculation-sheet'!V54/10^9</f>
        <v>0.18288807513970037</v>
      </c>
      <c r="W65" s="2">
        <f>W10*'Output-Calculation-sheet'!W54/10^9</f>
        <v>7.8159751651550743E-2</v>
      </c>
      <c r="X65" s="2">
        <f>X10*'Output-Calculation-sheet'!X54/10^9</f>
        <v>0.1246617416291869</v>
      </c>
      <c r="Y65" s="2">
        <f>Y10*'Output-Calculation-sheet'!Y54/10^9</f>
        <v>6.0633282159925916E-2</v>
      </c>
      <c r="AA65" s="2">
        <f t="shared" si="4"/>
        <v>27.632166802978883</v>
      </c>
    </row>
    <row r="66" spans="1:27" x14ac:dyDescent="0.25">
      <c r="A66" s="2">
        <v>2034</v>
      </c>
      <c r="B66" s="2">
        <f>B11*'Output-Calculation-sheet'!B55/10^9</f>
        <v>7.7899854689834118</v>
      </c>
      <c r="C66" s="2">
        <f>C11*'Output-Calculation-sheet'!C55/10^9</f>
        <v>4.8845656482947337</v>
      </c>
      <c r="D66" s="2">
        <f>D11*'Output-Calculation-sheet'!D55/10^9</f>
        <v>1.4093176475668281</v>
      </c>
      <c r="E66" s="2">
        <f>E11*'Output-Calculation-sheet'!E55/10^9</f>
        <v>1.8253416653360055</v>
      </c>
      <c r="F66" s="2">
        <f>F11*'Output-Calculation-sheet'!F55/10^9</f>
        <v>0.7184173634250578</v>
      </c>
      <c r="G66" s="2">
        <f>G11*'Output-Calculation-sheet'!G55/10^9</f>
        <v>0.52405756564411632</v>
      </c>
      <c r="H66" s="2">
        <f>H11*'Output-Calculation-sheet'!H55/10^9</f>
        <v>1.3077124542128071</v>
      </c>
      <c r="I66" s="2">
        <f>I11*'Output-Calculation-sheet'!I55/10^9</f>
        <v>0.48716596556776015</v>
      </c>
      <c r="J66" s="2">
        <f>J11*'Output-Calculation-sheet'!J55/10^9</f>
        <v>0.49048465035741651</v>
      </c>
      <c r="K66" s="2">
        <f>K11*'Output-Calculation-sheet'!K55/10^9</f>
        <v>0.55849646933081554</v>
      </c>
      <c r="L66" s="2">
        <f>L11*'Output-Calculation-sheet'!L55/10^9</f>
        <v>0.54144352416272434</v>
      </c>
      <c r="M66" s="2">
        <f>M11*'Output-Calculation-sheet'!M55/10^9</f>
        <v>0.91850218681157714</v>
      </c>
      <c r="N66" s="2">
        <f>N11*'Output-Calculation-sheet'!N55/10^9</f>
        <v>0.79870955168865987</v>
      </c>
      <c r="O66" s="2">
        <f>O11*'Output-Calculation-sheet'!O55/10^9</f>
        <v>0.91105073352703503</v>
      </c>
      <c r="P66" s="2">
        <f>P11*'Output-Calculation-sheet'!P55/10^9</f>
        <v>0.58419196619993841</v>
      </c>
      <c r="Q66" s="2">
        <f>Q11*'Output-Calculation-sheet'!Q55/10^9</f>
        <v>0.60089216661390266</v>
      </c>
      <c r="R66" s="2">
        <f>R11*'Output-Calculation-sheet'!R55/10^9</f>
        <v>0.44457780481461268</v>
      </c>
      <c r="S66" s="2">
        <f>S11*'Output-Calculation-sheet'!S55/10^9</f>
        <v>0.46150852975683765</v>
      </c>
      <c r="T66" s="2">
        <f>T11*'Output-Calculation-sheet'!T55/10^9</f>
        <v>0.13930166542913741</v>
      </c>
      <c r="U66" s="2">
        <f>U11*'Output-Calculation-sheet'!U55/10^9</f>
        <v>0.15160927400423019</v>
      </c>
      <c r="V66" s="2">
        <f>V11*'Output-Calculation-sheet'!V55/10^9</f>
        <v>0.13164927936507595</v>
      </c>
      <c r="W66" s="2">
        <f>W11*'Output-Calculation-sheet'!W55/10^9</f>
        <v>6.4496581110438295E-2</v>
      </c>
      <c r="X66" s="2">
        <f>X11*'Output-Calculation-sheet'!X55/10^9</f>
        <v>0.11392438916787738</v>
      </c>
      <c r="Y66" s="2">
        <f>Y11*'Output-Calculation-sheet'!Y55/10^9</f>
        <v>6.1883830597783386E-2</v>
      </c>
      <c r="AA66" s="2">
        <f t="shared" si="4"/>
        <v>25.919286381968785</v>
      </c>
    </row>
    <row r="67" spans="1:27" x14ac:dyDescent="0.25">
      <c r="A67" s="2">
        <v>2035</v>
      </c>
      <c r="B67" s="2">
        <f>B12*'Output-Calculation-sheet'!B56/10^9</f>
        <v>7.0802086324120159</v>
      </c>
      <c r="C67" s="2">
        <f>C12*'Output-Calculation-sheet'!C56/10^9</f>
        <v>4.2762756239761748</v>
      </c>
      <c r="D67" s="2">
        <f>D12*'Output-Calculation-sheet'!D56/10^9</f>
        <v>1.4025187979265401</v>
      </c>
      <c r="E67" s="2">
        <f>E12*'Output-Calculation-sheet'!E56/10^9</f>
        <v>1.9205395585362224</v>
      </c>
      <c r="F67" s="2">
        <f>F12*'Output-Calculation-sheet'!F56/10^9</f>
        <v>0.75299570682712846</v>
      </c>
      <c r="G67" s="2">
        <f>G12*'Output-Calculation-sheet'!G56/10^9</f>
        <v>0.55480699196023775</v>
      </c>
      <c r="H67" s="2">
        <f>H12*'Output-Calculation-sheet'!H56/10^9</f>
        <v>1.1814473243994505</v>
      </c>
      <c r="I67" s="2">
        <f>I12*'Output-Calculation-sheet'!I56/10^9</f>
        <v>0.50839161226293483</v>
      </c>
      <c r="J67" s="2">
        <f>J12*'Output-Calculation-sheet'!J56/10^9</f>
        <v>0.46551706737207954</v>
      </c>
      <c r="K67" s="2">
        <f>K12*'Output-Calculation-sheet'!K56/10^9</f>
        <v>0.55762276514414255</v>
      </c>
      <c r="L67" s="2">
        <f>L12*'Output-Calculation-sheet'!L56/10^9</f>
        <v>0.51967221866613456</v>
      </c>
      <c r="M67" s="2">
        <f>M12*'Output-Calculation-sheet'!M56/10^9</f>
        <v>0.83581933039648693</v>
      </c>
      <c r="N67" s="2">
        <f>N12*'Output-Calculation-sheet'!N56/10^9</f>
        <v>0.71386945886533559</v>
      </c>
      <c r="O67" s="2">
        <f>O12*'Output-Calculation-sheet'!O56/10^9</f>
        <v>0.78969434687321038</v>
      </c>
      <c r="P67" s="2">
        <f>P12*'Output-Calculation-sheet'!P56/10^9</f>
        <v>0.57937484992187815</v>
      </c>
      <c r="Q67" s="2">
        <f>Q12*'Output-Calculation-sheet'!Q56/10^9</f>
        <v>0.54729789326326383</v>
      </c>
      <c r="R67" s="2">
        <f>R12*'Output-Calculation-sheet'!R56/10^9</f>
        <v>0.42930973906798725</v>
      </c>
      <c r="S67" s="2">
        <f>S12*'Output-Calculation-sheet'!S56/10^9</f>
        <v>0.41470889959903512</v>
      </c>
      <c r="T67" s="2">
        <f>T12*'Output-Calculation-sheet'!T56/10^9</f>
        <v>0.1335983314714303</v>
      </c>
      <c r="U67" s="2">
        <f>U12*'Output-Calculation-sheet'!U56/10^9</f>
        <v>0.14442802208210914</v>
      </c>
      <c r="V67" s="2">
        <f>V12*'Output-Calculation-sheet'!V56/10^9</f>
        <v>0.10303480083037189</v>
      </c>
      <c r="W67" s="2">
        <f>W12*'Output-Calculation-sheet'!W56/10^9</f>
        <v>6.9941023031639987E-2</v>
      </c>
      <c r="X67" s="2">
        <f>X12*'Output-Calculation-sheet'!X56/10^9</f>
        <v>9.9767280360409522E-2</v>
      </c>
      <c r="Y67" s="2">
        <f>Y12*'Output-Calculation-sheet'!Y56/10^9</f>
        <v>6.5263282854880603E-2</v>
      </c>
      <c r="AA67" s="2">
        <f t="shared" si="4"/>
        <v>24.146103558101093</v>
      </c>
    </row>
    <row r="68" spans="1:27" x14ac:dyDescent="0.25">
      <c r="B68" s="2">
        <f>SUM(B60:B67)</f>
        <v>40.109833614352723</v>
      </c>
      <c r="C68" s="2">
        <f t="shared" ref="C68:Y68" si="5">SUM(C60:C67)</f>
        <v>23.903018582521373</v>
      </c>
      <c r="D68" s="2">
        <f t="shared" si="5"/>
        <v>8.0478418574519672</v>
      </c>
      <c r="E68" s="2">
        <f t="shared" si="5"/>
        <v>9.9713724196243021</v>
      </c>
      <c r="F68" s="2">
        <f t="shared" si="5"/>
        <v>4.2919016929883211</v>
      </c>
      <c r="G68" s="2">
        <f t="shared" si="5"/>
        <v>3.1753293305541836</v>
      </c>
      <c r="H68" s="2">
        <f t="shared" si="5"/>
        <v>6.3837256380020921</v>
      </c>
      <c r="I68" s="2">
        <f t="shared" si="5"/>
        <v>2.7171742119514182</v>
      </c>
      <c r="J68" s="2">
        <f t="shared" si="5"/>
        <v>3.2307393099576416</v>
      </c>
      <c r="K68" s="2">
        <f t="shared" si="5"/>
        <v>2.8416930617922675</v>
      </c>
      <c r="L68" s="2">
        <f t="shared" si="5"/>
        <v>2.9826203640243945</v>
      </c>
      <c r="M68" s="2">
        <f t="shared" si="5"/>
        <v>4.5621664623159717</v>
      </c>
      <c r="N68" s="2">
        <f t="shared" si="5"/>
        <v>3.8239117722629903</v>
      </c>
      <c r="O68" s="2">
        <f t="shared" si="5"/>
        <v>4.4188849583303424</v>
      </c>
      <c r="P68" s="2">
        <f t="shared" si="5"/>
        <v>2.9839438549114945</v>
      </c>
      <c r="Q68" s="2">
        <f t="shared" si="5"/>
        <v>2.888904092752191</v>
      </c>
      <c r="R68" s="2">
        <f t="shared" si="5"/>
        <v>2.3503138950721052</v>
      </c>
      <c r="S68" s="2">
        <f t="shared" si="5"/>
        <v>2.2485786665017002</v>
      </c>
      <c r="T68" s="2">
        <f t="shared" si="5"/>
        <v>0.82426032555171125</v>
      </c>
      <c r="U68" s="2">
        <f t="shared" si="5"/>
        <v>0.76861217708934537</v>
      </c>
      <c r="V68" s="2">
        <f t="shared" si="5"/>
        <v>0.91162283308314584</v>
      </c>
      <c r="W68" s="2">
        <f t="shared" si="5"/>
        <v>0.42144438999105749</v>
      </c>
      <c r="X68" s="2">
        <f t="shared" si="5"/>
        <v>0.58021452324548661</v>
      </c>
      <c r="Y68" s="2">
        <f t="shared" si="5"/>
        <v>0.31414755261855004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929.81505286170557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1695.7044260609225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1143.5275484647977</v>
      </c>
      <c r="N74" s="2">
        <f>N8/'Output-Calculation-sheet'!N7*'Output-Calculation-sheet'!N61</f>
        <v>47.406588691837939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10.147392035206526</v>
      </c>
      <c r="Y74" s="2">
        <f>Y8/'Output-Calculation-sheet'!Y7*'Output-Calculation-sheet'!Y61</f>
        <v>0</v>
      </c>
      <c r="AA74" s="2">
        <f t="shared" si="6"/>
        <v>3.8266010081144701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159.84637175677108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2870.3985407314385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1950.5899529620579</v>
      </c>
      <c r="N75" s="2">
        <f>N9/'Output-Calculation-sheet'!N8*'Output-Calculation-sheet'!N62</f>
        <v>751.20581076323367</v>
      </c>
      <c r="O75" s="2">
        <f>O9/'Output-Calculation-sheet'!O8*'Output-Calculation-sheet'!O62</f>
        <v>0</v>
      </c>
      <c r="P75" s="2">
        <f>P9/'Output-Calculation-sheet'!P8*'Output-Calculation-sheet'!P62</f>
        <v>59.514441079553272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252.42931153816829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68.508239570404555</v>
      </c>
      <c r="Y75" s="2">
        <f>Y9/'Output-Calculation-sheet'!Y8*'Output-Calculation-sheet'!Y62</f>
        <v>0</v>
      </c>
      <c r="AA75" s="2">
        <f t="shared" si="6"/>
        <v>6.112492668401627</v>
      </c>
    </row>
    <row r="76" spans="1:27" x14ac:dyDescent="0.25">
      <c r="A76" s="2">
        <v>2033</v>
      </c>
      <c r="B76" s="2">
        <f>B10/'Output-Calculation-sheet'!B9*'Output-Calculation-sheet'!B63</f>
        <v>5916.563580412424</v>
      </c>
      <c r="C76" s="2">
        <f>C10/'Output-Calculation-sheet'!C9*'Output-Calculation-sheet'!C63</f>
        <v>1193.0297086710036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3857.3023071037865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2632.6276535532852</v>
      </c>
      <c r="N76" s="2">
        <f>N10/'Output-Calculation-sheet'!N9*'Output-Calculation-sheet'!N63</f>
        <v>1499.4186922482124</v>
      </c>
      <c r="O76" s="2">
        <f>O10/'Output-Calculation-sheet'!O9*'Output-Calculation-sheet'!O63</f>
        <v>0</v>
      </c>
      <c r="P76" s="2">
        <f>P10/'Output-Calculation-sheet'!P9*'Output-Calculation-sheet'!P63</f>
        <v>519.96857893196432</v>
      </c>
      <c r="Q76" s="2">
        <f>Q10/'Output-Calculation-sheet'!Q9*'Output-Calculation-sheet'!Q63</f>
        <v>236.35688844419266</v>
      </c>
      <c r="R76" s="2">
        <f>R10/'Output-Calculation-sheet'!R9*'Output-Calculation-sheet'!R63</f>
        <v>394.58601060967163</v>
      </c>
      <c r="S76" s="2">
        <f>S10/'Output-Calculation-sheet'!S9*'Output-Calculation-sheet'!S63</f>
        <v>670.53426715543037</v>
      </c>
      <c r="T76" s="2">
        <f>T10/'Output-Calculation-sheet'!T9*'Output-Calculation-sheet'!T63</f>
        <v>25.998630389870925</v>
      </c>
      <c r="U76" s="2">
        <f>U10/'Output-Calculation-sheet'!U9*'Output-Calculation-sheet'!U63</f>
        <v>140.22317257439937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151.02909753510016</v>
      </c>
      <c r="Y76" s="2">
        <f>Y10/'Output-Calculation-sheet'!Y9*'Output-Calculation-sheet'!Y63</f>
        <v>6.659654355985146</v>
      </c>
      <c r="AA76" s="2">
        <f t="shared" si="6"/>
        <v>17.353321362382868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1868.6001891287067</v>
      </c>
      <c r="D77" s="2">
        <f>D11/'Output-Calculation-sheet'!D10*'Output-Calculation-sheet'!D64</f>
        <v>1587.9915421535709</v>
      </c>
      <c r="E77" s="2">
        <f>E11/'Output-Calculation-sheet'!E10*'Output-Calculation-sheet'!E64</f>
        <v>1986.1438450592375</v>
      </c>
      <c r="F77" s="2">
        <f>F11/'Output-Calculation-sheet'!F10*'Output-Calculation-sheet'!F64</f>
        <v>141.31904787924563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4199.2329412634126</v>
      </c>
      <c r="I77" s="2">
        <f>I11/'Output-Calculation-sheet'!I10*'Output-Calculation-sheet'!I64</f>
        <v>492.89332246162991</v>
      </c>
      <c r="J77" s="2">
        <f>J11/'Output-Calculation-sheet'!J10*'Output-Calculation-sheet'!J64</f>
        <v>347.54021236197752</v>
      </c>
      <c r="K77" s="2">
        <f>K11/'Output-Calculation-sheet'!K10*'Output-Calculation-sheet'!K64</f>
        <v>756.54668149520796</v>
      </c>
      <c r="L77" s="2">
        <f>L11/'Output-Calculation-sheet'!L10*'Output-Calculation-sheet'!L64</f>
        <v>309.90026018603874</v>
      </c>
      <c r="M77" s="2">
        <f>M11/'Output-Calculation-sheet'!M10*'Output-Calculation-sheet'!M64</f>
        <v>2967.6946153544645</v>
      </c>
      <c r="N77" s="2">
        <f>N11/'Output-Calculation-sheet'!N10*'Output-Calculation-sheet'!N64</f>
        <v>2056.8977672478527</v>
      </c>
      <c r="O77" s="2">
        <f>O11/'Output-Calculation-sheet'!O10*'Output-Calculation-sheet'!O64</f>
        <v>74.739775835642945</v>
      </c>
      <c r="P77" s="2">
        <f>P11/'Output-Calculation-sheet'!P10*'Output-Calculation-sheet'!P64</f>
        <v>932.86564204331626</v>
      </c>
      <c r="Q77" s="2">
        <f>Q11/'Output-Calculation-sheet'!Q10*'Output-Calculation-sheet'!Q64</f>
        <v>534.08037791387335</v>
      </c>
      <c r="R77" s="2">
        <f>R11/'Output-Calculation-sheet'!R10*'Output-Calculation-sheet'!R64</f>
        <v>796.75470192661305</v>
      </c>
      <c r="S77" s="2">
        <f>S11/'Output-Calculation-sheet'!S10*'Output-Calculation-sheet'!S64</f>
        <v>1055.649424103892</v>
      </c>
      <c r="T77" s="2">
        <f>T11/'Output-Calculation-sheet'!T10*'Output-Calculation-sheet'!T64</f>
        <v>220.31800218784235</v>
      </c>
      <c r="U77" s="2">
        <f>U11/'Output-Calculation-sheet'!U10*'Output-Calculation-sheet'!U64</f>
        <v>292.19984412111842</v>
      </c>
      <c r="V77" s="2">
        <f>V11/'Output-Calculation-sheet'!V10*'Output-Calculation-sheet'!V64</f>
        <v>115.00164863684418</v>
      </c>
      <c r="W77" s="2">
        <f>W11/'Output-Calculation-sheet'!W10*'Output-Calculation-sheet'!W64</f>
        <v>25.056608404753966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34.77050628309825</v>
      </c>
    </row>
    <row r="78" spans="1:27" x14ac:dyDescent="0.25">
      <c r="A78" s="2">
        <v>2035</v>
      </c>
      <c r="B78" s="2">
        <f>B12/'Output-Calculation-sheet'!B11*'Output-Calculation-sheet'!B65</f>
        <v>13720.500790903427</v>
      </c>
      <c r="C78" s="2">
        <f>C12/'Output-Calculation-sheet'!C11*'Output-Calculation-sheet'!C65</f>
        <v>50.455619188975831</v>
      </c>
      <c r="D78" s="2">
        <f>D12/'Output-Calculation-sheet'!D11*'Output-Calculation-sheet'!D65</f>
        <v>1433.3188174988552</v>
      </c>
      <c r="E78" s="2">
        <f>E12/'Output-Calculation-sheet'!E11*'Output-Calculation-sheet'!E65</f>
        <v>2723.5331324959875</v>
      </c>
      <c r="F78" s="2">
        <f>F12/'Output-Calculation-sheet'!F11*'Output-Calculation-sheet'!F65</f>
        <v>582.25119647489521</v>
      </c>
      <c r="G78" s="2">
        <f>G12/'Output-Calculation-sheet'!G11*'Output-Calculation-sheet'!G65</f>
        <v>1109.8716338530592</v>
      </c>
      <c r="H78" s="2">
        <f>H12/'Output-Calculation-sheet'!H11*'Output-Calculation-sheet'!H65</f>
        <v>3553.0675040330184</v>
      </c>
      <c r="I78" s="2">
        <f>I12/'Output-Calculation-sheet'!I11*'Output-Calculation-sheet'!I65</f>
        <v>642.5273347312127</v>
      </c>
      <c r="J78" s="2">
        <f>J12/'Output-Calculation-sheet'!J11*'Output-Calculation-sheet'!J65</f>
        <v>588.61811086653461</v>
      </c>
      <c r="K78" s="2">
        <f>K12/'Output-Calculation-sheet'!K11*'Output-Calculation-sheet'!K65</f>
        <v>731.7369938604686</v>
      </c>
      <c r="L78" s="2">
        <f>L12/'Output-Calculation-sheet'!L11*'Output-Calculation-sheet'!L65</f>
        <v>428.4588469626496</v>
      </c>
      <c r="M78" s="2">
        <f>M12/'Output-Calculation-sheet'!M11*'Output-Calculation-sheet'!M65</f>
        <v>2488.4073955894169</v>
      </c>
      <c r="N78" s="2">
        <f>N12/'Output-Calculation-sheet'!N11*'Output-Calculation-sheet'!N65</f>
        <v>1751.7480869063713</v>
      </c>
      <c r="O78" s="2">
        <f>O12/'Output-Calculation-sheet'!O11*'Output-Calculation-sheet'!O65</f>
        <v>258.80764561216915</v>
      </c>
      <c r="P78" s="2">
        <f>P12/'Output-Calculation-sheet'!P11*'Output-Calculation-sheet'!P65</f>
        <v>1004.4951340655683</v>
      </c>
      <c r="Q78" s="2">
        <f>Q12/'Output-Calculation-sheet'!Q11*'Output-Calculation-sheet'!Q65</f>
        <v>489.81884824967494</v>
      </c>
      <c r="R78" s="2">
        <f>R12/'Output-Calculation-sheet'!R11*'Output-Calculation-sheet'!R65</f>
        <v>839.34367076701858</v>
      </c>
      <c r="S78" s="2">
        <f>S12/'Output-Calculation-sheet'!S11*'Output-Calculation-sheet'!S65</f>
        <v>944.24658258180375</v>
      </c>
      <c r="T78" s="2">
        <f>T12/'Output-Calculation-sheet'!T11*'Output-Calculation-sheet'!T65</f>
        <v>297.35346801261028</v>
      </c>
      <c r="U78" s="2">
        <f>U12/'Output-Calculation-sheet'!U11*'Output-Calculation-sheet'!U65</f>
        <v>256.73494945823148</v>
      </c>
      <c r="V78" s="2">
        <f>V12/'Output-Calculation-sheet'!V11*'Output-Calculation-sheet'!V65</f>
        <v>162.15374107752518</v>
      </c>
      <c r="W78" s="2">
        <f>W12/'Output-Calculation-sheet'!W11*'Output-Calculation-sheet'!W65</f>
        <v>116.00763280531363</v>
      </c>
      <c r="X78" s="2">
        <f>X12/'Output-Calculation-sheet'!X11*'Output-Calculation-sheet'!X65</f>
        <v>21.272073709486165</v>
      </c>
      <c r="Y78" s="2">
        <f>Y12/'Output-Calculation-sheet'!Y11*'Output-Calculation-sheet'!Y65</f>
        <v>111.08257081803103</v>
      </c>
      <c r="AA78" s="2">
        <f t="shared" si="6"/>
        <v>34.305811780522305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30.575022642323212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3.0575022642323212E-2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341.28538529290137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0.34128538529290137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419.32442410064743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0.41932442410064741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24.338114929565815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5.233434889149212</v>
      </c>
      <c r="N88" s="2">
        <f>N11/'Output-Calculation-sheet'!N10*'Output-Calculation-sheet'!N73</f>
        <v>5.143617764062637</v>
      </c>
      <c r="O88" s="2">
        <f>O11/'Output-Calculation-sheet'!O10*'Output-Calculation-sheet'!O73</f>
        <v>442.5539356525772</v>
      </c>
      <c r="P88" s="2">
        <f>P11/'Output-Calculation-sheet'!P10*'Output-Calculation-sheet'!P73</f>
        <v>0</v>
      </c>
      <c r="Q88" s="2">
        <f>Q11/'Output-Calculation-sheet'!Q10*'Output-Calculation-sheet'!Q73</f>
        <v>18.927706059179989</v>
      </c>
      <c r="R88" s="2">
        <f>R11/'Output-Calculation-sheet'!R10*'Output-Calculation-sheet'!R73</f>
        <v>0</v>
      </c>
      <c r="S88" s="2">
        <f>S11/'Output-Calculation-sheet'!S10*'Output-Calculation-sheet'!S73</f>
        <v>0.58969985375720102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0.49678650914829203</v>
      </c>
    </row>
    <row r="89" spans="1:27" x14ac:dyDescent="0.25">
      <c r="A89" s="2">
        <v>2035</v>
      </c>
      <c r="B89" s="2">
        <f>B12/'Output-Calculation-sheet'!B11*'Output-Calculation-sheet'!B74</f>
        <v>267.79681662455994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90.799134495923823</v>
      </c>
      <c r="E89" s="2">
        <f>E12/'Output-Calculation-sheet'!E11*'Output-Calculation-sheet'!E74</f>
        <v>98.139201157387703</v>
      </c>
      <c r="F89" s="2">
        <f>F12/'Output-Calculation-sheet'!F11*'Output-Calculation-sheet'!F74</f>
        <v>38.122909479139345</v>
      </c>
      <c r="G89" s="2">
        <f>G12/'Output-Calculation-sheet'!G11*'Output-Calculation-sheet'!G74</f>
        <v>33.874570332703584</v>
      </c>
      <c r="H89" s="2">
        <f>H12/'Output-Calculation-sheet'!H11*'Output-Calculation-sheet'!H74</f>
        <v>129.99966357340546</v>
      </c>
      <c r="I89" s="2">
        <f>I12/'Output-Calculation-sheet'!I11*'Output-Calculation-sheet'!I74</f>
        <v>31.639932077108494</v>
      </c>
      <c r="J89" s="2">
        <f>J12/'Output-Calculation-sheet'!J11*'Output-Calculation-sheet'!J74</f>
        <v>18.555882614373893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24.726916267300648</v>
      </c>
      <c r="M89" s="2">
        <f>M12/'Output-Calculation-sheet'!M11*'Output-Calculation-sheet'!M74</f>
        <v>75.556898483559976</v>
      </c>
      <c r="N89" s="2">
        <f>N12/'Output-Calculation-sheet'!N11*'Output-Calculation-sheet'!N74</f>
        <v>56.335307276920659</v>
      </c>
      <c r="O89" s="2">
        <f>O12/'Output-Calculation-sheet'!O11*'Output-Calculation-sheet'!O74</f>
        <v>405.43488392946557</v>
      </c>
      <c r="P89" s="2">
        <f>P12/'Output-Calculation-sheet'!P11*'Output-Calculation-sheet'!P74</f>
        <v>30.753230518704701</v>
      </c>
      <c r="Q89" s="2">
        <f>Q12/'Output-Calculation-sheet'!Q11*'Output-Calculation-sheet'!Q74</f>
        <v>47.114792889599642</v>
      </c>
      <c r="R89" s="2">
        <f>R12/'Output-Calculation-sheet'!R11*'Output-Calculation-sheet'!R74</f>
        <v>18.540951231132389</v>
      </c>
      <c r="S89" s="2">
        <f>S12/'Output-Calculation-sheet'!S11*'Output-Calculation-sheet'!S74</f>
        <v>24.953946803103708</v>
      </c>
      <c r="T89" s="2">
        <f>T12/'Output-Calculation-sheet'!T11*'Output-Calculation-sheet'!T74</f>
        <v>4.3900502412042819</v>
      </c>
      <c r="U89" s="2">
        <f>U12/'Output-Calculation-sheet'!U11*'Output-Calculation-sheet'!U74</f>
        <v>8.112751769890739</v>
      </c>
      <c r="V89" s="2">
        <f>V12/'Output-Calculation-sheet'!V11*'Output-Calculation-sheet'!V74</f>
        <v>1.1039365298967698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0.38109190387613778</v>
      </c>
      <c r="Y89" s="2">
        <f>Y12/'Output-Calculation-sheet'!Y11*'Output-Calculation-sheet'!Y74</f>
        <v>3.5856695242717374</v>
      </c>
      <c r="AA89" s="2">
        <f t="shared" si="7"/>
        <v>1.4537421448644747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13842860942.533228</v>
      </c>
      <c r="C96" s="2">
        <f>C8/'Output-Calculation-sheet'!C7*'Output-Calculation-sheet'!C79</f>
        <v>4683111825.259593</v>
      </c>
      <c r="D96" s="2">
        <f>D8/'Output-Calculation-sheet'!D7*'Output-Calculation-sheet'!D79</f>
        <v>4888835467.6190681</v>
      </c>
      <c r="E96" s="2">
        <f>E8/'Output-Calculation-sheet'!E7*'Output-Calculation-sheet'!E79</f>
        <v>8691946681.3860722</v>
      </c>
      <c r="F96" s="2">
        <f>F8/'Output-Calculation-sheet'!F7*'Output-Calculation-sheet'!F79</f>
        <v>3597510264.9310484</v>
      </c>
      <c r="G96" s="2">
        <f>G8/'Output-Calculation-sheet'!G7*'Output-Calculation-sheet'!G79</f>
        <v>2802170797.3162513</v>
      </c>
      <c r="H96" s="2">
        <f>H8/'Output-Calculation-sheet'!H7*'Output-Calculation-sheet'!H79</f>
        <v>2398503373.9983525</v>
      </c>
      <c r="I96" s="2">
        <f>I8/'Output-Calculation-sheet'!I7*'Output-Calculation-sheet'!I79</f>
        <v>1952005030.0007613</v>
      </c>
      <c r="J96" s="2">
        <f>J8/'Output-Calculation-sheet'!J7*'Output-Calculation-sheet'!J79</f>
        <v>1319992506.5063019</v>
      </c>
      <c r="K96" s="2">
        <f>K8/'Output-Calculation-sheet'!K7*'Output-Calculation-sheet'!K79</f>
        <v>1888518310.8556871</v>
      </c>
      <c r="L96" s="2">
        <f>L8/'Output-Calculation-sheet'!L7*'Output-Calculation-sheet'!L79</f>
        <v>1332540085.315876</v>
      </c>
      <c r="M96" s="2">
        <f>M8/'Output-Calculation-sheet'!M7*'Output-Calculation-sheet'!M79</f>
        <v>1790434281.9453616</v>
      </c>
      <c r="N96" s="2">
        <f>N8/'Output-Calculation-sheet'!N7*'Output-Calculation-sheet'!N79</f>
        <v>1332223762.6235077</v>
      </c>
      <c r="O96" s="2">
        <f>O8/'Output-Calculation-sheet'!O7*'Output-Calculation-sheet'!O79</f>
        <v>673483565.5813719</v>
      </c>
      <c r="P96" s="2">
        <f>P8/'Output-Calculation-sheet'!P7*'Output-Calculation-sheet'!P79</f>
        <v>2252675890.1033106</v>
      </c>
      <c r="Q96" s="2">
        <f>Q8/'Output-Calculation-sheet'!Q7*'Output-Calculation-sheet'!Q79</f>
        <v>1049841554.2517252</v>
      </c>
      <c r="R96" s="2">
        <f>R8/'Output-Calculation-sheet'!R7*'Output-Calculation-sheet'!R79</f>
        <v>1309804367.6157043</v>
      </c>
      <c r="S96" s="2">
        <f>S8/'Output-Calculation-sheet'!S7*'Output-Calculation-sheet'!S79</f>
        <v>763200224.84456587</v>
      </c>
      <c r="T96" s="2">
        <f>T8/'Output-Calculation-sheet'!T7*'Output-Calculation-sheet'!T79</f>
        <v>582906558.39771116</v>
      </c>
      <c r="U96" s="2">
        <f>U8/'Output-Calculation-sheet'!U7*'Output-Calculation-sheet'!U79</f>
        <v>366167628.19973481</v>
      </c>
      <c r="V96" s="2">
        <f>V8/'Output-Calculation-sheet'!V7*'Output-Calculation-sheet'!V79</f>
        <v>189986006.58387312</v>
      </c>
      <c r="W96" s="2">
        <f>W8/'Output-Calculation-sheet'!W7*'Output-Calculation-sheet'!W79</f>
        <v>561397866.09035873</v>
      </c>
      <c r="X96" s="2">
        <f>X8/'Output-Calculation-sheet'!X7*'Output-Calculation-sheet'!X79</f>
        <v>197314369.28197581</v>
      </c>
      <c r="Y96" s="2">
        <f>Y8/'Output-Calculation-sheet'!Y7*'Output-Calculation-sheet'!Y79</f>
        <v>308596982.63282871</v>
      </c>
      <c r="AA96" s="2">
        <f t="shared" si="8"/>
        <v>58.776028343874273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1615.792350944512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313.90356579451833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37.545911280887168</v>
      </c>
      <c r="Y107" s="2">
        <f>Y8/'Output-Calculation-sheet'!Y7*'Output-Calculation-sheet'!Y88</f>
        <v>0</v>
      </c>
      <c r="AA107" s="2">
        <f t="shared" si="9"/>
        <v>1.9672418280199173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3015.5470363970321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3.0655983146116763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3.8454489795553282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4.2561412628965574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102.70426809461914</v>
      </c>
      <c r="Y111" s="2">
        <f>Y12/'Output-Calculation-sheet'!Y11*'Output-Calculation-sheet'!Y92</f>
        <v>0</v>
      </c>
      <c r="AA111" s="2">
        <f t="shared" si="9"/>
        <v>4.8382999257629988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1619682740.2855458</v>
      </c>
      <c r="C118" s="2">
        <f>C8/'Output-Calculation-sheet'!C7*'Output-Calculation-sheet'!C97</f>
        <v>13373341466.150021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8322585207.2889862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5741878840.4200182</v>
      </c>
      <c r="N118" s="2">
        <f>N8/'Output-Calculation-sheet'!N7*'Output-Calculation-sheet'!N97</f>
        <v>1921901570.792851</v>
      </c>
      <c r="O118" s="2">
        <f>O8/'Output-Calculation-sheet'!O7*'Output-Calculation-sheet'!O97</f>
        <v>2262720857.3238721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576021886.65420902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312647606.98906255</v>
      </c>
      <c r="Y118" s="2">
        <f>Y8/'Output-Calculation-sheet'!Y7*'Output-Calculation-sheet'!Y97</f>
        <v>0</v>
      </c>
      <c r="AA118" s="2">
        <f t="shared" si="10"/>
        <v>34130.780175904561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10466426671.468616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3594925016.3308854</v>
      </c>
      <c r="O119" s="2">
        <f>O9/'Output-Calculation-sheet'!O8*'Output-Calculation-sheet'!O98</f>
        <v>3882487541.7030702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1077771582.8444107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421026282.21210641</v>
      </c>
      <c r="Y119" s="2">
        <f>Y9/'Output-Calculation-sheet'!Y8*'Output-Calculation-sheet'!Y98</f>
        <v>0</v>
      </c>
      <c r="AA119" s="2">
        <f t="shared" si="10"/>
        <v>45285.364073683668</v>
      </c>
    </row>
    <row r="120" spans="1:27" x14ac:dyDescent="0.25">
      <c r="A120" s="2">
        <v>2033</v>
      </c>
      <c r="B120" s="2">
        <f>B10/'Output-Calculation-sheet'!B9*'Output-Calculation-sheet'!B99</f>
        <v>17594030579.149696</v>
      </c>
      <c r="C120" s="2">
        <f>C10/'Output-Calculation-sheet'!C9*'Output-Calculation-sheet'!C99</f>
        <v>10182291487.156626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5278465826.2195072</v>
      </c>
      <c r="O120" s="2">
        <f>O10/'Output-Calculation-sheet'!O9*'Output-Calculation-sheet'!O99</f>
        <v>4115743721.8110199</v>
      </c>
      <c r="P120" s="2">
        <f>P10/'Output-Calculation-sheet'!P9*'Output-Calculation-sheet'!P99</f>
        <v>0</v>
      </c>
      <c r="Q120" s="2">
        <f>Q10/'Output-Calculation-sheet'!Q9*'Output-Calculation-sheet'!Q99</f>
        <v>173069982.86298236</v>
      </c>
      <c r="R120" s="2">
        <f>R10/'Output-Calculation-sheet'!R9*'Output-Calculation-sheet'!R99</f>
        <v>0</v>
      </c>
      <c r="S120" s="2">
        <f>S10/'Output-Calculation-sheet'!S9*'Output-Calculation-sheet'!S99</f>
        <v>2126202704.2527804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578431164.27534401</v>
      </c>
      <c r="Y120" s="2">
        <f>Y10/'Output-Calculation-sheet'!Y9*'Output-Calculation-sheet'!Y99</f>
        <v>0</v>
      </c>
      <c r="AA120" s="2">
        <f t="shared" si="10"/>
        <v>62079.401586538523</v>
      </c>
    </row>
    <row r="121" spans="1:27" x14ac:dyDescent="0.25">
      <c r="A121" s="2">
        <v>2034</v>
      </c>
      <c r="B121" s="2">
        <f>B11/'Output-Calculation-sheet'!B10*'Output-Calculation-sheet'!B100</f>
        <v>36622390381.139595</v>
      </c>
      <c r="C121" s="2">
        <f>C11/'Output-Calculation-sheet'!C10*'Output-Calculation-sheet'!C100</f>
        <v>9100084107.0052795</v>
      </c>
      <c r="D121" s="2">
        <f>D11/'Output-Calculation-sheet'!D10*'Output-Calculation-sheet'!D100</f>
        <v>0</v>
      </c>
      <c r="E121" s="2">
        <f>E11/'Output-Calculation-sheet'!E10*'Output-Calculation-sheet'!E100</f>
        <v>757519972.06264699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13438267341.377018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622639790.061728</v>
      </c>
      <c r="M121" s="2">
        <f>M11/'Output-Calculation-sheet'!M10*'Output-Calculation-sheet'!M100</f>
        <v>9404913730.8360004</v>
      </c>
      <c r="N121" s="2">
        <f>N11/'Output-Calculation-sheet'!N10*'Output-Calculation-sheet'!N100</f>
        <v>6386785942.5238056</v>
      </c>
      <c r="O121" s="2">
        <f>O11/'Output-Calculation-sheet'!O10*'Output-Calculation-sheet'!O100</f>
        <v>4049502909.3794141</v>
      </c>
      <c r="P121" s="2">
        <f>P11/'Output-Calculation-sheet'!P10*'Output-Calculation-sheet'!P100</f>
        <v>0</v>
      </c>
      <c r="Q121" s="2">
        <f>Q11/'Output-Calculation-sheet'!Q10*'Output-Calculation-sheet'!Q100</f>
        <v>822888240.02626956</v>
      </c>
      <c r="R121" s="2">
        <f>R11/'Output-Calculation-sheet'!R10*'Output-Calculation-sheet'!R100</f>
        <v>0</v>
      </c>
      <c r="S121" s="2">
        <f>S11/'Output-Calculation-sheet'!S10*'Output-Calculation-sheet'!S100</f>
        <v>3175555531.3771167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41550935.383000568</v>
      </c>
      <c r="AA121" s="2">
        <f t="shared" si="10"/>
        <v>84875.552866027399</v>
      </c>
    </row>
    <row r="122" spans="1:27" x14ac:dyDescent="0.25">
      <c r="A122" s="2">
        <v>2035</v>
      </c>
      <c r="B122" s="2">
        <f>B12/'Output-Calculation-sheet'!B11*'Output-Calculation-sheet'!B101</f>
        <v>38406313698.599937</v>
      </c>
      <c r="C122" s="2">
        <f>C12/'Output-Calculation-sheet'!C11*'Output-Calculation-sheet'!C101</f>
        <v>225716160.40143132</v>
      </c>
      <c r="D122" s="2">
        <f>D12/'Output-Calculation-sheet'!D11*'Output-Calculation-sheet'!D101</f>
        <v>0</v>
      </c>
      <c r="E122" s="2">
        <f>E12/'Output-Calculation-sheet'!E11*'Output-Calculation-sheet'!E101</f>
        <v>3072562314.9651442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11777805442.505247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789511387.53126669</v>
      </c>
      <c r="M122" s="2">
        <f>M12/'Output-Calculation-sheet'!M11*'Output-Calculation-sheet'!M101</f>
        <v>8261904546.0200777</v>
      </c>
      <c r="N122" s="2">
        <f>N12/'Output-Calculation-sheet'!N11*'Output-Calculation-sheet'!N101</f>
        <v>5559221896.6980219</v>
      </c>
      <c r="O122" s="2">
        <f>O12/'Output-Calculation-sheet'!O11*'Output-Calculation-sheet'!O101</f>
        <v>3768823911.016942</v>
      </c>
      <c r="P122" s="2">
        <f>P12/'Output-Calculation-sheet'!P11*'Output-Calculation-sheet'!P101</f>
        <v>236300095.57087862</v>
      </c>
      <c r="Q122" s="2">
        <f>Q12/'Output-Calculation-sheet'!Q11*'Output-Calculation-sheet'!Q101</f>
        <v>888429440.29592812</v>
      </c>
      <c r="R122" s="2">
        <f>R12/'Output-Calculation-sheet'!R11*'Output-Calculation-sheet'!R101</f>
        <v>0</v>
      </c>
      <c r="S122" s="2">
        <f>S12/'Output-Calculation-sheet'!S11*'Output-Calculation-sheet'!S101</f>
        <v>2919918562.7208896</v>
      </c>
      <c r="T122" s="2">
        <f>T12/'Output-Calculation-sheet'!T11*'Output-Calculation-sheet'!T101</f>
        <v>0</v>
      </c>
      <c r="U122" s="2">
        <f>U12/'Output-Calculation-sheet'!U11*'Output-Calculation-sheet'!U101</f>
        <v>43136908.96155148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101177232.83578745</v>
      </c>
      <c r="Y122" s="2">
        <f>Y12/'Output-Calculation-sheet'!Y11*'Output-Calculation-sheet'!Y101</f>
        <v>156701481.19118875</v>
      </c>
      <c r="AA122" s="2">
        <f t="shared" si="10"/>
        <v>76207.523079314284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54996775270.144455</v>
      </c>
      <c r="C129" s="2">
        <f>C8/'Output-Calculation-sheet'!C7*'Output-Calculation-sheet'!C106</f>
        <v>0</v>
      </c>
      <c r="D129" s="2">
        <f>D8/'Output-Calculation-sheet'!D7*'Output-Calculation-sheet'!D106</f>
        <v>23779490447.422318</v>
      </c>
      <c r="E129" s="2">
        <f>E8/'Output-Calculation-sheet'!E7*'Output-Calculation-sheet'!E106</f>
        <v>18866634688.337204</v>
      </c>
      <c r="F129" s="2">
        <f>F8/'Output-Calculation-sheet'!F7*'Output-Calculation-sheet'!F106</f>
        <v>12145125454.007286</v>
      </c>
      <c r="G129" s="2">
        <f>G8/'Output-Calculation-sheet'!G7*'Output-Calculation-sheet'!G106</f>
        <v>8533518182.4831715</v>
      </c>
      <c r="H129" s="2">
        <f>H8/'Output-Calculation-sheet'!H7*'Output-Calculation-sheet'!H106</f>
        <v>0</v>
      </c>
      <c r="I129" s="2">
        <f>I8/'Output-Calculation-sheet'!I7*'Output-Calculation-sheet'!I106</f>
        <v>7774688728.6354742</v>
      </c>
      <c r="J129" s="2">
        <f>J8/'Output-Calculation-sheet'!J7*'Output-Calculation-sheet'!J106</f>
        <v>7567322582.1861315</v>
      </c>
      <c r="K129" s="2">
        <f>K8/'Output-Calculation-sheet'!K7*'Output-Calculation-sheet'!K106</f>
        <v>7494786445.4709206</v>
      </c>
      <c r="L129" s="2">
        <f>L8/'Output-Calculation-sheet'!L7*'Output-Calculation-sheet'!L106</f>
        <v>6012429367.4262314</v>
      </c>
      <c r="M129" s="2">
        <f>M8/'Output-Calculation-sheet'!M7*'Output-Calculation-sheet'!M106</f>
        <v>0</v>
      </c>
      <c r="N129" s="2">
        <f>N8/'Output-Calculation-sheet'!N7*'Output-Calculation-sheet'!N106</f>
        <v>3714704364.211175</v>
      </c>
      <c r="O129" s="2">
        <f>O8/'Output-Calculation-sheet'!O7*'Output-Calculation-sheet'!O106</f>
        <v>0</v>
      </c>
      <c r="P129" s="2">
        <f>P8/'Output-Calculation-sheet'!P7*'Output-Calculation-sheet'!P106</f>
        <v>5131324674.5003805</v>
      </c>
      <c r="Q129" s="2">
        <f>Q8/'Output-Calculation-sheet'!Q7*'Output-Calculation-sheet'!Q106</f>
        <v>5048384776.0957918</v>
      </c>
      <c r="R129" s="2">
        <f>R8/'Output-Calculation-sheet'!R7*'Output-Calculation-sheet'!R106</f>
        <v>4856788217.6089563</v>
      </c>
      <c r="S129" s="2">
        <f>S8/'Output-Calculation-sheet'!S7*'Output-Calculation-sheet'!S106</f>
        <v>2652041053.4541492</v>
      </c>
      <c r="T129" s="2">
        <f>T8/'Output-Calculation-sheet'!T7*'Output-Calculation-sheet'!T106</f>
        <v>1785301350.9982357</v>
      </c>
      <c r="U129" s="2">
        <f>U8/'Output-Calculation-sheet'!U7*'Output-Calculation-sheet'!U106</f>
        <v>1554939228.8377728</v>
      </c>
      <c r="V129" s="2">
        <f>V8/'Output-Calculation-sheet'!V7*'Output-Calculation-sheet'!V106</f>
        <v>1197329124.8710303</v>
      </c>
      <c r="W129" s="2">
        <f>W8/'Output-Calculation-sheet'!W7*'Output-Calculation-sheet'!W106</f>
        <v>1036629820.9709338</v>
      </c>
      <c r="X129" s="2">
        <f>X8/'Output-Calculation-sheet'!X7*'Output-Calculation-sheet'!X106</f>
        <v>0</v>
      </c>
      <c r="Y129" s="2">
        <f>Y8/'Output-Calculation-sheet'!Y7*'Output-Calculation-sheet'!Y106</f>
        <v>604864437.8037008</v>
      </c>
      <c r="AA129" s="2">
        <f t="shared" si="11"/>
        <v>174753.07821546533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3.7291753612174744E-8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3918431753.8361254</v>
      </c>
      <c r="O130" s="2">
        <f>O9/'Output-Calculation-sheet'!O8*'Output-Calculation-sheet'!O107</f>
        <v>0</v>
      </c>
      <c r="P130" s="2">
        <f>P9/'Output-Calculation-sheet'!P8*'Output-Calculation-sheet'!P107</f>
        <v>6840354924.6133013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3225228079.9762778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226679.54162844704</v>
      </c>
    </row>
    <row r="131" spans="1:27" x14ac:dyDescent="0.25">
      <c r="A131" s="2">
        <v>2033</v>
      </c>
      <c r="B131" s="2">
        <f>B10/'Output-Calculation-sheet'!B9*'Output-Calculation-sheet'!B108</f>
        <v>71083991693.768204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3549395696.4136357</v>
      </c>
      <c r="O131" s="2">
        <f>O10/'Output-Calculation-sheet'!O9*'Output-Calculation-sheet'!O108</f>
        <v>0</v>
      </c>
      <c r="P131" s="2">
        <f>P10/'Output-Calculation-sheet'!P9*'Output-Calculation-sheet'!P108</f>
        <v>8037178183.377284</v>
      </c>
      <c r="Q131" s="2">
        <f>Q10/'Output-Calculation-sheet'!Q9*'Output-Calculation-sheet'!Q108</f>
        <v>7734587271.3843498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2929589255.5555987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255001.66828746206</v>
      </c>
    </row>
    <row r="132" spans="1:27" x14ac:dyDescent="0.25">
      <c r="A132" s="2">
        <v>2034</v>
      </c>
      <c r="B132" s="2">
        <f>B11/'Output-Calculation-sheet'!B10*'Output-Calculation-sheet'!B109</f>
        <v>56691338622.531662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30340575123.718788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12473520215.422663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9287856668.5119305</v>
      </c>
      <c r="M132" s="2">
        <f>M11/'Output-Calculation-sheet'!M10*'Output-Calculation-sheet'!M109</f>
        <v>0</v>
      </c>
      <c r="N132" s="2">
        <f>N11/'Output-Calculation-sheet'!N10*'Output-Calculation-sheet'!N109</f>
        <v>2823724763.0911555</v>
      </c>
      <c r="O132" s="2">
        <f>O11/'Output-Calculation-sheet'!O10*'Output-Calculation-sheet'!O109</f>
        <v>0</v>
      </c>
      <c r="P132" s="2">
        <f>P11/'Output-Calculation-sheet'!P10*'Output-Calculation-sheet'!P109</f>
        <v>8457533758.1943588</v>
      </c>
      <c r="Q132" s="2">
        <f>Q11/'Output-Calculation-sheet'!Q10*'Output-Calculation-sheet'!Q109</f>
        <v>7077430724.5811949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2134354933.0899832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955479795.35779309</v>
      </c>
      <c r="AA132" s="2">
        <f t="shared" si="11"/>
        <v>245889.39491225811</v>
      </c>
    </row>
    <row r="133" spans="1:27" x14ac:dyDescent="0.25">
      <c r="A133" s="2">
        <v>2035</v>
      </c>
      <c r="B133" s="2">
        <f>B12/'Output-Calculation-sheet'!B11*'Output-Calculation-sheet'!B110</f>
        <v>44776603902.216057</v>
      </c>
      <c r="C133" s="2">
        <f>C12/'Output-Calculation-sheet'!C11*'Output-Calculation-sheet'!C110</f>
        <v>0</v>
      </c>
      <c r="D133" s="2">
        <f>D12/'Output-Calculation-sheet'!D11*'Output-Calculation-sheet'!D110</f>
        <v>33628796023.825169</v>
      </c>
      <c r="E133" s="2">
        <f>E12/'Output-Calculation-sheet'!E11*'Output-Calculation-sheet'!E110</f>
        <v>25482954862.646469</v>
      </c>
      <c r="F133" s="2">
        <f>F12/'Output-Calculation-sheet'!F11*'Output-Calculation-sheet'!F110</f>
        <v>18135029916.317108</v>
      </c>
      <c r="G133" s="2">
        <f>G12/'Output-Calculation-sheet'!G11*'Output-Calculation-sheet'!G110</f>
        <v>12569683074.921732</v>
      </c>
      <c r="H133" s="2">
        <f>H12/'Output-Calculation-sheet'!H11*'Output-Calculation-sheet'!H110</f>
        <v>0</v>
      </c>
      <c r="I133" s="2">
        <f>I12/'Output-Calculation-sheet'!I11*'Output-Calculation-sheet'!I110</f>
        <v>11346309325.320999</v>
      </c>
      <c r="J133" s="2">
        <f>J12/'Output-Calculation-sheet'!J11*'Output-Calculation-sheet'!J110</f>
        <v>10928818752.137236</v>
      </c>
      <c r="K133" s="2">
        <f>K12/'Output-Calculation-sheet'!K11*'Output-Calculation-sheet'!K110</f>
        <v>10810509362.651825</v>
      </c>
      <c r="L133" s="2">
        <f>L12/'Output-Calculation-sheet'!L11*'Output-Calculation-sheet'!L110</f>
        <v>7948935213.9094448</v>
      </c>
      <c r="M133" s="2">
        <f>M12/'Output-Calculation-sheet'!M11*'Output-Calculation-sheet'!M110</f>
        <v>0</v>
      </c>
      <c r="N133" s="2">
        <f>N12/'Output-Calculation-sheet'!N11*'Output-Calculation-sheet'!N110</f>
        <v>2434895629.9041643</v>
      </c>
      <c r="O133" s="2">
        <f>O12/'Output-Calculation-sheet'!O11*'Output-Calculation-sheet'!O110</f>
        <v>0</v>
      </c>
      <c r="P133" s="2">
        <f>P12/'Output-Calculation-sheet'!P11*'Output-Calculation-sheet'!P110</f>
        <v>7468785550.4230547</v>
      </c>
      <c r="Q133" s="2">
        <f>Q12/'Output-Calculation-sheet'!Q11*'Output-Calculation-sheet'!Q110</f>
        <v>5959324300.7411308</v>
      </c>
      <c r="R133" s="2">
        <f>R12/'Output-Calculation-sheet'!R11*'Output-Calculation-sheet'!R110</f>
        <v>7190647377.7661161</v>
      </c>
      <c r="S133" s="2">
        <f>S12/'Output-Calculation-sheet'!S11*'Output-Calculation-sheet'!S110</f>
        <v>1698379808.918401</v>
      </c>
      <c r="T133" s="2">
        <f>T12/'Output-Calculation-sheet'!T11*'Output-Calculation-sheet'!T110</f>
        <v>2700153081.4555879</v>
      </c>
      <c r="U133" s="2">
        <f>U12/'Output-Calculation-sheet'!U11*'Output-Calculation-sheet'!U110</f>
        <v>2192128282.7455211</v>
      </c>
      <c r="V133" s="2">
        <f>V12/'Output-Calculation-sheet'!V11*'Output-Calculation-sheet'!V110</f>
        <v>1817823029.4629686</v>
      </c>
      <c r="W133" s="2">
        <f>W12/'Output-Calculation-sheet'!W11*'Output-Calculation-sheet'!W110</f>
        <v>1596185952.5790863</v>
      </c>
      <c r="X133" s="2">
        <f>X12/'Output-Calculation-sheet'!X11*'Output-Calculation-sheet'!X110</f>
        <v>869046.37282734492</v>
      </c>
      <c r="Y133" s="2">
        <f>Y12/'Output-Calculation-sheet'!Y11*'Output-Calculation-sheet'!Y110</f>
        <v>759794729.81022525</v>
      </c>
      <c r="AA133" s="2">
        <f t="shared" si="11"/>
        <v>209446.62722412517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13306385759.087994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2635418153.3247352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309317845.40907091</v>
      </c>
      <c r="Y140" s="2">
        <f>Y8/'Output-Calculation-sheet'!Y7*'Output-Calculation-sheet'!Y115</f>
        <v>0</v>
      </c>
      <c r="AA140" s="2">
        <f t="shared" si="12"/>
        <v>16251.1217578218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25100462430.79044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408046230.72622865</v>
      </c>
      <c r="Y141" s="2">
        <f>Y9/'Output-Calculation-sheet'!Y8*'Output-Calculation-sheet'!Y116</f>
        <v>0</v>
      </c>
      <c r="AA141" s="2">
        <f t="shared" si="12"/>
        <v>25508.508661516666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31608776358.836788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395699863.52458227</v>
      </c>
      <c r="Y142" s="2">
        <f>Y10/'Output-Calculation-sheet'!Y9*'Output-Calculation-sheet'!Y117</f>
        <v>0</v>
      </c>
      <c r="AA142" s="2">
        <f t="shared" si="12"/>
        <v>32004.476222361369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34877978838.752945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35449.678424237623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41435436983.893204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865429321.62337482</v>
      </c>
      <c r="Y144" s="2">
        <f>Y12/'Output-Calculation-sheet'!Y11*'Output-Calculation-sheet'!Y119</f>
        <v>0</v>
      </c>
      <c r="AA144" s="2">
        <f t="shared" si="12"/>
        <v>42300.866305516582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56616459115.744629</v>
      </c>
      <c r="C151" s="2">
        <f>C8/'Output-Calculation-sheet'!C7*'Output-Calculation-sheet'!C124</f>
        <v>26680571843.966919</v>
      </c>
      <c r="D151" s="2">
        <f>D8/'Output-Calculation-sheet'!D7*'Output-Calculation-sheet'!D124</f>
        <v>23779490447.422318</v>
      </c>
      <c r="E151" s="2">
        <f>E8/'Output-Calculation-sheet'!E7*'Output-Calculation-sheet'!E124</f>
        <v>18866634688.337204</v>
      </c>
      <c r="F151" s="2">
        <f>F8/'Output-Calculation-sheet'!F7*'Output-Calculation-sheet'!F124</f>
        <v>12145125454.007286</v>
      </c>
      <c r="G151" s="2">
        <f>G8/'Output-Calculation-sheet'!G7*'Output-Calculation-sheet'!G124</f>
        <v>8533518182.4831715</v>
      </c>
      <c r="H151" s="2">
        <f>H8/'Output-Calculation-sheet'!H7*'Output-Calculation-sheet'!H124</f>
        <v>8324129057.2740002</v>
      </c>
      <c r="I151" s="2">
        <f>I8/'Output-Calculation-sheet'!I7*'Output-Calculation-sheet'!I124</f>
        <v>7774688728.6354742</v>
      </c>
      <c r="J151" s="2">
        <f>J8/'Output-Calculation-sheet'!J7*'Output-Calculation-sheet'!J124</f>
        <v>7567322582.1861315</v>
      </c>
      <c r="K151" s="2">
        <f>K8/'Output-Calculation-sheet'!K7*'Output-Calculation-sheet'!K124</f>
        <v>7494786445.4709206</v>
      </c>
      <c r="L151" s="2">
        <f>L8/'Output-Calculation-sheet'!L7*'Output-Calculation-sheet'!L124</f>
        <v>6012429367.4262314</v>
      </c>
      <c r="M151" s="2">
        <f>M8/'Output-Calculation-sheet'!M7*'Output-Calculation-sheet'!M124</f>
        <v>5742918935.208828</v>
      </c>
      <c r="N151" s="2">
        <f>N8/'Output-Calculation-sheet'!N7*'Output-Calculation-sheet'!N124</f>
        <v>5636648528.5248632</v>
      </c>
      <c r="O151" s="2">
        <f>O8/'Output-Calculation-sheet'!O7*'Output-Calculation-sheet'!O124</f>
        <v>5524846460.589941</v>
      </c>
      <c r="P151" s="2">
        <f>P8/'Output-Calculation-sheet'!P7*'Output-Calculation-sheet'!P124</f>
        <v>5131324674.5003805</v>
      </c>
      <c r="Q151" s="2">
        <f>Q8/'Output-Calculation-sheet'!Q7*'Output-Calculation-sheet'!Q124</f>
        <v>5048384776.0957918</v>
      </c>
      <c r="R151" s="2">
        <f>R8/'Output-Calculation-sheet'!R7*'Output-Calculation-sheet'!R124</f>
        <v>4856788217.6089563</v>
      </c>
      <c r="S151" s="2">
        <f>S8/'Output-Calculation-sheet'!S7*'Output-Calculation-sheet'!S124</f>
        <v>3228062627.0817361</v>
      </c>
      <c r="T151" s="2">
        <f>T8/'Output-Calculation-sheet'!T7*'Output-Calculation-sheet'!T124</f>
        <v>1785301350.9982357</v>
      </c>
      <c r="U151" s="2">
        <f>U8/'Output-Calculation-sheet'!U7*'Output-Calculation-sheet'!U124</f>
        <v>1554939228.8377728</v>
      </c>
      <c r="V151" s="2">
        <f>V8/'Output-Calculation-sheet'!V7*'Output-Calculation-sheet'!V124</f>
        <v>1197329124.8710303</v>
      </c>
      <c r="W151" s="2">
        <f>W8/'Output-Calculation-sheet'!W7*'Output-Calculation-sheet'!W124</f>
        <v>1036629820.9709338</v>
      </c>
      <c r="X151" s="2">
        <f>X8/'Output-Calculation-sheet'!X7*'Output-Calculation-sheet'!X124</f>
        <v>621974595.07133496</v>
      </c>
      <c r="Y151" s="2">
        <f>Y8/'Output-Calculation-sheet'!Y7*'Output-Calculation-sheet'!Y124</f>
        <v>604864437.8037008</v>
      </c>
      <c r="AA151" s="2">
        <f t="shared" si="13"/>
        <v>225765.16869111781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21340220738.783573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7751174763.2244081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183908.45759674307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7468030701.7332697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122462.0399001586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2387829188.193716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1448778060.4850433</v>
      </c>
      <c r="N154" s="2">
        <f>N11/'Output-Calculation-sheet'!N10*'Output-Calculation-sheet'!N127</f>
        <v>1436162889.3101153</v>
      </c>
      <c r="O154" s="2">
        <f>O11/'Output-Calculation-sheet'!O10*'Output-Calculation-sheet'!O127</f>
        <v>6560890895.6548138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1742686515.3394079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774701671.27761769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59625.079030286455</v>
      </c>
    </row>
    <row r="155" spans="1:27" x14ac:dyDescent="0.25">
      <c r="A155" s="2">
        <v>2035</v>
      </c>
      <c r="B155" s="2">
        <f>B12/'Output-Calculation-sheet'!B11*'Output-Calculation-sheet'!B128</f>
        <v>7607229877.8337784</v>
      </c>
      <c r="C155" s="2">
        <f>C12/'Output-Calculation-sheet'!C11*'Output-Calculation-sheet'!C128</f>
        <v>55688021.88200324</v>
      </c>
      <c r="D155" s="2">
        <f>D12/'Output-Calculation-sheet'!D11*'Output-Calculation-sheet'!D128</f>
        <v>4527186734.5206842</v>
      </c>
      <c r="E155" s="2">
        <f>E12/'Output-Calculation-sheet'!E11*'Output-Calculation-sheet'!E128</f>
        <v>2054095622.3516805</v>
      </c>
      <c r="F155" s="2">
        <f>F12/'Output-Calculation-sheet'!F11*'Output-Calculation-sheet'!F128</f>
        <v>1304081256.8127708</v>
      </c>
      <c r="G155" s="2">
        <f>G12/'Output-Calculation-sheet'!G11*'Output-Calculation-sheet'!G128</f>
        <v>1165980299.5708685</v>
      </c>
      <c r="H155" s="2">
        <f>H12/'Output-Calculation-sheet'!H11*'Output-Calculation-sheet'!H128</f>
        <v>1860744504.9609869</v>
      </c>
      <c r="I155" s="2">
        <f>I12/'Output-Calculation-sheet'!I11*'Output-Calculation-sheet'!I128</f>
        <v>1162961444.8988764</v>
      </c>
      <c r="J155" s="2">
        <f>J12/'Output-Calculation-sheet'!J11*'Output-Calculation-sheet'!J128</f>
        <v>1111689421.9860549</v>
      </c>
      <c r="K155" s="2">
        <f>K12/'Output-Calculation-sheet'!K11*'Output-Calculation-sheet'!K128</f>
        <v>1264064942.8199015</v>
      </c>
      <c r="L155" s="2">
        <f>L12/'Output-Calculation-sheet'!L11*'Output-Calculation-sheet'!L128</f>
        <v>917477575.11077285</v>
      </c>
      <c r="M155" s="2">
        <f>M12/'Output-Calculation-sheet'!M11*'Output-Calculation-sheet'!M128</f>
        <v>1133118121.8569739</v>
      </c>
      <c r="N155" s="2">
        <f>N12/'Output-Calculation-sheet'!N11*'Output-Calculation-sheet'!N128</f>
        <v>1103341503.6279411</v>
      </c>
      <c r="O155" s="2">
        <f>O12/'Output-Calculation-sheet'!O11*'Output-Calculation-sheet'!O128</f>
        <v>5144207192.2927437</v>
      </c>
      <c r="P155" s="2">
        <f>P12/'Output-Calculation-sheet'!P11*'Output-Calculation-sheet'!P128</f>
        <v>609093831.24166882</v>
      </c>
      <c r="Q155" s="2">
        <f>Q12/'Output-Calculation-sheet'!Q11*'Output-Calculation-sheet'!Q128</f>
        <v>1362339941.3337369</v>
      </c>
      <c r="R155" s="2">
        <f>R12/'Output-Calculation-sheet'!R11*'Output-Calculation-sheet'!R128</f>
        <v>587619109.00632811</v>
      </c>
      <c r="S155" s="2">
        <f>S12/'Output-Calculation-sheet'!S11*'Output-Calculation-sheet'!S128</f>
        <v>589083907.83627272</v>
      </c>
      <c r="T155" s="2">
        <f>T12/'Output-Calculation-sheet'!T11*'Output-Calculation-sheet'!T128</f>
        <v>140541147.77493337</v>
      </c>
      <c r="U155" s="2">
        <f>U12/'Output-Calculation-sheet'!U11*'Output-Calculation-sheet'!U128</f>
        <v>271966163.68550897</v>
      </c>
      <c r="V155" s="2">
        <f>V12/'Output-Calculation-sheet'!V11*'Output-Calculation-sheet'!V128</f>
        <v>67811711.610332698</v>
      </c>
      <c r="W155" s="2">
        <f>W12/'Output-Calculation-sheet'!W11*'Output-Calculation-sheet'!W128</f>
        <v>63007570.831386887</v>
      </c>
      <c r="X155" s="2">
        <f>X12/'Output-Calculation-sheet'!X11*'Output-Calculation-sheet'!X128</f>
        <v>7751948.5698846271</v>
      </c>
      <c r="Y155" s="2">
        <f>Y12/'Output-Calculation-sheet'!Y11*'Output-Calculation-sheet'!Y128</f>
        <v>67775782.900343522</v>
      </c>
      <c r="AA155" s="2">
        <f t="shared" si="13"/>
        <v>34178.857635316432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1283.3618646062007</v>
      </c>
      <c r="C19" s="2">
        <f>C8/'Output-Calculation-sheet'!C7*'Output-Calculation-sheet'!C25</f>
        <v>9150.4489268184043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5766.1081975596644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4002.480875148558</v>
      </c>
      <c r="N19" s="2">
        <f>N8/'Output-Calculation-sheet'!N7*'Output-Calculation-sheet'!N25</f>
        <v>1368.5637890011362</v>
      </c>
      <c r="O19" s="2">
        <f>O8/'Output-Calculation-sheet'!O7*'Output-Calculation-sheet'!O25</f>
        <v>1492.9126482868421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488.79665578416751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211.3052423515586</v>
      </c>
      <c r="Y19" s="2">
        <f>Y8/'Output-Calculation-sheet'!Y7*'Output-Calculation-sheet'!Y25</f>
        <v>0</v>
      </c>
      <c r="AA19" s="2">
        <f t="shared" si="0"/>
        <v>23.763978199556533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7187.9882530962741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8102.1253089443644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5629.8418511048194</v>
      </c>
      <c r="N20" s="2">
        <f>N9/'Output-Calculation-sheet'!N8*'Output-Calculation-sheet'!N26</f>
        <v>2536.3426876964759</v>
      </c>
      <c r="O20" s="2">
        <f>O9/'Output-Calculation-sheet'!O8*'Output-Calculation-sheet'!O26</f>
        <v>2676.1128979239188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921.9116005081105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300.85098826219303</v>
      </c>
      <c r="Y20" s="2">
        <f>Y9/'Output-Calculation-sheet'!Y8*'Output-Calculation-sheet'!Y26</f>
        <v>0</v>
      </c>
      <c r="AA20" s="2">
        <f t="shared" si="0"/>
        <v>34.802026233513551</v>
      </c>
    </row>
    <row r="21" spans="1:27" x14ac:dyDescent="0.25">
      <c r="A21" s="2">
        <v>2033</v>
      </c>
      <c r="B21" s="2">
        <f>B10/'Output-Calculation-sheet'!B9*'Output-Calculation-sheet'!B27</f>
        <v>17986.2661186281</v>
      </c>
      <c r="C21" s="2">
        <f>C10/'Output-Calculation-sheet'!C9*'Output-Calculation-sheet'!C27</f>
        <v>7459.5497696450557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10427.79721908168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7244.2487640923764</v>
      </c>
      <c r="N21" s="2">
        <f>N10/'Output-Calculation-sheet'!N9*'Output-Calculation-sheet'!N27</f>
        <v>3951.8951304742195</v>
      </c>
      <c r="O21" s="2">
        <f>O10/'Output-Calculation-sheet'!O9*'Output-Calculation-sheet'!O27</f>
        <v>3096.5266324606459</v>
      </c>
      <c r="P21" s="2">
        <f>P10/'Output-Calculation-sheet'!P9*'Output-Calculation-sheet'!P27</f>
        <v>0</v>
      </c>
      <c r="Q21" s="2">
        <f>Q10/'Output-Calculation-sheet'!Q9*'Output-Calculation-sheet'!Q27</f>
        <v>269.68889037357025</v>
      </c>
      <c r="R21" s="2">
        <f>R10/'Output-Calculation-sheet'!R9*'Output-Calculation-sheet'!R27</f>
        <v>0</v>
      </c>
      <c r="S21" s="2">
        <f>S10/'Output-Calculation-sheet'!S9*'Output-Calculation-sheet'!S27</f>
        <v>1722.749225830109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459.12404958396115</v>
      </c>
      <c r="Y21" s="2">
        <f>Y10/'Output-Calculation-sheet'!Y9*'Output-Calculation-sheet'!Y27</f>
        <v>0</v>
      </c>
      <c r="AA21" s="2">
        <f t="shared" si="0"/>
        <v>52.617845800169718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7523.7836935838577</v>
      </c>
      <c r="D22" s="2">
        <f>D11/'Output-Calculation-sheet'!D10*'Output-Calculation-sheet'!D28</f>
        <v>0</v>
      </c>
      <c r="E22" s="2">
        <f>E11/'Output-Calculation-sheet'!E10*'Output-Calculation-sheet'!E28</f>
        <v>1795.3067668516221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13079.029675996642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1076.407909683144</v>
      </c>
      <c r="M22" s="2">
        <f>M11/'Output-Calculation-sheet'!M10*'Output-Calculation-sheet'!M28</f>
        <v>9510.0099654971273</v>
      </c>
      <c r="N22" s="2">
        <f>N11/'Output-Calculation-sheet'!N10*'Output-Calculation-sheet'!N28</f>
        <v>5477.6652365418295</v>
      </c>
      <c r="O22" s="2">
        <f>O11/'Output-Calculation-sheet'!O10*'Output-Calculation-sheet'!O28</f>
        <v>3479.5645341571685</v>
      </c>
      <c r="P22" s="2">
        <f>P11/'Output-Calculation-sheet'!P10*'Output-Calculation-sheet'!P28</f>
        <v>0</v>
      </c>
      <c r="Q22" s="2">
        <f>Q11/'Output-Calculation-sheet'!Q10*'Output-Calculation-sheet'!Q28</f>
        <v>1277.9551045914895</v>
      </c>
      <c r="R22" s="2">
        <f>R11/'Output-Calculation-sheet'!R10*'Output-Calculation-sheet'!R28</f>
        <v>0</v>
      </c>
      <c r="S22" s="2">
        <f>S11/'Output-Calculation-sheet'!S10*'Output-Calculation-sheet'!S28</f>
        <v>2842.1193622589358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98.022769041266656</v>
      </c>
      <c r="AA22" s="2">
        <f t="shared" si="0"/>
        <v>81.90576148228817</v>
      </c>
    </row>
    <row r="23" spans="1:27" x14ac:dyDescent="0.25">
      <c r="A23" s="2">
        <v>2035</v>
      </c>
      <c r="B23" s="2">
        <f>B12/'Output-Calculation-sheet'!B11*'Output-Calculation-sheet'!B29</f>
        <v>43335.769408725777</v>
      </c>
      <c r="C23" s="2">
        <f>C12/'Output-Calculation-sheet'!C11*'Output-Calculation-sheet'!C29</f>
        <v>224.2777086166962</v>
      </c>
      <c r="D23" s="2">
        <f>D12/'Output-Calculation-sheet'!D11*'Output-Calculation-sheet'!D29</f>
        <v>0</v>
      </c>
      <c r="E23" s="2">
        <f>E12/'Output-Calculation-sheet'!E11*'Output-Calculation-sheet'!E29</f>
        <v>6590.697854937659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13394.926645519281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1483.2393398584343</v>
      </c>
      <c r="M23" s="2">
        <f>M12/'Output-Calculation-sheet'!M11*'Output-Calculation-sheet'!M29</f>
        <v>9756.9300224014496</v>
      </c>
      <c r="N23" s="2">
        <f>N12/'Output-Calculation-sheet'!N11*'Output-Calculation-sheet'!N29</f>
        <v>5665.3841505140581</v>
      </c>
      <c r="O23" s="2">
        <f>O12/'Output-Calculation-sheet'!O11*'Output-Calculation-sheet'!O29</f>
        <v>3904.3781403412095</v>
      </c>
      <c r="P23" s="2">
        <f>P12/'Output-Calculation-sheet'!P11*'Output-Calculation-sheet'!P29</f>
        <v>681.52416202098493</v>
      </c>
      <c r="Q23" s="2">
        <f>Q12/'Output-Calculation-sheet'!Q11*'Output-Calculation-sheet'!Q29</f>
        <v>1518.3267662278679</v>
      </c>
      <c r="R23" s="2">
        <f>R12/'Output-Calculation-sheet'!R11*'Output-Calculation-sheet'!R29</f>
        <v>0</v>
      </c>
      <c r="S23" s="2">
        <f>S12/'Output-Calculation-sheet'!S11*'Output-Calculation-sheet'!S29</f>
        <v>3077.5419121001701</v>
      </c>
      <c r="T23" s="2">
        <f>T12/'Output-Calculation-sheet'!T11*'Output-Calculation-sheet'!T29</f>
        <v>0</v>
      </c>
      <c r="U23" s="2">
        <f>U12/'Output-Calculation-sheet'!U11*'Output-Calculation-sheet'!U29</f>
        <v>135.50661292582097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100.5318984183594</v>
      </c>
      <c r="Y23" s="2">
        <f>Y12/'Output-Calculation-sheet'!Y11*'Output-Calculation-sheet'!Y29</f>
        <v>289.52917821882244</v>
      </c>
      <c r="AA23" s="2">
        <f t="shared" si="0"/>
        <v>90.158563800826599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22370.280425315661</v>
      </c>
      <c r="C30" s="2">
        <f>C8/'Output-Calculation-sheet'!C7*'Output-Calculation-sheet'!C16</f>
        <v>0</v>
      </c>
      <c r="D30" s="2">
        <f>D8/'Output-Calculation-sheet'!D7*'Output-Calculation-sheet'!D16</f>
        <v>3766.8314154183772</v>
      </c>
      <c r="E30" s="2">
        <f>E8/'Output-Calculation-sheet'!E7*'Output-Calculation-sheet'!E16</f>
        <v>4052.9029926351218</v>
      </c>
      <c r="F30" s="2">
        <f>F8/'Output-Calculation-sheet'!F7*'Output-Calculation-sheet'!F16</f>
        <v>2044.7445397567731</v>
      </c>
      <c r="G30" s="2">
        <f>G8/'Output-Calculation-sheet'!G7*'Output-Calculation-sheet'!G16</f>
        <v>1339.0470075374349</v>
      </c>
      <c r="H30" s="2">
        <f>H8/'Output-Calculation-sheet'!H7*'Output-Calculation-sheet'!H16</f>
        <v>0</v>
      </c>
      <c r="I30" s="2">
        <f>I8/'Output-Calculation-sheet'!I7*'Output-Calculation-sheet'!I16</f>
        <v>1305.3862848275257</v>
      </c>
      <c r="J30" s="2">
        <f>J8/'Output-Calculation-sheet'!J7*'Output-Calculation-sheet'!J16</f>
        <v>1162.0287993851166</v>
      </c>
      <c r="K30" s="2">
        <f>K8/'Output-Calculation-sheet'!K7*'Output-Calculation-sheet'!K16</f>
        <v>1551.5319012450625</v>
      </c>
      <c r="L30" s="2">
        <f>L8/'Output-Calculation-sheet'!L7*'Output-Calculation-sheet'!L16</f>
        <v>1310.5409708464608</v>
      </c>
      <c r="M30" s="2">
        <f>M8/'Output-Calculation-sheet'!M7*'Output-Calculation-sheet'!M16</f>
        <v>0</v>
      </c>
      <c r="N30" s="2">
        <f>N8/'Output-Calculation-sheet'!N7*'Output-Calculation-sheet'!N16</f>
        <v>1862.9073281588137</v>
      </c>
      <c r="O30" s="2">
        <f>O8/'Output-Calculation-sheet'!O7*'Output-Calculation-sheet'!O16</f>
        <v>0</v>
      </c>
      <c r="P30" s="2">
        <f>P8/'Output-Calculation-sheet'!P7*'Output-Calculation-sheet'!P16</f>
        <v>1673.0751013418565</v>
      </c>
      <c r="Q30" s="2">
        <f>Q8/'Output-Calculation-sheet'!Q7*'Output-Calculation-sheet'!Q16</f>
        <v>1839.8386121418803</v>
      </c>
      <c r="R30" s="2">
        <f>R8/'Output-Calculation-sheet'!R7*'Output-Calculation-sheet'!R16</f>
        <v>1167.3841738356168</v>
      </c>
      <c r="S30" s="2">
        <f>S8/'Output-Calculation-sheet'!S7*'Output-Calculation-sheet'!S16</f>
        <v>1174.0478912965862</v>
      </c>
      <c r="T30" s="2">
        <f>T8/'Output-Calculation-sheet'!T7*'Output-Calculation-sheet'!T16</f>
        <v>350.42976993358434</v>
      </c>
      <c r="U30" s="2">
        <f>U8/'Output-Calculation-sheet'!U7*'Output-Calculation-sheet'!U16</f>
        <v>349.80498475800505</v>
      </c>
      <c r="V30" s="2">
        <f>V8/'Output-Calculation-sheet'!V7*'Output-Calculation-sheet'!V16</f>
        <v>272.24538806191623</v>
      </c>
      <c r="W30" s="2">
        <f>W8/'Output-Calculation-sheet'!W7*'Output-Calculation-sheet'!W16</f>
        <v>165.13259919377109</v>
      </c>
      <c r="X30" s="2">
        <f>X8/'Output-Calculation-sheet'!X7*'Output-Calculation-sheet'!X16</f>
        <v>0</v>
      </c>
      <c r="Y30" s="2">
        <f>Y8/'Output-Calculation-sheet'!Y7*'Output-Calculation-sheet'!Y16</f>
        <v>139.7634758997892</v>
      </c>
      <c r="AA30" s="2">
        <f t="shared" si="1"/>
        <v>47.897923661589338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2159.6596406375211</v>
      </c>
      <c r="O31" s="2">
        <f>O9/'Output-Calculation-sheet'!O8*'Output-Calculation-sheet'!O17</f>
        <v>0</v>
      </c>
      <c r="P31" s="2">
        <f>P9/'Output-Calculation-sheet'!P8*'Output-Calculation-sheet'!P17</f>
        <v>2673.7398460437835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1605.9502334256301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68.666914616999648</v>
      </c>
    </row>
    <row r="32" spans="1:27" x14ac:dyDescent="0.25">
      <c r="A32" s="2">
        <v>2033</v>
      </c>
      <c r="B32" s="2">
        <f>B10/'Output-Calculation-sheet'!B9*'Output-Calculation-sheet'!B18</f>
        <v>36622.576415382369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3488.1284935455033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2243.3463321576091</v>
      </c>
      <c r="O32" s="2">
        <f>O10/'Output-Calculation-sheet'!O9*'Output-Calculation-sheet'!O18</f>
        <v>0</v>
      </c>
      <c r="P32" s="2">
        <f>P10/'Output-Calculation-sheet'!P9*'Output-Calculation-sheet'!P18</f>
        <v>3590.0652974010659</v>
      </c>
      <c r="Q32" s="2">
        <f>Q10/'Output-Calculation-sheet'!Q9*'Output-Calculation-sheet'!Q18</f>
        <v>3909.7117731848589</v>
      </c>
      <c r="R32" s="2">
        <f>R10/'Output-Calculation-sheet'!R9*'Output-Calculation-sheet'!R18</f>
        <v>2578.0261353916339</v>
      </c>
      <c r="S32" s="2">
        <f>S10/'Output-Calculation-sheet'!S9*'Output-Calculation-sheet'!S18</f>
        <v>1688.3163585965426</v>
      </c>
      <c r="T32" s="2">
        <f>T10/'Output-Calculation-sheet'!T9*'Output-Calculation-sheet'!T18</f>
        <v>752.70144878276301</v>
      </c>
      <c r="U32" s="2">
        <f>U10/'Output-Calculation-sheet'!U9*'Output-Calculation-sheet'!U18</f>
        <v>832.11213813015081</v>
      </c>
      <c r="V32" s="2">
        <f>V10/'Output-Calculation-sheet'!V9*'Output-Calculation-sheet'!V18</f>
        <v>614.18373633585816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355.58099209886774</v>
      </c>
      <c r="AA32" s="2">
        <f t="shared" si="1"/>
        <v>87.969172479532276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10657.267205649021</v>
      </c>
      <c r="E33" s="2">
        <f>E11/'Output-Calculation-sheet'!E10*'Output-Calculation-sheet'!E19</f>
        <v>13197.2839213036</v>
      </c>
      <c r="F33" s="2">
        <f>F11/'Output-Calculation-sheet'!F10*'Output-Calculation-sheet'!F19</f>
        <v>6048.9995641237292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3958.8026471963408</v>
      </c>
      <c r="J33" s="2">
        <f>J11/'Output-Calculation-sheet'!J10*'Output-Calculation-sheet'!J19</f>
        <v>3347.0879383338561</v>
      </c>
      <c r="K33" s="2">
        <f>K11/'Output-Calculation-sheet'!K10*'Output-Calculation-sheet'!K19</f>
        <v>4642.6283107930785</v>
      </c>
      <c r="L33" s="2">
        <f>L11/'Output-Calculation-sheet'!L10*'Output-Calculation-sheet'!L19</f>
        <v>3777.0725765417778</v>
      </c>
      <c r="M33" s="2">
        <f>M11/'Output-Calculation-sheet'!M10*'Output-Calculation-sheet'!M19</f>
        <v>0</v>
      </c>
      <c r="N33" s="2">
        <f>N11/'Output-Calculation-sheet'!N10*'Output-Calculation-sheet'!N19</f>
        <v>2147.7114322433349</v>
      </c>
      <c r="O33" s="2">
        <f>O11/'Output-Calculation-sheet'!O10*'Output-Calculation-sheet'!O19</f>
        <v>0</v>
      </c>
      <c r="P33" s="2">
        <f>P11/'Output-Calculation-sheet'!P10*'Output-Calculation-sheet'!P19</f>
        <v>4696.2902395343353</v>
      </c>
      <c r="Q33" s="2">
        <f>Q11/'Output-Calculation-sheet'!Q10*'Output-Calculation-sheet'!Q19</f>
        <v>3837.1830044356298</v>
      </c>
      <c r="R33" s="2">
        <f>R11/'Output-Calculation-sheet'!R10*'Output-Calculation-sheet'!R19</f>
        <v>3353.6405922083923</v>
      </c>
      <c r="S33" s="2">
        <f>S11/'Output-Calculation-sheet'!S10*'Output-Calculation-sheet'!S19</f>
        <v>1562.2866380366875</v>
      </c>
      <c r="T33" s="2">
        <f>T11/'Output-Calculation-sheet'!T10*'Output-Calculation-sheet'!T19</f>
        <v>984.02364539037262</v>
      </c>
      <c r="U33" s="2">
        <f>U11/'Output-Calculation-sheet'!U10*'Output-Calculation-sheet'!U19</f>
        <v>1131.8259731036687</v>
      </c>
      <c r="V33" s="2">
        <f>V11/'Output-Calculation-sheet'!V10*'Output-Calculation-sheet'!V19</f>
        <v>771.84158117741595</v>
      </c>
      <c r="W33" s="2">
        <f>W11/'Output-Calculation-sheet'!W10*'Output-Calculation-sheet'!W19</f>
        <v>480.53850391355746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104.3801804129982</v>
      </c>
    </row>
    <row r="34" spans="1:27" x14ac:dyDescent="0.25">
      <c r="A34" s="2">
        <v>2035</v>
      </c>
      <c r="B34" s="2">
        <f>B12/'Output-Calculation-sheet'!B11*'Output-Calculation-sheet'!B20</f>
        <v>34126.999301957971</v>
      </c>
      <c r="C34" s="2">
        <f>C12/'Output-Calculation-sheet'!C11*'Output-Calculation-sheet'!C20</f>
        <v>0</v>
      </c>
      <c r="D34" s="2">
        <f>D12/'Output-Calculation-sheet'!D11*'Output-Calculation-sheet'!D20</f>
        <v>10687.075026267086</v>
      </c>
      <c r="E34" s="2">
        <f>E12/'Output-Calculation-sheet'!E11*'Output-Calculation-sheet'!E20</f>
        <v>11774.990795443668</v>
      </c>
      <c r="F34" s="2">
        <f>F12/'Output-Calculation-sheet'!F11*'Output-Calculation-sheet'!F20</f>
        <v>7287.8255110052569</v>
      </c>
      <c r="G34" s="2">
        <f>G12/'Output-Calculation-sheet'!G11*'Output-Calculation-sheet'!G20</f>
        <v>3936.2441982149739</v>
      </c>
      <c r="H34" s="2">
        <f>H12/'Output-Calculation-sheet'!H11*'Output-Calculation-sheet'!H20</f>
        <v>0</v>
      </c>
      <c r="I34" s="2">
        <f>I12/'Output-Calculation-sheet'!I11*'Output-Calculation-sheet'!I20</f>
        <v>4287.3561121060202</v>
      </c>
      <c r="J34" s="2">
        <f>J12/'Output-Calculation-sheet'!J11*'Output-Calculation-sheet'!J20</f>
        <v>3673.980005943858</v>
      </c>
      <c r="K34" s="2">
        <f>K12/'Output-Calculation-sheet'!K11*'Output-Calculation-sheet'!K20</f>
        <v>4829.0765665195131</v>
      </c>
      <c r="L34" s="2">
        <f>L12/'Output-Calculation-sheet'!L11*'Output-Calculation-sheet'!L20</f>
        <v>3823.5095504069536</v>
      </c>
      <c r="M34" s="2">
        <f>M12/'Output-Calculation-sheet'!M11*'Output-Calculation-sheet'!M20</f>
        <v>0</v>
      </c>
      <c r="N34" s="2">
        <f>N12/'Output-Calculation-sheet'!N11*'Output-Calculation-sheet'!N20</f>
        <v>2130.874150125434</v>
      </c>
      <c r="O34" s="2">
        <f>O12/'Output-Calculation-sheet'!O11*'Output-Calculation-sheet'!O20</f>
        <v>0</v>
      </c>
      <c r="P34" s="2">
        <f>P12/'Output-Calculation-sheet'!P11*'Output-Calculation-sheet'!P20</f>
        <v>4768.3011537122948</v>
      </c>
      <c r="Q34" s="2">
        <f>Q12/'Output-Calculation-sheet'!Q11*'Output-Calculation-sheet'!Q20</f>
        <v>3757.7558951427509</v>
      </c>
      <c r="R34" s="2">
        <f>R12/'Output-Calculation-sheet'!R11*'Output-Calculation-sheet'!R20</f>
        <v>3791.9917147152078</v>
      </c>
      <c r="S34" s="2">
        <f>S12/'Output-Calculation-sheet'!S11*'Output-Calculation-sheet'!S20</f>
        <v>1464.618980516776</v>
      </c>
      <c r="T34" s="2">
        <f>T12/'Output-Calculation-sheet'!T11*'Output-Calculation-sheet'!T20</f>
        <v>1183.4873407812295</v>
      </c>
      <c r="U34" s="2">
        <f>U12/'Output-Calculation-sheet'!U11*'Output-Calculation-sheet'!U20</f>
        <v>1083.3958164780913</v>
      </c>
      <c r="V34" s="2">
        <f>V12/'Output-Calculation-sheet'!V11*'Output-Calculation-sheet'!V20</f>
        <v>992.58777705725834</v>
      </c>
      <c r="W34" s="2">
        <f>W12/'Output-Calculation-sheet'!W11*'Output-Calculation-sheet'!W20</f>
        <v>641.91732342949285</v>
      </c>
      <c r="X34" s="2">
        <f>X12/'Output-Calculation-sheet'!X11*'Output-Calculation-sheet'!X20</f>
        <v>1.5151410593788643</v>
      </c>
      <c r="Y34" s="2">
        <f>Y12/'Output-Calculation-sheet'!Y11*'Output-Calculation-sheet'!Y20</f>
        <v>357.90419882265104</v>
      </c>
      <c r="AA34" s="2">
        <f t="shared" si="1"/>
        <v>104.60140655970585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4.737881352689402E-2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4.737881352689402E-2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0.55873861351134002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0.55873861351134002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0.75431284346472838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0.75431284346472838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6.9760231696567393E-2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1.6000609479904324E-2</v>
      </c>
      <c r="N44" s="2">
        <f>N11/'Output-Calculation-sheet'!N10*'Output-Calculation-sheet'!N37*0.0114</f>
        <v>1.5726004220918938E-2</v>
      </c>
      <c r="O44" s="2">
        <f>O11/'Output-Calculation-sheet'!O10*'Output-Calculation-sheet'!O37*0.0114</f>
        <v>0.90986440682853909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4.1335162335773647E-2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9.0146885078182196E-3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1.0617011030695216</v>
      </c>
    </row>
    <row r="45" spans="1:27" x14ac:dyDescent="0.25">
      <c r="A45" s="2">
        <v>2035</v>
      </c>
      <c r="B45" s="2">
        <f>B12/'Output-Calculation-sheet'!B11*'Output-Calculation-sheet'!B38*0.0114</f>
        <v>0.7966958835384369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0.26620270144949115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0.32592066062332281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6.4174388800560561E-2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6.75686182596128E-2</v>
      </c>
      <c r="M45" s="2">
        <f>M12/'Output-Calculation-sheet'!M11*'Output-Calculation-sheet'!M38*0.0114</f>
        <v>0.19222725681606936</v>
      </c>
      <c r="N45" s="2">
        <f>N12/'Output-Calculation-sheet'!N11*'Output-Calculation-sheet'!N38*0.0114</f>
        <v>0.14169616425526549</v>
      </c>
      <c r="O45" s="2">
        <f>O12/'Output-Calculation-sheet'!O11*'Output-Calculation-sheet'!O38*0.0114</f>
        <v>0.99905890672382813</v>
      </c>
      <c r="P45" s="2">
        <f>P12/'Output-Calculation-sheet'!P11*'Output-Calculation-sheet'!P38*0.0114</f>
        <v>8.7268244464770453E-2</v>
      </c>
      <c r="Q45" s="2">
        <f>Q12/'Output-Calculation-sheet'!Q11*'Output-Calculation-sheet'!Q38*0.0114</f>
        <v>0.12414753443973482</v>
      </c>
      <c r="R45" s="2">
        <f>R12/'Output-Calculation-sheet'!R11*'Output-Calculation-sheet'!R38*0.0114</f>
        <v>5.4718079592005038E-2</v>
      </c>
      <c r="S45" s="2">
        <f>S12/'Output-Calculation-sheet'!S11*'Output-Calculation-sheet'!S38*0.0114</f>
        <v>6.3175103400484267E-2</v>
      </c>
      <c r="T45" s="2">
        <f>T12/'Output-Calculation-sheet'!T11*'Output-Calculation-sheet'!T38*0.0114</f>
        <v>1.5182721128813536E-2</v>
      </c>
      <c r="U45" s="2">
        <f>U12/'Output-Calculation-sheet'!U11*'Output-Calculation-sheet'!U38*0.0114</f>
        <v>2.2005848956021205E-2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1.0175031349103383E-2</v>
      </c>
      <c r="AA45" s="2">
        <f t="shared" si="2"/>
        <v>3.977034866659666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3535.1683175916373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8142.8254098741481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5569.07095774565</v>
      </c>
      <c r="N52" s="2">
        <f>N8/'Output-Calculation-sheet'!N7*'Output-Calculation-sheet'!N43</f>
        <v>175.9178166928601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37.655495532849727</v>
      </c>
      <c r="Y52" s="2">
        <f>Y8/'Output-Calculation-sheet'!Y7*'Output-Calculation-sheet'!Y43</f>
        <v>0</v>
      </c>
      <c r="AA52" s="2">
        <f t="shared" si="3"/>
        <v>17.46063799743715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624.70816479644043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16192.412793667527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11089.789551313834</v>
      </c>
      <c r="N53" s="2">
        <f>N9/'Output-Calculation-sheet'!N8*'Output-Calculation-sheet'!N44</f>
        <v>3931.6104678372958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1227.2245726519091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338.47974682152238</v>
      </c>
      <c r="Y53" s="2">
        <f>Y9/'Output-Calculation-sheet'!Y8*'Output-Calculation-sheet'!Y44</f>
        <v>0</v>
      </c>
      <c r="AA53" s="2">
        <f t="shared" si="3"/>
        <v>33.578668598494161</v>
      </c>
    </row>
    <row r="54" spans="1:27" x14ac:dyDescent="0.25">
      <c r="A54" s="2">
        <v>2033</v>
      </c>
      <c r="B54" s="2">
        <f>B10/'Output-Calculation-sheet'!B9*'Output-Calculation-sheet'!B45</f>
        <v>34472.244897088567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25131.183401987179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17226.001076970995</v>
      </c>
      <c r="N54" s="2">
        <f>N10/'Output-Calculation-sheet'!N9*'Output-Calculation-sheet'!N45</f>
        <v>9612.3805323056204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1009.2234640631257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966.88974642677272</v>
      </c>
      <c r="Y54" s="2">
        <f>Y10/'Output-Calculation-sheet'!Y9*'Output-Calculation-sheet'!Y45</f>
        <v>21.327248004043057</v>
      </c>
      <c r="AA54" s="2">
        <f t="shared" si="3"/>
        <v>103.97937076269147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30357.939425146564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4398.4077886156292</v>
      </c>
      <c r="L55" s="2">
        <f>L11/'Output-Calculation-sheet'!L10*'Output-Calculation-sheet'!L46</f>
        <v>1625.1196394612873</v>
      </c>
      <c r="M55" s="2">
        <f>M11/'Output-Calculation-sheet'!M10*'Output-Calculation-sheet'!M46</f>
        <v>21313.092539679576</v>
      </c>
      <c r="N55" s="2">
        <f>N11/'Output-Calculation-sheet'!N10*'Output-Calculation-sheet'!N46</f>
        <v>15714.968428483204</v>
      </c>
      <c r="O55" s="2">
        <f>O11/'Output-Calculation-sheet'!O10*'Output-Calculation-sheet'!O46</f>
        <v>350.14589510096579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3555.7908652586566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7967.7194214716119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245.05658411218923</v>
      </c>
    </row>
    <row r="56" spans="1:27" x14ac:dyDescent="0.25">
      <c r="A56" s="2">
        <v>2035</v>
      </c>
      <c r="B56" s="2">
        <f>B12/'Output-Calculation-sheet'!B11*'Output-Calculation-sheet'!B47</f>
        <v>129525.97811843325</v>
      </c>
      <c r="C56" s="2">
        <f>C12/'Output-Calculation-sheet'!C11*'Output-Calculation-sheet'!C47</f>
        <v>444.46895638069822</v>
      </c>
      <c r="D56" s="2">
        <f>D12/'Output-Calculation-sheet'!D11*'Output-Calculation-sheet'!D47</f>
        <v>10424.838048854388</v>
      </c>
      <c r="E56" s="2">
        <f>E12/'Output-Calculation-sheet'!E11*'Output-Calculation-sheet'!E47</f>
        <v>28796.593984869516</v>
      </c>
      <c r="F56" s="2">
        <f>F12/'Output-Calculation-sheet'!F11*'Output-Calculation-sheet'!F47</f>
        <v>3401.3341836340728</v>
      </c>
      <c r="G56" s="2">
        <f>G12/'Output-Calculation-sheet'!G11*'Output-Calculation-sheet'!G47</f>
        <v>8170.6802824019423</v>
      </c>
      <c r="H56" s="2">
        <f>H12/'Output-Calculation-sheet'!H11*'Output-Calculation-sheet'!H47</f>
        <v>30915.494242960423</v>
      </c>
      <c r="I56" s="2">
        <f>I12/'Output-Calculation-sheet'!I11*'Output-Calculation-sheet'!I47</f>
        <v>4065.0937011377937</v>
      </c>
      <c r="J56" s="2">
        <f>J12/'Output-Calculation-sheet'!J11*'Output-Calculation-sheet'!J47</f>
        <v>3732.2473486641798</v>
      </c>
      <c r="K56" s="2">
        <f>K12/'Output-Calculation-sheet'!K11*'Output-Calculation-sheet'!K47</f>
        <v>5312.8332329297682</v>
      </c>
      <c r="L56" s="2">
        <f>L12/'Output-Calculation-sheet'!L11*'Output-Calculation-sheet'!L47</f>
        <v>2916.1193143622368</v>
      </c>
      <c r="M56" s="2">
        <f>M12/'Output-Calculation-sheet'!M11*'Output-Calculation-sheet'!M47</f>
        <v>21476.618371175467</v>
      </c>
      <c r="N56" s="2">
        <f>N12/'Output-Calculation-sheet'!N11*'Output-Calculation-sheet'!N47</f>
        <v>16177.669279592395</v>
      </c>
      <c r="O56" s="2">
        <f>O12/'Output-Calculation-sheet'!O11*'Output-Calculation-sheet'!O47</f>
        <v>1591.6379641433537</v>
      </c>
      <c r="P56" s="2">
        <f>P12/'Output-Calculation-sheet'!P11*'Output-Calculation-sheet'!P47</f>
        <v>8525.2399051695356</v>
      </c>
      <c r="Q56" s="2">
        <f>Q12/'Output-Calculation-sheet'!Q11*'Output-Calculation-sheet'!Q47</f>
        <v>4093.4805946357005</v>
      </c>
      <c r="R56" s="2">
        <f>R12/'Output-Calculation-sheet'!R11*'Output-Calculation-sheet'!R47</f>
        <v>6288.9792794232098</v>
      </c>
      <c r="S56" s="2">
        <f>S12/'Output-Calculation-sheet'!S11*'Output-Calculation-sheet'!S47</f>
        <v>8360.8053510340142</v>
      </c>
      <c r="T56" s="2">
        <f>T12/'Output-Calculation-sheet'!T11*'Output-Calculation-sheet'!T47</f>
        <v>2189.0642656777645</v>
      </c>
      <c r="U56" s="2">
        <f>U12/'Output-Calculation-sheet'!U11*'Output-Calculation-sheet'!U47</f>
        <v>2115.2639724568453</v>
      </c>
      <c r="V56" s="2">
        <f>V12/'Output-Calculation-sheet'!V11*'Output-Calculation-sheet'!V47</f>
        <v>1477.1466552773359</v>
      </c>
      <c r="W56" s="2">
        <f>W12/'Output-Calculation-sheet'!W11*'Output-Calculation-sheet'!W47</f>
        <v>854.02755658329465</v>
      </c>
      <c r="X56" s="2">
        <f>X12/'Output-Calculation-sheet'!X11*'Output-Calculation-sheet'!X47</f>
        <v>172.18563061615541</v>
      </c>
      <c r="Y56" s="2">
        <f>Y12/'Output-Calculation-sheet'!Y11*'Output-Calculation-sheet'!Y47</f>
        <v>1134.8730140688554</v>
      </c>
      <c r="AA56" s="2">
        <f t="shared" si="3"/>
        <v>302.16267325448223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8.504403358259145</v>
      </c>
      <c r="C63" s="2">
        <f>C8*'Output-Calculation-sheet'!C52/10^9</f>
        <v>4.6223539350063803</v>
      </c>
      <c r="D63" s="2">
        <f>D8*'Output-Calculation-sheet'!D52/10^9</f>
        <v>1.9912265311832407</v>
      </c>
      <c r="E63" s="2">
        <f>E8*'Output-Calculation-sheet'!E52/10^9</f>
        <v>2.278050923249364</v>
      </c>
      <c r="F63" s="2">
        <f>F8*'Output-Calculation-sheet'!F52/10^9</f>
        <v>1.0648424595542538</v>
      </c>
      <c r="G63" s="2">
        <f>G8*'Output-Calculation-sheet'!G52/10^9</f>
        <v>0.81222528373948</v>
      </c>
      <c r="H63" s="2">
        <f>H8*'Output-Calculation-sheet'!H52/10^9</f>
        <v>1.2140345174395026</v>
      </c>
      <c r="I63" s="2">
        <f>I8*'Output-Calculation-sheet'!I52/10^9</f>
        <v>0.64160400065046463</v>
      </c>
      <c r="J63" s="2">
        <f>J8*'Output-Calculation-sheet'!J52/10^9</f>
        <v>0.90701492213266321</v>
      </c>
      <c r="K63" s="2">
        <f>K8*'Output-Calculation-sheet'!K52/10^9</f>
        <v>0.59541076049917085</v>
      </c>
      <c r="L63" s="2">
        <f>L8*'Output-Calculation-sheet'!L52/10^9</f>
        <v>0.70494194328703497</v>
      </c>
      <c r="M63" s="2">
        <f>M8*'Output-Calculation-sheet'!M52/10^9</f>
        <v>0.88888731811064314</v>
      </c>
      <c r="N63" s="2">
        <f>N8*'Output-Calculation-sheet'!N52/10^9</f>
        <v>0.70879497087202403</v>
      </c>
      <c r="O63" s="2">
        <f>O8*'Output-Calculation-sheet'!O52/10^9</f>
        <v>0.83977829570970286</v>
      </c>
      <c r="P63" s="2">
        <f>P8*'Output-Calculation-sheet'!P52/10^9</f>
        <v>0.60554300106594894</v>
      </c>
      <c r="Q63" s="2">
        <f>Q8*'Output-Calculation-sheet'!Q52/10^9</f>
        <v>0.56483988611201696</v>
      </c>
      <c r="R63" s="2">
        <f>R8*'Output-Calculation-sheet'!R52/10^9</f>
        <v>0.51161303955550286</v>
      </c>
      <c r="S63" s="2">
        <f>S8*'Output-Calculation-sheet'!S52/10^9</f>
        <v>0.4340846348843781</v>
      </c>
      <c r="T63" s="2">
        <f>T8*'Output-Calculation-sheet'!T52/10^9</f>
        <v>0.20779707576181294</v>
      </c>
      <c r="U63" s="2">
        <f>U8*'Output-Calculation-sheet'!U52/10^9</f>
        <v>0.16205048411443335</v>
      </c>
      <c r="V63" s="2">
        <f>V8*'Output-Calculation-sheet'!V52/10^9</f>
        <v>0.26830726261360582</v>
      </c>
      <c r="W63" s="2">
        <f>W8*'Output-Calculation-sheet'!W52/10^9</f>
        <v>0.11259391937044017</v>
      </c>
      <c r="X63" s="2">
        <f>X8*'Output-Calculation-sheet'!X52/10^9</f>
        <v>0.11847208771566342</v>
      </c>
      <c r="Y63" s="2">
        <f>Y8*'Output-Calculation-sheet'!Y52/10^9</f>
        <v>6.5018802966902503E-2</v>
      </c>
      <c r="AA63" s="2">
        <f t="shared" si="4"/>
        <v>28.823889413853784</v>
      </c>
    </row>
    <row r="64" spans="1:27" x14ac:dyDescent="0.25">
      <c r="A64" s="2">
        <v>2032</v>
      </c>
      <c r="B64" s="2">
        <f>B9*'Output-Calculation-sheet'!B53/10^9</f>
        <v>9.1617791946335636</v>
      </c>
      <c r="C64" s="2">
        <f>C9*'Output-Calculation-sheet'!C53/10^9</f>
        <v>5.4116078482189467</v>
      </c>
      <c r="D64" s="2">
        <f>D9*'Output-Calculation-sheet'!D53/10^9</f>
        <v>1.9238516126393019</v>
      </c>
      <c r="E64" s="2">
        <f>E9*'Output-Calculation-sheet'!E53/10^9</f>
        <v>2.2463217469142509</v>
      </c>
      <c r="F64" s="2">
        <f>F9*'Output-Calculation-sheet'!F53/10^9</f>
        <v>1.03079914483028</v>
      </c>
      <c r="G64" s="2">
        <f>G9*'Output-Calculation-sheet'!G53/10^9</f>
        <v>0.77181977802589308</v>
      </c>
      <c r="H64" s="2">
        <f>H9*'Output-Calculation-sheet'!H53/10^9</f>
        <v>1.4373917975167219</v>
      </c>
      <c r="I64" s="2">
        <f>I9*'Output-Calculation-sheet'!I53/10^9</f>
        <v>0.62589289780086432</v>
      </c>
      <c r="J64" s="2">
        <f>J9*'Output-Calculation-sheet'!J53/10^9</f>
        <v>0.84008176786916</v>
      </c>
      <c r="K64" s="2">
        <f>K9*'Output-Calculation-sheet'!K53/10^9</f>
        <v>0.62016828556520442</v>
      </c>
      <c r="L64" s="2">
        <f>L9*'Output-Calculation-sheet'!L53/10^9</f>
        <v>0.69624499989452959</v>
      </c>
      <c r="M64" s="2">
        <f>M9*'Output-Calculation-sheet'!M53/10^9</f>
        <v>1.0365275835156265</v>
      </c>
      <c r="N64" s="2">
        <f>N9*'Output-Calculation-sheet'!N53/10^9</f>
        <v>0.84719871283493431</v>
      </c>
      <c r="O64" s="2">
        <f>O9*'Output-Calculation-sheet'!O53/10^9</f>
        <v>1.0007975124894275</v>
      </c>
      <c r="P64" s="2">
        <f>P9*'Output-Calculation-sheet'!P53/10^9</f>
        <v>0.66175377944716973</v>
      </c>
      <c r="Q64" s="2">
        <f>Q9*'Output-Calculation-sheet'!Q53/10^9</f>
        <v>0.62769156241400259</v>
      </c>
      <c r="R64" s="2">
        <f>R9*'Output-Calculation-sheet'!R53/10^9</f>
        <v>0.53398929706206066</v>
      </c>
      <c r="S64" s="2">
        <f>S9*'Output-Calculation-sheet'!S53/10^9</f>
        <v>0.50202265017837178</v>
      </c>
      <c r="T64" s="2">
        <f>T9*'Output-Calculation-sheet'!T53/10^9</f>
        <v>0.19961532802984461</v>
      </c>
      <c r="U64" s="2">
        <f>U9*'Output-Calculation-sheet'!U53/10^9</f>
        <v>0.17007119846598998</v>
      </c>
      <c r="V64" s="2">
        <f>V9*'Output-Calculation-sheet'!V53/10^9</f>
        <v>0.24787272153649167</v>
      </c>
      <c r="W64" s="2">
        <f>W9*'Output-Calculation-sheet'!W53/10^9</f>
        <v>0.1056516072979857</v>
      </c>
      <c r="X64" s="2">
        <f>X9*'Output-Calculation-sheet'!X53/10^9</f>
        <v>0.13490685182505588</v>
      </c>
      <c r="Y64" s="2">
        <f>Y9*'Output-Calculation-sheet'!Y53/10^9</f>
        <v>6.7200335939775369E-2</v>
      </c>
      <c r="AA64" s="2">
        <f t="shared" si="4"/>
        <v>30.901258214945454</v>
      </c>
    </row>
    <row r="65" spans="1:27" x14ac:dyDescent="0.25">
      <c r="A65" s="2">
        <v>2033</v>
      </c>
      <c r="B65" s="2">
        <f>B10*'Output-Calculation-sheet'!B54/10^9</f>
        <v>9.8118840229744535</v>
      </c>
      <c r="C65" s="2">
        <f>C10*'Output-Calculation-sheet'!C54/10^9</f>
        <v>6.0620398028227358</v>
      </c>
      <c r="D65" s="2">
        <f>D10*'Output-Calculation-sheet'!D54/10^9</f>
        <v>1.7489491985677046</v>
      </c>
      <c r="E65" s="2">
        <f>E10*'Output-Calculation-sheet'!E54/10^9</f>
        <v>2.2273099568673298</v>
      </c>
      <c r="F65" s="2">
        <f>F10*'Output-Calculation-sheet'!F54/10^9</f>
        <v>0.95709321518872281</v>
      </c>
      <c r="G65" s="2">
        <f>G10*'Output-Calculation-sheet'!G54/10^9</f>
        <v>0.6814040142479203</v>
      </c>
      <c r="H65" s="2">
        <f>H10*'Output-Calculation-sheet'!H54/10^9</f>
        <v>1.6011406549091873</v>
      </c>
      <c r="I65" s="2">
        <f>I10*'Output-Calculation-sheet'!I54/10^9</f>
        <v>0.59744909321198447</v>
      </c>
      <c r="J65" s="2">
        <f>J10*'Output-Calculation-sheet'!J54/10^9</f>
        <v>0.70687626645440294</v>
      </c>
      <c r="K65" s="2">
        <f>K10*'Output-Calculation-sheet'!K54/10^9</f>
        <v>0.66149786404227373</v>
      </c>
      <c r="L65" s="2">
        <f>L10*'Output-Calculation-sheet'!L54/10^9</f>
        <v>0.68218331390740594</v>
      </c>
      <c r="M65" s="2">
        <f>M10*'Output-Calculation-sheet'!M54/10^9</f>
        <v>1.1384654912601848</v>
      </c>
      <c r="N65" s="2">
        <f>N10*'Output-Calculation-sheet'!N54/10^9</f>
        <v>0.97011016209300993</v>
      </c>
      <c r="O65" s="2">
        <f>O10*'Output-Calculation-sheet'!O54/10^9</f>
        <v>1.1287818548239723</v>
      </c>
      <c r="P65" s="2">
        <f>P10*'Output-Calculation-sheet'!P54/10^9</f>
        <v>0.7156130209452326</v>
      </c>
      <c r="Q65" s="2">
        <f>Q10*'Output-Calculation-sheet'!Q54/10^9</f>
        <v>0.70621472854893586</v>
      </c>
      <c r="R65" s="2">
        <f>R10*'Output-Calculation-sheet'!R54/10^9</f>
        <v>0.5598138139500729</v>
      </c>
      <c r="S65" s="2">
        <f>S10*'Output-Calculation-sheet'!S54/10^9</f>
        <v>0.56187404456032874</v>
      </c>
      <c r="T65" s="2">
        <f>T10*'Output-Calculation-sheet'!T54/10^9</f>
        <v>0.18957786000319043</v>
      </c>
      <c r="U65" s="2">
        <f>U10*'Output-Calculation-sheet'!U54/10^9</f>
        <v>0.18207592282477422</v>
      </c>
      <c r="V65" s="2">
        <f>V10*'Output-Calculation-sheet'!V54/10^9</f>
        <v>0.21453701473478962</v>
      </c>
      <c r="W65" s="2">
        <f>W10*'Output-Calculation-sheet'!W54/10^9</f>
        <v>9.1685364280463658E-2</v>
      </c>
      <c r="X65" s="2">
        <f>X10*'Output-Calculation-sheet'!X54/10^9</f>
        <v>0.14623456384642017</v>
      </c>
      <c r="Y65" s="2">
        <f>Y10*'Output-Calculation-sheet'!Y54/10^9</f>
        <v>7.1125924083494052E-2</v>
      </c>
      <c r="AA65" s="2">
        <f t="shared" si="4"/>
        <v>32.413937169149001</v>
      </c>
    </row>
    <row r="66" spans="1:27" x14ac:dyDescent="0.25">
      <c r="A66" s="2">
        <v>2034</v>
      </c>
      <c r="B66" s="2">
        <f>B11*'Output-Calculation-sheet'!B55/10^9</f>
        <v>10.44603558434574</v>
      </c>
      <c r="C66" s="2">
        <f>C11*'Output-Calculation-sheet'!C55/10^9</f>
        <v>6.5499925230050859</v>
      </c>
      <c r="D66" s="2">
        <f>D11*'Output-Calculation-sheet'!D55/10^9</f>
        <v>1.8898343719312098</v>
      </c>
      <c r="E66" s="2">
        <f>E11*'Output-Calculation-sheet'!E55/10^9</f>
        <v>2.4477046928531863</v>
      </c>
      <c r="F66" s="2">
        <f>F11*'Output-Calculation-sheet'!F55/10^9</f>
        <v>0.96336679607816356</v>
      </c>
      <c r="G66" s="2">
        <f>G11*'Output-Calculation-sheet'!G55/10^9</f>
        <v>0.70273866373186422</v>
      </c>
      <c r="H66" s="2">
        <f>H11*'Output-Calculation-sheet'!H55/10^9</f>
        <v>1.7535861761474838</v>
      </c>
      <c r="I66" s="2">
        <f>I11*'Output-Calculation-sheet'!I55/10^9</f>
        <v>0.65326861417972326</v>
      </c>
      <c r="J66" s="2">
        <f>J11*'Output-Calculation-sheet'!J55/10^9</f>
        <v>0.65771882779616808</v>
      </c>
      <c r="K66" s="2">
        <f>K11*'Output-Calculation-sheet'!K55/10^9</f>
        <v>0.74891975287888457</v>
      </c>
      <c r="L66" s="2">
        <f>L11*'Output-Calculation-sheet'!L55/10^9</f>
        <v>0.72605248659796007</v>
      </c>
      <c r="M66" s="2">
        <f>M11*'Output-Calculation-sheet'!M55/10^9</f>
        <v>1.2316719416147017</v>
      </c>
      <c r="N66" s="2">
        <f>N11*'Output-Calculation-sheet'!N55/10^9</f>
        <v>1.0710351683859274</v>
      </c>
      <c r="O66" s="2">
        <f>O11*'Output-Calculation-sheet'!O55/10^9</f>
        <v>1.2216798631345382</v>
      </c>
      <c r="P66" s="2">
        <f>P11*'Output-Calculation-sheet'!P55/10^9</f>
        <v>0.78337630940534131</v>
      </c>
      <c r="Q66" s="2">
        <f>Q11*'Output-Calculation-sheet'!Q55/10^9</f>
        <v>0.80577056013720316</v>
      </c>
      <c r="R66" s="2">
        <f>R11*'Output-Calculation-sheet'!R55/10^9</f>
        <v>0.59615972168299924</v>
      </c>
      <c r="S66" s="2">
        <f>S11*'Output-Calculation-sheet'!S55/10^9</f>
        <v>0.6188630958958824</v>
      </c>
      <c r="T66" s="2">
        <f>T11*'Output-Calculation-sheet'!T55/10^9</f>
        <v>0.18679754408082236</v>
      </c>
      <c r="U66" s="2">
        <f>U11*'Output-Calculation-sheet'!U55/10^9</f>
        <v>0.20330151801575649</v>
      </c>
      <c r="V66" s="2">
        <f>V11*'Output-Calculation-sheet'!V55/10^9</f>
        <v>0.17653602338240579</v>
      </c>
      <c r="W66" s="2">
        <f>W11*'Output-Calculation-sheet'!W55/10^9</f>
        <v>8.6487142245748203E-2</v>
      </c>
      <c r="X66" s="2">
        <f>X11*'Output-Calculation-sheet'!X55/10^9</f>
        <v>0.15276770770765016</v>
      </c>
      <c r="Y66" s="2">
        <f>Y11*'Output-Calculation-sheet'!Y55/10^9</f>
        <v>8.2983556143196385E-2</v>
      </c>
      <c r="AA66" s="2">
        <f t="shared" si="4"/>
        <v>34.756648641377645</v>
      </c>
    </row>
    <row r="67" spans="1:27" x14ac:dyDescent="0.25">
      <c r="A67" s="2">
        <v>2035</v>
      </c>
      <c r="B67" s="2">
        <f>B12*'Output-Calculation-sheet'!B56/10^9</f>
        <v>11.455658444363694</v>
      </c>
      <c r="C67" s="2">
        <f>C12*'Output-Calculation-sheet'!C56/10^9</f>
        <v>6.918942012241339</v>
      </c>
      <c r="D67" s="2">
        <f>D12*'Output-Calculation-sheet'!D56/10^9</f>
        <v>2.2692518179895091</v>
      </c>
      <c r="E67" s="2">
        <f>E12*'Output-Calculation-sheet'!E56/10^9</f>
        <v>3.1074006930760314</v>
      </c>
      <c r="F67" s="2">
        <f>F12*'Output-Calculation-sheet'!F56/10^9</f>
        <v>1.2183343846670174</v>
      </c>
      <c r="G67" s="2">
        <f>G12*'Output-Calculation-sheet'!G56/10^9</f>
        <v>0.89766837849185332</v>
      </c>
      <c r="H67" s="2">
        <f>H12*'Output-Calculation-sheet'!H56/10^9</f>
        <v>1.9115618932992853</v>
      </c>
      <c r="I67" s="2">
        <f>I12*'Output-Calculation-sheet'!I56/10^9</f>
        <v>0.82256907506968646</v>
      </c>
      <c r="J67" s="2">
        <f>J12*'Output-Calculation-sheet'!J56/10^9</f>
        <v>0.75319878279062213</v>
      </c>
      <c r="K67" s="2">
        <f>K12*'Output-Calculation-sheet'!K56/10^9</f>
        <v>0.90222425212867607</v>
      </c>
      <c r="L67" s="2">
        <f>L12*'Output-Calculation-sheet'!L56/10^9</f>
        <v>0.84082090643646001</v>
      </c>
      <c r="M67" s="2">
        <f>M12*'Output-Calculation-sheet'!M56/10^9</f>
        <v>1.3523416141138558</v>
      </c>
      <c r="N67" s="2">
        <f>N12*'Output-Calculation-sheet'!N56/10^9</f>
        <v>1.1550287737549441</v>
      </c>
      <c r="O67" s="2">
        <f>O12*'Output-Calculation-sheet'!O56/10^9</f>
        <v>1.2777121668154152</v>
      </c>
      <c r="P67" s="2">
        <f>P12*'Output-Calculation-sheet'!P56/10^9</f>
        <v>0.93741875932523755</v>
      </c>
      <c r="Q67" s="2">
        <f>Q12*'Output-Calculation-sheet'!Q56/10^9</f>
        <v>0.88551878313900489</v>
      </c>
      <c r="R67" s="2">
        <f>R12*'Output-Calculation-sheet'!R56/10^9</f>
        <v>0.69461593477455719</v>
      </c>
      <c r="S67" s="2">
        <f>S12*'Output-Calculation-sheet'!S56/10^9</f>
        <v>0.67099202216955267</v>
      </c>
      <c r="T67" s="2">
        <f>T12*'Output-Calculation-sheet'!T56/10^9</f>
        <v>0.2161598525596285</v>
      </c>
      <c r="U67" s="2">
        <f>U12*'Output-Calculation-sheet'!U56/10^9</f>
        <v>0.23368210976065748</v>
      </c>
      <c r="V67" s="2">
        <f>V12*'Output-Calculation-sheet'!V56/10^9</f>
        <v>0.16670857420675714</v>
      </c>
      <c r="W67" s="2">
        <f>W12*'Output-Calculation-sheet'!W56/10^9</f>
        <v>0.11316339852359548</v>
      </c>
      <c r="X67" s="2">
        <f>X12*'Output-Calculation-sheet'!X56/10^9</f>
        <v>0.1614217810616371</v>
      </c>
      <c r="Y67" s="2">
        <f>Y12*'Output-Calculation-sheet'!Y56/10^9</f>
        <v>0.10559489361949954</v>
      </c>
      <c r="AA67" s="2">
        <f t="shared" si="4"/>
        <v>39.067989304378514</v>
      </c>
    </row>
    <row r="68" spans="1:27" x14ac:dyDescent="0.25">
      <c r="B68" s="2">
        <f>SUM(B60:B67)</f>
        <v>49.379760604576589</v>
      </c>
      <c r="C68" s="2">
        <f t="shared" ref="C68:Y68" si="5">SUM(C60:C67)</f>
        <v>29.564936121294487</v>
      </c>
      <c r="D68" s="2">
        <f t="shared" si="5"/>
        <v>9.8231135323109662</v>
      </c>
      <c r="E68" s="2">
        <f t="shared" si="5"/>
        <v>12.306788012960162</v>
      </c>
      <c r="F68" s="2">
        <f t="shared" si="5"/>
        <v>5.2344360003184374</v>
      </c>
      <c r="G68" s="2">
        <f t="shared" si="5"/>
        <v>3.8658561182370108</v>
      </c>
      <c r="H68" s="2">
        <f t="shared" si="5"/>
        <v>7.9177150393121805</v>
      </c>
      <c r="I68" s="2">
        <f t="shared" si="5"/>
        <v>3.3407836809127232</v>
      </c>
      <c r="J68" s="2">
        <f t="shared" si="5"/>
        <v>3.864890567043016</v>
      </c>
      <c r="K68" s="2">
        <f t="shared" si="5"/>
        <v>3.5282209151142099</v>
      </c>
      <c r="L68" s="2">
        <f t="shared" si="5"/>
        <v>3.6502436501233904</v>
      </c>
      <c r="M68" s="2">
        <f t="shared" si="5"/>
        <v>5.6478939486150121</v>
      </c>
      <c r="N68" s="2">
        <f t="shared" si="5"/>
        <v>4.7521677879408397</v>
      </c>
      <c r="O68" s="2">
        <f t="shared" si="5"/>
        <v>5.4687496929730557</v>
      </c>
      <c r="P68" s="2">
        <f t="shared" si="5"/>
        <v>3.7037048701889299</v>
      </c>
      <c r="Q68" s="2">
        <f t="shared" si="5"/>
        <v>3.5900355203511638</v>
      </c>
      <c r="R68" s="2">
        <f t="shared" si="5"/>
        <v>2.8961918070251929</v>
      </c>
      <c r="S68" s="2">
        <f t="shared" si="5"/>
        <v>2.7878364476885134</v>
      </c>
      <c r="T68" s="2">
        <f t="shared" si="5"/>
        <v>0.99994766043529881</v>
      </c>
      <c r="U68" s="2">
        <f t="shared" si="5"/>
        <v>0.95118123318161152</v>
      </c>
      <c r="V68" s="2">
        <f t="shared" si="5"/>
        <v>1.0739615964740501</v>
      </c>
      <c r="W68" s="2">
        <f t="shared" si="5"/>
        <v>0.50958143171823322</v>
      </c>
      <c r="X68" s="2">
        <f t="shared" si="5"/>
        <v>0.71380299215642673</v>
      </c>
      <c r="Y68" s="2">
        <f t="shared" si="5"/>
        <v>0.3919235127528678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947.91714464439008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1728.7172247485607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1165.7902990780819</v>
      </c>
      <c r="N74" s="2">
        <f>N8/'Output-Calculation-sheet'!N7*'Output-Calculation-sheet'!N61</f>
        <v>48.329523222702385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10.344946399820056</v>
      </c>
      <c r="Y74" s="2">
        <f>Y8/'Output-Calculation-sheet'!Y7*'Output-Calculation-sheet'!Y61</f>
        <v>0</v>
      </c>
      <c r="AA74" s="2">
        <f t="shared" si="6"/>
        <v>3.9010991380935547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171.62054784999134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3081.8301641386993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2094.269095249932</v>
      </c>
      <c r="N75" s="2">
        <f>N9/'Output-Calculation-sheet'!N8*'Output-Calculation-sheet'!N62</f>
        <v>806.53912487583239</v>
      </c>
      <c r="O75" s="2">
        <f>O9/'Output-Calculation-sheet'!O8*'Output-Calculation-sheet'!O62</f>
        <v>0</v>
      </c>
      <c r="P75" s="2">
        <f>P9/'Output-Calculation-sheet'!P8*'Output-Calculation-sheet'!P62</f>
        <v>63.898234728786115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271.02308462463731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73.55451035949612</v>
      </c>
      <c r="Y75" s="2">
        <f>Y9/'Output-Calculation-sheet'!Y8*'Output-Calculation-sheet'!Y62</f>
        <v>0</v>
      </c>
      <c r="AA75" s="2">
        <f t="shared" si="6"/>
        <v>6.5627347618273753</v>
      </c>
    </row>
    <row r="76" spans="1:27" x14ac:dyDescent="0.25">
      <c r="A76" s="2">
        <v>2033</v>
      </c>
      <c r="B76" s="2">
        <f>B10/'Output-Calculation-sheet'!B9*'Output-Calculation-sheet'!B63</f>
        <v>6940.4300256355109</v>
      </c>
      <c r="C76" s="2">
        <f>C10/'Output-Calculation-sheet'!C9*'Output-Calculation-sheet'!C63</f>
        <v>1399.4845316879428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4524.8118077876043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3088.2061461369312</v>
      </c>
      <c r="N76" s="2">
        <f>N10/'Output-Calculation-sheet'!N9*'Output-Calculation-sheet'!N63</f>
        <v>1758.8943938895718</v>
      </c>
      <c r="O76" s="2">
        <f>O10/'Output-Calculation-sheet'!O9*'Output-Calculation-sheet'!O63</f>
        <v>0</v>
      </c>
      <c r="P76" s="2">
        <f>P10/'Output-Calculation-sheet'!P9*'Output-Calculation-sheet'!P63</f>
        <v>609.94959127184336</v>
      </c>
      <c r="Q76" s="2">
        <f>Q10/'Output-Calculation-sheet'!Q9*'Output-Calculation-sheet'!Q63</f>
        <v>277.25865243038749</v>
      </c>
      <c r="R76" s="2">
        <f>R10/'Output-Calculation-sheet'!R9*'Output-Calculation-sheet'!R63</f>
        <v>462.86946104958446</v>
      </c>
      <c r="S76" s="2">
        <f>S10/'Output-Calculation-sheet'!S9*'Output-Calculation-sheet'!S63</f>
        <v>786.5708020767438</v>
      </c>
      <c r="T76" s="2">
        <f>T10/'Output-Calculation-sheet'!T9*'Output-Calculation-sheet'!T63</f>
        <v>30.497715866797471</v>
      </c>
      <c r="U76" s="2">
        <f>U10/'Output-Calculation-sheet'!U9*'Output-Calculation-sheet'!U63</f>
        <v>164.48891387682718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177.16481349874653</v>
      </c>
      <c r="Y76" s="2">
        <f>Y10/'Output-Calculation-sheet'!Y9*'Output-Calculation-sheet'!Y63</f>
        <v>7.8121133026701495</v>
      </c>
      <c r="AA76" s="2">
        <f t="shared" si="6"/>
        <v>20.356328634194906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2505.7125133637669</v>
      </c>
      <c r="D77" s="2">
        <f>D11/'Output-Calculation-sheet'!D10*'Output-Calculation-sheet'!D64</f>
        <v>2129.4283825077564</v>
      </c>
      <c r="E77" s="2">
        <f>E11/'Output-Calculation-sheet'!E10*'Output-Calculation-sheet'!E64</f>
        <v>2663.3335021901626</v>
      </c>
      <c r="F77" s="2">
        <f>F11/'Output-Calculation-sheet'!F10*'Output-Calculation-sheet'!F64</f>
        <v>189.50276720928281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5630.9908286797909</v>
      </c>
      <c r="I77" s="2">
        <f>I11/'Output-Calculation-sheet'!I10*'Output-Calculation-sheet'!I64</f>
        <v>660.94875352732822</v>
      </c>
      <c r="J77" s="2">
        <f>J11/'Output-Calculation-sheet'!J10*'Output-Calculation-sheet'!J64</f>
        <v>466.0364823245377</v>
      </c>
      <c r="K77" s="2">
        <f>K11/'Output-Calculation-sheet'!K10*'Output-Calculation-sheet'!K64</f>
        <v>1014.4965722444348</v>
      </c>
      <c r="L77" s="2">
        <f>L11/'Output-Calculation-sheet'!L10*'Output-Calculation-sheet'!L64</f>
        <v>415.56292478217176</v>
      </c>
      <c r="M77" s="2">
        <f>M11/'Output-Calculation-sheet'!M10*'Output-Calculation-sheet'!M64</f>
        <v>3979.5508834895868</v>
      </c>
      <c r="N77" s="2">
        <f>N11/'Output-Calculation-sheet'!N10*'Output-Calculation-sheet'!N64</f>
        <v>2758.2114697880615</v>
      </c>
      <c r="O77" s="2">
        <f>O11/'Output-Calculation-sheet'!O10*'Output-Calculation-sheet'!O64</f>
        <v>100.22282596722681</v>
      </c>
      <c r="P77" s="2">
        <f>P11/'Output-Calculation-sheet'!P10*'Output-Calculation-sheet'!P64</f>
        <v>1250.9327175253002</v>
      </c>
      <c r="Q77" s="2">
        <f>Q11/'Output-Calculation-sheet'!Q10*'Output-Calculation-sheet'!Q64</f>
        <v>716.17882405590683</v>
      </c>
      <c r="R77" s="2">
        <f>R11/'Output-Calculation-sheet'!R10*'Output-Calculation-sheet'!R64</f>
        <v>1068.413798903571</v>
      </c>
      <c r="S77" s="2">
        <f>S11/'Output-Calculation-sheet'!S10*'Output-Calculation-sheet'!S64</f>
        <v>1415.5804901934439</v>
      </c>
      <c r="T77" s="2">
        <f>T11/'Output-Calculation-sheet'!T10*'Output-Calculation-sheet'!T64</f>
        <v>295.43696838583475</v>
      </c>
      <c r="U77" s="2">
        <f>U11/'Output-Calculation-sheet'!U10*'Output-Calculation-sheet'!U64</f>
        <v>391.82742786653864</v>
      </c>
      <c r="V77" s="2">
        <f>V11/'Output-Calculation-sheet'!V10*'Output-Calculation-sheet'!V64</f>
        <v>154.21226633888327</v>
      </c>
      <c r="W77" s="2">
        <f>W11/'Output-Calculation-sheet'!W10*'Output-Calculation-sheet'!W64</f>
        <v>33.599834564676499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46.625753971574561</v>
      </c>
    </row>
    <row r="78" spans="1:27" x14ac:dyDescent="0.25">
      <c r="A78" s="2">
        <v>2035</v>
      </c>
      <c r="B78" s="2">
        <f>B12/'Output-Calculation-sheet'!B11*'Output-Calculation-sheet'!B65</f>
        <v>22199.539435417159</v>
      </c>
      <c r="C78" s="2">
        <f>C12/'Output-Calculation-sheet'!C11*'Output-Calculation-sheet'!C65</f>
        <v>81.636342943595096</v>
      </c>
      <c r="D78" s="2">
        <f>D12/'Output-Calculation-sheet'!D11*'Output-Calculation-sheet'!D65</f>
        <v>2319.0857314542818</v>
      </c>
      <c r="E78" s="2">
        <f>E12/'Output-Calculation-sheet'!E11*'Output-Calculation-sheet'!E65</f>
        <v>4406.6307855610603</v>
      </c>
      <c r="F78" s="2">
        <f>F12/'Output-Calculation-sheet'!F11*'Output-Calculation-sheet'!F65</f>
        <v>942.0726396541512</v>
      </c>
      <c r="G78" s="2">
        <f>G12/'Output-Calculation-sheet'!G11*'Output-Calculation-sheet'!G65</f>
        <v>1795.7536302397261</v>
      </c>
      <c r="H78" s="2">
        <f>H12/'Output-Calculation-sheet'!H11*'Output-Calculation-sheet'!H65</f>
        <v>5748.8034419833002</v>
      </c>
      <c r="I78" s="2">
        <f>I12/'Output-Calculation-sheet'!I11*'Output-Calculation-sheet'!I65</f>
        <v>1039.5984172207345</v>
      </c>
      <c r="J78" s="2">
        <f>J12/'Output-Calculation-sheet'!J11*'Output-Calculation-sheet'!J65</f>
        <v>952.37420001795624</v>
      </c>
      <c r="K78" s="2">
        <f>K12/'Output-Calculation-sheet'!K11*'Output-Calculation-sheet'!K65</f>
        <v>1183.9381447599096</v>
      </c>
      <c r="L78" s="2">
        <f>L12/'Output-Calculation-sheet'!L11*'Output-Calculation-sheet'!L65</f>
        <v>693.23920566418451</v>
      </c>
      <c r="M78" s="2">
        <f>M12/'Output-Calculation-sheet'!M11*'Output-Calculation-sheet'!M65</f>
        <v>4026.2012991825786</v>
      </c>
      <c r="N78" s="2">
        <f>N12/'Output-Calculation-sheet'!N11*'Output-Calculation-sheet'!N65</f>
        <v>2834.2989318565515</v>
      </c>
      <c r="O78" s="2">
        <f>O12/'Output-Calculation-sheet'!O11*'Output-Calculation-sheet'!O65</f>
        <v>418.74641622148192</v>
      </c>
      <c r="P78" s="2">
        <f>P12/'Output-Calculation-sheet'!P11*'Output-Calculation-sheet'!P65</f>
        <v>1625.256226518896</v>
      </c>
      <c r="Q78" s="2">
        <f>Q12/'Output-Calculation-sheet'!Q11*'Output-Calculation-sheet'!Q65</f>
        <v>792.51865537870719</v>
      </c>
      <c r="R78" s="2">
        <f>R12/'Output-Calculation-sheet'!R11*'Output-Calculation-sheet'!R65</f>
        <v>1358.0439375371611</v>
      </c>
      <c r="S78" s="2">
        <f>S12/'Output-Calculation-sheet'!S11*'Output-Calculation-sheet'!S65</f>
        <v>1527.7750838861623</v>
      </c>
      <c r="T78" s="2">
        <f>T12/'Output-Calculation-sheet'!T11*'Output-Calculation-sheet'!T65</f>
        <v>481.1129083408149</v>
      </c>
      <c r="U78" s="2">
        <f>U12/'Output-Calculation-sheet'!U11*'Output-Calculation-sheet'!U65</f>
        <v>415.39282871704597</v>
      </c>
      <c r="V78" s="2">
        <f>V12/'Output-Calculation-sheet'!V11*'Output-Calculation-sheet'!V65</f>
        <v>262.36202486410258</v>
      </c>
      <c r="W78" s="2">
        <f>W12/'Output-Calculation-sheet'!W11*'Output-Calculation-sheet'!W65</f>
        <v>187.69839807730381</v>
      </c>
      <c r="X78" s="2">
        <f>X12/'Output-Calculation-sheet'!X11*'Output-Calculation-sheet'!X65</f>
        <v>34.417857364209581</v>
      </c>
      <c r="Y78" s="2">
        <f>Y12/'Output-Calculation-sheet'!Y11*'Output-Calculation-sheet'!Y65</f>
        <v>179.72973064491379</v>
      </c>
      <c r="AA78" s="2">
        <f t="shared" si="6"/>
        <v>55.506226273505987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31.170272057167118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3.1170272057167117E-2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366.42423693099573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0.36642423693099574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491.88887839308671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0.4918888783930867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32.63636570599644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7.0178111753966332</v>
      </c>
      <c r="N88" s="2">
        <f>N11/'Output-Calculation-sheet'!N10*'Output-Calculation-sheet'!N73</f>
        <v>6.8973702723328669</v>
      </c>
      <c r="O88" s="2">
        <f>O11/'Output-Calculation-sheet'!O10*'Output-Calculation-sheet'!O73</f>
        <v>593.44580015273982</v>
      </c>
      <c r="P88" s="2">
        <f>P11/'Output-Calculation-sheet'!P10*'Output-Calculation-sheet'!P73</f>
        <v>0</v>
      </c>
      <c r="Q88" s="2">
        <f>Q11/'Output-Calculation-sheet'!Q10*'Output-Calculation-sheet'!Q73</f>
        <v>25.381240030738201</v>
      </c>
      <c r="R88" s="2">
        <f>R11/'Output-Calculation-sheet'!R10*'Output-Calculation-sheet'!R73</f>
        <v>0</v>
      </c>
      <c r="S88" s="2">
        <f>S11/'Output-Calculation-sheet'!S10*'Output-Calculation-sheet'!S73</f>
        <v>0.7907621498086157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0.66616934948701256</v>
      </c>
    </row>
    <row r="89" spans="1:27" x14ac:dyDescent="0.25">
      <c r="A89" s="2">
        <v>2035</v>
      </c>
      <c r="B89" s="2">
        <f>B12/'Output-Calculation-sheet'!B11*'Output-Calculation-sheet'!B74</f>
        <v>433.29074367879906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146.91147193988709</v>
      </c>
      <c r="E89" s="2">
        <f>E12/'Output-Calculation-sheet'!E11*'Output-Calculation-sheet'!E74</f>
        <v>158.78757630320524</v>
      </c>
      <c r="F89" s="2">
        <f>F12/'Output-Calculation-sheet'!F11*'Output-Calculation-sheet'!F74</f>
        <v>61.682226128079044</v>
      </c>
      <c r="G89" s="2">
        <f>G12/'Output-Calculation-sheet'!G11*'Output-Calculation-sheet'!G74</f>
        <v>54.8084848664733</v>
      </c>
      <c r="H89" s="2">
        <f>H12/'Output-Calculation-sheet'!H11*'Output-Calculation-sheet'!H74</f>
        <v>210.33726844738251</v>
      </c>
      <c r="I89" s="2">
        <f>I12/'Output-Calculation-sheet'!I11*'Output-Calculation-sheet'!I74</f>
        <v>51.192877766194229</v>
      </c>
      <c r="J89" s="2">
        <f>J12/'Output-Calculation-sheet'!J11*'Output-Calculation-sheet'!J74</f>
        <v>30.023105871607278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40.007734495823371</v>
      </c>
      <c r="M89" s="2">
        <f>M12/'Output-Calculation-sheet'!M11*'Output-Calculation-sheet'!M74</f>
        <v>122.24979051899147</v>
      </c>
      <c r="N89" s="2">
        <f>N12/'Output-Calculation-sheet'!N11*'Output-Calculation-sheet'!N74</f>
        <v>91.149579345492413</v>
      </c>
      <c r="O89" s="2">
        <f>O12/'Output-Calculation-sheet'!O11*'Output-Calculation-sheet'!O74</f>
        <v>655.98682084936593</v>
      </c>
      <c r="P89" s="2">
        <f>P12/'Output-Calculation-sheet'!P11*'Output-Calculation-sheet'!P74</f>
        <v>49.758209563246311</v>
      </c>
      <c r="Q89" s="2">
        <f>Q12/'Output-Calculation-sheet'!Q11*'Output-Calculation-sheet'!Q74</f>
        <v>76.230942199837173</v>
      </c>
      <c r="R89" s="2">
        <f>R12/'Output-Calculation-sheet'!R11*'Output-Calculation-sheet'!R74</f>
        <v>29.998947144739603</v>
      </c>
      <c r="S89" s="2">
        <f>S12/'Output-Calculation-sheet'!S11*'Output-Calculation-sheet'!S74</f>
        <v>40.375066083016264</v>
      </c>
      <c r="T89" s="2">
        <f>T12/'Output-Calculation-sheet'!T11*'Output-Calculation-sheet'!T74</f>
        <v>7.1030274286846957</v>
      </c>
      <c r="U89" s="2">
        <f>U12/'Output-Calculation-sheet'!U11*'Output-Calculation-sheet'!U74</f>
        <v>13.126295868503878</v>
      </c>
      <c r="V89" s="2">
        <f>V12/'Output-Calculation-sheet'!V11*'Output-Calculation-sheet'!V74</f>
        <v>1.7861507318952066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0.61660028868811245</v>
      </c>
      <c r="Y89" s="2">
        <f>Y12/'Output-Calculation-sheet'!Y11*'Output-Calculation-sheet'!Y74</f>
        <v>5.8015529622080688</v>
      </c>
      <c r="AA89" s="2">
        <f t="shared" si="7"/>
        <v>2.3521303315140778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14112360493.594965</v>
      </c>
      <c r="C96" s="2">
        <f>C8/'Output-Calculation-sheet'!C7*'Output-Calculation-sheet'!C79</f>
        <v>4774284924.4996119</v>
      </c>
      <c r="D96" s="2">
        <f>D8/'Output-Calculation-sheet'!D7*'Output-Calculation-sheet'!D79</f>
        <v>4984013694.8083477</v>
      </c>
      <c r="E96" s="2">
        <f>E8/'Output-Calculation-sheet'!E7*'Output-Calculation-sheet'!E79</f>
        <v>8861165727.8108387</v>
      </c>
      <c r="F96" s="2">
        <f>F8/'Output-Calculation-sheet'!F7*'Output-Calculation-sheet'!F79</f>
        <v>3667548344.8744764</v>
      </c>
      <c r="G96" s="2">
        <f>G8/'Output-Calculation-sheet'!G7*'Output-Calculation-sheet'!G79</f>
        <v>2856724821.5898519</v>
      </c>
      <c r="H96" s="2">
        <f>H8/'Output-Calculation-sheet'!H7*'Output-Calculation-sheet'!H79</f>
        <v>2445198604.4999113</v>
      </c>
      <c r="I96" s="2">
        <f>I8/'Output-Calculation-sheet'!I7*'Output-Calculation-sheet'!I79</f>
        <v>1990007613.530231</v>
      </c>
      <c r="J96" s="2">
        <f>J8/'Output-Calculation-sheet'!J7*'Output-Calculation-sheet'!J79</f>
        <v>1345690762.7688694</v>
      </c>
      <c r="K96" s="2">
        <f>K8/'Output-Calculation-sheet'!K7*'Output-Calculation-sheet'!K79</f>
        <v>1925284904.0520165</v>
      </c>
      <c r="L96" s="2">
        <f>L8/'Output-Calculation-sheet'!L7*'Output-Calculation-sheet'!L79</f>
        <v>1358482623.9468157</v>
      </c>
      <c r="M96" s="2">
        <f>M8/'Output-Calculation-sheet'!M7*'Output-Calculation-sheet'!M79</f>
        <v>1825291327.5512474</v>
      </c>
      <c r="N96" s="2">
        <f>N8/'Output-Calculation-sheet'!N7*'Output-Calculation-sheet'!N79</f>
        <v>1358160142.9303889</v>
      </c>
      <c r="O96" s="2">
        <f>O8/'Output-Calculation-sheet'!O7*'Output-Calculation-sheet'!O79</f>
        <v>686595271.27032757</v>
      </c>
      <c r="P96" s="2">
        <f>P8/'Output-Calculation-sheet'!P7*'Output-Calculation-sheet'!P79</f>
        <v>2296532080.2066941</v>
      </c>
      <c r="Q96" s="2">
        <f>Q8/'Output-Calculation-sheet'!Q7*'Output-Calculation-sheet'!Q79</f>
        <v>1070280380.3535947</v>
      </c>
      <c r="R96" s="2">
        <f>R8/'Output-Calculation-sheet'!R7*'Output-Calculation-sheet'!R79</f>
        <v>1335304276.234055</v>
      </c>
      <c r="S96" s="2">
        <f>S8/'Output-Calculation-sheet'!S7*'Output-Calculation-sheet'!S79</f>
        <v>778058578.10114253</v>
      </c>
      <c r="T96" s="2">
        <f>T8/'Output-Calculation-sheet'!T7*'Output-Calculation-sheet'!T79</f>
        <v>594254866.84719098</v>
      </c>
      <c r="U96" s="2">
        <f>U8/'Output-Calculation-sheet'!U7*'Output-Calculation-sheet'!U79</f>
        <v>373296357.71763104</v>
      </c>
      <c r="V96" s="2">
        <f>V8/'Output-Calculation-sheet'!V7*'Output-Calculation-sheet'!V79</f>
        <v>193684746.58385724</v>
      </c>
      <c r="W96" s="2">
        <f>W8/'Output-Calculation-sheet'!W7*'Output-Calculation-sheet'!W79</f>
        <v>572327432.85451651</v>
      </c>
      <c r="X96" s="2">
        <f>X8/'Output-Calculation-sheet'!X7*'Output-Calculation-sheet'!X79</f>
        <v>201155781.41204605</v>
      </c>
      <c r="Y96" s="2">
        <f>Y8/'Output-Calculation-sheet'!Y7*'Output-Calculation-sheet'!Y79</f>
        <v>314604898.81603748</v>
      </c>
      <c r="AA96" s="2">
        <f t="shared" si="8"/>
        <v>59.920308656854644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1647.2493824784028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320.01479312024907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38.276873346923153</v>
      </c>
      <c r="Y107" s="2">
        <f>Y8/'Output-Calculation-sheet'!Y7*'Output-Calculation-sheet'!Y88</f>
        <v>0</v>
      </c>
      <c r="AA107" s="2">
        <f t="shared" si="9"/>
        <v>2.0055410489455752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3237.6702002430902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3.2914082219034144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4.5109072516541486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5.707302441222863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166.17377780144631</v>
      </c>
      <c r="Y111" s="2">
        <f>Y12/'Output-Calculation-sheet'!Y11*'Output-Calculation-sheet'!Y92</f>
        <v>0</v>
      </c>
      <c r="AA111" s="2">
        <f t="shared" si="9"/>
        <v>7.828287876603035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1651215511.8117125</v>
      </c>
      <c r="C118" s="2">
        <f>C8/'Output-Calculation-sheet'!C7*'Output-Calculation-sheet'!C97</f>
        <v>13633700183.635136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8484613344.8501921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5853664530.9769077</v>
      </c>
      <c r="N118" s="2">
        <f>N8/'Output-Calculation-sheet'!N7*'Output-Calculation-sheet'!N97</f>
        <v>1959318085.5338228</v>
      </c>
      <c r="O118" s="2">
        <f>O8/'Output-Calculation-sheet'!O7*'Output-Calculation-sheet'!O97</f>
        <v>2306772607.7357497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587236160.96495235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318734382.69777381</v>
      </c>
      <c r="Y118" s="2">
        <f>Y8/'Output-Calculation-sheet'!Y7*'Output-Calculation-sheet'!Y97</f>
        <v>0</v>
      </c>
      <c r="AA118" s="2">
        <f t="shared" si="10"/>
        <v>34795.254808206242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11237376611.353186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3859724771.9900861</v>
      </c>
      <c r="O119" s="2">
        <f>O9/'Output-Calculation-sheet'!O8*'Output-Calculation-sheet'!O98</f>
        <v>4168468959.3188844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1157159511.7990217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452038794.61484241</v>
      </c>
      <c r="Y119" s="2">
        <f>Y9/'Output-Calculation-sheet'!Y8*'Output-Calculation-sheet'!Y98</f>
        <v>0</v>
      </c>
      <c r="AA119" s="2">
        <f t="shared" si="10"/>
        <v>48621.053493400243</v>
      </c>
    </row>
    <row r="120" spans="1:27" x14ac:dyDescent="0.25">
      <c r="A120" s="2">
        <v>2033</v>
      </c>
      <c r="B120" s="2">
        <f>B10/'Output-Calculation-sheet'!B9*'Output-Calculation-sheet'!B99</f>
        <v>20638692789.128788</v>
      </c>
      <c r="C120" s="2">
        <f>C10/'Output-Calculation-sheet'!C9*'Output-Calculation-sheet'!C99</f>
        <v>11944345836.356003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6191908903.1459589</v>
      </c>
      <c r="O120" s="2">
        <f>O10/'Output-Calculation-sheet'!O9*'Output-Calculation-sheet'!O99</f>
        <v>4827976732.853241</v>
      </c>
      <c r="P120" s="2">
        <f>P10/'Output-Calculation-sheet'!P9*'Output-Calculation-sheet'!P99</f>
        <v>0</v>
      </c>
      <c r="Q120" s="2">
        <f>Q10/'Output-Calculation-sheet'!Q9*'Output-Calculation-sheet'!Q99</f>
        <v>203019893.09725893</v>
      </c>
      <c r="R120" s="2">
        <f>R10/'Output-Calculation-sheet'!R9*'Output-Calculation-sheet'!R99</f>
        <v>0</v>
      </c>
      <c r="S120" s="2">
        <f>S10/'Output-Calculation-sheet'!S9*'Output-Calculation-sheet'!S99</f>
        <v>2494143921.319066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678529177.57710671</v>
      </c>
      <c r="Y120" s="2">
        <f>Y10/'Output-Calculation-sheet'!Y9*'Output-Calculation-sheet'!Y99</f>
        <v>0</v>
      </c>
      <c r="AA120" s="2">
        <f t="shared" si="10"/>
        <v>72822.295727727644</v>
      </c>
    </row>
    <row r="121" spans="1:27" x14ac:dyDescent="0.25">
      <c r="A121" s="2">
        <v>2034</v>
      </c>
      <c r="B121" s="2">
        <f>B11/'Output-Calculation-sheet'!B10*'Output-Calculation-sheet'!B100</f>
        <v>49109050925.496658</v>
      </c>
      <c r="C121" s="2">
        <f>C11/'Output-Calculation-sheet'!C10*'Output-Calculation-sheet'!C100</f>
        <v>12202821530.387465</v>
      </c>
      <c r="D121" s="2">
        <f>D11/'Output-Calculation-sheet'!D10*'Output-Calculation-sheet'!D100</f>
        <v>0</v>
      </c>
      <c r="E121" s="2">
        <f>E11/'Output-Calculation-sheet'!E10*'Output-Calculation-sheet'!E100</f>
        <v>1015801713.0488503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18020138727.973083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834933188.14407957</v>
      </c>
      <c r="M121" s="2">
        <f>M11/'Output-Calculation-sheet'!M10*'Output-Calculation-sheet'!M100</f>
        <v>12611584949.828602</v>
      </c>
      <c r="N121" s="2">
        <f>N11/'Output-Calculation-sheet'!N10*'Output-Calculation-sheet'!N100</f>
        <v>8564405349.7713785</v>
      </c>
      <c r="O121" s="2">
        <f>O11/'Output-Calculation-sheet'!O10*'Output-Calculation-sheet'!O100</f>
        <v>5430209293.5494595</v>
      </c>
      <c r="P121" s="2">
        <f>P11/'Output-Calculation-sheet'!P10*'Output-Calculation-sheet'!P100</f>
        <v>0</v>
      </c>
      <c r="Q121" s="2">
        <f>Q11/'Output-Calculation-sheet'!Q10*'Output-Calculation-sheet'!Q100</f>
        <v>1103457749.8866391</v>
      </c>
      <c r="R121" s="2">
        <f>R11/'Output-Calculation-sheet'!R10*'Output-Calculation-sheet'!R100</f>
        <v>0</v>
      </c>
      <c r="S121" s="2">
        <f>S11/'Output-Calculation-sheet'!S10*'Output-Calculation-sheet'!S100</f>
        <v>4258283434.9189386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55718017.87074665</v>
      </c>
      <c r="AA121" s="2">
        <f t="shared" si="10"/>
        <v>113814.46717836338</v>
      </c>
    </row>
    <row r="122" spans="1:27" x14ac:dyDescent="0.25">
      <c r="A122" s="2">
        <v>2035</v>
      </c>
      <c r="B122" s="2">
        <f>B12/'Output-Calculation-sheet'!B11*'Output-Calculation-sheet'!B101</f>
        <v>62140769386.955589</v>
      </c>
      <c r="C122" s="2">
        <f>C12/'Output-Calculation-sheet'!C11*'Output-Calculation-sheet'!C101</f>
        <v>365204949.90712255</v>
      </c>
      <c r="D122" s="2">
        <f>D12/'Output-Calculation-sheet'!D11*'Output-Calculation-sheet'!D101</f>
        <v>0</v>
      </c>
      <c r="E122" s="2">
        <f>E12/'Output-Calculation-sheet'!E11*'Output-Calculation-sheet'!E101</f>
        <v>4971354130.460577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19056291047.110542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1277416141.6783991</v>
      </c>
      <c r="M122" s="2">
        <f>M12/'Output-Calculation-sheet'!M11*'Output-Calculation-sheet'!M101</f>
        <v>13367622550.820053</v>
      </c>
      <c r="N122" s="2">
        <f>N12/'Output-Calculation-sheet'!N11*'Output-Calculation-sheet'!N101</f>
        <v>8994727496.2298393</v>
      </c>
      <c r="O122" s="2">
        <f>O12/'Output-Calculation-sheet'!O11*'Output-Calculation-sheet'!O101</f>
        <v>6097893678.4314518</v>
      </c>
      <c r="P122" s="2">
        <f>P12/'Output-Calculation-sheet'!P11*'Output-Calculation-sheet'!P101</f>
        <v>382329578.93901747</v>
      </c>
      <c r="Q122" s="2">
        <f>Q12/'Output-Calculation-sheet'!Q11*'Output-Calculation-sheet'!Q101</f>
        <v>1437463886.7781739</v>
      </c>
      <c r="R122" s="2">
        <f>R12/'Output-Calculation-sheet'!R11*'Output-Calculation-sheet'!R101</f>
        <v>0</v>
      </c>
      <c r="S122" s="2">
        <f>S12/'Output-Calculation-sheet'!S11*'Output-Calculation-sheet'!S101</f>
        <v>4724379107.5253353</v>
      </c>
      <c r="T122" s="2">
        <f>T12/'Output-Calculation-sheet'!T11*'Output-Calculation-sheet'!T101</f>
        <v>0</v>
      </c>
      <c r="U122" s="2">
        <f>U12/'Output-Calculation-sheet'!U11*'Output-Calculation-sheet'!U101</f>
        <v>69794792.93123582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163703060.44467303</v>
      </c>
      <c r="Y122" s="2">
        <f>Y12/'Output-Calculation-sheet'!Y11*'Output-Calculation-sheet'!Y101</f>
        <v>253540360.10102659</v>
      </c>
      <c r="AA122" s="2">
        <f t="shared" si="10"/>
        <v>123302.49016831303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56067479245.766045</v>
      </c>
      <c r="C129" s="2">
        <f>C8/'Output-Calculation-sheet'!C7*'Output-Calculation-sheet'!C106</f>
        <v>0</v>
      </c>
      <c r="D129" s="2">
        <f>D8/'Output-Calculation-sheet'!D7*'Output-Calculation-sheet'!D106</f>
        <v>24242441135.626255</v>
      </c>
      <c r="E129" s="2">
        <f>E8/'Output-Calculation-sheet'!E7*'Output-Calculation-sheet'!E106</f>
        <v>19233939510.632286</v>
      </c>
      <c r="F129" s="2">
        <f>F8/'Output-Calculation-sheet'!F7*'Output-Calculation-sheet'!F106</f>
        <v>12381572664.66925</v>
      </c>
      <c r="G129" s="2">
        <f>G8/'Output-Calculation-sheet'!G7*'Output-Calculation-sheet'!G106</f>
        <v>8699652865.8194847</v>
      </c>
      <c r="H129" s="2">
        <f>H8/'Output-Calculation-sheet'!H7*'Output-Calculation-sheet'!H106</f>
        <v>0</v>
      </c>
      <c r="I129" s="2">
        <f>I8/'Output-Calculation-sheet'!I7*'Output-Calculation-sheet'!I106</f>
        <v>7926050151.0112562</v>
      </c>
      <c r="J129" s="2">
        <f>J8/'Output-Calculation-sheet'!J7*'Output-Calculation-sheet'!J106</f>
        <v>7714646899.543993</v>
      </c>
      <c r="K129" s="2">
        <f>K8/'Output-Calculation-sheet'!K7*'Output-Calculation-sheet'!K106</f>
        <v>7640698594.032052</v>
      </c>
      <c r="L129" s="2">
        <f>L8/'Output-Calculation-sheet'!L7*'Output-Calculation-sheet'!L106</f>
        <v>6129482267.2594681</v>
      </c>
      <c r="M129" s="2">
        <f>M8/'Output-Calculation-sheet'!M7*'Output-Calculation-sheet'!M106</f>
        <v>0</v>
      </c>
      <c r="N129" s="2">
        <f>N8/'Output-Calculation-sheet'!N7*'Output-Calculation-sheet'!N106</f>
        <v>3787024035.8916144</v>
      </c>
      <c r="O129" s="2">
        <f>O8/'Output-Calculation-sheet'!O7*'Output-Calculation-sheet'!O106</f>
        <v>0</v>
      </c>
      <c r="P129" s="2">
        <f>P8/'Output-Calculation-sheet'!P7*'Output-Calculation-sheet'!P106</f>
        <v>5231223799.5346308</v>
      </c>
      <c r="Q129" s="2">
        <f>Q8/'Output-Calculation-sheet'!Q7*'Output-Calculation-sheet'!Q106</f>
        <v>5146669186.8395548</v>
      </c>
      <c r="R129" s="2">
        <f>R8/'Output-Calculation-sheet'!R7*'Output-Calculation-sheet'!R106</f>
        <v>4951342533.3447914</v>
      </c>
      <c r="S129" s="2">
        <f>S8/'Output-Calculation-sheet'!S7*'Output-Calculation-sheet'!S106</f>
        <v>2703672278.8395858</v>
      </c>
      <c r="T129" s="2">
        <f>T8/'Output-Calculation-sheet'!T7*'Output-Calculation-sheet'!T106</f>
        <v>1820058466.2073903</v>
      </c>
      <c r="U129" s="2">
        <f>U8/'Output-Calculation-sheet'!U7*'Output-Calculation-sheet'!U106</f>
        <v>1585211542.1868498</v>
      </c>
      <c r="V129" s="2">
        <f>V8/'Output-Calculation-sheet'!V7*'Output-Calculation-sheet'!V106</f>
        <v>1220639310.7470167</v>
      </c>
      <c r="W129" s="2">
        <f>W8/'Output-Calculation-sheet'!W7*'Output-Calculation-sheet'!W106</f>
        <v>1056811434.6220895</v>
      </c>
      <c r="X129" s="2">
        <f>X8/'Output-Calculation-sheet'!X7*'Output-Calculation-sheet'!X106</f>
        <v>0</v>
      </c>
      <c r="Y129" s="2">
        <f>Y8/'Output-Calculation-sheet'!Y7*'Output-Calculation-sheet'!Y106</f>
        <v>616640232.93145823</v>
      </c>
      <c r="AA129" s="2">
        <f t="shared" si="11"/>
        <v>178155.25615550514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4.0038639068685782E-8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4207060797.9106169</v>
      </c>
      <c r="O130" s="2">
        <f>O9/'Output-Calculation-sheet'!O8*'Output-Calculation-sheet'!O107</f>
        <v>0</v>
      </c>
      <c r="P130" s="2">
        <f>P9/'Output-Calculation-sheet'!P8*'Output-Calculation-sheet'!P107</f>
        <v>7344210861.6443653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3462796208.2802663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243376.60400484555</v>
      </c>
    </row>
    <row r="131" spans="1:27" x14ac:dyDescent="0.25">
      <c r="A131" s="2">
        <v>2033</v>
      </c>
      <c r="B131" s="2">
        <f>B10/'Output-Calculation-sheet'!B9*'Output-Calculation-sheet'!B108</f>
        <v>83385137941.687439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4163621691.7884421</v>
      </c>
      <c r="O131" s="2">
        <f>O10/'Output-Calculation-sheet'!O9*'Output-Calculation-sheet'!O108</f>
        <v>0</v>
      </c>
      <c r="P131" s="2">
        <f>P10/'Output-Calculation-sheet'!P9*'Output-Calculation-sheet'!P108</f>
        <v>9428018819.9052563</v>
      </c>
      <c r="Q131" s="2">
        <f>Q10/'Output-Calculation-sheet'!Q9*'Output-Calculation-sheet'!Q108</f>
        <v>9073064288.8607674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3436557210.2277555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299129.92755265546</v>
      </c>
    </row>
    <row r="132" spans="1:27" x14ac:dyDescent="0.25">
      <c r="A132" s="2">
        <v>2034</v>
      </c>
      <c r="B132" s="2">
        <f>B11/'Output-Calculation-sheet'!B10*'Output-Calculation-sheet'!B109</f>
        <v>76020647655.000229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40685406751.245438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16726454311.26395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12454616462.107435</v>
      </c>
      <c r="M132" s="2">
        <f>M11/'Output-Calculation-sheet'!M10*'Output-Calculation-sheet'!M109</f>
        <v>0</v>
      </c>
      <c r="N132" s="2">
        <f>N11/'Output-Calculation-sheet'!N10*'Output-Calculation-sheet'!N109</f>
        <v>3786493501.5723166</v>
      </c>
      <c r="O132" s="2">
        <f>O11/'Output-Calculation-sheet'!O10*'Output-Calculation-sheet'!O109</f>
        <v>0</v>
      </c>
      <c r="P132" s="2">
        <f>P11/'Output-Calculation-sheet'!P10*'Output-Calculation-sheet'!P109</f>
        <v>11341189139.012985</v>
      </c>
      <c r="Q132" s="2">
        <f>Q11/'Output-Calculation-sheet'!Q10*'Output-Calculation-sheet'!Q109</f>
        <v>9490530308.3145523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2862078198.920105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1281257324.8270004</v>
      </c>
      <c r="AA132" s="2">
        <f t="shared" si="11"/>
        <v>329727.10659008299</v>
      </c>
    </row>
    <row r="133" spans="1:27" x14ac:dyDescent="0.25">
      <c r="A133" s="2">
        <v>2035</v>
      </c>
      <c r="B133" s="2">
        <f>B12/'Output-Calculation-sheet'!B11*'Output-Calculation-sheet'!B110</f>
        <v>72447791757.741516</v>
      </c>
      <c r="C133" s="2">
        <f>C12/'Output-Calculation-sheet'!C11*'Output-Calculation-sheet'!C110</f>
        <v>0</v>
      </c>
      <c r="D133" s="2">
        <f>D12/'Output-Calculation-sheet'!D11*'Output-Calculation-sheet'!D110</f>
        <v>54410826169.804138</v>
      </c>
      <c r="E133" s="2">
        <f>E12/'Output-Calculation-sheet'!E11*'Output-Calculation-sheet'!E110</f>
        <v>41230992222.917732</v>
      </c>
      <c r="F133" s="2">
        <f>F12/'Output-Calculation-sheet'!F11*'Output-Calculation-sheet'!F110</f>
        <v>29342173286.901073</v>
      </c>
      <c r="G133" s="2">
        <f>G12/'Output-Calculation-sheet'!G11*'Output-Calculation-sheet'!G110</f>
        <v>20337535733.201698</v>
      </c>
      <c r="H133" s="2">
        <f>H12/'Output-Calculation-sheet'!H11*'Output-Calculation-sheet'!H110</f>
        <v>0</v>
      </c>
      <c r="I133" s="2">
        <f>I12/'Output-Calculation-sheet'!I11*'Output-Calculation-sheet'!I110</f>
        <v>18358137589.329185</v>
      </c>
      <c r="J133" s="2">
        <f>J12/'Output-Calculation-sheet'!J11*'Output-Calculation-sheet'!J110</f>
        <v>17682644866.100563</v>
      </c>
      <c r="K133" s="2">
        <f>K12/'Output-Calculation-sheet'!K11*'Output-Calculation-sheet'!K110</f>
        <v>17491222264.44138</v>
      </c>
      <c r="L133" s="2">
        <f>L12/'Output-Calculation-sheet'!L11*'Output-Calculation-sheet'!L110</f>
        <v>12861243437.101954</v>
      </c>
      <c r="M133" s="2">
        <f>M12/'Output-Calculation-sheet'!M11*'Output-Calculation-sheet'!M110</f>
        <v>0</v>
      </c>
      <c r="N133" s="2">
        <f>N12/'Output-Calculation-sheet'!N11*'Output-Calculation-sheet'!N110</f>
        <v>3939620162.6269679</v>
      </c>
      <c r="O133" s="2">
        <f>O12/'Output-Calculation-sheet'!O11*'Output-Calculation-sheet'!O110</f>
        <v>0</v>
      </c>
      <c r="P133" s="2">
        <f>P12/'Output-Calculation-sheet'!P11*'Output-Calculation-sheet'!P110</f>
        <v>12084369359.988436</v>
      </c>
      <c r="Q133" s="2">
        <f>Q12/'Output-Calculation-sheet'!Q11*'Output-Calculation-sheet'!Q110</f>
        <v>9642086454.340826</v>
      </c>
      <c r="R133" s="2">
        <f>R12/'Output-Calculation-sheet'!R11*'Output-Calculation-sheet'!R110</f>
        <v>11634346476.240179</v>
      </c>
      <c r="S133" s="2">
        <f>S12/'Output-Calculation-sheet'!S11*'Output-Calculation-sheet'!S110</f>
        <v>2747949955.9809966</v>
      </c>
      <c r="T133" s="2">
        <f>T12/'Output-Calculation-sheet'!T11*'Output-Calculation-sheet'!T110</f>
        <v>4368802256.3416662</v>
      </c>
      <c r="U133" s="2">
        <f>U12/'Output-Calculation-sheet'!U11*'Output-Calculation-sheet'!U110</f>
        <v>3546826679.4289656</v>
      </c>
      <c r="V133" s="2">
        <f>V12/'Output-Calculation-sheet'!V11*'Output-Calculation-sheet'!V110</f>
        <v>2941207077.2174416</v>
      </c>
      <c r="W133" s="2">
        <f>W12/'Output-Calculation-sheet'!W11*'Output-Calculation-sheet'!W110</f>
        <v>2582602015.8120723</v>
      </c>
      <c r="X133" s="2">
        <f>X12/'Output-Calculation-sheet'!X11*'Output-Calculation-sheet'!X110</f>
        <v>1406102.4097296512</v>
      </c>
      <c r="Y133" s="2">
        <f>Y12/'Output-Calculation-sheet'!Y11*'Output-Calculation-sheet'!Y110</f>
        <v>1229335089.4616733</v>
      </c>
      <c r="AA133" s="2">
        <f t="shared" si="11"/>
        <v>338881.11895738816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13565440950.295618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2686725756.0037942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315339795.69949067</v>
      </c>
      <c r="Y140" s="2">
        <f>Y8/'Output-Calculation-sheet'!Y7*'Output-Calculation-sheet'!Y115</f>
        <v>0</v>
      </c>
      <c r="AA140" s="2">
        <f t="shared" si="12"/>
        <v>16567.506501998902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26949345589.24641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438102641.27808028</v>
      </c>
      <c r="Y141" s="2">
        <f>Y9/'Output-Calculation-sheet'!Y8*'Output-Calculation-sheet'!Y116</f>
        <v>0</v>
      </c>
      <c r="AA141" s="2">
        <f t="shared" si="12"/>
        <v>27387.448230524489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37078702448.284447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464176067.1748662</v>
      </c>
      <c r="Y142" s="2">
        <f>Y10/'Output-Calculation-sheet'!Y9*'Output-Calculation-sheet'!Y117</f>
        <v>0</v>
      </c>
      <c r="AA142" s="2">
        <f t="shared" si="12"/>
        <v>37542.878515459313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46769870047.936897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47536.494611911599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67041839898.258743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1400250081.7376804</v>
      </c>
      <c r="Y144" s="2">
        <f>Y12/'Output-Calculation-sheet'!Y11*'Output-Calculation-sheet'!Y119</f>
        <v>0</v>
      </c>
      <c r="AA144" s="2">
        <f t="shared" si="12"/>
        <v>68442.089979996425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57718695884.411186</v>
      </c>
      <c r="C151" s="2">
        <f>C8/'Output-Calculation-sheet'!C7*'Output-Calculation-sheet'!C124</f>
        <v>27200002196.10796</v>
      </c>
      <c r="D151" s="2">
        <f>D8/'Output-Calculation-sheet'!D7*'Output-Calculation-sheet'!D124</f>
        <v>24242441135.626255</v>
      </c>
      <c r="E151" s="2">
        <f>E8/'Output-Calculation-sheet'!E7*'Output-Calculation-sheet'!E124</f>
        <v>19233939510.632286</v>
      </c>
      <c r="F151" s="2">
        <f>F8/'Output-Calculation-sheet'!F7*'Output-Calculation-sheet'!F124</f>
        <v>12381572664.66925</v>
      </c>
      <c r="G151" s="2">
        <f>G8/'Output-Calculation-sheet'!G7*'Output-Calculation-sheet'!G124</f>
        <v>8699652865.8194847</v>
      </c>
      <c r="H151" s="2">
        <f>H8/'Output-Calculation-sheet'!H7*'Output-Calculation-sheet'!H124</f>
        <v>8486187251.257762</v>
      </c>
      <c r="I151" s="2">
        <f>I8/'Output-Calculation-sheet'!I7*'Output-Calculation-sheet'!I124</f>
        <v>7926050151.0112562</v>
      </c>
      <c r="J151" s="2">
        <f>J8/'Output-Calculation-sheet'!J7*'Output-Calculation-sheet'!J124</f>
        <v>7714646899.543993</v>
      </c>
      <c r="K151" s="2">
        <f>K8/'Output-Calculation-sheet'!K7*'Output-Calculation-sheet'!K124</f>
        <v>7640698594.032052</v>
      </c>
      <c r="L151" s="2">
        <f>L8/'Output-Calculation-sheet'!L7*'Output-Calculation-sheet'!L124</f>
        <v>6129482267.2594681</v>
      </c>
      <c r="M151" s="2">
        <f>M8/'Output-Calculation-sheet'!M7*'Output-Calculation-sheet'!M124</f>
        <v>5854724874.8370476</v>
      </c>
      <c r="N151" s="2">
        <f>N8/'Output-Calculation-sheet'!N7*'Output-Calculation-sheet'!N124</f>
        <v>5746385544.177659</v>
      </c>
      <c r="O151" s="2">
        <f>O8/'Output-Calculation-sheet'!O7*'Output-Calculation-sheet'!O124</f>
        <v>5632406859.1950521</v>
      </c>
      <c r="P151" s="2">
        <f>P8/'Output-Calculation-sheet'!P7*'Output-Calculation-sheet'!P124</f>
        <v>5231223799.5346308</v>
      </c>
      <c r="Q151" s="2">
        <f>Q8/'Output-Calculation-sheet'!Q7*'Output-Calculation-sheet'!Q124</f>
        <v>5146669186.8395548</v>
      </c>
      <c r="R151" s="2">
        <f>R8/'Output-Calculation-sheet'!R7*'Output-Calculation-sheet'!R124</f>
        <v>4951342533.3447914</v>
      </c>
      <c r="S151" s="2">
        <f>S8/'Output-Calculation-sheet'!S7*'Output-Calculation-sheet'!S124</f>
        <v>3290908120.6837611</v>
      </c>
      <c r="T151" s="2">
        <f>T8/'Output-Calculation-sheet'!T7*'Output-Calculation-sheet'!T124</f>
        <v>1820058466.2073903</v>
      </c>
      <c r="U151" s="2">
        <f>U8/'Output-Calculation-sheet'!U7*'Output-Calculation-sheet'!U124</f>
        <v>1585211542.1868498</v>
      </c>
      <c r="V151" s="2">
        <f>V8/'Output-Calculation-sheet'!V7*'Output-Calculation-sheet'!V124</f>
        <v>1220639310.7470167</v>
      </c>
      <c r="W151" s="2">
        <f>W8/'Output-Calculation-sheet'!W7*'Output-Calculation-sheet'!W124</f>
        <v>1056811434.6220895</v>
      </c>
      <c r="X151" s="2">
        <f>X8/'Output-Calculation-sheet'!X7*'Output-Calculation-sheet'!X124</f>
        <v>634083499.06447566</v>
      </c>
      <c r="Y151" s="2">
        <f>Y8/'Output-Calculation-sheet'!Y7*'Output-Calculation-sheet'!Y124</f>
        <v>616640232.93145823</v>
      </c>
      <c r="AA151" s="2">
        <f t="shared" si="13"/>
        <v>230160.47482474273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22912127026.584476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8322121076.1654348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197455.03072804637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8760379874.2689133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143654.20183051398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3201976276.9167337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1942749089.0584605</v>
      </c>
      <c r="N154" s="2">
        <f>N11/'Output-Calculation-sheet'!N10*'Output-Calculation-sheet'!N127</f>
        <v>1925832686.9007678</v>
      </c>
      <c r="O154" s="2">
        <f>O11/'Output-Calculation-sheet'!O10*'Output-Calculation-sheet'!O127</f>
        <v>8797872606.2969151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2336867690.4567533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1038841632.9708742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79954.667405956046</v>
      </c>
    </row>
    <row r="155" spans="1:27" x14ac:dyDescent="0.25">
      <c r="A155" s="2">
        <v>2035</v>
      </c>
      <c r="B155" s="2">
        <f>B12/'Output-Calculation-sheet'!B11*'Output-Calculation-sheet'!B128</f>
        <v>12308369952.445076</v>
      </c>
      <c r="C155" s="2">
        <f>C12/'Output-Calculation-sheet'!C11*'Output-Calculation-sheet'!C128</f>
        <v>90102282.466943696</v>
      </c>
      <c r="D155" s="2">
        <f>D12/'Output-Calculation-sheet'!D11*'Output-Calculation-sheet'!D128</f>
        <v>7324911967.5807295</v>
      </c>
      <c r="E155" s="2">
        <f>E12/'Output-Calculation-sheet'!E11*'Output-Calculation-sheet'!E128</f>
        <v>3323492157.2794394</v>
      </c>
      <c r="F155" s="2">
        <f>F12/'Output-Calculation-sheet'!F11*'Output-Calculation-sheet'!F128</f>
        <v>2109981532.6563792</v>
      </c>
      <c r="G155" s="2">
        <f>G12/'Output-Calculation-sheet'!G11*'Output-Calculation-sheet'!G128</f>
        <v>1886536507.3557684</v>
      </c>
      <c r="H155" s="2">
        <f>H12/'Output-Calculation-sheet'!H11*'Output-Calculation-sheet'!H128</f>
        <v>3010653302.4292984</v>
      </c>
      <c r="I155" s="2">
        <f>I12/'Output-Calculation-sheet'!I11*'Output-Calculation-sheet'!I128</f>
        <v>1881652051.2880197</v>
      </c>
      <c r="J155" s="2">
        <f>J12/'Output-Calculation-sheet'!J11*'Output-Calculation-sheet'!J128</f>
        <v>1798694780.855047</v>
      </c>
      <c r="K155" s="2">
        <f>K12/'Output-Calculation-sheet'!K11*'Output-Calculation-sheet'!K128</f>
        <v>2045235809.8811798</v>
      </c>
      <c r="L155" s="2">
        <f>L12/'Output-Calculation-sheet'!L11*'Output-Calculation-sheet'!L128</f>
        <v>1484463280.1804175</v>
      </c>
      <c r="M155" s="2">
        <f>M12/'Output-Calculation-sheet'!M11*'Output-Calculation-sheet'!M128</f>
        <v>1833366056.7132556</v>
      </c>
      <c r="N155" s="2">
        <f>N12/'Output-Calculation-sheet'!N11*'Output-Calculation-sheet'!N128</f>
        <v>1785187989.4034216</v>
      </c>
      <c r="O155" s="2">
        <f>O12/'Output-Calculation-sheet'!O11*'Output-Calculation-sheet'!O128</f>
        <v>8323240687.028883</v>
      </c>
      <c r="P155" s="2">
        <f>P12/'Output-Calculation-sheet'!P11*'Output-Calculation-sheet'!P128</f>
        <v>985503571.08564568</v>
      </c>
      <c r="Q155" s="2">
        <f>Q12/'Output-Calculation-sheet'!Q11*'Output-Calculation-sheet'!Q128</f>
        <v>2204243104.0223584</v>
      </c>
      <c r="R155" s="2">
        <f>R12/'Output-Calculation-sheet'!R11*'Output-Calculation-sheet'!R128</f>
        <v>950757831.816118</v>
      </c>
      <c r="S155" s="2">
        <f>S12/'Output-Calculation-sheet'!S11*'Output-Calculation-sheet'!S128</f>
        <v>953127851.67806566</v>
      </c>
      <c r="T155" s="2">
        <f>T12/'Output-Calculation-sheet'!T11*'Output-Calculation-sheet'!T128</f>
        <v>227393212.52741179</v>
      </c>
      <c r="U155" s="2">
        <f>U12/'Output-Calculation-sheet'!U11*'Output-Calculation-sheet'!U128</f>
        <v>440036677.07511091</v>
      </c>
      <c r="V155" s="2">
        <f>V12/'Output-Calculation-sheet'!V11*'Output-Calculation-sheet'!V128</f>
        <v>109718208.46909437</v>
      </c>
      <c r="W155" s="2">
        <f>W12/'Output-Calculation-sheet'!W11*'Output-Calculation-sheet'!W128</f>
        <v>101945189.51732177</v>
      </c>
      <c r="X155" s="2">
        <f>X12/'Output-Calculation-sheet'!X11*'Output-Calculation-sheet'!X128</f>
        <v>12542522.361324701</v>
      </c>
      <c r="Y155" s="2">
        <f>Y12/'Output-Calculation-sheet'!Y11*'Output-Calculation-sheet'!Y128</f>
        <v>109660076.42082417</v>
      </c>
      <c r="AA155" s="2">
        <f t="shared" si="13"/>
        <v>55300.816602537139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1286.8922579372584</v>
      </c>
      <c r="C19" s="2">
        <f>C8/'Output-Calculation-sheet'!C7*'Output-Calculation-sheet'!C25</f>
        <v>9175.6208481278645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5781.9701539479911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4013.4912785110178</v>
      </c>
      <c r="N19" s="2">
        <f>N8/'Output-Calculation-sheet'!N7*'Output-Calculation-sheet'!N25</f>
        <v>1372.3285638530831</v>
      </c>
      <c r="O19" s="2">
        <f>O8/'Output-Calculation-sheet'!O7*'Output-Calculation-sheet'!O25</f>
        <v>1497.019493754766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490.14128390614565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211.88652081945548</v>
      </c>
      <c r="Y19" s="2">
        <f>Y8/'Output-Calculation-sheet'!Y7*'Output-Calculation-sheet'!Y25</f>
        <v>0</v>
      </c>
      <c r="AA19" s="2">
        <f t="shared" si="0"/>
        <v>23.829350400857582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7248.477403282367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8170.3072059345513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5677.2187161280408</v>
      </c>
      <c r="N20" s="2">
        <f>N9/'Output-Calculation-sheet'!N8*'Output-Calculation-sheet'!N26</f>
        <v>2557.686797947822</v>
      </c>
      <c r="O20" s="2">
        <f>O9/'Output-Calculation-sheet'!O8*'Output-Calculation-sheet'!O26</f>
        <v>2698.6332178378716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929.66977251644869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303.3827426240324</v>
      </c>
      <c r="Y20" s="2">
        <f>Y9/'Output-Calculation-sheet'!Y8*'Output-Calculation-sheet'!Y26</f>
        <v>0</v>
      </c>
      <c r="AA20" s="2">
        <f t="shared" si="0"/>
        <v>35.094896076576042</v>
      </c>
    </row>
    <row r="21" spans="1:27" x14ac:dyDescent="0.25">
      <c r="A21" s="2">
        <v>2033</v>
      </c>
      <c r="B21" s="2">
        <f>B10/'Output-Calculation-sheet'!B9*'Output-Calculation-sheet'!B27</f>
        <v>18302.99391793925</v>
      </c>
      <c r="C21" s="2">
        <f>C10/'Output-Calculation-sheet'!C9*'Output-Calculation-sheet'!C27</f>
        <v>7590.9081498007181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10611.424729265245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7371.815817397408</v>
      </c>
      <c r="N21" s="2">
        <f>N10/'Output-Calculation-sheet'!N9*'Output-Calculation-sheet'!N27</f>
        <v>4021.4857302978921</v>
      </c>
      <c r="O21" s="2">
        <f>O10/'Output-Calculation-sheet'!O9*'Output-Calculation-sheet'!O27</f>
        <v>3151.0546851058734</v>
      </c>
      <c r="P21" s="2">
        <f>P10/'Output-Calculation-sheet'!P9*'Output-Calculation-sheet'!P27</f>
        <v>0</v>
      </c>
      <c r="Q21" s="2">
        <f>Q10/'Output-Calculation-sheet'!Q9*'Output-Calculation-sheet'!Q27</f>
        <v>274.43795658794255</v>
      </c>
      <c r="R21" s="2">
        <f>R10/'Output-Calculation-sheet'!R9*'Output-Calculation-sheet'!R27</f>
        <v>0</v>
      </c>
      <c r="S21" s="2">
        <f>S10/'Output-Calculation-sheet'!S9*'Output-Calculation-sheet'!S27</f>
        <v>1753.0858486435036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467.20895997483683</v>
      </c>
      <c r="Y21" s="2">
        <f>Y10/'Output-Calculation-sheet'!Y9*'Output-Calculation-sheet'!Y27</f>
        <v>0</v>
      </c>
      <c r="AA21" s="2">
        <f t="shared" si="0"/>
        <v>53.544415795012668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7766.7150885838082</v>
      </c>
      <c r="D22" s="2">
        <f>D11/'Output-Calculation-sheet'!D10*'Output-Calculation-sheet'!D28</f>
        <v>0</v>
      </c>
      <c r="E22" s="2">
        <f>E11/'Output-Calculation-sheet'!E10*'Output-Calculation-sheet'!E28</f>
        <v>1853.2744590509662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13501.331413238924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1111.1634643000721</v>
      </c>
      <c r="M22" s="2">
        <f>M11/'Output-Calculation-sheet'!M10*'Output-Calculation-sheet'!M28</f>
        <v>9817.0735496551642</v>
      </c>
      <c r="N22" s="2">
        <f>N11/'Output-Calculation-sheet'!N10*'Output-Calculation-sheet'!N28</f>
        <v>5654.5306159108077</v>
      </c>
      <c r="O22" s="2">
        <f>O11/'Output-Calculation-sheet'!O10*'Output-Calculation-sheet'!O28</f>
        <v>3591.9143172850381</v>
      </c>
      <c r="P22" s="2">
        <f>P11/'Output-Calculation-sheet'!P10*'Output-Calculation-sheet'!P28</f>
        <v>0</v>
      </c>
      <c r="Q22" s="2">
        <f>Q11/'Output-Calculation-sheet'!Q10*'Output-Calculation-sheet'!Q28</f>
        <v>1319.2183079143692</v>
      </c>
      <c r="R22" s="2">
        <f>R11/'Output-Calculation-sheet'!R10*'Output-Calculation-sheet'!R28</f>
        <v>0</v>
      </c>
      <c r="S22" s="2">
        <f>S11/'Output-Calculation-sheet'!S10*'Output-Calculation-sheet'!S28</f>
        <v>2933.887021929791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101.18777337881292</v>
      </c>
      <c r="AA22" s="2">
        <f t="shared" si="0"/>
        <v>84.550372452748931</v>
      </c>
    </row>
    <row r="23" spans="1:27" x14ac:dyDescent="0.25">
      <c r="A23" s="2">
        <v>2035</v>
      </c>
      <c r="B23" s="2">
        <f>B12/'Output-Calculation-sheet'!B11*'Output-Calculation-sheet'!B29</f>
        <v>45676.587269323012</v>
      </c>
      <c r="C23" s="2">
        <f>C12/'Output-Calculation-sheet'!C11*'Output-Calculation-sheet'!C29</f>
        <v>236.39225678849067</v>
      </c>
      <c r="D23" s="2">
        <f>D12/'Output-Calculation-sheet'!D11*'Output-Calculation-sheet'!D29</f>
        <v>0</v>
      </c>
      <c r="E23" s="2">
        <f>E12/'Output-Calculation-sheet'!E11*'Output-Calculation-sheet'!E29</f>
        <v>6946.6999165863344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14118.464821050278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1563.3577544072707</v>
      </c>
      <c r="M23" s="2">
        <f>M12/'Output-Calculation-sheet'!M11*'Output-Calculation-sheet'!M29</f>
        <v>10283.958765000307</v>
      </c>
      <c r="N23" s="2">
        <f>N12/'Output-Calculation-sheet'!N11*'Output-Calculation-sheet'!N29</f>
        <v>5971.4046178464687</v>
      </c>
      <c r="O23" s="2">
        <f>O12/'Output-Calculation-sheet'!O11*'Output-Calculation-sheet'!O29</f>
        <v>4115.2763939117549</v>
      </c>
      <c r="P23" s="2">
        <f>P12/'Output-Calculation-sheet'!P11*'Output-Calculation-sheet'!P29</f>
        <v>718.33726013032788</v>
      </c>
      <c r="Q23" s="2">
        <f>Q12/'Output-Calculation-sheet'!Q11*'Output-Calculation-sheet'!Q29</f>
        <v>1600.3404574834201</v>
      </c>
      <c r="R23" s="2">
        <f>R12/'Output-Calculation-sheet'!R11*'Output-Calculation-sheet'!R29</f>
        <v>0</v>
      </c>
      <c r="S23" s="2">
        <f>S12/'Output-Calculation-sheet'!S11*'Output-Calculation-sheet'!S29</f>
        <v>3243.7779146650651</v>
      </c>
      <c r="T23" s="2">
        <f>T12/'Output-Calculation-sheet'!T11*'Output-Calculation-sheet'!T29</f>
        <v>0</v>
      </c>
      <c r="U23" s="2">
        <f>U12/'Output-Calculation-sheet'!U11*'Output-Calculation-sheet'!U29</f>
        <v>142.82611605438271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105.96221306577993</v>
      </c>
      <c r="Y23" s="2">
        <f>Y12/'Output-Calculation-sheet'!Y11*'Output-Calculation-sheet'!Y29</f>
        <v>305.16833914259723</v>
      </c>
      <c r="AA23" s="2">
        <f t="shared" si="0"/>
        <v>95.028554095455476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22431.81871081837</v>
      </c>
      <c r="C30" s="2">
        <f>C8/'Output-Calculation-sheet'!C7*'Output-Calculation-sheet'!C16</f>
        <v>0</v>
      </c>
      <c r="D30" s="2">
        <f>D8/'Output-Calculation-sheet'!D7*'Output-Calculation-sheet'!D16</f>
        <v>3777.1935719347643</v>
      </c>
      <c r="E30" s="2">
        <f>E8/'Output-Calculation-sheet'!E7*'Output-Calculation-sheet'!E16</f>
        <v>4064.0521019325333</v>
      </c>
      <c r="F30" s="2">
        <f>F8/'Output-Calculation-sheet'!F7*'Output-Calculation-sheet'!F16</f>
        <v>2050.3694166414307</v>
      </c>
      <c r="G30" s="2">
        <f>G8/'Output-Calculation-sheet'!G7*'Output-Calculation-sheet'!G16</f>
        <v>1342.730584832163</v>
      </c>
      <c r="H30" s="2">
        <f>H8/'Output-Calculation-sheet'!H7*'Output-Calculation-sheet'!H16</f>
        <v>0</v>
      </c>
      <c r="I30" s="2">
        <f>I8/'Output-Calculation-sheet'!I7*'Output-Calculation-sheet'!I16</f>
        <v>1308.9772650190903</v>
      </c>
      <c r="J30" s="2">
        <f>J8/'Output-Calculation-sheet'!J7*'Output-Calculation-sheet'!J16</f>
        <v>1165.2254182320582</v>
      </c>
      <c r="K30" s="2">
        <f>K8/'Output-Calculation-sheet'!K7*'Output-Calculation-sheet'!K16</f>
        <v>1555.8000021043322</v>
      </c>
      <c r="L30" s="2">
        <f>L8/'Output-Calculation-sheet'!L7*'Output-Calculation-sheet'!L16</f>
        <v>1314.1461310363925</v>
      </c>
      <c r="M30" s="2">
        <f>M8/'Output-Calculation-sheet'!M7*'Output-Calculation-sheet'!M16</f>
        <v>0</v>
      </c>
      <c r="N30" s="2">
        <f>N8/'Output-Calculation-sheet'!N7*'Output-Calculation-sheet'!N16</f>
        <v>1868.0319900247239</v>
      </c>
      <c r="O30" s="2">
        <f>O8/'Output-Calculation-sheet'!O7*'Output-Calculation-sheet'!O16</f>
        <v>0</v>
      </c>
      <c r="P30" s="2">
        <f>P8/'Output-Calculation-sheet'!P7*'Output-Calculation-sheet'!P16</f>
        <v>1677.6775547441543</v>
      </c>
      <c r="Q30" s="2">
        <f>Q8/'Output-Calculation-sheet'!Q7*'Output-Calculation-sheet'!Q16</f>
        <v>1844.8998143995316</v>
      </c>
      <c r="R30" s="2">
        <f>R8/'Output-Calculation-sheet'!R7*'Output-Calculation-sheet'!R16</f>
        <v>1170.5955247536654</v>
      </c>
      <c r="S30" s="2">
        <f>S8/'Output-Calculation-sheet'!S7*'Output-Calculation-sheet'!S16</f>
        <v>1177.2775733995741</v>
      </c>
      <c r="T30" s="2">
        <f>T8/'Output-Calculation-sheet'!T7*'Output-Calculation-sheet'!T16</f>
        <v>351.3937653248276</v>
      </c>
      <c r="U30" s="2">
        <f>U8/'Output-Calculation-sheet'!U7*'Output-Calculation-sheet'!U16</f>
        <v>350.76726143103008</v>
      </c>
      <c r="V30" s="2">
        <f>V8/'Output-Calculation-sheet'!V7*'Output-Calculation-sheet'!V16</f>
        <v>272.99430645269297</v>
      </c>
      <c r="W30" s="2">
        <f>W8/'Output-Calculation-sheet'!W7*'Output-Calculation-sheet'!W16</f>
        <v>165.58686158305662</v>
      </c>
      <c r="X30" s="2">
        <f>X8/'Output-Calculation-sheet'!X7*'Output-Calculation-sheet'!X16</f>
        <v>0</v>
      </c>
      <c r="Y30" s="2">
        <f>Y8/'Output-Calculation-sheet'!Y7*'Output-Calculation-sheet'!Y16</f>
        <v>140.14795050266633</v>
      </c>
      <c r="AA30" s="2">
        <f t="shared" si="1"/>
        <v>48.02968580516707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2177.8338462362976</v>
      </c>
      <c r="O31" s="2">
        <f>O9/'Output-Calculation-sheet'!O8*'Output-Calculation-sheet'!O17</f>
        <v>0</v>
      </c>
      <c r="P31" s="2">
        <f>P9/'Output-Calculation-sheet'!P8*'Output-Calculation-sheet'!P17</f>
        <v>2696.2401959902677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1619.4648026542634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69.244767997504837</v>
      </c>
    </row>
    <row r="32" spans="1:27" x14ac:dyDescent="0.25">
      <c r="A32" s="2">
        <v>2033</v>
      </c>
      <c r="B32" s="2">
        <f>B10/'Output-Calculation-sheet'!B9*'Output-Calculation-sheet'!B18</f>
        <v>37267.478918027708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3549.5524296859221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2282.8503705272587</v>
      </c>
      <c r="O32" s="2">
        <f>O10/'Output-Calculation-sheet'!O9*'Output-Calculation-sheet'!O18</f>
        <v>0</v>
      </c>
      <c r="P32" s="2">
        <f>P10/'Output-Calculation-sheet'!P9*'Output-Calculation-sheet'!P18</f>
        <v>3653.2842820157507</v>
      </c>
      <c r="Q32" s="2">
        <f>Q10/'Output-Calculation-sheet'!Q9*'Output-Calculation-sheet'!Q18</f>
        <v>3978.5595483536708</v>
      </c>
      <c r="R32" s="2">
        <f>R10/'Output-Calculation-sheet'!R9*'Output-Calculation-sheet'!R18</f>
        <v>2623.4236925635219</v>
      </c>
      <c r="S32" s="2">
        <f>S10/'Output-Calculation-sheet'!S9*'Output-Calculation-sheet'!S18</f>
        <v>1718.0466384263</v>
      </c>
      <c r="T32" s="2">
        <f>T10/'Output-Calculation-sheet'!T9*'Output-Calculation-sheet'!T18</f>
        <v>765.95608828597642</v>
      </c>
      <c r="U32" s="2">
        <f>U10/'Output-Calculation-sheet'!U9*'Output-Calculation-sheet'!U18</f>
        <v>846.7651541898374</v>
      </c>
      <c r="V32" s="2">
        <f>V10/'Output-Calculation-sheet'!V9*'Output-Calculation-sheet'!V18</f>
        <v>624.99915860857129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361.84256881309796</v>
      </c>
      <c r="AA32" s="2">
        <f t="shared" si="1"/>
        <v>89.518259000486651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11001.373960254869</v>
      </c>
      <c r="E33" s="2">
        <f>E11/'Output-Calculation-sheet'!E10*'Output-Calculation-sheet'!E19</f>
        <v>13623.403906112142</v>
      </c>
      <c r="F33" s="2">
        <f>F11/'Output-Calculation-sheet'!F10*'Output-Calculation-sheet'!F19</f>
        <v>6244.3124495433131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4086.6262913599858</v>
      </c>
      <c r="J33" s="2">
        <f>J11/'Output-Calculation-sheet'!J10*'Output-Calculation-sheet'!J19</f>
        <v>3455.1602560880674</v>
      </c>
      <c r="K33" s="2">
        <f>K11/'Output-Calculation-sheet'!K10*'Output-Calculation-sheet'!K19</f>
        <v>4792.531633102707</v>
      </c>
      <c r="L33" s="2">
        <f>L11/'Output-Calculation-sheet'!L10*'Output-Calculation-sheet'!L19</f>
        <v>3899.028436439482</v>
      </c>
      <c r="M33" s="2">
        <f>M11/'Output-Calculation-sheet'!M10*'Output-Calculation-sheet'!M19</f>
        <v>0</v>
      </c>
      <c r="N33" s="2">
        <f>N11/'Output-Calculation-sheet'!N10*'Output-Calculation-sheet'!N19</f>
        <v>2217.057728673567</v>
      </c>
      <c r="O33" s="2">
        <f>O11/'Output-Calculation-sheet'!O10*'Output-Calculation-sheet'!O19</f>
        <v>0</v>
      </c>
      <c r="P33" s="2">
        <f>P11/'Output-Calculation-sheet'!P10*'Output-Calculation-sheet'!P19</f>
        <v>4847.9262229275892</v>
      </c>
      <c r="Q33" s="2">
        <f>Q11/'Output-Calculation-sheet'!Q10*'Output-Calculation-sheet'!Q19</f>
        <v>3961.0797375291909</v>
      </c>
      <c r="R33" s="2">
        <f>R11/'Output-Calculation-sheet'!R10*'Output-Calculation-sheet'!R19</f>
        <v>3461.9244850704913</v>
      </c>
      <c r="S33" s="2">
        <f>S11/'Output-Calculation-sheet'!S10*'Output-Calculation-sheet'!S19</f>
        <v>1612.7304689367825</v>
      </c>
      <c r="T33" s="2">
        <f>T11/'Output-Calculation-sheet'!T10*'Output-Calculation-sheet'!T19</f>
        <v>1015.7962543094035</v>
      </c>
      <c r="U33" s="2">
        <f>U11/'Output-Calculation-sheet'!U10*'Output-Calculation-sheet'!U19</f>
        <v>1168.3708916900082</v>
      </c>
      <c r="V33" s="2">
        <f>V11/'Output-Calculation-sheet'!V10*'Output-Calculation-sheet'!V19</f>
        <v>796.76315782963911</v>
      </c>
      <c r="W33" s="2">
        <f>W11/'Output-Calculation-sheet'!W10*'Output-Calculation-sheet'!W19</f>
        <v>496.05435256912972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107.75045577853008</v>
      </c>
    </row>
    <row r="34" spans="1:27" x14ac:dyDescent="0.25">
      <c r="A34" s="2">
        <v>2035</v>
      </c>
      <c r="B34" s="2">
        <f>B12/'Output-Calculation-sheet'!B11*'Output-Calculation-sheet'!B20</f>
        <v>35970.397736659063</v>
      </c>
      <c r="C34" s="2">
        <f>C12/'Output-Calculation-sheet'!C11*'Output-Calculation-sheet'!C20</f>
        <v>0</v>
      </c>
      <c r="D34" s="2">
        <f>D12/'Output-Calculation-sheet'!D11*'Output-Calculation-sheet'!D20</f>
        <v>11264.34632986581</v>
      </c>
      <c r="E34" s="2">
        <f>E12/'Output-Calculation-sheet'!E11*'Output-Calculation-sheet'!E20</f>
        <v>12411.026779999018</v>
      </c>
      <c r="F34" s="2">
        <f>F12/'Output-Calculation-sheet'!F11*'Output-Calculation-sheet'!F20</f>
        <v>7681.483506555749</v>
      </c>
      <c r="G34" s="2">
        <f>G12/'Output-Calculation-sheet'!G11*'Output-Calculation-sheet'!G20</f>
        <v>4148.8637235763636</v>
      </c>
      <c r="H34" s="2">
        <f>H12/'Output-Calculation-sheet'!H11*'Output-Calculation-sheet'!H20</f>
        <v>0</v>
      </c>
      <c r="I34" s="2">
        <f>I12/'Output-Calculation-sheet'!I11*'Output-Calculation-sheet'!I20</f>
        <v>4518.9412414088765</v>
      </c>
      <c r="J34" s="2">
        <f>J12/'Output-Calculation-sheet'!J11*'Output-Calculation-sheet'!J20</f>
        <v>3872.433111420713</v>
      </c>
      <c r="K34" s="2">
        <f>K12/'Output-Calculation-sheet'!K11*'Output-Calculation-sheet'!K20</f>
        <v>5089.9231796368613</v>
      </c>
      <c r="L34" s="2">
        <f>L12/'Output-Calculation-sheet'!L11*'Output-Calculation-sheet'!L20</f>
        <v>4030.0396193978263</v>
      </c>
      <c r="M34" s="2">
        <f>M12/'Output-Calculation-sheet'!M11*'Output-Calculation-sheet'!M20</f>
        <v>0</v>
      </c>
      <c r="N34" s="2">
        <f>N12/'Output-Calculation-sheet'!N11*'Output-Calculation-sheet'!N20</f>
        <v>2245.9751010801492</v>
      </c>
      <c r="O34" s="2">
        <f>O12/'Output-Calculation-sheet'!O11*'Output-Calculation-sheet'!O20</f>
        <v>0</v>
      </c>
      <c r="P34" s="2">
        <f>P12/'Output-Calculation-sheet'!P11*'Output-Calculation-sheet'!P20</f>
        <v>5025.8649320323057</v>
      </c>
      <c r="Q34" s="2">
        <f>Q12/'Output-Calculation-sheet'!Q11*'Output-Calculation-sheet'!Q20</f>
        <v>3960.7342254027321</v>
      </c>
      <c r="R34" s="2">
        <f>R12/'Output-Calculation-sheet'!R11*'Output-Calculation-sheet'!R20</f>
        <v>3996.8193214278931</v>
      </c>
      <c r="S34" s="2">
        <f>S12/'Output-Calculation-sheet'!S11*'Output-Calculation-sheet'!S20</f>
        <v>1543.7316007688364</v>
      </c>
      <c r="T34" s="2">
        <f>T12/'Output-Calculation-sheet'!T11*'Output-Calculation-sheet'!T20</f>
        <v>1247.4144001801935</v>
      </c>
      <c r="U34" s="2">
        <f>U12/'Output-Calculation-sheet'!U11*'Output-Calculation-sheet'!U20</f>
        <v>1141.9163484061021</v>
      </c>
      <c r="V34" s="2">
        <f>V12/'Output-Calculation-sheet'!V11*'Output-Calculation-sheet'!V20</f>
        <v>1046.2032367213551</v>
      </c>
      <c r="W34" s="2">
        <f>W12/'Output-Calculation-sheet'!W11*'Output-Calculation-sheet'!W20</f>
        <v>676.59102499778646</v>
      </c>
      <c r="X34" s="2">
        <f>X12/'Output-Calculation-sheet'!X11*'Output-Calculation-sheet'!X20</f>
        <v>1.5969826720122409</v>
      </c>
      <c r="Y34" s="2">
        <f>Y12/'Output-Calculation-sheet'!Y11*'Output-Calculation-sheet'!Y20</f>
        <v>377.23669372045975</v>
      </c>
      <c r="AA34" s="2">
        <f t="shared" si="1"/>
        <v>110.25153909593008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4.7509147653161769E-2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4.7509147653161769E-2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0.5634405722120791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0.5634405722120791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0.76759585870129721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0.76759585870129721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7.201268220441745E-2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1.6517244532174288E-2</v>
      </c>
      <c r="N44" s="2">
        <f>N11/'Output-Calculation-sheet'!N10*'Output-Calculation-sheet'!N37*0.0114</f>
        <v>1.6233772692043492E-2</v>
      </c>
      <c r="O44" s="2">
        <f>O11/'Output-Calculation-sheet'!O10*'Output-Calculation-sheet'!O37*0.0114</f>
        <v>0.93924252807890851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4.2669811105293984E-2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9.3057589244972452E-3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1.0959817975373347</v>
      </c>
    </row>
    <row r="45" spans="1:27" x14ac:dyDescent="0.25">
      <c r="A45" s="2">
        <v>2035</v>
      </c>
      <c r="B45" s="2">
        <f>B12/'Output-Calculation-sheet'!B11*'Output-Calculation-sheet'!B38*0.0114</f>
        <v>0.8397300785947629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0.28058186320418549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0.34352553793216112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6.7640822131429634E-2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7.1218393735991703E-2</v>
      </c>
      <c r="M45" s="2">
        <f>M12/'Output-Calculation-sheet'!M11*'Output-Calculation-sheet'!M38*0.0114</f>
        <v>0.2026105730047065</v>
      </c>
      <c r="N45" s="2">
        <f>N12/'Output-Calculation-sheet'!N11*'Output-Calculation-sheet'!N38*0.0114</f>
        <v>0.14935000118010525</v>
      </c>
      <c r="O45" s="2">
        <f>O12/'Output-Calculation-sheet'!O11*'Output-Calculation-sheet'!O38*0.0114</f>
        <v>1.0530239098737895</v>
      </c>
      <c r="P45" s="2">
        <f>P12/'Output-Calculation-sheet'!P11*'Output-Calculation-sheet'!P38*0.0114</f>
        <v>9.1982111741001821E-2</v>
      </c>
      <c r="Q45" s="2">
        <f>Q12/'Output-Calculation-sheet'!Q11*'Output-Calculation-sheet'!Q38*0.0114</f>
        <v>0.13085346743528764</v>
      </c>
      <c r="R45" s="2">
        <f>R12/'Output-Calculation-sheet'!R11*'Output-Calculation-sheet'!R38*0.0114</f>
        <v>5.767372246518214E-2</v>
      </c>
      <c r="S45" s="2">
        <f>S12/'Output-Calculation-sheet'!S11*'Output-Calculation-sheet'!S38*0.0114</f>
        <v>6.6587559493975365E-2</v>
      </c>
      <c r="T45" s="2">
        <f>T12/'Output-Calculation-sheet'!T11*'Output-Calculation-sheet'!T38*0.0114</f>
        <v>1.6002828519906438E-2</v>
      </c>
      <c r="U45" s="2">
        <f>U12/'Output-Calculation-sheet'!U11*'Output-Calculation-sheet'!U38*0.0114</f>
        <v>2.3194513308280002E-2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1.0724644184852925E-2</v>
      </c>
      <c r="AA45" s="2">
        <f t="shared" si="2"/>
        <v>4.1918577341225989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3544.8931933237241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8165.2254650073228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5584.3908854384126</v>
      </c>
      <c r="N52" s="2">
        <f>N8/'Output-Calculation-sheet'!N7*'Output-Calculation-sheet'!N43</f>
        <v>176.40174807963018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37.759081835336325</v>
      </c>
      <c r="Y52" s="2">
        <f>Y8/'Output-Calculation-sheet'!Y7*'Output-Calculation-sheet'!Y43</f>
        <v>0</v>
      </c>
      <c r="AA52" s="2">
        <f t="shared" si="3"/>
        <v>17.508670373684424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629.96527772877903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16328.676968686103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11183.113569395338</v>
      </c>
      <c r="N53" s="2">
        <f>N9/'Output-Calculation-sheet'!N8*'Output-Calculation-sheet'!N44</f>
        <v>3964.6961891390488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1237.5520480001369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341.32815885553185</v>
      </c>
      <c r="Y53" s="2">
        <f>Y9/'Output-Calculation-sheet'!Y8*'Output-Calculation-sheet'!Y44</f>
        <v>0</v>
      </c>
      <c r="AA53" s="2">
        <f t="shared" si="3"/>
        <v>33.86124350768776</v>
      </c>
    </row>
    <row r="54" spans="1:27" x14ac:dyDescent="0.25">
      <c r="A54" s="2">
        <v>2033</v>
      </c>
      <c r="B54" s="2">
        <f>B10/'Output-Calculation-sheet'!B9*'Output-Calculation-sheet'!B45</f>
        <v>35079.281298727365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25573.729084370501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17529.341046259557</v>
      </c>
      <c r="N54" s="2">
        <f>N10/'Output-Calculation-sheet'!N9*'Output-Calculation-sheet'!N45</f>
        <v>9781.6490237233756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1026.9953086848859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983.91611863445951</v>
      </c>
      <c r="Y54" s="2">
        <f>Y10/'Output-Calculation-sheet'!Y9*'Output-Calculation-sheet'!Y45</f>
        <v>21.702808572375112</v>
      </c>
      <c r="AA54" s="2">
        <f t="shared" si="3"/>
        <v>105.81038766515555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31338.150562817096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4540.4256061637661</v>
      </c>
      <c r="L55" s="2">
        <f>L11/'Output-Calculation-sheet'!L10*'Output-Calculation-sheet'!L46</f>
        <v>1677.5922512660122</v>
      </c>
      <c r="M55" s="2">
        <f>M11/'Output-Calculation-sheet'!M10*'Output-Calculation-sheet'!M46</f>
        <v>22001.259493076013</v>
      </c>
      <c r="N55" s="2">
        <f>N11/'Output-Calculation-sheet'!N10*'Output-Calculation-sheet'!N46</f>
        <v>16222.380570856094</v>
      </c>
      <c r="O55" s="2">
        <f>O11/'Output-Calculation-sheet'!O10*'Output-Calculation-sheet'!O46</f>
        <v>361.45156711582212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3670.6018792916634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8224.9848178275643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252.96908402670221</v>
      </c>
    </row>
    <row r="56" spans="1:27" x14ac:dyDescent="0.25">
      <c r="A56" s="2">
        <v>2035</v>
      </c>
      <c r="B56" s="2">
        <f>B12/'Output-Calculation-sheet'!B11*'Output-Calculation-sheet'!B47</f>
        <v>136522.43225153803</v>
      </c>
      <c r="C56" s="2">
        <f>C12/'Output-Calculation-sheet'!C11*'Output-Calculation-sheet'!C47</f>
        <v>468.47731912058907</v>
      </c>
      <c r="D56" s="2">
        <f>D12/'Output-Calculation-sheet'!D11*'Output-Calculation-sheet'!D47</f>
        <v>10987.944402601936</v>
      </c>
      <c r="E56" s="2">
        <f>E12/'Output-Calculation-sheet'!E11*'Output-Calculation-sheet'!E47</f>
        <v>30352.066114333466</v>
      </c>
      <c r="F56" s="2">
        <f>F12/'Output-Calculation-sheet'!F11*'Output-Calculation-sheet'!F47</f>
        <v>3585.0600967894861</v>
      </c>
      <c r="G56" s="2">
        <f>G12/'Output-Calculation-sheet'!G11*'Output-Calculation-sheet'!G47</f>
        <v>8612.0264174592594</v>
      </c>
      <c r="H56" s="2">
        <f>H12/'Output-Calculation-sheet'!H11*'Output-Calculation-sheet'!H47</f>
        <v>32585.420543577613</v>
      </c>
      <c r="I56" s="2">
        <f>I12/'Output-Calculation-sheet'!I11*'Output-Calculation-sheet'!I47</f>
        <v>4284.6731402583255</v>
      </c>
      <c r="J56" s="2">
        <f>J12/'Output-Calculation-sheet'!J11*'Output-Calculation-sheet'!J47</f>
        <v>3933.8478134331444</v>
      </c>
      <c r="K56" s="2">
        <f>K12/'Output-Calculation-sheet'!K11*'Output-Calculation-sheet'!K47</f>
        <v>5599.8103673316436</v>
      </c>
      <c r="L56" s="2">
        <f>L12/'Output-Calculation-sheet'!L11*'Output-Calculation-sheet'!L47</f>
        <v>3073.6359401849049</v>
      </c>
      <c r="M56" s="2">
        <f>M12/'Output-Calculation-sheet'!M11*'Output-Calculation-sheet'!M47</f>
        <v>22636.695890379633</v>
      </c>
      <c r="N56" s="2">
        <f>N12/'Output-Calculation-sheet'!N11*'Output-Calculation-sheet'!N47</f>
        <v>17051.519627911821</v>
      </c>
      <c r="O56" s="2">
        <f>O12/'Output-Calculation-sheet'!O11*'Output-Calculation-sheet'!O47</f>
        <v>1677.6116211224587</v>
      </c>
      <c r="P56" s="2">
        <f>P12/'Output-Calculation-sheet'!P11*'Output-Calculation-sheet'!P47</f>
        <v>8985.7378750493299</v>
      </c>
      <c r="Q56" s="2">
        <f>Q12/'Output-Calculation-sheet'!Q11*'Output-Calculation-sheet'!Q47</f>
        <v>4314.5933755709366</v>
      </c>
      <c r="R56" s="2">
        <f>R12/'Output-Calculation-sheet'!R11*'Output-Calculation-sheet'!R47</f>
        <v>6628.6837596495525</v>
      </c>
      <c r="S56" s="2">
        <f>S12/'Output-Calculation-sheet'!S11*'Output-Calculation-sheet'!S47</f>
        <v>8812.4212508254859</v>
      </c>
      <c r="T56" s="2">
        <f>T12/'Output-Calculation-sheet'!T11*'Output-Calculation-sheet'!T47</f>
        <v>2307.3084044344632</v>
      </c>
      <c r="U56" s="2">
        <f>U12/'Output-Calculation-sheet'!U11*'Output-Calculation-sheet'!U47</f>
        <v>2229.5217265976512</v>
      </c>
      <c r="V56" s="2">
        <f>V12/'Output-Calculation-sheet'!V11*'Output-Calculation-sheet'!V47</f>
        <v>1556.9359683683924</v>
      </c>
      <c r="W56" s="2">
        <f>W12/'Output-Calculation-sheet'!W11*'Output-Calculation-sheet'!W47</f>
        <v>900.15856995096976</v>
      </c>
      <c r="X56" s="2">
        <f>X12/'Output-Calculation-sheet'!X11*'Output-Calculation-sheet'!X47</f>
        <v>181.48638158893812</v>
      </c>
      <c r="Y56" s="2">
        <f>Y12/'Output-Calculation-sheet'!Y11*'Output-Calculation-sheet'!Y47</f>
        <v>1196.1741299158327</v>
      </c>
      <c r="AA56" s="2">
        <f t="shared" si="3"/>
        <v>318.48424298799387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8.5277980762483985</v>
      </c>
      <c r="C63" s="2">
        <f>C8*'Output-Calculation-sheet'!C52/10^9</f>
        <v>4.6350695438739891</v>
      </c>
      <c r="D63" s="2">
        <f>D8*'Output-Calculation-sheet'!D52/10^9</f>
        <v>1.9967041856626124</v>
      </c>
      <c r="E63" s="2">
        <f>E8*'Output-Calculation-sheet'!E52/10^9</f>
        <v>2.2843176014241267</v>
      </c>
      <c r="F63" s="2">
        <f>F8*'Output-Calculation-sheet'!F52/10^9</f>
        <v>1.0677717290155926</v>
      </c>
      <c r="G63" s="2">
        <f>G8*'Output-Calculation-sheet'!G52/10^9</f>
        <v>0.81445962995477006</v>
      </c>
      <c r="H63" s="2">
        <f>H8*'Output-Calculation-sheet'!H52/10^9</f>
        <v>1.2173741985397806</v>
      </c>
      <c r="I63" s="2">
        <f>I8*'Output-Calculation-sheet'!I52/10^9</f>
        <v>0.64336898568511947</v>
      </c>
      <c r="J63" s="2">
        <f>J8*'Output-Calculation-sheet'!J52/10^9</f>
        <v>0.90951002466031217</v>
      </c>
      <c r="K63" s="2">
        <f>K8*'Output-Calculation-sheet'!K52/10^9</f>
        <v>0.59704867279505447</v>
      </c>
      <c r="L63" s="2">
        <f>L8*'Output-Calculation-sheet'!L52/10^9</f>
        <v>0.70688116433138737</v>
      </c>
      <c r="M63" s="2">
        <f>M8*'Output-Calculation-sheet'!M52/10^9</f>
        <v>0.8913325535087534</v>
      </c>
      <c r="N63" s="2">
        <f>N8*'Output-Calculation-sheet'!N52/10^9</f>
        <v>0.71074479118947742</v>
      </c>
      <c r="O63" s="2">
        <f>O8*'Output-Calculation-sheet'!O52/10^9</f>
        <v>0.84208843735915162</v>
      </c>
      <c r="P63" s="2">
        <f>P8*'Output-Calculation-sheet'!P52/10^9</f>
        <v>0.60720878608854512</v>
      </c>
      <c r="Q63" s="2">
        <f>Q8*'Output-Calculation-sheet'!Q52/10^9</f>
        <v>0.56639370115206189</v>
      </c>
      <c r="R63" s="2">
        <f>R8*'Output-Calculation-sheet'!R52/10^9</f>
        <v>0.51302043314630685</v>
      </c>
      <c r="S63" s="2">
        <f>S8*'Output-Calculation-sheet'!S52/10^9</f>
        <v>0.43527875599890942</v>
      </c>
      <c r="T63" s="2">
        <f>T8*'Output-Calculation-sheet'!T52/10^9</f>
        <v>0.20836870363288737</v>
      </c>
      <c r="U63" s="2">
        <f>U8*'Output-Calculation-sheet'!U52/10^9</f>
        <v>0.16249626792973149</v>
      </c>
      <c r="V63" s="2">
        <f>V8*'Output-Calculation-sheet'!V52/10^9</f>
        <v>0.26904534763602167</v>
      </c>
      <c r="W63" s="2">
        <f>W8*'Output-Calculation-sheet'!W52/10^9</f>
        <v>0.11290365338469269</v>
      </c>
      <c r="X63" s="2">
        <f>X8*'Output-Calculation-sheet'!X52/10^9</f>
        <v>0.11879799195196879</v>
      </c>
      <c r="Y63" s="2">
        <f>Y8*'Output-Calculation-sheet'!Y52/10^9</f>
        <v>6.5197662846347468E-2</v>
      </c>
      <c r="AA63" s="2">
        <f t="shared" si="4"/>
        <v>28.903180898016</v>
      </c>
    </row>
    <row r="64" spans="1:27" x14ac:dyDescent="0.25">
      <c r="A64" s="2">
        <v>2032</v>
      </c>
      <c r="B64" s="2">
        <f>B9*'Output-Calculation-sheet'!B53/10^9</f>
        <v>9.2388784076765571</v>
      </c>
      <c r="C64" s="2">
        <f>C9*'Output-Calculation-sheet'!C53/10^9</f>
        <v>5.4571482064322678</v>
      </c>
      <c r="D64" s="2">
        <f>D9*'Output-Calculation-sheet'!D53/10^9</f>
        <v>1.9400414205570551</v>
      </c>
      <c r="E64" s="2">
        <f>E9*'Output-Calculation-sheet'!E53/10^9</f>
        <v>2.2652252410117617</v>
      </c>
      <c r="F64" s="2">
        <f>F9*'Output-Calculation-sheet'!F53/10^9</f>
        <v>1.03947363929074</v>
      </c>
      <c r="G64" s="2">
        <f>G9*'Output-Calculation-sheet'!G53/10^9</f>
        <v>0.7783148808037107</v>
      </c>
      <c r="H64" s="2">
        <f>H9*'Output-Calculation-sheet'!H53/10^9</f>
        <v>1.4494878952362467</v>
      </c>
      <c r="I64" s="2">
        <f>I9*'Output-Calculation-sheet'!I53/10^9</f>
        <v>0.63115998062882772</v>
      </c>
      <c r="J64" s="2">
        <f>J9*'Output-Calculation-sheet'!J53/10^9</f>
        <v>0.84715131645994257</v>
      </c>
      <c r="K64" s="2">
        <f>K9*'Output-Calculation-sheet'!K53/10^9</f>
        <v>0.62538719400596965</v>
      </c>
      <c r="L64" s="2">
        <f>L9*'Output-Calculation-sheet'!L53/10^9</f>
        <v>0.70210411747820067</v>
      </c>
      <c r="M64" s="2">
        <f>M9*'Output-Calculation-sheet'!M53/10^9</f>
        <v>1.0452502845640455</v>
      </c>
      <c r="N64" s="2">
        <f>N9*'Output-Calculation-sheet'!N53/10^9</f>
        <v>0.85432815272460894</v>
      </c>
      <c r="O64" s="2">
        <f>O9*'Output-Calculation-sheet'!O53/10^9</f>
        <v>1.0092195339100614</v>
      </c>
      <c r="P64" s="2">
        <f>P9*'Output-Calculation-sheet'!P53/10^9</f>
        <v>0.66732264271485142</v>
      </c>
      <c r="Q64" s="2">
        <f>Q9*'Output-Calculation-sheet'!Q53/10^9</f>
        <v>0.63297378156246165</v>
      </c>
      <c r="R64" s="2">
        <f>R9*'Output-Calculation-sheet'!R53/10^9</f>
        <v>0.53848298258997451</v>
      </c>
      <c r="S64" s="2">
        <f>S9*'Output-Calculation-sheet'!S53/10^9</f>
        <v>0.50624732645971904</v>
      </c>
      <c r="T64" s="2">
        <f>T9*'Output-Calculation-sheet'!T53/10^9</f>
        <v>0.2012951529170712</v>
      </c>
      <c r="U64" s="2">
        <f>U9*'Output-Calculation-sheet'!U53/10^9</f>
        <v>0.17150240034113312</v>
      </c>
      <c r="V64" s="2">
        <f>V9*'Output-Calculation-sheet'!V53/10^9</f>
        <v>0.2499586473549705</v>
      </c>
      <c r="W64" s="2">
        <f>W9*'Output-Calculation-sheet'!W53/10^9</f>
        <v>0.10654069833656624</v>
      </c>
      <c r="X64" s="2">
        <f>X9*'Output-Calculation-sheet'!X53/10^9</f>
        <v>0.13604213481855043</v>
      </c>
      <c r="Y64" s="2">
        <f>Y9*'Output-Calculation-sheet'!Y53/10^9</f>
        <v>6.7765847605917279E-2</v>
      </c>
      <c r="AA64" s="2">
        <f t="shared" si="4"/>
        <v>31.161301885481205</v>
      </c>
    </row>
    <row r="65" spans="1:27" x14ac:dyDescent="0.25">
      <c r="A65" s="2">
        <v>2033</v>
      </c>
      <c r="B65" s="2">
        <f>B10*'Output-Calculation-sheet'!B54/10^9</f>
        <v>9.9846656560936431</v>
      </c>
      <c r="C65" s="2">
        <f>C10*'Output-Calculation-sheet'!C54/10^9</f>
        <v>6.168788836414322</v>
      </c>
      <c r="D65" s="2">
        <f>D10*'Output-Calculation-sheet'!D54/10^9</f>
        <v>1.7797471878288351</v>
      </c>
      <c r="E65" s="2">
        <f>E10*'Output-Calculation-sheet'!E54/10^9</f>
        <v>2.2665316038934327</v>
      </c>
      <c r="F65" s="2">
        <f>F10*'Output-Calculation-sheet'!F54/10^9</f>
        <v>0.97394707611700071</v>
      </c>
      <c r="G65" s="2">
        <f>G10*'Output-Calculation-sheet'!G54/10^9</f>
        <v>0.69340314694456173</v>
      </c>
      <c r="H65" s="2">
        <f>H10*'Output-Calculation-sheet'!H54/10^9</f>
        <v>1.6293358207469582</v>
      </c>
      <c r="I65" s="2">
        <f>I10*'Output-Calculation-sheet'!I54/10^9</f>
        <v>0.60796982804629729</v>
      </c>
      <c r="J65" s="2">
        <f>J10*'Output-Calculation-sheet'!J54/10^9</f>
        <v>0.71932395085886691</v>
      </c>
      <c r="K65" s="2">
        <f>K10*'Output-Calculation-sheet'!K54/10^9</f>
        <v>0.67314646088529195</v>
      </c>
      <c r="L65" s="2">
        <f>L10*'Output-Calculation-sheet'!L54/10^9</f>
        <v>0.69419616962273989</v>
      </c>
      <c r="M65" s="2">
        <f>M10*'Output-Calculation-sheet'!M54/10^9</f>
        <v>1.1585132136312597</v>
      </c>
      <c r="N65" s="2">
        <f>N10*'Output-Calculation-sheet'!N54/10^9</f>
        <v>0.98719324396795627</v>
      </c>
      <c r="O65" s="2">
        <f>O10*'Output-Calculation-sheet'!O54/10^9</f>
        <v>1.1486590539281534</v>
      </c>
      <c r="P65" s="2">
        <f>P10*'Output-Calculation-sheet'!P54/10^9</f>
        <v>0.7282145545702492</v>
      </c>
      <c r="Q65" s="2">
        <f>Q10*'Output-Calculation-sheet'!Q54/10^9</f>
        <v>0.71865076365145031</v>
      </c>
      <c r="R65" s="2">
        <f>R10*'Output-Calculation-sheet'!R54/10^9</f>
        <v>0.56967181316719506</v>
      </c>
      <c r="S65" s="2">
        <f>S10*'Output-Calculation-sheet'!S54/10^9</f>
        <v>0.57176832325329963</v>
      </c>
      <c r="T65" s="2">
        <f>T10*'Output-Calculation-sheet'!T54/10^9</f>
        <v>0.19291621705856282</v>
      </c>
      <c r="U65" s="2">
        <f>U10*'Output-Calculation-sheet'!U54/10^9</f>
        <v>0.1852821750821069</v>
      </c>
      <c r="V65" s="2">
        <f>V10*'Output-Calculation-sheet'!V54/10^9</f>
        <v>0.21831488814662348</v>
      </c>
      <c r="W65" s="2">
        <f>W10*'Output-Calculation-sheet'!W54/10^9</f>
        <v>9.3299890801202517E-2</v>
      </c>
      <c r="X65" s="2">
        <f>X10*'Output-Calculation-sheet'!X54/10^9</f>
        <v>0.14880967039075921</v>
      </c>
      <c r="Y65" s="2">
        <f>Y10*'Output-Calculation-sheet'!Y54/10^9</f>
        <v>7.2378410689683287E-2</v>
      </c>
      <c r="AA65" s="2">
        <f t="shared" si="4"/>
        <v>32.984727955790447</v>
      </c>
    </row>
    <row r="66" spans="1:27" x14ac:dyDescent="0.25">
      <c r="A66" s="2">
        <v>2034</v>
      </c>
      <c r="B66" s="2">
        <f>B11*'Output-Calculation-sheet'!B55/10^9</f>
        <v>10.78332199502343</v>
      </c>
      <c r="C66" s="2">
        <f>C11*'Output-Calculation-sheet'!C55/10^9</f>
        <v>6.7614816999480398</v>
      </c>
      <c r="D66" s="2">
        <f>D11*'Output-Calculation-sheet'!D55/10^9</f>
        <v>1.9508542150034678</v>
      </c>
      <c r="E66" s="2">
        <f>E11*'Output-Calculation-sheet'!E55/10^9</f>
        <v>2.5267373099245454</v>
      </c>
      <c r="F66" s="2">
        <f>F11*'Output-Calculation-sheet'!F55/10^9</f>
        <v>0.99447242712753559</v>
      </c>
      <c r="G66" s="2">
        <f>G11*'Output-Calculation-sheet'!G55/10^9</f>
        <v>0.72542901354167699</v>
      </c>
      <c r="H66" s="2">
        <f>H11*'Output-Calculation-sheet'!H55/10^9</f>
        <v>1.8102067746885373</v>
      </c>
      <c r="I66" s="2">
        <f>I11*'Output-Calculation-sheet'!I55/10^9</f>
        <v>0.67436165223286393</v>
      </c>
      <c r="J66" s="2">
        <f>J11*'Output-Calculation-sheet'!J55/10^9</f>
        <v>0.6789555563972991</v>
      </c>
      <c r="K66" s="2">
        <f>K11*'Output-Calculation-sheet'!K55/10^9</f>
        <v>0.77310121897619366</v>
      </c>
      <c r="L66" s="2">
        <f>L11*'Output-Calculation-sheet'!L55/10^9</f>
        <v>0.74949560386392289</v>
      </c>
      <c r="M66" s="2">
        <f>M11*'Output-Calculation-sheet'!M55/10^9</f>
        <v>1.2714407328432322</v>
      </c>
      <c r="N66" s="2">
        <f>N11*'Output-Calculation-sheet'!N55/10^9</f>
        <v>1.1056172454559903</v>
      </c>
      <c r="O66" s="2">
        <f>O11*'Output-Calculation-sheet'!O55/10^9</f>
        <v>1.2611260255285626</v>
      </c>
      <c r="P66" s="2">
        <f>P11*'Output-Calculation-sheet'!P55/10^9</f>
        <v>0.80867032467800792</v>
      </c>
      <c r="Q66" s="2">
        <f>Q11*'Output-Calculation-sheet'!Q55/10^9</f>
        <v>0.83178765129719379</v>
      </c>
      <c r="R66" s="2">
        <f>R11*'Output-Calculation-sheet'!R55/10^9</f>
        <v>0.61540880149835042</v>
      </c>
      <c r="S66" s="2">
        <f>S11*'Output-Calculation-sheet'!S55/10^9</f>
        <v>0.63884523271996241</v>
      </c>
      <c r="T66" s="2">
        <f>T11*'Output-Calculation-sheet'!T55/10^9</f>
        <v>0.19282894926393754</v>
      </c>
      <c r="U66" s="2">
        <f>U11*'Output-Calculation-sheet'!U55/10^9</f>
        <v>0.20986581111462543</v>
      </c>
      <c r="V66" s="2">
        <f>V11*'Output-Calculation-sheet'!V55/10^9</f>
        <v>0.18223609985650804</v>
      </c>
      <c r="W66" s="2">
        <f>W11*'Output-Calculation-sheet'!W55/10^9</f>
        <v>8.9279678949486241E-2</v>
      </c>
      <c r="X66" s="2">
        <f>X11*'Output-Calculation-sheet'!X55/10^9</f>
        <v>0.15770034185235748</v>
      </c>
      <c r="Y66" s="2">
        <f>Y11*'Output-Calculation-sheet'!Y55/10^9</f>
        <v>8.5662967444336643E-2</v>
      </c>
      <c r="AA66" s="2">
        <f t="shared" si="4"/>
        <v>35.878887329230061</v>
      </c>
    </row>
    <row r="67" spans="1:27" x14ac:dyDescent="0.25">
      <c r="A67" s="2">
        <v>2035</v>
      </c>
      <c r="B67" s="2">
        <f>B12*'Output-Calculation-sheet'!B56/10^9</f>
        <v>12.074445424665205</v>
      </c>
      <c r="C67" s="2">
        <f>C12*'Output-Calculation-sheet'!C56/10^9</f>
        <v>7.2926744568170205</v>
      </c>
      <c r="D67" s="2">
        <f>D12*'Output-Calculation-sheet'!D56/10^9</f>
        <v>2.3918273545086097</v>
      </c>
      <c r="E67" s="2">
        <f>E12*'Output-Calculation-sheet'!E56/10^9</f>
        <v>3.2752495426898558</v>
      </c>
      <c r="F67" s="2">
        <f>F12*'Output-Calculation-sheet'!F56/10^9</f>
        <v>1.2841437363116215</v>
      </c>
      <c r="G67" s="2">
        <f>G12*'Output-Calculation-sheet'!G56/10^9</f>
        <v>0.94615668738626046</v>
      </c>
      <c r="H67" s="2">
        <f>H12*'Output-Calculation-sheet'!H56/10^9</f>
        <v>2.0148165091172077</v>
      </c>
      <c r="I67" s="2">
        <f>I12*'Output-Calculation-sheet'!I56/10^9</f>
        <v>0.86700083222479007</v>
      </c>
      <c r="J67" s="2">
        <f>J12*'Output-Calculation-sheet'!J56/10^9</f>
        <v>0.7938834455390209</v>
      </c>
      <c r="K67" s="2">
        <f>K12*'Output-Calculation-sheet'!K56/10^9</f>
        <v>0.95095865035125737</v>
      </c>
      <c r="L67" s="2">
        <f>L12*'Output-Calculation-sheet'!L56/10^9</f>
        <v>0.88623855154128472</v>
      </c>
      <c r="M67" s="2">
        <f>M12*'Output-Calculation-sheet'!M56/10^9</f>
        <v>1.4253894784332839</v>
      </c>
      <c r="N67" s="2">
        <f>N12*'Output-Calculation-sheet'!N56/10^9</f>
        <v>1.2174186198335717</v>
      </c>
      <c r="O67" s="2">
        <f>O12*'Output-Calculation-sheet'!O56/10^9</f>
        <v>1.3467288590673749</v>
      </c>
      <c r="P67" s="2">
        <f>P12*'Output-Calculation-sheet'!P56/10^9</f>
        <v>0.98805421831504803</v>
      </c>
      <c r="Q67" s="2">
        <f>Q12*'Output-Calculation-sheet'!Q56/10^9</f>
        <v>0.93335082147011039</v>
      </c>
      <c r="R67" s="2">
        <f>R12*'Output-Calculation-sheet'!R56/10^9</f>
        <v>0.73213619594819024</v>
      </c>
      <c r="S67" s="2">
        <f>S12*'Output-Calculation-sheet'!S56/10^9</f>
        <v>0.70723621792846048</v>
      </c>
      <c r="T67" s="2">
        <f>T12*'Output-Calculation-sheet'!T56/10^9</f>
        <v>0.22783590794111572</v>
      </c>
      <c r="U67" s="2">
        <f>U12*'Output-Calculation-sheet'!U56/10^9</f>
        <v>0.24630464453258311</v>
      </c>
      <c r="V67" s="2">
        <f>V12*'Output-Calculation-sheet'!V56/10^9</f>
        <v>0.17571347739279128</v>
      </c>
      <c r="W67" s="2">
        <f>W12*'Output-Calculation-sheet'!W56/10^9</f>
        <v>0.11927601422291614</v>
      </c>
      <c r="X67" s="2">
        <f>X12*'Output-Calculation-sheet'!X56/10^9</f>
        <v>0.17014111369041038</v>
      </c>
      <c r="Y67" s="2">
        <f>Y12*'Output-Calculation-sheet'!Y56/10^9</f>
        <v>0.11129869019089768</v>
      </c>
      <c r="AA67" s="2">
        <f t="shared" si="4"/>
        <v>41.178279450118893</v>
      </c>
    </row>
    <row r="68" spans="1:27" x14ac:dyDescent="0.25">
      <c r="B68" s="2">
        <f>SUM(B60:B67)</f>
        <v>50.609109559707235</v>
      </c>
      <c r="C68" s="2">
        <f t="shared" ref="C68:Y68" si="5">SUM(C60:C67)</f>
        <v>30.31516274348564</v>
      </c>
      <c r="D68" s="2">
        <f t="shared" si="5"/>
        <v>10.059174363560579</v>
      </c>
      <c r="E68" s="2">
        <f t="shared" si="5"/>
        <v>12.618061298943722</v>
      </c>
      <c r="F68" s="2">
        <f t="shared" si="5"/>
        <v>5.3598086078624902</v>
      </c>
      <c r="G68" s="2">
        <f t="shared" si="5"/>
        <v>3.9577633586309804</v>
      </c>
      <c r="H68" s="2">
        <f t="shared" si="5"/>
        <v>8.1212211983287297</v>
      </c>
      <c r="I68" s="2">
        <f t="shared" si="5"/>
        <v>3.4238612788178986</v>
      </c>
      <c r="J68" s="2">
        <f t="shared" si="5"/>
        <v>3.9488242939154414</v>
      </c>
      <c r="K68" s="2">
        <f t="shared" si="5"/>
        <v>3.6196421970137669</v>
      </c>
      <c r="L68" s="2">
        <f t="shared" si="5"/>
        <v>3.7389156068375358</v>
      </c>
      <c r="M68" s="2">
        <f t="shared" si="5"/>
        <v>5.7919262629805752</v>
      </c>
      <c r="N68" s="2">
        <f t="shared" si="5"/>
        <v>4.8753020531716045</v>
      </c>
      <c r="O68" s="2">
        <f t="shared" si="5"/>
        <v>5.6078219097933042</v>
      </c>
      <c r="P68" s="2">
        <f t="shared" si="5"/>
        <v>3.7994705263667017</v>
      </c>
      <c r="Q68" s="2">
        <f t="shared" si="5"/>
        <v>3.6831567191332781</v>
      </c>
      <c r="R68" s="2">
        <f t="shared" si="5"/>
        <v>2.9687202263500168</v>
      </c>
      <c r="S68" s="2">
        <f t="shared" si="5"/>
        <v>2.8593758563603511</v>
      </c>
      <c r="T68" s="2">
        <f t="shared" si="5"/>
        <v>1.0232449308135747</v>
      </c>
      <c r="U68" s="2">
        <f t="shared" si="5"/>
        <v>0.97545129900018002</v>
      </c>
      <c r="V68" s="2">
        <f t="shared" si="5"/>
        <v>1.0952684603869149</v>
      </c>
      <c r="W68" s="2">
        <f t="shared" si="5"/>
        <v>0.52129993569486388</v>
      </c>
      <c r="X68" s="2">
        <f t="shared" si="5"/>
        <v>0.73149125270404636</v>
      </c>
      <c r="Y68" s="2">
        <f t="shared" si="5"/>
        <v>0.40230357877718231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950.52476487851266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1733.4727437723479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1168.9972654145333</v>
      </c>
      <c r="N74" s="2">
        <f>N8/'Output-Calculation-sheet'!N7*'Output-Calculation-sheet'!N61</f>
        <v>48.462472651218398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10.373404257878107</v>
      </c>
      <c r="Y74" s="2">
        <f>Y8/'Output-Calculation-sheet'!Y7*'Output-Calculation-sheet'!Y61</f>
        <v>0</v>
      </c>
      <c r="AA74" s="2">
        <f t="shared" si="6"/>
        <v>3.9118306509744909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173.06478798066294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3107.764720663095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2111.8930191312902</v>
      </c>
      <c r="N75" s="2">
        <f>N9/'Output-Calculation-sheet'!N8*'Output-Calculation-sheet'!N62</f>
        <v>813.32640172406013</v>
      </c>
      <c r="O75" s="2">
        <f>O9/'Output-Calculation-sheet'!O8*'Output-Calculation-sheet'!O62</f>
        <v>0</v>
      </c>
      <c r="P75" s="2">
        <f>P9/'Output-Calculation-sheet'!P8*'Output-Calculation-sheet'!P62</f>
        <v>64.43595818923707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273.30382792756291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74.173494373845841</v>
      </c>
      <c r="Y75" s="2">
        <f>Y9/'Output-Calculation-sheet'!Y8*'Output-Calculation-sheet'!Y62</f>
        <v>0</v>
      </c>
      <c r="AA75" s="2">
        <f t="shared" si="6"/>
        <v>6.6179622099897522</v>
      </c>
    </row>
    <row r="76" spans="1:27" x14ac:dyDescent="0.25">
      <c r="A76" s="2">
        <v>2033</v>
      </c>
      <c r="B76" s="2">
        <f>B10/'Output-Calculation-sheet'!B9*'Output-Calculation-sheet'!B63</f>
        <v>7062.6470057354491</v>
      </c>
      <c r="C76" s="2">
        <f>C10/'Output-Calculation-sheet'!C9*'Output-Calculation-sheet'!C63</f>
        <v>1424.1286492033864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4604.4911407144873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3142.5876798045615</v>
      </c>
      <c r="N76" s="2">
        <f>N10/'Output-Calculation-sheet'!N9*'Output-Calculation-sheet'!N63</f>
        <v>1789.8675123191042</v>
      </c>
      <c r="O76" s="2">
        <f>O10/'Output-Calculation-sheet'!O9*'Output-Calculation-sheet'!O63</f>
        <v>0</v>
      </c>
      <c r="P76" s="2">
        <f>P10/'Output-Calculation-sheet'!P9*'Output-Calculation-sheet'!P63</f>
        <v>620.6904526857744</v>
      </c>
      <c r="Q76" s="2">
        <f>Q10/'Output-Calculation-sheet'!Q9*'Output-Calculation-sheet'!Q63</f>
        <v>282.14101779989028</v>
      </c>
      <c r="R76" s="2">
        <f>R10/'Output-Calculation-sheet'!R9*'Output-Calculation-sheet'!R63</f>
        <v>471.02032598173048</v>
      </c>
      <c r="S76" s="2">
        <f>S10/'Output-Calculation-sheet'!S9*'Output-Calculation-sheet'!S63</f>
        <v>800.42186140729348</v>
      </c>
      <c r="T76" s="2">
        <f>T10/'Output-Calculation-sheet'!T9*'Output-Calculation-sheet'!T63</f>
        <v>31.034763098657521</v>
      </c>
      <c r="U76" s="2">
        <f>U10/'Output-Calculation-sheet'!U9*'Output-Calculation-sheet'!U63</f>
        <v>167.38546902394197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180.28458394608319</v>
      </c>
      <c r="Y76" s="2">
        <f>Y10/'Output-Calculation-sheet'!Y9*'Output-Calculation-sheet'!Y63</f>
        <v>7.9496801238216195</v>
      </c>
      <c r="AA76" s="2">
        <f t="shared" si="6"/>
        <v>20.71479187096897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2586.6181136748701</v>
      </c>
      <c r="D77" s="2">
        <f>D11/'Output-Calculation-sheet'!D10*'Output-Calculation-sheet'!D64</f>
        <v>2198.1843474029515</v>
      </c>
      <c r="E77" s="2">
        <f>E11/'Output-Calculation-sheet'!E10*'Output-Calculation-sheet'!E64</f>
        <v>2749.3284416232186</v>
      </c>
      <c r="F77" s="2">
        <f>F11/'Output-Calculation-sheet'!F10*'Output-Calculation-sheet'!F64</f>
        <v>195.62151988338758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5812.8068554230458</v>
      </c>
      <c r="I77" s="2">
        <f>I11/'Output-Calculation-sheet'!I10*'Output-Calculation-sheet'!I64</f>
        <v>682.28977145887745</v>
      </c>
      <c r="J77" s="2">
        <f>J11/'Output-Calculation-sheet'!J10*'Output-Calculation-sheet'!J64</f>
        <v>481.08408302423845</v>
      </c>
      <c r="K77" s="2">
        <f>K11/'Output-Calculation-sheet'!K10*'Output-Calculation-sheet'!K64</f>
        <v>1047.2531050682289</v>
      </c>
      <c r="L77" s="2">
        <f>L11/'Output-Calculation-sheet'!L10*'Output-Calculation-sheet'!L64</f>
        <v>428.98081199677665</v>
      </c>
      <c r="M77" s="2">
        <f>M11/'Output-Calculation-sheet'!M10*'Output-Calculation-sheet'!M64</f>
        <v>4108.0444562678476</v>
      </c>
      <c r="N77" s="2">
        <f>N11/'Output-Calculation-sheet'!N10*'Output-Calculation-sheet'!N64</f>
        <v>2847.2698727604766</v>
      </c>
      <c r="O77" s="2">
        <f>O11/'Output-Calculation-sheet'!O10*'Output-Calculation-sheet'!O64</f>
        <v>103.45886675662622</v>
      </c>
      <c r="P77" s="2">
        <f>P11/'Output-Calculation-sheet'!P10*'Output-Calculation-sheet'!P64</f>
        <v>1291.3234095621606</v>
      </c>
      <c r="Q77" s="2">
        <f>Q11/'Output-Calculation-sheet'!Q10*'Output-Calculation-sheet'!Q64</f>
        <v>739.30313595574171</v>
      </c>
      <c r="R77" s="2">
        <f>R11/'Output-Calculation-sheet'!R10*'Output-Calculation-sheet'!R64</f>
        <v>1102.9112359878111</v>
      </c>
      <c r="S77" s="2">
        <f>S11/'Output-Calculation-sheet'!S10*'Output-Calculation-sheet'!S64</f>
        <v>1461.2874053870146</v>
      </c>
      <c r="T77" s="2">
        <f>T11/'Output-Calculation-sheet'!T10*'Output-Calculation-sheet'!T64</f>
        <v>304.97617336400714</v>
      </c>
      <c r="U77" s="2">
        <f>U11/'Output-Calculation-sheet'!U10*'Output-Calculation-sheet'!U64</f>
        <v>404.47893241896674</v>
      </c>
      <c r="V77" s="2">
        <f>V11/'Output-Calculation-sheet'!V10*'Output-Calculation-sheet'!V64</f>
        <v>159.19154305835573</v>
      </c>
      <c r="W77" s="2">
        <f>W11/'Output-Calculation-sheet'!W10*'Output-Calculation-sheet'!W64</f>
        <v>34.684721506538637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48.131227801836111</v>
      </c>
    </row>
    <row r="78" spans="1:27" x14ac:dyDescent="0.25">
      <c r="A78" s="2">
        <v>2035</v>
      </c>
      <c r="B78" s="2">
        <f>B12/'Output-Calculation-sheet'!B11*'Output-Calculation-sheet'!B65</f>
        <v>23398.666141057092</v>
      </c>
      <c r="C78" s="2">
        <f>C12/'Output-Calculation-sheet'!C11*'Output-Calculation-sheet'!C65</f>
        <v>86.045998344745797</v>
      </c>
      <c r="D78" s="2">
        <f>D12/'Output-Calculation-sheet'!D11*'Output-Calculation-sheet'!D65</f>
        <v>2444.3530885247055</v>
      </c>
      <c r="E78" s="2">
        <f>E12/'Output-Calculation-sheet'!E11*'Output-Calculation-sheet'!E65</f>
        <v>4644.6586361943519</v>
      </c>
      <c r="F78" s="2">
        <f>F12/'Output-Calculation-sheet'!F11*'Output-Calculation-sheet'!F65</f>
        <v>992.95948188564967</v>
      </c>
      <c r="G78" s="2">
        <f>G12/'Output-Calculation-sheet'!G11*'Output-Calculation-sheet'!G65</f>
        <v>1892.7527657864255</v>
      </c>
      <c r="H78" s="2">
        <f>H12/'Output-Calculation-sheet'!H11*'Output-Calculation-sheet'!H65</f>
        <v>6059.3298721739648</v>
      </c>
      <c r="I78" s="2">
        <f>I12/'Output-Calculation-sheet'!I11*'Output-Calculation-sheet'!I65</f>
        <v>1095.753195965448</v>
      </c>
      <c r="J78" s="2">
        <f>J12/'Output-Calculation-sheet'!J11*'Output-Calculation-sheet'!J65</f>
        <v>1003.8174896558496</v>
      </c>
      <c r="K78" s="2">
        <f>K12/'Output-Calculation-sheet'!K11*'Output-Calculation-sheet'!K65</f>
        <v>1247.8895547131465</v>
      </c>
      <c r="L78" s="2">
        <f>L12/'Output-Calculation-sheet'!L11*'Output-Calculation-sheet'!L65</f>
        <v>730.68510166247302</v>
      </c>
      <c r="M78" s="2">
        <f>M12/'Output-Calculation-sheet'!M11*'Output-Calculation-sheet'!M65</f>
        <v>4243.6799326550181</v>
      </c>
      <c r="N78" s="2">
        <f>N12/'Output-Calculation-sheet'!N11*'Output-Calculation-sheet'!N65</f>
        <v>2987.3959612270655</v>
      </c>
      <c r="O78" s="2">
        <f>O12/'Output-Calculation-sheet'!O11*'Output-Calculation-sheet'!O65</f>
        <v>441.36535442256439</v>
      </c>
      <c r="P78" s="2">
        <f>P12/'Output-Calculation-sheet'!P11*'Output-Calculation-sheet'!P65</f>
        <v>1713.0458020817628</v>
      </c>
      <c r="Q78" s="2">
        <f>Q12/'Output-Calculation-sheet'!Q11*'Output-Calculation-sheet'!Q65</f>
        <v>835.32721395926512</v>
      </c>
      <c r="R78" s="2">
        <f>R12/'Output-Calculation-sheet'!R11*'Output-Calculation-sheet'!R65</f>
        <v>1431.3998176296627</v>
      </c>
      <c r="S78" s="2">
        <f>S12/'Output-Calculation-sheet'!S11*'Output-Calculation-sheet'!S65</f>
        <v>1610.2991339291295</v>
      </c>
      <c r="T78" s="2">
        <f>T12/'Output-Calculation-sheet'!T11*'Output-Calculation-sheet'!T65</f>
        <v>507.1006248201557</v>
      </c>
      <c r="U78" s="2">
        <f>U12/'Output-Calculation-sheet'!U11*'Output-Calculation-sheet'!U65</f>
        <v>437.83062008181832</v>
      </c>
      <c r="V78" s="2">
        <f>V12/'Output-Calculation-sheet'!V11*'Output-Calculation-sheet'!V65</f>
        <v>276.53372925804115</v>
      </c>
      <c r="W78" s="2">
        <f>W12/'Output-Calculation-sheet'!W11*'Output-Calculation-sheet'!W65</f>
        <v>197.83708417009944</v>
      </c>
      <c r="X78" s="2">
        <f>X12/'Output-Calculation-sheet'!X11*'Output-Calculation-sheet'!X65</f>
        <v>36.276966740617873</v>
      </c>
      <c r="Y78" s="2">
        <f>Y12/'Output-Calculation-sheet'!Y11*'Output-Calculation-sheet'!Y65</f>
        <v>189.43798249584859</v>
      </c>
      <c r="AA78" s="2">
        <f t="shared" si="6"/>
        <v>58.504441549434894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31.256018192869586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3.1256018192869585E-2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369.50781051502264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0.36950781051502263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500.55075857052486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0.50055075857052489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33.690143721364883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7.2444054965676692</v>
      </c>
      <c r="N88" s="2">
        <f>N11/'Output-Calculation-sheet'!N10*'Output-Calculation-sheet'!N73</f>
        <v>7.1200757421243388</v>
      </c>
      <c r="O88" s="2">
        <f>O11/'Output-Calculation-sheet'!O10*'Output-Calculation-sheet'!O73</f>
        <v>612.60725161909556</v>
      </c>
      <c r="P88" s="2">
        <f>P11/'Output-Calculation-sheet'!P10*'Output-Calculation-sheet'!P73</f>
        <v>0</v>
      </c>
      <c r="Q88" s="2">
        <f>Q11/'Output-Calculation-sheet'!Q10*'Output-Calculation-sheet'!Q73</f>
        <v>26.200761205005076</v>
      </c>
      <c r="R88" s="2">
        <f>R11/'Output-Calculation-sheet'!R10*'Output-Calculation-sheet'!R73</f>
        <v>0</v>
      </c>
      <c r="S88" s="2">
        <f>S11/'Output-Calculation-sheet'!S10*'Output-Calculation-sheet'!S73</f>
        <v>0.81629464249975825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0.68767893242665734</v>
      </c>
    </row>
    <row r="89" spans="1:27" x14ac:dyDescent="0.25">
      <c r="A89" s="2">
        <v>2035</v>
      </c>
      <c r="B89" s="2">
        <f>B12/'Output-Calculation-sheet'!B11*'Output-Calculation-sheet'!B74</f>
        <v>456.69530590241493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154.84701807499908</v>
      </c>
      <c r="E89" s="2">
        <f>E12/'Output-Calculation-sheet'!E11*'Output-Calculation-sheet'!E74</f>
        <v>167.36462015688255</v>
      </c>
      <c r="F89" s="2">
        <f>F12/'Output-Calculation-sheet'!F11*'Output-Calculation-sheet'!F74</f>
        <v>65.014043206026955</v>
      </c>
      <c r="G89" s="2">
        <f>G12/'Output-Calculation-sheet'!G11*'Output-Calculation-sheet'!G74</f>
        <v>57.769011056228265</v>
      </c>
      <c r="H89" s="2">
        <f>H12/'Output-Calculation-sheet'!H11*'Output-Calculation-sheet'!H74</f>
        <v>221.69881207401374</v>
      </c>
      <c r="I89" s="2">
        <f>I12/'Output-Calculation-sheet'!I11*'Output-Calculation-sheet'!I74</f>
        <v>53.958103911835252</v>
      </c>
      <c r="J89" s="2">
        <f>J12/'Output-Calculation-sheet'!J11*'Output-Calculation-sheet'!J74</f>
        <v>31.6448290673355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42.168785764731922</v>
      </c>
      <c r="M89" s="2">
        <f>M12/'Output-Calculation-sheet'!M11*'Output-Calculation-sheet'!M74</f>
        <v>128.85321528808089</v>
      </c>
      <c r="N89" s="2">
        <f>N12/'Output-Calculation-sheet'!N11*'Output-Calculation-sheet'!N74</f>
        <v>96.073100174336702</v>
      </c>
      <c r="O89" s="2">
        <f>O12/'Output-Calculation-sheet'!O11*'Output-Calculation-sheet'!O74</f>
        <v>691.42049809824414</v>
      </c>
      <c r="P89" s="2">
        <f>P12/'Output-Calculation-sheet'!P11*'Output-Calculation-sheet'!P74</f>
        <v>52.445940904957183</v>
      </c>
      <c r="Q89" s="2">
        <f>Q12/'Output-Calculation-sheet'!Q11*'Output-Calculation-sheet'!Q74</f>
        <v>80.348620355001174</v>
      </c>
      <c r="R89" s="2">
        <f>R12/'Output-Calculation-sheet'!R11*'Output-Calculation-sheet'!R74</f>
        <v>31.619365386613012</v>
      </c>
      <c r="S89" s="2">
        <f>S12/'Output-Calculation-sheet'!S11*'Output-Calculation-sheet'!S74</f>
        <v>42.555959075097036</v>
      </c>
      <c r="T89" s="2">
        <f>T12/'Output-Calculation-sheet'!T11*'Output-Calculation-sheet'!T74</f>
        <v>7.4867034011258191</v>
      </c>
      <c r="U89" s="2">
        <f>U12/'Output-Calculation-sheet'!U11*'Output-Calculation-sheet'!U74</f>
        <v>13.835323727745966</v>
      </c>
      <c r="V89" s="2">
        <f>V12/'Output-Calculation-sheet'!V11*'Output-Calculation-sheet'!V74</f>
        <v>1.8826311588493259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0.64990646943218666</v>
      </c>
      <c r="Y89" s="2">
        <f>Y12/'Output-Calculation-sheet'!Y11*'Output-Calculation-sheet'!Y74</f>
        <v>6.1149287018898253</v>
      </c>
      <c r="AA89" s="2">
        <f t="shared" si="7"/>
        <v>2.47918262031807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14151182111.056194</v>
      </c>
      <c r="C96" s="2">
        <f>C8/'Output-Calculation-sheet'!C7*'Output-Calculation-sheet'!C79</f>
        <v>4787418479.5185604</v>
      </c>
      <c r="D96" s="2">
        <f>D8/'Output-Calculation-sheet'!D7*'Output-Calculation-sheet'!D79</f>
        <v>4997724191.5866289</v>
      </c>
      <c r="E96" s="2">
        <f>E8/'Output-Calculation-sheet'!E7*'Output-Calculation-sheet'!E79</f>
        <v>8885541861.5059624</v>
      </c>
      <c r="F96" s="2">
        <f>F8/'Output-Calculation-sheet'!F7*'Output-Calculation-sheet'!F79</f>
        <v>3677637384.1198893</v>
      </c>
      <c r="G96" s="2">
        <f>G8/'Output-Calculation-sheet'!G7*'Output-Calculation-sheet'!G79</f>
        <v>2864583370.7153583</v>
      </c>
      <c r="H96" s="2">
        <f>H8/'Output-Calculation-sheet'!H7*'Output-Calculation-sheet'!H79</f>
        <v>2451925088.3424778</v>
      </c>
      <c r="I96" s="2">
        <f>I8/'Output-Calculation-sheet'!I7*'Output-Calculation-sheet'!I79</f>
        <v>1995481914.8955114</v>
      </c>
      <c r="J96" s="2">
        <f>J8/'Output-Calculation-sheet'!J7*'Output-Calculation-sheet'!J79</f>
        <v>1349392616.3345456</v>
      </c>
      <c r="K96" s="2">
        <f>K8/'Output-Calculation-sheet'!K7*'Output-Calculation-sheet'!K79</f>
        <v>1930581160.0598557</v>
      </c>
      <c r="L96" s="2">
        <f>L8/'Output-Calculation-sheet'!L7*'Output-Calculation-sheet'!L79</f>
        <v>1362219666.5754061</v>
      </c>
      <c r="M96" s="2">
        <f>M8/'Output-Calculation-sheet'!M7*'Output-Calculation-sheet'!M79</f>
        <v>1830312511.7610514</v>
      </c>
      <c r="N96" s="2">
        <f>N8/'Output-Calculation-sheet'!N7*'Output-Calculation-sheet'!N79</f>
        <v>1361896298.447665</v>
      </c>
      <c r="O96" s="2">
        <f>O8/'Output-Calculation-sheet'!O7*'Output-Calculation-sheet'!O79</f>
        <v>688484022.55215931</v>
      </c>
      <c r="P96" s="2">
        <f>P8/'Output-Calculation-sheet'!P7*'Output-Calculation-sheet'!P79</f>
        <v>2302849598.0978856</v>
      </c>
      <c r="Q96" s="2">
        <f>Q8/'Output-Calculation-sheet'!Q7*'Output-Calculation-sheet'!Q79</f>
        <v>1073224608.9623525</v>
      </c>
      <c r="R96" s="2">
        <f>R8/'Output-Calculation-sheet'!R7*'Output-Calculation-sheet'!R79</f>
        <v>1338977557.6691365</v>
      </c>
      <c r="S96" s="2">
        <f>S8/'Output-Calculation-sheet'!S7*'Output-Calculation-sheet'!S79</f>
        <v>780198935.30752051</v>
      </c>
      <c r="T96" s="2">
        <f>T8/'Output-Calculation-sheet'!T7*'Output-Calculation-sheet'!T79</f>
        <v>595889599.40137196</v>
      </c>
      <c r="U96" s="2">
        <f>U8/'Output-Calculation-sheet'!U7*'Output-Calculation-sheet'!U79</f>
        <v>374323256.68365175</v>
      </c>
      <c r="V96" s="2">
        <f>V8/'Output-Calculation-sheet'!V7*'Output-Calculation-sheet'!V79</f>
        <v>194217552.92361641</v>
      </c>
      <c r="W96" s="2">
        <f>W8/'Output-Calculation-sheet'!W7*'Output-Calculation-sheet'!W79</f>
        <v>573901845.34709203</v>
      </c>
      <c r="X96" s="2">
        <f>X8/'Output-Calculation-sheet'!X7*'Output-Calculation-sheet'!X79</f>
        <v>201709139.78179845</v>
      </c>
      <c r="Y96" s="2">
        <f>Y8/'Output-Calculation-sheet'!Y7*'Output-Calculation-sheet'!Y79</f>
        <v>315470343.7597667</v>
      </c>
      <c r="AA96" s="2">
        <f t="shared" si="8"/>
        <v>60.085143115405451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1651.7807920479684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320.89512011346108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38.382168994335274</v>
      </c>
      <c r="Y107" s="2">
        <f>Y8/'Output-Calculation-sheet'!Y7*'Output-Calculation-sheet'!Y88</f>
        <v>0</v>
      </c>
      <c r="AA107" s="2">
        <f t="shared" si="9"/>
        <v>2.0110580811557646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3264.9161989981912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3.3191064427752548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4.5903417333464551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5.8915824524777403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175.14979351197431</v>
      </c>
      <c r="Y111" s="2">
        <f>Y12/'Output-Calculation-sheet'!Y11*'Output-Calculation-sheet'!Y92</f>
        <v>0</v>
      </c>
      <c r="AA111" s="2">
        <f t="shared" si="9"/>
        <v>8.2511393992475028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1655757831.7853763</v>
      </c>
      <c r="C118" s="2">
        <f>C8/'Output-Calculation-sheet'!C7*'Output-Calculation-sheet'!C97</f>
        <v>13671205056.994238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8507953622.5967646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5869767345.6173868</v>
      </c>
      <c r="N118" s="2">
        <f>N8/'Output-Calculation-sheet'!N7*'Output-Calculation-sheet'!N97</f>
        <v>1964707963.2396812</v>
      </c>
      <c r="O118" s="2">
        <f>O8/'Output-Calculation-sheet'!O7*'Output-Calculation-sheet'!O97</f>
        <v>2313118296.2396832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588851585.79843295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319611187.41676122</v>
      </c>
      <c r="Y118" s="2">
        <f>Y8/'Output-Calculation-sheet'!Y7*'Output-Calculation-sheet'!Y97</f>
        <v>0</v>
      </c>
      <c r="AA118" s="2">
        <f t="shared" si="10"/>
        <v>34890.972889688324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11331942620.31251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3892205552.8691196</v>
      </c>
      <c r="O119" s="2">
        <f>O9/'Output-Calculation-sheet'!O8*'Output-Calculation-sheet'!O98</f>
        <v>4203547918.2776299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1166897367.9325964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455842841.25134319</v>
      </c>
      <c r="Y119" s="2">
        <f>Y9/'Output-Calculation-sheet'!Y8*'Output-Calculation-sheet'!Y98</f>
        <v>0</v>
      </c>
      <c r="AA119" s="2">
        <f t="shared" si="10"/>
        <v>49030.214736214104</v>
      </c>
    </row>
    <row r="120" spans="1:27" x14ac:dyDescent="0.25">
      <c r="A120" s="2">
        <v>2033</v>
      </c>
      <c r="B120" s="2">
        <f>B10/'Output-Calculation-sheet'!B9*'Output-Calculation-sheet'!B99</f>
        <v>21002128296.234375</v>
      </c>
      <c r="C120" s="2">
        <f>C10/'Output-Calculation-sheet'!C9*'Output-Calculation-sheet'!C99</f>
        <v>12154678895.258217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6300944856.8838711</v>
      </c>
      <c r="O120" s="2">
        <f>O10/'Output-Calculation-sheet'!O9*'Output-Calculation-sheet'!O99</f>
        <v>4912994625.7075186</v>
      </c>
      <c r="P120" s="2">
        <f>P10/'Output-Calculation-sheet'!P9*'Output-Calculation-sheet'!P99</f>
        <v>0</v>
      </c>
      <c r="Q120" s="2">
        <f>Q10/'Output-Calculation-sheet'!Q9*'Output-Calculation-sheet'!Q99</f>
        <v>206594956.62256077</v>
      </c>
      <c r="R120" s="2">
        <f>R10/'Output-Calculation-sheet'!R9*'Output-Calculation-sheet'!R99</f>
        <v>0</v>
      </c>
      <c r="S120" s="2">
        <f>S10/'Output-Calculation-sheet'!S9*'Output-Calculation-sheet'!S99</f>
        <v>2538064360.9564242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690477686.05379522</v>
      </c>
      <c r="Y120" s="2">
        <f>Y10/'Output-Calculation-sheet'!Y9*'Output-Calculation-sheet'!Y99</f>
        <v>0</v>
      </c>
      <c r="AA120" s="2">
        <f t="shared" si="10"/>
        <v>74104.654462692721</v>
      </c>
    </row>
    <row r="121" spans="1:27" x14ac:dyDescent="0.25">
      <c r="A121" s="2">
        <v>2034</v>
      </c>
      <c r="B121" s="2">
        <f>B11/'Output-Calculation-sheet'!B10*'Output-Calculation-sheet'!B100</f>
        <v>50694706592.156548</v>
      </c>
      <c r="C121" s="2">
        <f>C11/'Output-Calculation-sheet'!C10*'Output-Calculation-sheet'!C100</f>
        <v>12596831855.251068</v>
      </c>
      <c r="D121" s="2">
        <f>D11/'Output-Calculation-sheet'!D10*'Output-Calculation-sheet'!D100</f>
        <v>0</v>
      </c>
      <c r="E121" s="2">
        <f>E11/'Output-Calculation-sheet'!E10*'Output-Calculation-sheet'!E100</f>
        <v>1048600386.8603711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18601981271.241882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861891895.67584538</v>
      </c>
      <c r="M121" s="2">
        <f>M11/'Output-Calculation-sheet'!M10*'Output-Calculation-sheet'!M100</f>
        <v>13018793616.34502</v>
      </c>
      <c r="N121" s="2">
        <f>N11/'Output-Calculation-sheet'!N10*'Output-Calculation-sheet'!N100</f>
        <v>8840936816.3444099</v>
      </c>
      <c r="O121" s="2">
        <f>O11/'Output-Calculation-sheet'!O10*'Output-Calculation-sheet'!O100</f>
        <v>5605542393.5625048</v>
      </c>
      <c r="P121" s="2">
        <f>P11/'Output-Calculation-sheet'!P10*'Output-Calculation-sheet'!P100</f>
        <v>0</v>
      </c>
      <c r="Q121" s="2">
        <f>Q11/'Output-Calculation-sheet'!Q10*'Output-Calculation-sheet'!Q100</f>
        <v>1139086702.2091343</v>
      </c>
      <c r="R121" s="2">
        <f>R11/'Output-Calculation-sheet'!R10*'Output-Calculation-sheet'!R100</f>
        <v>0</v>
      </c>
      <c r="S121" s="2">
        <f>S11/'Output-Calculation-sheet'!S10*'Output-Calculation-sheet'!S100</f>
        <v>4395776852.7629709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57517066.907671459</v>
      </c>
      <c r="AA121" s="2">
        <f t="shared" si="10"/>
        <v>117489.36114247276</v>
      </c>
    </row>
    <row r="122" spans="1:27" x14ac:dyDescent="0.25">
      <c r="A122" s="2">
        <v>2035</v>
      </c>
      <c r="B122" s="2">
        <f>B12/'Output-Calculation-sheet'!B11*'Output-Calculation-sheet'!B101</f>
        <v>65497355062.874168</v>
      </c>
      <c r="C122" s="2">
        <f>C12/'Output-Calculation-sheet'!C11*'Output-Calculation-sheet'!C101</f>
        <v>384931800.98615241</v>
      </c>
      <c r="D122" s="2">
        <f>D12/'Output-Calculation-sheet'!D11*'Output-Calculation-sheet'!D101</f>
        <v>0</v>
      </c>
      <c r="E122" s="2">
        <f>E12/'Output-Calculation-sheet'!E11*'Output-Calculation-sheet'!E101</f>
        <v>5239885985.2934761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20085632559.870987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1346416843.8847828</v>
      </c>
      <c r="M122" s="2">
        <f>M12/'Output-Calculation-sheet'!M11*'Output-Calculation-sheet'!M101</f>
        <v>14089685872.819859</v>
      </c>
      <c r="N122" s="2">
        <f>N12/'Output-Calculation-sheet'!N11*'Output-Calculation-sheet'!N101</f>
        <v>9480585231.3446217</v>
      </c>
      <c r="O122" s="2">
        <f>O12/'Output-Calculation-sheet'!O11*'Output-Calculation-sheet'!O101</f>
        <v>6427276509.9641771</v>
      </c>
      <c r="P122" s="2">
        <f>P12/'Output-Calculation-sheet'!P11*'Output-Calculation-sheet'!P101</f>
        <v>402981431.19007897</v>
      </c>
      <c r="Q122" s="2">
        <f>Q12/'Output-Calculation-sheet'!Q11*'Output-Calculation-sheet'!Q101</f>
        <v>1515109701.9106581</v>
      </c>
      <c r="R122" s="2">
        <f>R12/'Output-Calculation-sheet'!R11*'Output-Calculation-sheet'!R101</f>
        <v>0</v>
      </c>
      <c r="S122" s="2">
        <f>S12/'Output-Calculation-sheet'!S11*'Output-Calculation-sheet'!S101</f>
        <v>4979570399.7538052</v>
      </c>
      <c r="T122" s="2">
        <f>T12/'Output-Calculation-sheet'!T11*'Output-Calculation-sheet'!T101</f>
        <v>0</v>
      </c>
      <c r="U122" s="2">
        <f>U12/'Output-Calculation-sheet'!U11*'Output-Calculation-sheet'!U101</f>
        <v>73564817.096013352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172545618.28895953</v>
      </c>
      <c r="Y122" s="2">
        <f>Y12/'Output-Calculation-sheet'!Y11*'Output-Calculation-sheet'!Y101</f>
        <v>267235554.88825098</v>
      </c>
      <c r="AA122" s="2">
        <f t="shared" si="10"/>
        <v>129962.77739016595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56221714976.371307</v>
      </c>
      <c r="C129" s="2">
        <f>C8/'Output-Calculation-sheet'!C7*'Output-Calculation-sheet'!C106</f>
        <v>0</v>
      </c>
      <c r="D129" s="2">
        <f>D8/'Output-Calculation-sheet'!D7*'Output-Calculation-sheet'!D106</f>
        <v>24309129538.074646</v>
      </c>
      <c r="E129" s="2">
        <f>E8/'Output-Calculation-sheet'!E7*'Output-Calculation-sheet'!E106</f>
        <v>19286850052.58543</v>
      </c>
      <c r="F129" s="2">
        <f>F8/'Output-Calculation-sheet'!F7*'Output-Calculation-sheet'!F106</f>
        <v>12415633067.09267</v>
      </c>
      <c r="G129" s="2">
        <f>G8/'Output-Calculation-sheet'!G7*'Output-Calculation-sheet'!G106</f>
        <v>8723584694.6411495</v>
      </c>
      <c r="H129" s="2">
        <f>H8/'Output-Calculation-sheet'!H7*'Output-Calculation-sheet'!H106</f>
        <v>0</v>
      </c>
      <c r="I129" s="2">
        <f>I8/'Output-Calculation-sheet'!I7*'Output-Calculation-sheet'!I106</f>
        <v>7947853880.2371912</v>
      </c>
      <c r="J129" s="2">
        <f>J8/'Output-Calculation-sheet'!J7*'Output-Calculation-sheet'!J106</f>
        <v>7735869080.6892719</v>
      </c>
      <c r="K129" s="2">
        <f>K8/'Output-Calculation-sheet'!K7*'Output-Calculation-sheet'!K106</f>
        <v>7661717351.1768064</v>
      </c>
      <c r="L129" s="2">
        <f>L8/'Output-Calculation-sheet'!L7*'Output-Calculation-sheet'!L106</f>
        <v>6146343827.4444532</v>
      </c>
      <c r="M129" s="2">
        <f>M8/'Output-Calculation-sheet'!M7*'Output-Calculation-sheet'!M106</f>
        <v>0</v>
      </c>
      <c r="N129" s="2">
        <f>N8/'Output-Calculation-sheet'!N7*'Output-Calculation-sheet'!N106</f>
        <v>3797441740.1803188</v>
      </c>
      <c r="O129" s="2">
        <f>O8/'Output-Calculation-sheet'!O7*'Output-Calculation-sheet'!O106</f>
        <v>0</v>
      </c>
      <c r="P129" s="2">
        <f>P8/'Output-Calculation-sheet'!P7*'Output-Calculation-sheet'!P106</f>
        <v>5245614345.2758474</v>
      </c>
      <c r="Q129" s="2">
        <f>Q8/'Output-Calculation-sheet'!Q7*'Output-Calculation-sheet'!Q106</f>
        <v>5160827131.7461958</v>
      </c>
      <c r="R129" s="2">
        <f>R8/'Output-Calculation-sheet'!R7*'Output-Calculation-sheet'!R106</f>
        <v>4964963155.1986809</v>
      </c>
      <c r="S129" s="2">
        <f>S8/'Output-Calculation-sheet'!S7*'Output-Calculation-sheet'!S106</f>
        <v>2711109796.5388594</v>
      </c>
      <c r="T129" s="2">
        <f>T8/'Output-Calculation-sheet'!T7*'Output-Calculation-sheet'!T106</f>
        <v>1825065255.3667409</v>
      </c>
      <c r="U129" s="2">
        <f>U8/'Output-Calculation-sheet'!U7*'Output-Calculation-sheet'!U106</f>
        <v>1589572292.1913464</v>
      </c>
      <c r="V129" s="2">
        <f>V8/'Output-Calculation-sheet'!V7*'Output-Calculation-sheet'!V106</f>
        <v>1223997160.9380934</v>
      </c>
      <c r="W129" s="2">
        <f>W8/'Output-Calculation-sheet'!W7*'Output-Calculation-sheet'!W106</f>
        <v>1059718611.5796347</v>
      </c>
      <c r="X129" s="2">
        <f>X8/'Output-Calculation-sheet'!X7*'Output-Calculation-sheet'!X106</f>
        <v>0</v>
      </c>
      <c r="Y129" s="2">
        <f>Y8/'Output-Calculation-sheet'!Y7*'Output-Calculation-sheet'!Y106</f>
        <v>618336545.27020097</v>
      </c>
      <c r="AA129" s="2">
        <f t="shared" si="11"/>
        <v>178645.3425025988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4.0375576632659854E-8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4242464519.1586604</v>
      </c>
      <c r="O130" s="2">
        <f>O9/'Output-Calculation-sheet'!O8*'Output-Calculation-sheet'!O107</f>
        <v>0</v>
      </c>
      <c r="P130" s="2">
        <f>P9/'Output-Calculation-sheet'!P8*'Output-Calculation-sheet'!P107</f>
        <v>7406014673.5269156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3491936712.205863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245424.69360002389</v>
      </c>
    </row>
    <row r="131" spans="1:27" x14ac:dyDescent="0.25">
      <c r="A131" s="2">
        <v>2033</v>
      </c>
      <c r="B131" s="2">
        <f>B10/'Output-Calculation-sheet'!B9*'Output-Calculation-sheet'!B108</f>
        <v>84853502251.50795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4236940674.555994</v>
      </c>
      <c r="O131" s="2">
        <f>O10/'Output-Calculation-sheet'!O9*'Output-Calculation-sheet'!O108</f>
        <v>0</v>
      </c>
      <c r="P131" s="2">
        <f>P10/'Output-Calculation-sheet'!P9*'Output-Calculation-sheet'!P108</f>
        <v>9594040807.6262112</v>
      </c>
      <c r="Q131" s="2">
        <f>Q10/'Output-Calculation-sheet'!Q9*'Output-Calculation-sheet'!Q108</f>
        <v>9232835731.4862728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3497073005.7365861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304397.43349507742</v>
      </c>
    </row>
    <row r="132" spans="1:27" x14ac:dyDescent="0.25">
      <c r="A132" s="2">
        <v>2034</v>
      </c>
      <c r="B132" s="2">
        <f>B11/'Output-Calculation-sheet'!B10*'Output-Calculation-sheet'!B109</f>
        <v>78475237358.233978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41999075913.032898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17266525775.931847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12856756857.758266</v>
      </c>
      <c r="M132" s="2">
        <f>M11/'Output-Calculation-sheet'!M10*'Output-Calculation-sheet'!M109</f>
        <v>0</v>
      </c>
      <c r="N132" s="2">
        <f>N11/'Output-Calculation-sheet'!N10*'Output-Calculation-sheet'!N109</f>
        <v>3908753548.6387477</v>
      </c>
      <c r="O132" s="2">
        <f>O11/'Output-Calculation-sheet'!O10*'Output-Calculation-sheet'!O109</f>
        <v>0</v>
      </c>
      <c r="P132" s="2">
        <f>P11/'Output-Calculation-sheet'!P10*'Output-Calculation-sheet'!P109</f>
        <v>11707378680.167419</v>
      </c>
      <c r="Q132" s="2">
        <f>Q11/'Output-Calculation-sheet'!Q10*'Output-Calculation-sheet'!Q109</f>
        <v>9796964924.3248844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2954490298.7064848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1322627151.7585697</v>
      </c>
      <c r="AA132" s="2">
        <f t="shared" si="11"/>
        <v>340373.48735213676</v>
      </c>
    </row>
    <row r="133" spans="1:27" x14ac:dyDescent="0.25">
      <c r="A133" s="2">
        <v>2035</v>
      </c>
      <c r="B133" s="2">
        <f>B12/'Output-Calculation-sheet'!B11*'Output-Calculation-sheet'!B110</f>
        <v>76361119874.934326</v>
      </c>
      <c r="C133" s="2">
        <f>C12/'Output-Calculation-sheet'!C11*'Output-Calculation-sheet'!C110</f>
        <v>0</v>
      </c>
      <c r="D133" s="2">
        <f>D12/'Output-Calculation-sheet'!D11*'Output-Calculation-sheet'!D110</f>
        <v>57349872492.181984</v>
      </c>
      <c r="E133" s="2">
        <f>E12/'Output-Calculation-sheet'!E11*'Output-Calculation-sheet'!E110</f>
        <v>43458118781.933395</v>
      </c>
      <c r="F133" s="2">
        <f>F12/'Output-Calculation-sheet'!F11*'Output-Calculation-sheet'!F110</f>
        <v>30927115339.063816</v>
      </c>
      <c r="G133" s="2">
        <f>G12/'Output-Calculation-sheet'!G11*'Output-Calculation-sheet'!G110</f>
        <v>21436084750.199829</v>
      </c>
      <c r="H133" s="2">
        <f>H12/'Output-Calculation-sheet'!H11*'Output-Calculation-sheet'!H110</f>
        <v>0</v>
      </c>
      <c r="I133" s="2">
        <f>I12/'Output-Calculation-sheet'!I11*'Output-Calculation-sheet'!I110</f>
        <v>19349767758.649555</v>
      </c>
      <c r="J133" s="2">
        <f>J12/'Output-Calculation-sheet'!J11*'Output-Calculation-sheet'!J110</f>
        <v>18637787730.526821</v>
      </c>
      <c r="K133" s="2">
        <f>K12/'Output-Calculation-sheet'!K11*'Output-Calculation-sheet'!K110</f>
        <v>18436025276.800877</v>
      </c>
      <c r="L133" s="2">
        <f>L12/'Output-Calculation-sheet'!L11*'Output-Calculation-sheet'!L110</f>
        <v>13555954267.388847</v>
      </c>
      <c r="M133" s="2">
        <f>M12/'Output-Calculation-sheet'!M11*'Output-Calculation-sheet'!M110</f>
        <v>0</v>
      </c>
      <c r="N133" s="2">
        <f>N12/'Output-Calculation-sheet'!N11*'Output-Calculation-sheet'!N110</f>
        <v>4152422043.5320606</v>
      </c>
      <c r="O133" s="2">
        <f>O12/'Output-Calculation-sheet'!O11*'Output-Calculation-sheet'!O110</f>
        <v>0</v>
      </c>
      <c r="P133" s="2">
        <f>P12/'Output-Calculation-sheet'!P11*'Output-Calculation-sheet'!P110</f>
        <v>12737116686.685701</v>
      </c>
      <c r="Q133" s="2">
        <f>Q12/'Output-Calculation-sheet'!Q11*'Output-Calculation-sheet'!Q110</f>
        <v>10162911825.476366</v>
      </c>
      <c r="R133" s="2">
        <f>R12/'Output-Calculation-sheet'!R11*'Output-Calculation-sheet'!R110</f>
        <v>12262785440.161654</v>
      </c>
      <c r="S133" s="2">
        <f>S12/'Output-Calculation-sheet'!S11*'Output-Calculation-sheet'!S110</f>
        <v>2896382773.1376371</v>
      </c>
      <c r="T133" s="2">
        <f>T12/'Output-Calculation-sheet'!T11*'Output-Calculation-sheet'!T110</f>
        <v>4604786767.3032484</v>
      </c>
      <c r="U133" s="2">
        <f>U12/'Output-Calculation-sheet'!U11*'Output-Calculation-sheet'!U110</f>
        <v>3738411491.5352068</v>
      </c>
      <c r="V133" s="2">
        <f>V12/'Output-Calculation-sheet'!V11*'Output-Calculation-sheet'!V110</f>
        <v>3100078839.5514755</v>
      </c>
      <c r="W133" s="2">
        <f>W12/'Output-Calculation-sheet'!W11*'Output-Calculation-sheet'!W110</f>
        <v>2722103425.5692077</v>
      </c>
      <c r="X133" s="2">
        <f>X12/'Output-Calculation-sheet'!X11*'Output-Calculation-sheet'!X110</f>
        <v>1482054.208426947</v>
      </c>
      <c r="Y133" s="2">
        <f>Y12/'Output-Calculation-sheet'!Y11*'Output-Calculation-sheet'!Y110</f>
        <v>1295738653.384352</v>
      </c>
      <c r="AA133" s="2">
        <f t="shared" si="11"/>
        <v>357186.06627222477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13602758049.692587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2694116655.6034865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316207262.26714993</v>
      </c>
      <c r="Y140" s="2">
        <f>Y8/'Output-Calculation-sheet'!Y7*'Output-Calculation-sheet'!Y115</f>
        <v>0</v>
      </c>
      <c r="AA140" s="2">
        <f t="shared" si="12"/>
        <v>16613.081967563226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27176132689.526196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441789410.86257136</v>
      </c>
      <c r="Y141" s="2">
        <f>Y9/'Output-Calculation-sheet'!Y8*'Output-Calculation-sheet'!Y116</f>
        <v>0</v>
      </c>
      <c r="AA141" s="2">
        <f t="shared" si="12"/>
        <v>27617.922100388769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37731637067.971581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472349940.6892215</v>
      </c>
      <c r="Y142" s="2">
        <f>Y10/'Output-Calculation-sheet'!Y9*'Output-Calculation-sheet'!Y117</f>
        <v>0</v>
      </c>
      <c r="AA142" s="2">
        <f t="shared" si="12"/>
        <v>38203.987008660806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48279997164.483437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49071.374855654816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70663161000.487656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1475885762.0395586</v>
      </c>
      <c r="Y144" s="2">
        <f>Y12/'Output-Calculation-sheet'!Y11*'Output-Calculation-sheet'!Y119</f>
        <v>0</v>
      </c>
      <c r="AA144" s="2">
        <f t="shared" si="12"/>
        <v>72139.046762527229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57877473938.089912</v>
      </c>
      <c r="C151" s="2">
        <f>C8/'Output-Calculation-sheet'!C7*'Output-Calculation-sheet'!C124</f>
        <v>27274826537.555393</v>
      </c>
      <c r="D151" s="2">
        <f>D8/'Output-Calculation-sheet'!D7*'Output-Calculation-sheet'!D124</f>
        <v>24309129538.074646</v>
      </c>
      <c r="E151" s="2">
        <f>E8/'Output-Calculation-sheet'!E7*'Output-Calculation-sheet'!E124</f>
        <v>19286850052.58543</v>
      </c>
      <c r="F151" s="2">
        <f>F8/'Output-Calculation-sheet'!F7*'Output-Calculation-sheet'!F124</f>
        <v>12415633067.09267</v>
      </c>
      <c r="G151" s="2">
        <f>G8/'Output-Calculation-sheet'!G7*'Output-Calculation-sheet'!G124</f>
        <v>8723584694.6411495</v>
      </c>
      <c r="H151" s="2">
        <f>H8/'Output-Calculation-sheet'!H7*'Output-Calculation-sheet'!H124</f>
        <v>8509531858.6551037</v>
      </c>
      <c r="I151" s="2">
        <f>I8/'Output-Calculation-sheet'!I7*'Output-Calculation-sheet'!I124</f>
        <v>7947853880.2371912</v>
      </c>
      <c r="J151" s="2">
        <f>J8/'Output-Calculation-sheet'!J7*'Output-Calculation-sheet'!J124</f>
        <v>7735869080.6892719</v>
      </c>
      <c r="K151" s="2">
        <f>K8/'Output-Calculation-sheet'!K7*'Output-Calculation-sheet'!K124</f>
        <v>7661717351.1768064</v>
      </c>
      <c r="L151" s="2">
        <f>L8/'Output-Calculation-sheet'!L7*'Output-Calculation-sheet'!L124</f>
        <v>6146343827.4444532</v>
      </c>
      <c r="M151" s="2">
        <f>M8/'Output-Calculation-sheet'!M7*'Output-Calculation-sheet'!M124</f>
        <v>5870830606.3718147</v>
      </c>
      <c r="N151" s="2">
        <f>N8/'Output-Calculation-sheet'!N7*'Output-Calculation-sheet'!N124</f>
        <v>5762193245.6236401</v>
      </c>
      <c r="O151" s="2">
        <f>O8/'Output-Calculation-sheet'!O7*'Output-Calculation-sheet'!O124</f>
        <v>5647901017.2824211</v>
      </c>
      <c r="P151" s="2">
        <f>P8/'Output-Calculation-sheet'!P7*'Output-Calculation-sheet'!P124</f>
        <v>5245614345.2758474</v>
      </c>
      <c r="Q151" s="2">
        <f>Q8/'Output-Calculation-sheet'!Q7*'Output-Calculation-sheet'!Q124</f>
        <v>5160827131.7461958</v>
      </c>
      <c r="R151" s="2">
        <f>R8/'Output-Calculation-sheet'!R7*'Output-Calculation-sheet'!R124</f>
        <v>4964963155.1986809</v>
      </c>
      <c r="S151" s="2">
        <f>S8/'Output-Calculation-sheet'!S7*'Output-Calculation-sheet'!S124</f>
        <v>3299961062.3386478</v>
      </c>
      <c r="T151" s="2">
        <f>T8/'Output-Calculation-sheet'!T7*'Output-Calculation-sheet'!T124</f>
        <v>1825065255.3667409</v>
      </c>
      <c r="U151" s="2">
        <f>U8/'Output-Calculation-sheet'!U7*'Output-Calculation-sheet'!U124</f>
        <v>1589572292.1913464</v>
      </c>
      <c r="V151" s="2">
        <f>V8/'Output-Calculation-sheet'!V7*'Output-Calculation-sheet'!V124</f>
        <v>1223997160.9380934</v>
      </c>
      <c r="W151" s="2">
        <f>W8/'Output-Calculation-sheet'!W7*'Output-Calculation-sheet'!W124</f>
        <v>1059718611.5796347</v>
      </c>
      <c r="X151" s="2">
        <f>X8/'Output-Calculation-sheet'!X7*'Output-Calculation-sheet'!X124</f>
        <v>635827795.99129617</v>
      </c>
      <c r="Y151" s="2">
        <f>Y8/'Output-Calculation-sheet'!Y7*'Output-Calculation-sheet'!Y124</f>
        <v>618336545.27020097</v>
      </c>
      <c r="AA151" s="2">
        <f t="shared" si="13"/>
        <v>230793.62205141655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23104939680.694881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8392154305.7587337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199116.67604355773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8914645124.2327843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146183.86968416901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3305363162.4769173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2005477466.9014239</v>
      </c>
      <c r="N154" s="2">
        <f>N11/'Output-Calculation-sheet'!N10*'Output-Calculation-sheet'!N127</f>
        <v>1988014860.1554661</v>
      </c>
      <c r="O154" s="2">
        <f>O11/'Output-Calculation-sheet'!O10*'Output-Calculation-sheet'!O127</f>
        <v>9081942371.2347603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2412321551.318954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1072384230.3340675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82536.280551779186</v>
      </c>
    </row>
    <row r="155" spans="1:27" x14ac:dyDescent="0.25">
      <c r="A155" s="2">
        <v>2035</v>
      </c>
      <c r="B155" s="2">
        <f>B12/'Output-Calculation-sheet'!B11*'Output-Calculation-sheet'!B128</f>
        <v>12973216858.652779</v>
      </c>
      <c r="C155" s="2">
        <f>C12/'Output-Calculation-sheet'!C11*'Output-Calculation-sheet'!C128</f>
        <v>94969232.678210318</v>
      </c>
      <c r="D155" s="2">
        <f>D12/'Output-Calculation-sheet'!D11*'Output-Calculation-sheet'!D128</f>
        <v>7720573219.1278868</v>
      </c>
      <c r="E155" s="2">
        <f>E12/'Output-Calculation-sheet'!E11*'Output-Calculation-sheet'!E128</f>
        <v>3503013368.2204428</v>
      </c>
      <c r="F155" s="2">
        <f>F12/'Output-Calculation-sheet'!F11*'Output-Calculation-sheet'!F128</f>
        <v>2223953951.3894801</v>
      </c>
      <c r="G155" s="2">
        <f>G12/'Output-Calculation-sheet'!G11*'Output-Calculation-sheet'!G128</f>
        <v>1988439356.0034251</v>
      </c>
      <c r="H155" s="2">
        <f>H12/'Output-Calculation-sheet'!H11*'Output-Calculation-sheet'!H128</f>
        <v>3173276260.7509651</v>
      </c>
      <c r="I155" s="2">
        <f>I12/'Output-Calculation-sheet'!I11*'Output-Calculation-sheet'!I128</f>
        <v>1983291061.9524422</v>
      </c>
      <c r="J155" s="2">
        <f>J12/'Output-Calculation-sheet'!J11*'Output-Calculation-sheet'!J128</f>
        <v>1895852785.1142435</v>
      </c>
      <c r="K155" s="2">
        <f>K12/'Output-Calculation-sheet'!K11*'Output-Calculation-sheet'!K128</f>
        <v>2155710934.2005129</v>
      </c>
      <c r="L155" s="2">
        <f>L12/'Output-Calculation-sheet'!L11*'Output-Calculation-sheet'!L128</f>
        <v>1564647806.8902953</v>
      </c>
      <c r="M155" s="2">
        <f>M12/'Output-Calculation-sheet'!M11*'Output-Calculation-sheet'!M128</f>
        <v>1932396858.960948</v>
      </c>
      <c r="N155" s="2">
        <f>N12/'Output-Calculation-sheet'!N11*'Output-Calculation-sheet'!N128</f>
        <v>1881616413.0159442</v>
      </c>
      <c r="O155" s="2">
        <f>O12/'Output-Calculation-sheet'!O11*'Output-Calculation-sheet'!O128</f>
        <v>8772827500.0490723</v>
      </c>
      <c r="P155" s="2">
        <f>P12/'Output-Calculation-sheet'!P11*'Output-Calculation-sheet'!P128</f>
        <v>1038736371.4340605</v>
      </c>
      <c r="Q155" s="2">
        <f>Q12/'Output-Calculation-sheet'!Q11*'Output-Calculation-sheet'!Q128</f>
        <v>2323307140.4383106</v>
      </c>
      <c r="R155" s="2">
        <f>R12/'Output-Calculation-sheet'!R11*'Output-Calculation-sheet'!R128</f>
        <v>1002113811.9725417</v>
      </c>
      <c r="S155" s="2">
        <f>S12/'Output-Calculation-sheet'!S11*'Output-Calculation-sheet'!S128</f>
        <v>1004611850.4412549</v>
      </c>
      <c r="T155" s="2">
        <f>T12/'Output-Calculation-sheet'!T11*'Output-Calculation-sheet'!T128</f>
        <v>239676047.25090399</v>
      </c>
      <c r="U155" s="2">
        <f>U12/'Output-Calculation-sheet'!U11*'Output-Calculation-sheet'!U128</f>
        <v>463805626.5380891</v>
      </c>
      <c r="V155" s="2">
        <f>V12/'Output-Calculation-sheet'!V11*'Output-Calculation-sheet'!V128</f>
        <v>115644729.34368333</v>
      </c>
      <c r="W155" s="2">
        <f>W12/'Output-Calculation-sheet'!W11*'Output-Calculation-sheet'!W128</f>
        <v>107451844.26650615</v>
      </c>
      <c r="X155" s="2">
        <f>X12/'Output-Calculation-sheet'!X11*'Output-Calculation-sheet'!X128</f>
        <v>13220017.205904923</v>
      </c>
      <c r="Y155" s="2">
        <f>Y12/'Output-Calculation-sheet'!Y11*'Output-Calculation-sheet'!Y128</f>
        <v>115583457.24416402</v>
      </c>
      <c r="AA155" s="2">
        <f t="shared" si="13"/>
        <v>58287.936503142053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1245.1084036251796</v>
      </c>
      <c r="C19" s="2">
        <f>C8/'Output-Calculation-sheet'!C7*'Output-Calculation-sheet'!C25</f>
        <v>8877.6994002549982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5594.2364901084093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3883.1780111572243</v>
      </c>
      <c r="N19" s="2">
        <f>N8/'Output-Calculation-sheet'!N7*'Output-Calculation-sheet'!N25</f>
        <v>1327.7706947489103</v>
      </c>
      <c r="O19" s="2">
        <f>O8/'Output-Calculation-sheet'!O7*'Output-Calculation-sheet'!O25</f>
        <v>1448.4130591106925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474.22698193350277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205.00681860506458</v>
      </c>
      <c r="Y19" s="2">
        <f>Y8/'Output-Calculation-sheet'!Y7*'Output-Calculation-sheet'!Y25</f>
        <v>0</v>
      </c>
      <c r="AA19" s="2">
        <f t="shared" si="0"/>
        <v>23.05563985954398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6410.8016796251468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7226.0995302461642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5021.1266802696764</v>
      </c>
      <c r="N20" s="2">
        <f>N9/'Output-Calculation-sheet'!N8*'Output-Calculation-sheet'!N26</f>
        <v>2262.105806222683</v>
      </c>
      <c r="O20" s="2">
        <f>O9/'Output-Calculation-sheet'!O8*'Output-Calculation-sheet'!O26</f>
        <v>2386.7636474624319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822.23178849206454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268.32208859514395</v>
      </c>
      <c r="Y20" s="2">
        <f>Y9/'Output-Calculation-sheet'!Y8*'Output-Calculation-sheet'!Y26</f>
        <v>0</v>
      </c>
      <c r="AA20" s="2">
        <f t="shared" si="0"/>
        <v>31.039128108766931</v>
      </c>
    </row>
    <row r="21" spans="1:27" x14ac:dyDescent="0.25">
      <c r="A21" s="2">
        <v>2033</v>
      </c>
      <c r="B21" s="2">
        <f>B10/'Output-Calculation-sheet'!B9*'Output-Calculation-sheet'!B27</f>
        <v>13948.35515462504</v>
      </c>
      <c r="C21" s="2">
        <f>C10/'Output-Calculation-sheet'!C9*'Output-Calculation-sheet'!C27</f>
        <v>5784.8832433791958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8086.7600942210956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5617.9172443891994</v>
      </c>
      <c r="N21" s="2">
        <f>N10/'Output-Calculation-sheet'!N9*'Output-Calculation-sheet'!N27</f>
        <v>3064.6959435676431</v>
      </c>
      <c r="O21" s="2">
        <f>O10/'Output-Calculation-sheet'!O9*'Output-Calculation-sheet'!O27</f>
        <v>2401.3573984977043</v>
      </c>
      <c r="P21" s="2">
        <f>P10/'Output-Calculation-sheet'!P9*'Output-Calculation-sheet'!P27</f>
        <v>0</v>
      </c>
      <c r="Q21" s="2">
        <f>Q10/'Output-Calculation-sheet'!Q9*'Output-Calculation-sheet'!Q27</f>
        <v>209.14382114536517</v>
      </c>
      <c r="R21" s="2">
        <f>R10/'Output-Calculation-sheet'!R9*'Output-Calculation-sheet'!R27</f>
        <v>0</v>
      </c>
      <c r="S21" s="2">
        <f>S10/'Output-Calculation-sheet'!S9*'Output-Calculation-sheet'!S27</f>
        <v>1335.9925782120335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356.05084798529788</v>
      </c>
      <c r="Y21" s="2">
        <f>Y10/'Output-Calculation-sheet'!Y9*'Output-Calculation-sheet'!Y27</f>
        <v>0</v>
      </c>
      <c r="AA21" s="2">
        <f t="shared" si="0"/>
        <v>40.805156326022569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4766.3236158966292</v>
      </c>
      <c r="D22" s="2">
        <f>D11/'Output-Calculation-sheet'!D10*'Output-Calculation-sheet'!D28</f>
        <v>0</v>
      </c>
      <c r="E22" s="2">
        <f>E11/'Output-Calculation-sheet'!E10*'Output-Calculation-sheet'!E28</f>
        <v>1137.3284226553685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8285.5768528907993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681.90536161159139</v>
      </c>
      <c r="M22" s="2">
        <f>M11/'Output-Calculation-sheet'!M10*'Output-Calculation-sheet'!M28</f>
        <v>6024.5997136541737</v>
      </c>
      <c r="N22" s="2">
        <f>N11/'Output-Calculation-sheet'!N10*'Output-Calculation-sheet'!N28</f>
        <v>3470.1057659552357</v>
      </c>
      <c r="O22" s="2">
        <f>O11/'Output-Calculation-sheet'!O10*'Output-Calculation-sheet'!O28</f>
        <v>2204.3072060049799</v>
      </c>
      <c r="P22" s="2">
        <f>P11/'Output-Calculation-sheet'!P10*'Output-Calculation-sheet'!P28</f>
        <v>0</v>
      </c>
      <c r="Q22" s="2">
        <f>Q11/'Output-Calculation-sheet'!Q10*'Output-Calculation-sheet'!Q28</f>
        <v>809.58568761944628</v>
      </c>
      <c r="R22" s="2">
        <f>R11/'Output-Calculation-sheet'!R10*'Output-Calculation-sheet'!R28</f>
        <v>0</v>
      </c>
      <c r="S22" s="2">
        <f>S11/'Output-Calculation-sheet'!S10*'Output-Calculation-sheet'!S28</f>
        <v>1800.4851265306852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62.097510774452054</v>
      </c>
      <c r="AA22" s="2">
        <f t="shared" si="0"/>
        <v>51.887372249144207</v>
      </c>
    </row>
    <row r="23" spans="1:27" x14ac:dyDescent="0.25">
      <c r="A23" s="2">
        <v>2035</v>
      </c>
      <c r="B23" s="2">
        <f>B12/'Output-Calculation-sheet'!B11*'Output-Calculation-sheet'!B29</f>
        <v>20736.318934451971</v>
      </c>
      <c r="C23" s="2">
        <f>C12/'Output-Calculation-sheet'!C11*'Output-Calculation-sheet'!C29</f>
        <v>107.3176768110518</v>
      </c>
      <c r="D23" s="2">
        <f>D12/'Output-Calculation-sheet'!D11*'Output-Calculation-sheet'!D29</f>
        <v>0</v>
      </c>
      <c r="E23" s="2">
        <f>E12/'Output-Calculation-sheet'!E11*'Output-Calculation-sheet'!E29</f>
        <v>3153.6722339370185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6409.5197758078484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709.73527012624118</v>
      </c>
      <c r="M23" s="2">
        <f>M12/'Output-Calculation-sheet'!M11*'Output-Calculation-sheet'!M29</f>
        <v>4668.7255245757278</v>
      </c>
      <c r="N23" s="2">
        <f>N12/'Output-Calculation-sheet'!N11*'Output-Calculation-sheet'!N29</f>
        <v>2710.906353668985</v>
      </c>
      <c r="O23" s="2">
        <f>O12/'Output-Calculation-sheet'!O11*'Output-Calculation-sheet'!O29</f>
        <v>1868.2587493765777</v>
      </c>
      <c r="P23" s="2">
        <f>P12/'Output-Calculation-sheet'!P11*'Output-Calculation-sheet'!P29</f>
        <v>326.11172197987281</v>
      </c>
      <c r="Q23" s="2">
        <f>Q12/'Output-Calculation-sheet'!Q11*'Output-Calculation-sheet'!Q29</f>
        <v>726.52472774319006</v>
      </c>
      <c r="R23" s="2">
        <f>R12/'Output-Calculation-sheet'!R11*'Output-Calculation-sheet'!R29</f>
        <v>0</v>
      </c>
      <c r="S23" s="2">
        <f>S12/'Output-Calculation-sheet'!S11*'Output-Calculation-sheet'!S29</f>
        <v>1472.6146897625536</v>
      </c>
      <c r="T23" s="2">
        <f>T12/'Output-Calculation-sheet'!T11*'Output-Calculation-sheet'!T29</f>
        <v>0</v>
      </c>
      <c r="U23" s="2">
        <f>U12/'Output-Calculation-sheet'!U11*'Output-Calculation-sheet'!U29</f>
        <v>64.840393552384285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48.104868960034551</v>
      </c>
      <c r="Y23" s="2">
        <f>Y12/'Output-Calculation-sheet'!Y11*'Output-Calculation-sheet'!Y29</f>
        <v>138.5407358007219</v>
      </c>
      <c r="AA23" s="2">
        <f t="shared" si="0"/>
        <v>43.141191656554177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21703.484354008917</v>
      </c>
      <c r="C30" s="2">
        <f>C8/'Output-Calculation-sheet'!C7*'Output-Calculation-sheet'!C16</f>
        <v>0</v>
      </c>
      <c r="D30" s="2">
        <f>D8/'Output-Calculation-sheet'!D7*'Output-Calculation-sheet'!D16</f>
        <v>3654.5526088356314</v>
      </c>
      <c r="E30" s="2">
        <f>E8/'Output-Calculation-sheet'!E7*'Output-Calculation-sheet'!E16</f>
        <v>3932.0971850414821</v>
      </c>
      <c r="F30" s="2">
        <f>F8/'Output-Calculation-sheet'!F7*'Output-Calculation-sheet'!F16</f>
        <v>1983.7963710251558</v>
      </c>
      <c r="G30" s="2">
        <f>G8/'Output-Calculation-sheet'!G7*'Output-Calculation-sheet'!G16</f>
        <v>1299.1337267494757</v>
      </c>
      <c r="H30" s="2">
        <f>H8/'Output-Calculation-sheet'!H7*'Output-Calculation-sheet'!H16</f>
        <v>0</v>
      </c>
      <c r="I30" s="2">
        <f>I8/'Output-Calculation-sheet'!I7*'Output-Calculation-sheet'!I16</f>
        <v>1266.4763369094987</v>
      </c>
      <c r="J30" s="2">
        <f>J8/'Output-Calculation-sheet'!J7*'Output-Calculation-sheet'!J16</f>
        <v>1127.391940863735</v>
      </c>
      <c r="K30" s="2">
        <f>K8/'Output-Calculation-sheet'!K7*'Output-Calculation-sheet'!K16</f>
        <v>1505.2850345725053</v>
      </c>
      <c r="L30" s="2">
        <f>L8/'Output-Calculation-sheet'!L7*'Output-Calculation-sheet'!L16</f>
        <v>1271.4773760218727</v>
      </c>
      <c r="M30" s="2">
        <f>M8/'Output-Calculation-sheet'!M7*'Output-Calculation-sheet'!M16</f>
        <v>0</v>
      </c>
      <c r="N30" s="2">
        <f>N8/'Output-Calculation-sheet'!N7*'Output-Calculation-sheet'!N16</f>
        <v>1807.3792228330033</v>
      </c>
      <c r="O30" s="2">
        <f>O8/'Output-Calculation-sheet'!O7*'Output-Calculation-sheet'!O16</f>
        <v>0</v>
      </c>
      <c r="P30" s="2">
        <f>P8/'Output-Calculation-sheet'!P7*'Output-Calculation-sheet'!P16</f>
        <v>1623.2053686712995</v>
      </c>
      <c r="Q30" s="2">
        <f>Q8/'Output-Calculation-sheet'!Q7*'Output-Calculation-sheet'!Q16</f>
        <v>1784.998121316994</v>
      </c>
      <c r="R30" s="2">
        <f>R8/'Output-Calculation-sheet'!R7*'Output-Calculation-sheet'!R16</f>
        <v>1132.5876864416384</v>
      </c>
      <c r="S30" s="2">
        <f>S8/'Output-Calculation-sheet'!S7*'Output-Calculation-sheet'!S16</f>
        <v>1139.0527769502944</v>
      </c>
      <c r="T30" s="2">
        <f>T8/'Output-Calculation-sheet'!T7*'Output-Calculation-sheet'!T16</f>
        <v>339.98442953471266</v>
      </c>
      <c r="U30" s="2">
        <f>U8/'Output-Calculation-sheet'!U7*'Output-Calculation-sheet'!U16</f>
        <v>339.3782674739341</v>
      </c>
      <c r="V30" s="2">
        <f>V8/'Output-Calculation-sheet'!V7*'Output-Calculation-sheet'!V16</f>
        <v>264.1305074372803</v>
      </c>
      <c r="W30" s="2">
        <f>W8/'Output-Calculation-sheet'!W7*'Output-Calculation-sheet'!W16</f>
        <v>160.21045399515882</v>
      </c>
      <c r="X30" s="2">
        <f>X8/'Output-Calculation-sheet'!X7*'Output-Calculation-sheet'!X16</f>
        <v>0</v>
      </c>
      <c r="Y30" s="2">
        <f>Y8/'Output-Calculation-sheet'!Y7*'Output-Calculation-sheet'!Y16</f>
        <v>135.59751396858829</v>
      </c>
      <c r="AA30" s="2">
        <f t="shared" si="1"/>
        <v>46.470219282651179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1926.1508455656933</v>
      </c>
      <c r="O31" s="2">
        <f>O9/'Output-Calculation-sheet'!O8*'Output-Calculation-sheet'!O17</f>
        <v>0</v>
      </c>
      <c r="P31" s="2">
        <f>P9/'Output-Calculation-sheet'!P8*'Output-Calculation-sheet'!P17</f>
        <v>2384.6471769781542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1432.3101389884157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61.242444486705239</v>
      </c>
    </row>
    <row r="32" spans="1:27" x14ac:dyDescent="0.25">
      <c r="A32" s="2">
        <v>2033</v>
      </c>
      <c r="B32" s="2">
        <f>B10/'Output-Calculation-sheet'!B9*'Output-Calculation-sheet'!B18</f>
        <v>28400.819778269306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2705.0447676046592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1739.7158014554318</v>
      </c>
      <c r="O32" s="2">
        <f>O10/'Output-Calculation-sheet'!O9*'Output-Calculation-sheet'!O18</f>
        <v>0</v>
      </c>
      <c r="P32" s="2">
        <f>P10/'Output-Calculation-sheet'!P9*'Output-Calculation-sheet'!P18</f>
        <v>2784.0967917505805</v>
      </c>
      <c r="Q32" s="2">
        <f>Q10/'Output-Calculation-sheet'!Q9*'Output-Calculation-sheet'!Q18</f>
        <v>3031.982736434727</v>
      </c>
      <c r="R32" s="2">
        <f>R10/'Output-Calculation-sheet'!R9*'Output-Calculation-sheet'!R18</f>
        <v>1999.2600964079782</v>
      </c>
      <c r="S32" s="2">
        <f>S10/'Output-Calculation-sheet'!S9*'Output-Calculation-sheet'!S18</f>
        <v>1309.289878607894</v>
      </c>
      <c r="T32" s="2">
        <f>T10/'Output-Calculation-sheet'!T9*'Output-Calculation-sheet'!T18</f>
        <v>583.7202154008603</v>
      </c>
      <c r="U32" s="2">
        <f>U10/'Output-Calculation-sheet'!U9*'Output-Calculation-sheet'!U18</f>
        <v>645.30323050724689</v>
      </c>
      <c r="V32" s="2">
        <f>V10/'Output-Calculation-sheet'!V9*'Output-Calculation-sheet'!V18</f>
        <v>476.29968488760306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275.75317363352985</v>
      </c>
      <c r="AA32" s="2">
        <f t="shared" si="1"/>
        <v>68.220121525510606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6751.3881887013149</v>
      </c>
      <c r="E33" s="2">
        <f>E11/'Output-Calculation-sheet'!E10*'Output-Calculation-sheet'!E19</f>
        <v>8360.4910217507095</v>
      </c>
      <c r="F33" s="2">
        <f>F11/'Output-Calculation-sheet'!F10*'Output-Calculation-sheet'!F19</f>
        <v>3832.046567157201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2507.904973942444</v>
      </c>
      <c r="J33" s="2">
        <f>J11/'Output-Calculation-sheet'!J10*'Output-Calculation-sheet'!J19</f>
        <v>2120.3831655298782</v>
      </c>
      <c r="K33" s="2">
        <f>K11/'Output-Calculation-sheet'!K10*'Output-Calculation-sheet'!K19</f>
        <v>2941.1091358771919</v>
      </c>
      <c r="L33" s="2">
        <f>L11/'Output-Calculation-sheet'!L10*'Output-Calculation-sheet'!L19</f>
        <v>2392.7788136544928</v>
      </c>
      <c r="M33" s="2">
        <f>M11/'Output-Calculation-sheet'!M10*'Output-Calculation-sheet'!M19</f>
        <v>0</v>
      </c>
      <c r="N33" s="2">
        <f>N11/'Output-Calculation-sheet'!N10*'Output-Calculation-sheet'!N19</f>
        <v>1360.5770894719153</v>
      </c>
      <c r="O33" s="2">
        <f>O11/'Output-Calculation-sheet'!O10*'Output-Calculation-sheet'!O19</f>
        <v>0</v>
      </c>
      <c r="P33" s="2">
        <f>P11/'Output-Calculation-sheet'!P10*'Output-Calculation-sheet'!P19</f>
        <v>2975.1040151361649</v>
      </c>
      <c r="Q33" s="2">
        <f>Q11/'Output-Calculation-sheet'!Q10*'Output-Calculation-sheet'!Q19</f>
        <v>2430.8588228228123</v>
      </c>
      <c r="R33" s="2">
        <f>R11/'Output-Calculation-sheet'!R10*'Output-Calculation-sheet'!R19</f>
        <v>2124.534277547576</v>
      </c>
      <c r="S33" s="2">
        <f>S11/'Output-Calculation-sheet'!S10*'Output-Calculation-sheet'!S19</f>
        <v>989.70996521658844</v>
      </c>
      <c r="T33" s="2">
        <f>T11/'Output-Calculation-sheet'!T10*'Output-Calculation-sheet'!T19</f>
        <v>623.37984857599213</v>
      </c>
      <c r="U33" s="2">
        <f>U11/'Output-Calculation-sheet'!U10*'Output-Calculation-sheet'!U19</f>
        <v>717.01275374113357</v>
      </c>
      <c r="V33" s="2">
        <f>V11/'Output-Calculation-sheet'!V10*'Output-Calculation-sheet'!V19</f>
        <v>488.96232346952831</v>
      </c>
      <c r="W33" s="2">
        <f>W11/'Output-Calculation-sheet'!W10*'Output-Calculation-sheet'!W19</f>
        <v>304.42156670506569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66.1249364941593</v>
      </c>
    </row>
    <row r="34" spans="1:27" x14ac:dyDescent="0.25">
      <c r="A34" s="2">
        <v>2035</v>
      </c>
      <c r="B34" s="2">
        <f>B12/'Output-Calculation-sheet'!B11*'Output-Calculation-sheet'!B20</f>
        <v>16329.889868269634</v>
      </c>
      <c r="C34" s="2">
        <f>C12/'Output-Calculation-sheet'!C11*'Output-Calculation-sheet'!C20</f>
        <v>0</v>
      </c>
      <c r="D34" s="2">
        <f>D12/'Output-Calculation-sheet'!D11*'Output-Calculation-sheet'!D20</f>
        <v>5113.8031987143877</v>
      </c>
      <c r="E34" s="2">
        <f>E12/'Output-Calculation-sheet'!E11*'Output-Calculation-sheet'!E20</f>
        <v>5634.3747420668115</v>
      </c>
      <c r="F34" s="2">
        <f>F12/'Output-Calculation-sheet'!F11*'Output-Calculation-sheet'!F20</f>
        <v>3487.2502830055082</v>
      </c>
      <c r="G34" s="2">
        <f>G12/'Output-Calculation-sheet'!G11*'Output-Calculation-sheet'!G20</f>
        <v>1883.5067707748331</v>
      </c>
      <c r="H34" s="2">
        <f>H12/'Output-Calculation-sheet'!H11*'Output-Calculation-sheet'!H20</f>
        <v>0</v>
      </c>
      <c r="I34" s="2">
        <f>I12/'Output-Calculation-sheet'!I11*'Output-Calculation-sheet'!I20</f>
        <v>2051.5150634039828</v>
      </c>
      <c r="J34" s="2">
        <f>J12/'Output-Calculation-sheet'!J11*'Output-Calculation-sheet'!J20</f>
        <v>1758.0124271824177</v>
      </c>
      <c r="K34" s="2">
        <f>K12/'Output-Calculation-sheet'!K11*'Output-Calculation-sheet'!K20</f>
        <v>2310.7302168280871</v>
      </c>
      <c r="L34" s="2">
        <f>L12/'Output-Calculation-sheet'!L11*'Output-Calculation-sheet'!L20</f>
        <v>1829.5628430724778</v>
      </c>
      <c r="M34" s="2">
        <f>M12/'Output-Calculation-sheet'!M11*'Output-Calculation-sheet'!M20</f>
        <v>0</v>
      </c>
      <c r="N34" s="2">
        <f>N12/'Output-Calculation-sheet'!N11*'Output-Calculation-sheet'!N20</f>
        <v>1019.6308174300746</v>
      </c>
      <c r="O34" s="2">
        <f>O12/'Output-Calculation-sheet'!O11*'Output-Calculation-sheet'!O20</f>
        <v>0</v>
      </c>
      <c r="P34" s="2">
        <f>P12/'Output-Calculation-sheet'!P11*'Output-Calculation-sheet'!P20</f>
        <v>2281.6489668459476</v>
      </c>
      <c r="Q34" s="2">
        <f>Q12/'Output-Calculation-sheet'!Q11*'Output-Calculation-sheet'!Q20</f>
        <v>1798.0994864673455</v>
      </c>
      <c r="R34" s="2">
        <f>R12/'Output-Calculation-sheet'!R11*'Output-Calculation-sheet'!R20</f>
        <v>1814.4814472199309</v>
      </c>
      <c r="S34" s="2">
        <f>S12/'Output-Calculation-sheet'!S11*'Output-Calculation-sheet'!S20</f>
        <v>700.82536232372775</v>
      </c>
      <c r="T34" s="2">
        <f>T12/'Output-Calculation-sheet'!T11*'Output-Calculation-sheet'!T20</f>
        <v>566.30287838813763</v>
      </c>
      <c r="U34" s="2">
        <f>U12/'Output-Calculation-sheet'!U11*'Output-Calculation-sheet'!U20</f>
        <v>518.40872999977648</v>
      </c>
      <c r="V34" s="2">
        <f>V12/'Output-Calculation-sheet'!V11*'Output-Calculation-sheet'!V20</f>
        <v>474.95676196194745</v>
      </c>
      <c r="W34" s="2">
        <f>W12/'Output-Calculation-sheet'!W11*'Output-Calculation-sheet'!W20</f>
        <v>307.15970963015866</v>
      </c>
      <c r="X34" s="2">
        <f>X12/'Output-Calculation-sheet'!X11*'Output-Calculation-sheet'!X20</f>
        <v>0.72500035574855548</v>
      </c>
      <c r="Y34" s="2">
        <f>Y12/'Output-Calculation-sheet'!Y11*'Output-Calculation-sheet'!Y20</f>
        <v>171.25842499225678</v>
      </c>
      <c r="AA34" s="2">
        <f t="shared" si="1"/>
        <v>50.052142998933185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4.5966582382614044E-2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4.5966582382614044E-2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0.49832614020021104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0.49832614020021104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0.58496985249452305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0.58496985249452305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4.4193168401335019E-2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1.0136400239396043E-2</v>
      </c>
      <c r="N44" s="2">
        <f>N11/'Output-Calculation-sheet'!N10*'Output-Calculation-sheet'!N37*0.0114</f>
        <v>9.9624375652607386E-3</v>
      </c>
      <c r="O44" s="2">
        <f>O11/'Output-Calculation-sheet'!O10*'Output-Calculation-sheet'!O37*0.0114</f>
        <v>0.57639990543972008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2.6185861852452117E-2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5.7108131326804798E-3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0.67258858663084453</v>
      </c>
    </row>
    <row r="45" spans="1:27" x14ac:dyDescent="0.25">
      <c r="A45" s="2">
        <v>2035</v>
      </c>
      <c r="B45" s="2">
        <f>B12/'Output-Calculation-sheet'!B11*'Output-Calculation-sheet'!B38*0.0114</f>
        <v>0.3812217980717697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0.12737893416420726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0.15595418884270879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3.0707672016641242E-2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3.233182281769862E-2</v>
      </c>
      <c r="M45" s="2">
        <f>M12/'Output-Calculation-sheet'!M11*'Output-Calculation-sheet'!M38*0.0114</f>
        <v>9.1981422266618651E-2</v>
      </c>
      <c r="N45" s="2">
        <f>N12/'Output-Calculation-sheet'!N11*'Output-Calculation-sheet'!N38*0.0114</f>
        <v>6.7802115755075332E-2</v>
      </c>
      <c r="O45" s="2">
        <f>O12/'Output-Calculation-sheet'!O11*'Output-Calculation-sheet'!O38*0.0114</f>
        <v>0.47805322039485498</v>
      </c>
      <c r="P45" s="2">
        <f>P12/'Output-Calculation-sheet'!P11*'Output-Calculation-sheet'!P38*0.0114</f>
        <v>4.1758163631607989E-2</v>
      </c>
      <c r="Q45" s="2">
        <f>Q12/'Output-Calculation-sheet'!Q11*'Output-Calculation-sheet'!Q38*0.0114</f>
        <v>5.9405034321366991E-2</v>
      </c>
      <c r="R45" s="2">
        <f>R12/'Output-Calculation-sheet'!R11*'Output-Calculation-sheet'!R38*0.0114</f>
        <v>2.6182794614743331E-2</v>
      </c>
      <c r="S45" s="2">
        <f>S12/'Output-Calculation-sheet'!S11*'Output-Calculation-sheet'!S38*0.0114</f>
        <v>3.0229510418376168E-2</v>
      </c>
      <c r="T45" s="2">
        <f>T12/'Output-Calculation-sheet'!T11*'Output-Calculation-sheet'!T38*0.0114</f>
        <v>7.2649857592358199E-3</v>
      </c>
      <c r="U45" s="2">
        <f>U12/'Output-Calculation-sheet'!U11*'Output-Calculation-sheet'!U38*0.0114</f>
        <v>1.0529876556975385E-2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4.8687884881667941E-3</v>
      </c>
      <c r="AA45" s="2">
        <f t="shared" si="2"/>
        <v>1.9030252498963383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3429.7947460153705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7900.1103482204599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5403.0723844219601</v>
      </c>
      <c r="N52" s="2">
        <f>N8/'Output-Calculation-sheet'!N7*'Output-Calculation-sheet'!N43</f>
        <v>170.67419404649783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36.533089554603769</v>
      </c>
      <c r="Y52" s="2">
        <f>Y8/'Output-Calculation-sheet'!Y7*'Output-Calculation-sheet'!Y43</f>
        <v>0</v>
      </c>
      <c r="AA52" s="2">
        <f t="shared" si="3"/>
        <v>16.940184762258891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557.16286826532223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14441.641176877578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9890.7286682929298</v>
      </c>
      <c r="N53" s="2">
        <f>N9/'Output-Calculation-sheet'!N8*'Output-Calculation-sheet'!N44</f>
        <v>3506.5131026036406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1094.5334180596544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301.88231436073931</v>
      </c>
      <c r="Y53" s="2">
        <f>Y9/'Output-Calculation-sheet'!Y8*'Output-Calculation-sheet'!Y44</f>
        <v>0</v>
      </c>
      <c r="AA53" s="2">
        <f t="shared" si="3"/>
        <v>29.948043523593007</v>
      </c>
    </row>
    <row r="54" spans="1:27" x14ac:dyDescent="0.25">
      <c r="A54" s="2">
        <v>2033</v>
      </c>
      <c r="B54" s="2">
        <f>B10/'Output-Calculation-sheet'!B9*'Output-Calculation-sheet'!B45</f>
        <v>26733.236994854236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19489.240803786826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13358.769370519678</v>
      </c>
      <c r="N54" s="2">
        <f>N10/'Output-Calculation-sheet'!N9*'Output-Calculation-sheet'!N45</f>
        <v>7454.4041916037868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782.65312068045637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749.82330905013089</v>
      </c>
      <c r="Y54" s="2">
        <f>Y10/'Output-Calculation-sheet'!Y9*'Output-Calculation-sheet'!Y45</f>
        <v>16.539287680341008</v>
      </c>
      <c r="AA54" s="2">
        <f t="shared" si="3"/>
        <v>80.636035438748422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19231.781442019565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2786.3952193495738</v>
      </c>
      <c r="L55" s="2">
        <f>L11/'Output-Calculation-sheet'!L10*'Output-Calculation-sheet'!L46</f>
        <v>1029.514727121576</v>
      </c>
      <c r="M55" s="2">
        <f>M11/'Output-Calculation-sheet'!M10*'Output-Calculation-sheet'!M46</f>
        <v>13501.862950458677</v>
      </c>
      <c r="N55" s="2">
        <f>N11/'Output-Calculation-sheet'!N10*'Output-Calculation-sheet'!N46</f>
        <v>9955.4463810044144</v>
      </c>
      <c r="O55" s="2">
        <f>O11/'Output-Calculation-sheet'!O10*'Output-Calculation-sheet'!O46</f>
        <v>221.8177338421107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2252.5966540910563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5047.5572916568872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155.24356250179696</v>
      </c>
    </row>
    <row r="56" spans="1:27" x14ac:dyDescent="0.25">
      <c r="A56" s="2">
        <v>2035</v>
      </c>
      <c r="B56" s="2">
        <f>B12/'Output-Calculation-sheet'!B11*'Output-Calculation-sheet'!B47</f>
        <v>61978.63864440508</v>
      </c>
      <c r="C56" s="2">
        <f>C12/'Output-Calculation-sheet'!C11*'Output-Calculation-sheet'!C47</f>
        <v>212.67996765086579</v>
      </c>
      <c r="D56" s="2">
        <f>D12/'Output-Calculation-sheet'!D11*'Output-Calculation-sheet'!D47</f>
        <v>4988.3218775279802</v>
      </c>
      <c r="E56" s="2">
        <f>E12/'Output-Calculation-sheet'!E11*'Output-Calculation-sheet'!E47</f>
        <v>13779.272071166699</v>
      </c>
      <c r="F56" s="2">
        <f>F12/'Output-Calculation-sheet'!F11*'Output-Calculation-sheet'!F47</f>
        <v>1627.5504368981694</v>
      </c>
      <c r="G56" s="2">
        <f>G12/'Output-Calculation-sheet'!G11*'Output-Calculation-sheet'!G47</f>
        <v>3909.6994136490312</v>
      </c>
      <c r="H56" s="2">
        <f>H12/'Output-Calculation-sheet'!H11*'Output-Calculation-sheet'!H47</f>
        <v>14793.173338908322</v>
      </c>
      <c r="I56" s="2">
        <f>I12/'Output-Calculation-sheet'!I11*'Output-Calculation-sheet'!I47</f>
        <v>1945.1617136455416</v>
      </c>
      <c r="J56" s="2">
        <f>J12/'Output-Calculation-sheet'!J11*'Output-Calculation-sheet'!J47</f>
        <v>1785.8935567572933</v>
      </c>
      <c r="K56" s="2">
        <f>K12/'Output-Calculation-sheet'!K11*'Output-Calculation-sheet'!K47</f>
        <v>2542.2094926830691</v>
      </c>
      <c r="L56" s="2">
        <f>L12/'Output-Calculation-sheet'!L11*'Output-Calculation-sheet'!L47</f>
        <v>1395.3734058164666</v>
      </c>
      <c r="M56" s="2">
        <f>M12/'Output-Calculation-sheet'!M11*'Output-Calculation-sheet'!M47</f>
        <v>10276.637850314322</v>
      </c>
      <c r="N56" s="2">
        <f>N12/'Output-Calculation-sheet'!N11*'Output-Calculation-sheet'!N47</f>
        <v>7741.0719683718562</v>
      </c>
      <c r="O56" s="2">
        <f>O12/'Output-Calculation-sheet'!O11*'Output-Calculation-sheet'!O47</f>
        <v>761.60439523690138</v>
      </c>
      <c r="P56" s="2">
        <f>P12/'Output-Calculation-sheet'!P11*'Output-Calculation-sheet'!P47</f>
        <v>4079.357447169657</v>
      </c>
      <c r="Q56" s="2">
        <f>Q12/'Output-Calculation-sheet'!Q11*'Output-Calculation-sheet'!Q47</f>
        <v>1958.7449425846446</v>
      </c>
      <c r="R56" s="2">
        <f>R12/'Output-Calculation-sheet'!R11*'Output-Calculation-sheet'!R47</f>
        <v>3009.2988284181974</v>
      </c>
      <c r="S56" s="2">
        <f>S12/'Output-Calculation-sheet'!S11*'Output-Calculation-sheet'!S47</f>
        <v>4000.6749314344693</v>
      </c>
      <c r="T56" s="2">
        <f>T12/'Output-Calculation-sheet'!T11*'Output-Calculation-sheet'!T47</f>
        <v>1047.4749935319248</v>
      </c>
      <c r="U56" s="2">
        <f>U12/'Output-Calculation-sheet'!U11*'Output-Calculation-sheet'!U47</f>
        <v>1012.161292204704</v>
      </c>
      <c r="V56" s="2">
        <f>V12/'Output-Calculation-sheet'!V11*'Output-Calculation-sheet'!V47</f>
        <v>706.8198990052374</v>
      </c>
      <c r="W56" s="2">
        <f>W12/'Output-Calculation-sheet'!W11*'Output-Calculation-sheet'!W47</f>
        <v>408.65520639760672</v>
      </c>
      <c r="X56" s="2">
        <f>X12/'Output-Calculation-sheet'!X11*'Output-Calculation-sheet'!X47</f>
        <v>82.391433245613626</v>
      </c>
      <c r="Y56" s="2">
        <f>Y12/'Output-Calculation-sheet'!Y11*'Output-Calculation-sheet'!Y47</f>
        <v>543.04075111439295</v>
      </c>
      <c r="AA56" s="2">
        <f t="shared" si="3"/>
        <v>144.58590785813806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8.2509106598986115</v>
      </c>
      <c r="C63" s="2">
        <f>C8*'Output-Calculation-sheet'!C52/10^9</f>
        <v>4.4845743727723928</v>
      </c>
      <c r="D63" s="2">
        <f>D8*'Output-Calculation-sheet'!D52/10^9</f>
        <v>1.9318735859885001</v>
      </c>
      <c r="E63" s="2">
        <f>E8*'Output-Calculation-sheet'!E52/10^9</f>
        <v>2.2101485377191232</v>
      </c>
      <c r="F63" s="2">
        <f>F8*'Output-Calculation-sheet'!F52/10^9</f>
        <v>1.0331024565193401</v>
      </c>
      <c r="G63" s="2">
        <f>G8*'Output-Calculation-sheet'!G52/10^9</f>
        <v>0.78801509871200071</v>
      </c>
      <c r="H63" s="2">
        <f>H8*'Output-Calculation-sheet'!H52/10^9</f>
        <v>1.177847512571055</v>
      </c>
      <c r="I63" s="2">
        <f>I8*'Output-Calculation-sheet'!I52/10^9</f>
        <v>0.62247956327934117</v>
      </c>
      <c r="J63" s="2">
        <f>J8*'Output-Calculation-sheet'!J52/10^9</f>
        <v>0.87997932064730011</v>
      </c>
      <c r="K63" s="2">
        <f>K8*'Output-Calculation-sheet'!K52/10^9</f>
        <v>0.57766321561523115</v>
      </c>
      <c r="L63" s="2">
        <f>L8*'Output-Calculation-sheet'!L52/10^9</f>
        <v>0.68392957735570803</v>
      </c>
      <c r="M63" s="2">
        <f>M8*'Output-Calculation-sheet'!M52/10^9</f>
        <v>0.86239205026948462</v>
      </c>
      <c r="N63" s="2">
        <f>N8*'Output-Calculation-sheet'!N52/10^9</f>
        <v>0.68766775686514936</v>
      </c>
      <c r="O63" s="2">
        <f>O8*'Output-Calculation-sheet'!O52/10^9</f>
        <v>0.81474683174494111</v>
      </c>
      <c r="P63" s="2">
        <f>P8*'Output-Calculation-sheet'!P52/10^9</f>
        <v>0.58749344216720878</v>
      </c>
      <c r="Q63" s="2">
        <f>Q8*'Output-Calculation-sheet'!Q52/10^9</f>
        <v>0.54800357428149471</v>
      </c>
      <c r="R63" s="2">
        <f>R8*'Output-Calculation-sheet'!R52/10^9</f>
        <v>0.49636327252894152</v>
      </c>
      <c r="S63" s="2">
        <f>S8*'Output-Calculation-sheet'!S52/10^9</f>
        <v>0.42114577476942089</v>
      </c>
      <c r="T63" s="2">
        <f>T8*'Output-Calculation-sheet'!T52/10^9</f>
        <v>0.20160322074021012</v>
      </c>
      <c r="U63" s="2">
        <f>U8*'Output-Calculation-sheet'!U52/10^9</f>
        <v>0.15722020822577804</v>
      </c>
      <c r="V63" s="2">
        <f>V8*'Output-Calculation-sheet'!V52/10^9</f>
        <v>0.26030976659601646</v>
      </c>
      <c r="W63" s="2">
        <f>W8*'Output-Calculation-sheet'!W52/10^9</f>
        <v>0.10923780663238636</v>
      </c>
      <c r="X63" s="2">
        <f>X8*'Output-Calculation-sheet'!X52/10^9</f>
        <v>0.1149407630676758</v>
      </c>
      <c r="Y63" s="2">
        <f>Y8*'Output-Calculation-sheet'!Y52/10^9</f>
        <v>6.3080772617925052E-2</v>
      </c>
      <c r="AA63" s="2">
        <f t="shared" si="4"/>
        <v>27.964729141585241</v>
      </c>
    </row>
    <row r="64" spans="1:27" x14ac:dyDescent="0.25">
      <c r="A64" s="2">
        <v>2032</v>
      </c>
      <c r="B64" s="2">
        <f>B9*'Output-Calculation-sheet'!B53/10^9</f>
        <v>8.1711805001922961</v>
      </c>
      <c r="C64" s="2">
        <f>C9*'Output-Calculation-sheet'!C53/10^9</f>
        <v>4.8264887839640682</v>
      </c>
      <c r="D64" s="2">
        <f>D9*'Output-Calculation-sheet'!D53/10^9</f>
        <v>1.715839079779363</v>
      </c>
      <c r="E64" s="2">
        <f>E9*'Output-Calculation-sheet'!E53/10^9</f>
        <v>2.0034427883063342</v>
      </c>
      <c r="F64" s="2">
        <f>F9*'Output-Calculation-sheet'!F53/10^9</f>
        <v>0.91934608910741833</v>
      </c>
      <c r="G64" s="2">
        <f>G9*'Output-Calculation-sheet'!G53/10^9</f>
        <v>0.6883683382766973</v>
      </c>
      <c r="H64" s="2">
        <f>H9*'Output-Calculation-sheet'!H53/10^9</f>
        <v>1.2819767402694706</v>
      </c>
      <c r="I64" s="2">
        <f>I9*'Output-Calculation-sheet'!I53/10^9</f>
        <v>0.55821950442932777</v>
      </c>
      <c r="J64" s="2">
        <f>J9*'Output-Calculation-sheet'!J53/10^9</f>
        <v>0.74924963965518343</v>
      </c>
      <c r="K64" s="2">
        <f>K9*'Output-Calculation-sheet'!K53/10^9</f>
        <v>0.55311385421909498</v>
      </c>
      <c r="L64" s="2">
        <f>L9*'Output-Calculation-sheet'!L53/10^9</f>
        <v>0.62096492893290178</v>
      </c>
      <c r="M64" s="2">
        <f>M9*'Output-Calculation-sheet'!M53/10^9</f>
        <v>0.92445515204026751</v>
      </c>
      <c r="N64" s="2">
        <f>N9*'Output-Calculation-sheet'!N53/10^9</f>
        <v>0.75559707945806998</v>
      </c>
      <c r="O64" s="2">
        <f>O9*'Output-Calculation-sheet'!O53/10^9</f>
        <v>0.8925883220897296</v>
      </c>
      <c r="P64" s="2">
        <f>P9*'Output-Calculation-sheet'!P53/10^9</f>
        <v>0.59020300136839732</v>
      </c>
      <c r="Q64" s="2">
        <f>Q9*'Output-Calculation-sheet'!Q53/10^9</f>
        <v>0.55982369209866933</v>
      </c>
      <c r="R64" s="2">
        <f>R9*'Output-Calculation-sheet'!R53/10^9</f>
        <v>0.47625279312785468</v>
      </c>
      <c r="S64" s="2">
        <f>S9*'Output-Calculation-sheet'!S53/10^9</f>
        <v>0.44774247475808532</v>
      </c>
      <c r="T64" s="2">
        <f>T9*'Output-Calculation-sheet'!T53/10^9</f>
        <v>0.17803232770468363</v>
      </c>
      <c r="U64" s="2">
        <f>U9*'Output-Calculation-sheet'!U53/10^9</f>
        <v>0.15168259690908362</v>
      </c>
      <c r="V64" s="2">
        <f>V9*'Output-Calculation-sheet'!V53/10^9</f>
        <v>0.22107198893583294</v>
      </c>
      <c r="W64" s="2">
        <f>W9*'Output-Calculation-sheet'!W53/10^9</f>
        <v>9.4228242683794955E-2</v>
      </c>
      <c r="X64" s="2">
        <f>X9*'Output-Calculation-sheet'!X53/10^9</f>
        <v>0.12032032354817281</v>
      </c>
      <c r="Y64" s="2">
        <f>Y9*'Output-Calculation-sheet'!Y53/10^9</f>
        <v>5.9934436638584172E-2</v>
      </c>
      <c r="AA64" s="2">
        <f t="shared" si="4"/>
        <v>27.560122678493382</v>
      </c>
    </row>
    <row r="65" spans="1:27" x14ac:dyDescent="0.25">
      <c r="A65" s="2">
        <v>2033</v>
      </c>
      <c r="B65" s="2">
        <f>B10*'Output-Calculation-sheet'!B54/10^9</f>
        <v>7.6091192127250569</v>
      </c>
      <c r="C65" s="2">
        <f>C10*'Output-Calculation-sheet'!C54/10^9</f>
        <v>4.7011138150386795</v>
      </c>
      <c r="D65" s="2">
        <f>D10*'Output-Calculation-sheet'!D54/10^9</f>
        <v>1.3563106654890249</v>
      </c>
      <c r="E65" s="2">
        <f>E10*'Output-Calculation-sheet'!E54/10^9</f>
        <v>1.7272795872647604</v>
      </c>
      <c r="F65" s="2">
        <f>F10*'Output-Calculation-sheet'!F54/10^9</f>
        <v>0.74222609592704825</v>
      </c>
      <c r="G65" s="2">
        <f>G10*'Output-Calculation-sheet'!G54/10^9</f>
        <v>0.52842903200868041</v>
      </c>
      <c r="H65" s="2">
        <f>H10*'Output-Calculation-sheet'!H54/10^9</f>
        <v>1.2416850923856868</v>
      </c>
      <c r="I65" s="2">
        <f>I10*'Output-Calculation-sheet'!I54/10^9</f>
        <v>0.4633219637676011</v>
      </c>
      <c r="J65" s="2">
        <f>J10*'Output-Calculation-sheet'!J54/10^9</f>
        <v>0.54818277177995123</v>
      </c>
      <c r="K65" s="2">
        <f>K10*'Output-Calculation-sheet'!K54/10^9</f>
        <v>0.5129918061276455</v>
      </c>
      <c r="L65" s="2">
        <f>L10*'Output-Calculation-sheet'!L54/10^9</f>
        <v>0.52903337914502835</v>
      </c>
      <c r="M65" s="2">
        <f>M10*'Output-Calculation-sheet'!M54/10^9</f>
        <v>0.88288035430184963</v>
      </c>
      <c r="N65" s="2">
        <f>N10*'Output-Calculation-sheet'!N54/10^9</f>
        <v>0.75232074243413227</v>
      </c>
      <c r="O65" s="2">
        <f>O10*'Output-Calculation-sheet'!O54/10^9</f>
        <v>0.87537069113386889</v>
      </c>
      <c r="P65" s="2">
        <f>P10*'Output-Calculation-sheet'!P54/10^9</f>
        <v>0.55495812769502051</v>
      </c>
      <c r="Q65" s="2">
        <f>Q10*'Output-Calculation-sheet'!Q54/10^9</f>
        <v>0.54766974892168585</v>
      </c>
      <c r="R65" s="2">
        <f>R10*'Output-Calculation-sheet'!R54/10^9</f>
        <v>0.43413579260643076</v>
      </c>
      <c r="S65" s="2">
        <f>S10*'Output-Calculation-sheet'!S54/10^9</f>
        <v>0.43573350210670986</v>
      </c>
      <c r="T65" s="2">
        <f>T10*'Output-Calculation-sheet'!T54/10^9</f>
        <v>0.14701769135060366</v>
      </c>
      <c r="U65" s="2">
        <f>U10*'Output-Calculation-sheet'!U54/10^9</f>
        <v>0.14119993665810185</v>
      </c>
      <c r="V65" s="2">
        <f>V10*'Output-Calculation-sheet'!V54/10^9</f>
        <v>0.16637352386522561</v>
      </c>
      <c r="W65" s="2">
        <f>W10*'Output-Calculation-sheet'!W54/10^9</f>
        <v>7.1102029461277902E-2</v>
      </c>
      <c r="X65" s="2">
        <f>X10*'Output-Calculation-sheet'!X54/10^9</f>
        <v>0.11340495125328102</v>
      </c>
      <c r="Y65" s="2">
        <f>Y10*'Output-Calculation-sheet'!Y54/10^9</f>
        <v>5.5158176982046413E-2</v>
      </c>
      <c r="AA65" s="2">
        <f t="shared" si="4"/>
        <v>25.137018690429404</v>
      </c>
    </row>
    <row r="66" spans="1:27" x14ac:dyDescent="0.25">
      <c r="A66" s="2">
        <v>2034</v>
      </c>
      <c r="B66" s="2">
        <f>B11*'Output-Calculation-sheet'!B55/10^9</f>
        <v>6.6175727700176896</v>
      </c>
      <c r="C66" s="2">
        <f>C11*'Output-Calculation-sheet'!C55/10^9</f>
        <v>4.149426049152475</v>
      </c>
      <c r="D66" s="2">
        <f>D11*'Output-Calculation-sheet'!D55/10^9</f>
        <v>1.1972117439727008</v>
      </c>
      <c r="E66" s="2">
        <f>E11*'Output-Calculation-sheet'!E55/10^9</f>
        <v>1.5506230850623957</v>
      </c>
      <c r="F66" s="2">
        <f>F11*'Output-Calculation-sheet'!F55/10^9</f>
        <v>0.61029371628981754</v>
      </c>
      <c r="G66" s="2">
        <f>G11*'Output-Calculation-sheet'!G55/10^9</f>
        <v>0.44518556422683953</v>
      </c>
      <c r="H66" s="2">
        <f>H11*'Output-Calculation-sheet'!H55/10^9</f>
        <v>1.1108983915910955</v>
      </c>
      <c r="I66" s="2">
        <f>I11*'Output-Calculation-sheet'!I55/10^9</f>
        <v>0.41384624413699911</v>
      </c>
      <c r="J66" s="2">
        <f>J11*'Output-Calculation-sheet'!J55/10^9</f>
        <v>0.41666545839404034</v>
      </c>
      <c r="K66" s="2">
        <f>K11*'Output-Calculation-sheet'!K55/10^9</f>
        <v>0.47444132499478664</v>
      </c>
      <c r="L66" s="2">
        <f>L11*'Output-Calculation-sheet'!L55/10^9</f>
        <v>0.45995489160639536</v>
      </c>
      <c r="M66" s="2">
        <f>M11*'Output-Calculation-sheet'!M55/10^9</f>
        <v>0.78026526299017618</v>
      </c>
      <c r="N66" s="2">
        <f>N11*'Output-Calculation-sheet'!N55/10^9</f>
        <v>0.67850172525388164</v>
      </c>
      <c r="O66" s="2">
        <f>O11*'Output-Calculation-sheet'!O55/10^9</f>
        <v>0.77393527244665339</v>
      </c>
      <c r="P66" s="2">
        <f>P11*'Output-Calculation-sheet'!P55/10^9</f>
        <v>0.49626958399093252</v>
      </c>
      <c r="Q66" s="2">
        <f>Q11*'Output-Calculation-sheet'!Q55/10^9</f>
        <v>0.51045636161116215</v>
      </c>
      <c r="R66" s="2">
        <f>R11*'Output-Calculation-sheet'!R55/10^9</f>
        <v>0.37766771029411844</v>
      </c>
      <c r="S66" s="2">
        <f>S11*'Output-Calculation-sheet'!S55/10^9</f>
        <v>0.39205031791263423</v>
      </c>
      <c r="T66" s="2">
        <f>T11*'Output-Calculation-sheet'!T55/10^9</f>
        <v>0.11833640917975601</v>
      </c>
      <c r="U66" s="2">
        <f>U11*'Output-Calculation-sheet'!U55/10^9</f>
        <v>0.12879169124605216</v>
      </c>
      <c r="V66" s="2">
        <f>V11*'Output-Calculation-sheet'!V55/10^9</f>
        <v>0.11183572675296263</v>
      </c>
      <c r="W66" s="2">
        <f>W11*'Output-Calculation-sheet'!W55/10^9</f>
        <v>5.4789681009683872E-2</v>
      </c>
      <c r="X66" s="2">
        <f>X11*'Output-Calculation-sheet'!X55/10^9</f>
        <v>9.6778477777652069E-2</v>
      </c>
      <c r="Y66" s="2">
        <f>Y11*'Output-Calculation-sheet'!Y55/10^9</f>
        <v>5.2570156118881828E-2</v>
      </c>
      <c r="AA66" s="2">
        <f t="shared" si="4"/>
        <v>22.018367616029781</v>
      </c>
    </row>
    <row r="67" spans="1:27" x14ac:dyDescent="0.25">
      <c r="A67" s="2">
        <v>2035</v>
      </c>
      <c r="B67" s="2">
        <f>B12*'Output-Calculation-sheet'!B56/10^9</f>
        <v>5.4815730826424982</v>
      </c>
      <c r="C67" s="2">
        <f>C12*'Output-Calculation-sheet'!C56/10^9</f>
        <v>3.310738224159151</v>
      </c>
      <c r="D67" s="2">
        <f>D12*'Output-Calculation-sheet'!D56/10^9</f>
        <v>1.0858450209249213</v>
      </c>
      <c r="E67" s="2">
        <f>E12*'Output-Calculation-sheet'!E56/10^9</f>
        <v>1.486902222065712</v>
      </c>
      <c r="F67" s="2">
        <f>F12*'Output-Calculation-sheet'!F56/10^9</f>
        <v>0.58297731213646409</v>
      </c>
      <c r="G67" s="2">
        <f>G12*'Output-Calculation-sheet'!G56/10^9</f>
        <v>0.42953749403215546</v>
      </c>
      <c r="H67" s="2">
        <f>H12*'Output-Calculation-sheet'!H56/10^9</f>
        <v>0.91468912686288772</v>
      </c>
      <c r="I67" s="2">
        <f>I12*'Output-Calculation-sheet'!I56/10^9</f>
        <v>0.39360221172922555</v>
      </c>
      <c r="J67" s="2">
        <f>J12*'Output-Calculation-sheet'!J56/10^9</f>
        <v>0.36040828152095777</v>
      </c>
      <c r="K67" s="2">
        <f>K12*'Output-Calculation-sheet'!K56/10^9</f>
        <v>0.43171749568084422</v>
      </c>
      <c r="L67" s="2">
        <f>L12*'Output-Calculation-sheet'!L56/10^9</f>
        <v>0.40233577759232636</v>
      </c>
      <c r="M67" s="2">
        <f>M12*'Output-Calculation-sheet'!M56/10^9</f>
        <v>0.64710024539105182</v>
      </c>
      <c r="N67" s="2">
        <f>N12*'Output-Calculation-sheet'!N56/10^9</f>
        <v>0.55268535341220626</v>
      </c>
      <c r="O67" s="2">
        <f>O12*'Output-Calculation-sheet'!O56/10^9</f>
        <v>0.61138979090513834</v>
      </c>
      <c r="P67" s="2">
        <f>P12*'Output-Calculation-sheet'!P56/10^9</f>
        <v>0.44855819185230333</v>
      </c>
      <c r="Q67" s="2">
        <f>Q12*'Output-Calculation-sheet'!Q56/10^9</f>
        <v>0.42372386968444808</v>
      </c>
      <c r="R67" s="2">
        <f>R12*'Output-Calculation-sheet'!R56/10^9</f>
        <v>0.33237618154617243</v>
      </c>
      <c r="S67" s="2">
        <f>S12*'Output-Calculation-sheet'!S56/10^9</f>
        <v>0.32107205581030035</v>
      </c>
      <c r="T67" s="2">
        <f>T12*'Output-Calculation-sheet'!T56/10^9</f>
        <v>0.10343325397605688</v>
      </c>
      <c r="U67" s="2">
        <f>U12*'Output-Calculation-sheet'!U56/10^9</f>
        <v>0.11181771602045003</v>
      </c>
      <c r="V67" s="2">
        <f>V12*'Output-Calculation-sheet'!V56/10^9</f>
        <v>7.9770642382156656E-2</v>
      </c>
      <c r="W67" s="2">
        <f>W12*'Output-Calculation-sheet'!W56/10^9</f>
        <v>5.4149086436187155E-2</v>
      </c>
      <c r="X67" s="2">
        <f>X12*'Output-Calculation-sheet'!X56/10^9</f>
        <v>7.724089316359059E-2</v>
      </c>
      <c r="Y67" s="2">
        <f>Y12*'Output-Calculation-sheet'!Y56/10^9</f>
        <v>5.0527530070865148E-2</v>
      </c>
      <c r="AA67" s="2">
        <f t="shared" si="4"/>
        <v>18.694171059998073</v>
      </c>
    </row>
    <row r="68" spans="1:27" x14ac:dyDescent="0.25">
      <c r="B68" s="2">
        <f>SUM(B60:B67)</f>
        <v>36.130356225476149</v>
      </c>
      <c r="C68" s="2">
        <f t="shared" ref="C68:Y68" si="5">SUM(C60:C67)</f>
        <v>21.472341245086767</v>
      </c>
      <c r="D68" s="2">
        <f t="shared" si="5"/>
        <v>7.2870800961545106</v>
      </c>
      <c r="E68" s="2">
        <f t="shared" si="5"/>
        <v>8.9783962204183254</v>
      </c>
      <c r="F68" s="2">
        <f t="shared" si="5"/>
        <v>3.8879456699800885</v>
      </c>
      <c r="G68" s="2">
        <f t="shared" si="5"/>
        <v>2.879535527256373</v>
      </c>
      <c r="H68" s="2">
        <f t="shared" si="5"/>
        <v>5.7270968636801953</v>
      </c>
      <c r="I68" s="2">
        <f t="shared" si="5"/>
        <v>2.4514694873424951</v>
      </c>
      <c r="J68" s="2">
        <f t="shared" si="5"/>
        <v>2.9544854719974327</v>
      </c>
      <c r="K68" s="2">
        <f t="shared" si="5"/>
        <v>2.5499276966376025</v>
      </c>
      <c r="L68" s="2">
        <f t="shared" si="5"/>
        <v>2.6962185546323596</v>
      </c>
      <c r="M68" s="2">
        <f t="shared" si="5"/>
        <v>4.0970930649928299</v>
      </c>
      <c r="N68" s="2">
        <f t="shared" si="5"/>
        <v>3.4267726574234398</v>
      </c>
      <c r="O68" s="2">
        <f t="shared" si="5"/>
        <v>3.9680309083203316</v>
      </c>
      <c r="P68" s="2">
        <f t="shared" si="5"/>
        <v>2.677482347073862</v>
      </c>
      <c r="Q68" s="2">
        <f t="shared" si="5"/>
        <v>2.5896772465974598</v>
      </c>
      <c r="R68" s="2">
        <f t="shared" si="5"/>
        <v>2.1167957501035177</v>
      </c>
      <c r="S68" s="2">
        <f t="shared" si="5"/>
        <v>2.0177441253571504</v>
      </c>
      <c r="T68" s="2">
        <f t="shared" si="5"/>
        <v>0.74842290295131031</v>
      </c>
      <c r="U68" s="2">
        <f t="shared" si="5"/>
        <v>0.69071214905946565</v>
      </c>
      <c r="V68" s="2">
        <f t="shared" si="5"/>
        <v>0.8393616485321943</v>
      </c>
      <c r="W68" s="2">
        <f t="shared" si="5"/>
        <v>0.38350684622333026</v>
      </c>
      <c r="X68" s="2">
        <f t="shared" si="5"/>
        <v>0.52268540881037229</v>
      </c>
      <c r="Y68" s="2">
        <f t="shared" si="5"/>
        <v>0.28127107242830263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919.66236124623947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1677.1889545638846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1131.04132067399</v>
      </c>
      <c r="N74" s="2">
        <f>N8/'Output-Calculation-sheet'!N7*'Output-Calculation-sheet'!N61</f>
        <v>46.888954056812224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10.036592213545633</v>
      </c>
      <c r="Y74" s="2">
        <f>Y8/'Output-Calculation-sheet'!Y7*'Output-Calculation-sheet'!Y61</f>
        <v>0</v>
      </c>
      <c r="AA74" s="2">
        <f t="shared" si="6"/>
        <v>3.7848181827544716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153.06442605008195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2748.6135615301473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1867.830519566025</v>
      </c>
      <c r="N75" s="2">
        <f>N9/'Output-Calculation-sheet'!N8*'Output-Calculation-sheet'!N62</f>
        <v>719.33372654165464</v>
      </c>
      <c r="O75" s="2">
        <f>O9/'Output-Calculation-sheet'!O8*'Output-Calculation-sheet'!O62</f>
        <v>0</v>
      </c>
      <c r="P75" s="2">
        <f>P9/'Output-Calculation-sheet'!P8*'Output-Calculation-sheet'!P62</f>
        <v>56.989368388008856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241.71926621894289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65.601578905411074</v>
      </c>
      <c r="Y75" s="2">
        <f>Y9/'Output-Calculation-sheet'!Y8*'Output-Calculation-sheet'!Y62</f>
        <v>0</v>
      </c>
      <c r="AA75" s="2">
        <f t="shared" si="6"/>
        <v>5.8531524472002721</v>
      </c>
    </row>
    <row r="76" spans="1:27" x14ac:dyDescent="0.25">
      <c r="A76" s="2">
        <v>2033</v>
      </c>
      <c r="B76" s="2">
        <f>B10/'Output-Calculation-sheet'!B9*'Output-Calculation-sheet'!B63</f>
        <v>5382.3057150880995</v>
      </c>
      <c r="C76" s="2">
        <f>C10/'Output-Calculation-sheet'!C9*'Output-Calculation-sheet'!C63</f>
        <v>1085.3007040283053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3508.9930109227412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2394.9048586799945</v>
      </c>
      <c r="N76" s="2">
        <f>N10/'Output-Calculation-sheet'!N9*'Output-Calculation-sheet'!N63</f>
        <v>1364.0231676568785</v>
      </c>
      <c r="O76" s="2">
        <f>O10/'Output-Calculation-sheet'!O9*'Output-Calculation-sheet'!O63</f>
        <v>0</v>
      </c>
      <c r="P76" s="2">
        <f>P10/'Output-Calculation-sheet'!P9*'Output-Calculation-sheet'!P63</f>
        <v>473.01610402987785</v>
      </c>
      <c r="Q76" s="2">
        <f>Q10/'Output-Calculation-sheet'!Q9*'Output-Calculation-sheet'!Q63</f>
        <v>215.01417405286156</v>
      </c>
      <c r="R76" s="2">
        <f>R10/'Output-Calculation-sheet'!R9*'Output-Calculation-sheet'!R63</f>
        <v>358.95541578042304</v>
      </c>
      <c r="S76" s="2">
        <f>S10/'Output-Calculation-sheet'!S9*'Output-Calculation-sheet'!S63</f>
        <v>609.98590976377375</v>
      </c>
      <c r="T76" s="2">
        <f>T10/'Output-Calculation-sheet'!T9*'Output-Calculation-sheet'!T63</f>
        <v>23.65098845470553</v>
      </c>
      <c r="U76" s="2">
        <f>U10/'Output-Calculation-sheet'!U9*'Output-Calculation-sheet'!U63</f>
        <v>127.56120556763553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137.39136979765274</v>
      </c>
      <c r="Y76" s="2">
        <f>Y10/'Output-Calculation-sheet'!Y9*'Output-Calculation-sheet'!Y63</f>
        <v>6.0582963765313975</v>
      </c>
      <c r="AA76" s="2">
        <f t="shared" si="6"/>
        <v>15.786339397032735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1587.3710905961079</v>
      </c>
      <c r="D77" s="2">
        <f>D11/'Output-Calculation-sheet'!D10*'Output-Calculation-sheet'!D64</f>
        <v>1348.9947613143931</v>
      </c>
      <c r="E77" s="2">
        <f>E11/'Output-Calculation-sheet'!E10*'Output-Calculation-sheet'!E64</f>
        <v>1687.2241262495518</v>
      </c>
      <c r="F77" s="2">
        <f>F11/'Output-Calculation-sheet'!F10*'Output-Calculation-sheet'!F64</f>
        <v>120.05017042125029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3567.237664012288</v>
      </c>
      <c r="I77" s="2">
        <f>I11/'Output-Calculation-sheet'!I10*'Output-Calculation-sheet'!I64</f>
        <v>418.71161919783242</v>
      </c>
      <c r="J77" s="2">
        <f>J11/'Output-Calculation-sheet'!J10*'Output-Calculation-sheet'!J64</f>
        <v>295.23452321829808</v>
      </c>
      <c r="K77" s="2">
        <f>K11/'Output-Calculation-sheet'!K10*'Output-Calculation-sheet'!K64</f>
        <v>642.68447465580186</v>
      </c>
      <c r="L77" s="2">
        <f>L11/'Output-Calculation-sheet'!L10*'Output-Calculation-sheet'!L64</f>
        <v>263.25947993021782</v>
      </c>
      <c r="M77" s="2">
        <f>M11/'Output-Calculation-sheet'!M10*'Output-Calculation-sheet'!M64</f>
        <v>2521.0489999618308</v>
      </c>
      <c r="N77" s="2">
        <f>N11/'Output-Calculation-sheet'!N10*'Output-Calculation-sheet'!N64</f>
        <v>1747.3294025317216</v>
      </c>
      <c r="O77" s="2">
        <f>O11/'Output-Calculation-sheet'!O10*'Output-Calculation-sheet'!O64</f>
        <v>63.491248780432095</v>
      </c>
      <c r="P77" s="2">
        <f>P11/'Output-Calculation-sheet'!P10*'Output-Calculation-sheet'!P64</f>
        <v>792.46698154323167</v>
      </c>
      <c r="Q77" s="2">
        <f>Q11/'Output-Calculation-sheet'!Q10*'Output-Calculation-sheet'!Q64</f>
        <v>453.69991766426642</v>
      </c>
      <c r="R77" s="2">
        <f>R11/'Output-Calculation-sheet'!R10*'Output-Calculation-sheet'!R64</f>
        <v>676.84108537126485</v>
      </c>
      <c r="S77" s="2">
        <f>S11/'Output-Calculation-sheet'!S10*'Output-Calculation-sheet'!S64</f>
        <v>896.77149096741766</v>
      </c>
      <c r="T77" s="2">
        <f>T11/'Output-Calculation-sheet'!T10*'Output-Calculation-sheet'!T64</f>
        <v>187.15958044183972</v>
      </c>
      <c r="U77" s="2">
        <f>U11/'Output-Calculation-sheet'!U10*'Output-Calculation-sheet'!U64</f>
        <v>248.22302166780131</v>
      </c>
      <c r="V77" s="2">
        <f>V11/'Output-Calculation-sheet'!V10*'Output-Calculation-sheet'!V64</f>
        <v>97.693606946565495</v>
      </c>
      <c r="W77" s="2">
        <f>W11/'Output-Calculation-sheet'!W10*'Output-Calculation-sheet'!W64</f>
        <v>21.285524876586816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29.537456327089586</v>
      </c>
    </row>
    <row r="78" spans="1:27" x14ac:dyDescent="0.25">
      <c r="A78" s="2">
        <v>2035</v>
      </c>
      <c r="B78" s="2">
        <f>B12/'Output-Calculation-sheet'!B11*'Output-Calculation-sheet'!B65</f>
        <v>10622.558136421687</v>
      </c>
      <c r="C78" s="2">
        <f>C12/'Output-Calculation-sheet'!C11*'Output-Calculation-sheet'!C65</f>
        <v>39.063278834500807</v>
      </c>
      <c r="D78" s="2">
        <f>D12/'Output-Calculation-sheet'!D11*'Output-Calculation-sheet'!D65</f>
        <v>1109.6907247731917</v>
      </c>
      <c r="E78" s="2">
        <f>E12/'Output-Calculation-sheet'!E11*'Output-Calculation-sheet'!E65</f>
        <v>2108.5884165095654</v>
      </c>
      <c r="F78" s="2">
        <f>F12/'Output-Calculation-sheet'!F11*'Output-Calculation-sheet'!F65</f>
        <v>450.78509004979321</v>
      </c>
      <c r="G78" s="2">
        <f>G12/'Output-Calculation-sheet'!G11*'Output-Calculation-sheet'!G65</f>
        <v>859.27446339173707</v>
      </c>
      <c r="H78" s="2">
        <f>H12/'Output-Calculation-sheet'!H11*'Output-Calculation-sheet'!H65</f>
        <v>2750.8227796790402</v>
      </c>
      <c r="I78" s="2">
        <f>I12/'Output-Calculation-sheet'!I11*'Output-Calculation-sheet'!I65</f>
        <v>497.45151955003627</v>
      </c>
      <c r="J78" s="2">
        <f>J12/'Output-Calculation-sheet'!J11*'Output-Calculation-sheet'!J65</f>
        <v>455.71442311900961</v>
      </c>
      <c r="K78" s="2">
        <f>K12/'Output-Calculation-sheet'!K11*'Output-Calculation-sheet'!K65</f>
        <v>566.51858968636509</v>
      </c>
      <c r="L78" s="2">
        <f>L12/'Output-Calculation-sheet'!L11*'Output-Calculation-sheet'!L65</f>
        <v>331.7174117975664</v>
      </c>
      <c r="M78" s="2">
        <f>M12/'Output-Calculation-sheet'!M11*'Output-Calculation-sheet'!M65</f>
        <v>1926.5515617531451</v>
      </c>
      <c r="N78" s="2">
        <f>N12/'Output-Calculation-sheet'!N11*'Output-Calculation-sheet'!N65</f>
        <v>1356.2220634005844</v>
      </c>
      <c r="O78" s="2">
        <f>O12/'Output-Calculation-sheet'!O11*'Output-Calculation-sheet'!O65</f>
        <v>200.37164120775992</v>
      </c>
      <c r="P78" s="2">
        <f>P12/'Output-Calculation-sheet'!P11*'Output-Calculation-sheet'!P65</f>
        <v>777.69085268655181</v>
      </c>
      <c r="Q78" s="2">
        <f>Q12/'Output-Calculation-sheet'!Q11*'Output-Calculation-sheet'!Q65</f>
        <v>379.22297962308431</v>
      </c>
      <c r="R78" s="2">
        <f>R12/'Output-Calculation-sheet'!R11*'Output-Calculation-sheet'!R65</f>
        <v>649.8288273174004</v>
      </c>
      <c r="S78" s="2">
        <f>S12/'Output-Calculation-sheet'!S11*'Output-Calculation-sheet'!S65</f>
        <v>731.04578116002324</v>
      </c>
      <c r="T78" s="2">
        <f>T12/'Output-Calculation-sheet'!T11*'Output-Calculation-sheet'!T65</f>
        <v>230.21422826816348</v>
      </c>
      <c r="U78" s="2">
        <f>U12/'Output-Calculation-sheet'!U11*'Output-Calculation-sheet'!U65</f>
        <v>198.7669377257312</v>
      </c>
      <c r="V78" s="2">
        <f>V12/'Output-Calculation-sheet'!V11*'Output-Calculation-sheet'!V65</f>
        <v>125.54115683417874</v>
      </c>
      <c r="W78" s="2">
        <f>W12/'Output-Calculation-sheet'!W11*'Output-Calculation-sheet'!W65</f>
        <v>89.814347342198062</v>
      </c>
      <c r="X78" s="2">
        <f>X12/'Output-Calculation-sheet'!X11*'Output-Calculation-sheet'!X65</f>
        <v>16.469066479780111</v>
      </c>
      <c r="Y78" s="2">
        <f>Y12/'Output-Calculation-sheet'!Y11*'Output-Calculation-sheet'!Y65</f>
        <v>86.001311791770078</v>
      </c>
      <c r="AA78" s="2">
        <f t="shared" si="6"/>
        <v>26.559925589402869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30.241172620140816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3.0241172620140817E-2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326.80536345627877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0.32680536345627875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381.45998325528313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0.38145998325528313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20.675166503548546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4.4457895786824757</v>
      </c>
      <c r="N88" s="2">
        <f>N11/'Output-Calculation-sheet'!N10*'Output-Calculation-sheet'!N73</f>
        <v>4.3694901602020781</v>
      </c>
      <c r="O88" s="2">
        <f>O11/'Output-Calculation-sheet'!O10*'Output-Calculation-sheet'!O73</f>
        <v>375.94843860740087</v>
      </c>
      <c r="P88" s="2">
        <f>P11/'Output-Calculation-sheet'!P10*'Output-Calculation-sheet'!P73</f>
        <v>0</v>
      </c>
      <c r="Q88" s="2">
        <f>Q11/'Output-Calculation-sheet'!Q10*'Output-Calculation-sheet'!Q73</f>
        <v>16.079037979575862</v>
      </c>
      <c r="R88" s="2">
        <f>R11/'Output-Calculation-sheet'!R10*'Output-Calculation-sheet'!R73</f>
        <v>0</v>
      </c>
      <c r="S88" s="2">
        <f>S11/'Output-Calculation-sheet'!S10*'Output-Calculation-sheet'!S73</f>
        <v>0.50094852041056837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0.42201887134982041</v>
      </c>
    </row>
    <row r="89" spans="1:27" x14ac:dyDescent="0.25">
      <c r="A89" s="2">
        <v>2035</v>
      </c>
      <c r="B89" s="2">
        <f>B12/'Output-Calculation-sheet'!B11*'Output-Calculation-sheet'!B74</f>
        <v>207.33115333727824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70.297658927959134</v>
      </c>
      <c r="E89" s="2">
        <f>E12/'Output-Calculation-sheet'!E11*'Output-Calculation-sheet'!E74</f>
        <v>75.980416869877999</v>
      </c>
      <c r="F89" s="2">
        <f>F12/'Output-Calculation-sheet'!F11*'Output-Calculation-sheet'!F74</f>
        <v>29.515163363438305</v>
      </c>
      <c r="G89" s="2">
        <f>G12/'Output-Calculation-sheet'!G11*'Output-Calculation-sheet'!G74</f>
        <v>26.226053858326836</v>
      </c>
      <c r="H89" s="2">
        <f>H12/'Output-Calculation-sheet'!H11*'Output-Calculation-sheet'!H74</f>
        <v>100.64712688470554</v>
      </c>
      <c r="I89" s="2">
        <f>I12/'Output-Calculation-sheet'!I11*'Output-Calculation-sheet'!I74</f>
        <v>24.495973072961579</v>
      </c>
      <c r="J89" s="2">
        <f>J12/'Output-Calculation-sheet'!J11*'Output-Calculation-sheet'!J74</f>
        <v>14.366162346966663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19.143842457847867</v>
      </c>
      <c r="M89" s="2">
        <f>M12/'Output-Calculation-sheet'!M11*'Output-Calculation-sheet'!M74</f>
        <v>58.496957143244309</v>
      </c>
      <c r="N89" s="2">
        <f>N12/'Output-Calculation-sheet'!N11*'Output-Calculation-sheet'!N74</f>
        <v>43.615396099756062</v>
      </c>
      <c r="O89" s="2">
        <f>O12/'Output-Calculation-sheet'!O11*'Output-Calculation-sheet'!O74</f>
        <v>313.89201390735445</v>
      </c>
      <c r="P89" s="2">
        <f>P12/'Output-Calculation-sheet'!P11*'Output-Calculation-sheet'!P74</f>
        <v>23.809479263636131</v>
      </c>
      <c r="Q89" s="2">
        <f>Q12/'Output-Calculation-sheet'!Q11*'Output-Calculation-sheet'!Q74</f>
        <v>36.476775460488504</v>
      </c>
      <c r="R89" s="2">
        <f>R12/'Output-Calculation-sheet'!R11*'Output-Calculation-sheet'!R74</f>
        <v>14.354602310714546</v>
      </c>
      <c r="S89" s="2">
        <f>S12/'Output-Calculation-sheet'!S11*'Output-Calculation-sheet'!S74</f>
        <v>19.3196119215186</v>
      </c>
      <c r="T89" s="2">
        <f>T12/'Output-Calculation-sheet'!T11*'Output-Calculation-sheet'!T74</f>
        <v>3.3988237470109097</v>
      </c>
      <c r="U89" s="2">
        <f>U12/'Output-Calculation-sheet'!U11*'Output-Calculation-sheet'!U74</f>
        <v>6.2809789988975977</v>
      </c>
      <c r="V89" s="2">
        <f>V12/'Output-Calculation-sheet'!V11*'Output-Calculation-sheet'!V74</f>
        <v>0.85467944256981543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0.29504541896370146</v>
      </c>
      <c r="Y89" s="2">
        <f>Y12/'Output-Calculation-sheet'!Y11*'Output-Calculation-sheet'!Y74</f>
        <v>2.7760636116740494</v>
      </c>
      <c r="AA89" s="2">
        <f t="shared" si="7"/>
        <v>1.1255026827757963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13691710132.710594</v>
      </c>
      <c r="C96" s="2">
        <f>C8/'Output-Calculation-sheet'!C7*'Output-Calculation-sheet'!C79</f>
        <v>4631976720.4704523</v>
      </c>
      <c r="D96" s="2">
        <f>D8/'Output-Calculation-sheet'!D7*'Output-Calculation-sheet'!D79</f>
        <v>4835454057.2958765</v>
      </c>
      <c r="E96" s="2">
        <f>E8/'Output-Calculation-sheet'!E7*'Output-Calculation-sheet'!E79</f>
        <v>8597038931.8044872</v>
      </c>
      <c r="F96" s="2">
        <f>F8/'Output-Calculation-sheet'!F7*'Output-Calculation-sheet'!F79</f>
        <v>3558228891.5107021</v>
      </c>
      <c r="G96" s="2">
        <f>G8/'Output-Calculation-sheet'!G7*'Output-Calculation-sheet'!G79</f>
        <v>2771573770.6586838</v>
      </c>
      <c r="H96" s="2">
        <f>H8/'Output-Calculation-sheet'!H7*'Output-Calculation-sheet'!H79</f>
        <v>2372314009.75875</v>
      </c>
      <c r="I96" s="2">
        <f>I8/'Output-Calculation-sheet'!I7*'Output-Calculation-sheet'!I79</f>
        <v>1930691000.8930995</v>
      </c>
      <c r="J96" s="2">
        <f>J8/'Output-Calculation-sheet'!J7*'Output-Calculation-sheet'!J79</f>
        <v>1305579450.0473437</v>
      </c>
      <c r="K96" s="2">
        <f>K8/'Output-Calculation-sheet'!K7*'Output-Calculation-sheet'!K79</f>
        <v>1867897496.0374408</v>
      </c>
      <c r="L96" s="2">
        <f>L8/'Output-Calculation-sheet'!L7*'Output-Calculation-sheet'!L79</f>
        <v>1317990021.2898946</v>
      </c>
      <c r="M96" s="2">
        <f>M8/'Output-Calculation-sheet'!M7*'Output-Calculation-sheet'!M79</f>
        <v>1770884450.9694011</v>
      </c>
      <c r="N96" s="2">
        <f>N8/'Output-Calculation-sheet'!N7*'Output-Calculation-sheet'!N79</f>
        <v>1317677152.5389705</v>
      </c>
      <c r="O96" s="2">
        <f>O8/'Output-Calculation-sheet'!O7*'Output-Calculation-sheet'!O79</f>
        <v>666129768.79308808</v>
      </c>
      <c r="P96" s="2">
        <f>P8/'Output-Calculation-sheet'!P7*'Output-Calculation-sheet'!P79</f>
        <v>2228078822.5989447</v>
      </c>
      <c r="Q96" s="2">
        <f>Q8/'Output-Calculation-sheet'!Q7*'Output-Calculation-sheet'!Q79</f>
        <v>1038378287.9681617</v>
      </c>
      <c r="R96" s="2">
        <f>R8/'Output-Calculation-sheet'!R7*'Output-Calculation-sheet'!R79</f>
        <v>1295502555.8951204</v>
      </c>
      <c r="S96" s="2">
        <f>S8/'Output-Calculation-sheet'!S7*'Output-Calculation-sheet'!S79</f>
        <v>754866807.89260995</v>
      </c>
      <c r="T96" s="2">
        <f>T8/'Output-Calculation-sheet'!T7*'Output-Calculation-sheet'!T79</f>
        <v>576541775.95002913</v>
      </c>
      <c r="U96" s="2">
        <f>U8/'Output-Calculation-sheet'!U7*'Output-Calculation-sheet'!U79</f>
        <v>362169427.70035923</v>
      </c>
      <c r="V96" s="2">
        <f>V8/'Output-Calculation-sheet'!V7*'Output-Calculation-sheet'!V79</f>
        <v>187911540.98970628</v>
      </c>
      <c r="W96" s="2">
        <f>W8/'Output-Calculation-sheet'!W7*'Output-Calculation-sheet'!W79</f>
        <v>555267938.00363421</v>
      </c>
      <c r="X96" s="2">
        <f>X8/'Output-Calculation-sheet'!X7*'Output-Calculation-sheet'!X79</f>
        <v>195159884.971946</v>
      </c>
      <c r="Y96" s="2">
        <f>Y8/'Output-Calculation-sheet'!Y7*'Output-Calculation-sheet'!Y79</f>
        <v>305227398.55426192</v>
      </c>
      <c r="AA96" s="2">
        <f t="shared" si="8"/>
        <v>58.134250295303545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1598.1494429239547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310.47603890011237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37.135945817881058</v>
      </c>
      <c r="Y107" s="2">
        <f>Y8/'Output-Calculation-sheet'!Y7*'Output-Calculation-sheet'!Y88</f>
        <v>0</v>
      </c>
      <c r="AA107" s="2">
        <f t="shared" si="9"/>
        <v>1.9457614276419481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2887.603711490468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2.9355314191312449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3.4982100231732152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3.615581137966938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79.514740410717536</v>
      </c>
      <c r="Y111" s="2">
        <f>Y12/'Output-Calculation-sheet'!Y11*'Output-Calculation-sheet'!Y92</f>
        <v>0</v>
      </c>
      <c r="AA111" s="2">
        <f t="shared" si="9"/>
        <v>3.7458634364816126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1601997352.9320047</v>
      </c>
      <c r="C118" s="2">
        <f>C8/'Output-Calculation-sheet'!C7*'Output-Calculation-sheet'!C97</f>
        <v>13227317360.220278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8231710531.9511433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5679183011.8455734</v>
      </c>
      <c r="N118" s="2">
        <f>N8/'Output-Calculation-sheet'!N7*'Output-Calculation-sheet'!N97</f>
        <v>1900916242.6854103</v>
      </c>
      <c r="O118" s="2">
        <f>O8/'Output-Calculation-sheet'!O7*'Output-Calculation-sheet'!O97</f>
        <v>2238014108.3789186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569732278.24126673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309233793.96430665</v>
      </c>
      <c r="Y118" s="2">
        <f>Y8/'Output-Calculation-sheet'!Y7*'Output-Calculation-sheet'!Y97</f>
        <v>0</v>
      </c>
      <c r="AA118" s="2">
        <f t="shared" si="10"/>
        <v>33758.104680218901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10022358178.397324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3442399901.0441084</v>
      </c>
      <c r="O119" s="2">
        <f>O9/'Output-Calculation-sheet'!O8*'Output-Calculation-sheet'!O98</f>
        <v>3717761752.6511097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1032043999.0479798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403163021.65967727</v>
      </c>
      <c r="Y119" s="2">
        <f>Y9/'Output-Calculation-sheet'!Y8*'Output-Calculation-sheet'!Y98</f>
        <v>0</v>
      </c>
      <c r="AA119" s="2">
        <f t="shared" si="10"/>
        <v>43364.00122334194</v>
      </c>
    </row>
    <row r="120" spans="1:27" x14ac:dyDescent="0.25">
      <c r="A120" s="2">
        <v>2033</v>
      </c>
      <c r="B120" s="2">
        <f>B10/'Output-Calculation-sheet'!B9*'Output-Calculation-sheet'!B99</f>
        <v>16005312889.917637</v>
      </c>
      <c r="C120" s="2">
        <f>C10/'Output-Calculation-sheet'!C9*'Output-Calculation-sheet'!C99</f>
        <v>9262844034.2385044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4801827344.0709124</v>
      </c>
      <c r="O120" s="2">
        <f>O10/'Output-Calculation-sheet'!O9*'Output-Calculation-sheet'!O99</f>
        <v>3744097507.7288475</v>
      </c>
      <c r="P120" s="2">
        <f>P10/'Output-Calculation-sheet'!P9*'Output-Calculation-sheet'!P99</f>
        <v>0</v>
      </c>
      <c r="Q120" s="2">
        <f>Q10/'Output-Calculation-sheet'!Q9*'Output-Calculation-sheet'!Q99</f>
        <v>157441992.33445856</v>
      </c>
      <c r="R120" s="2">
        <f>R10/'Output-Calculation-sheet'!R9*'Output-Calculation-sheet'!R99</f>
        <v>0</v>
      </c>
      <c r="S120" s="2">
        <f>S10/'Output-Calculation-sheet'!S9*'Output-Calculation-sheet'!S99</f>
        <v>1934209412.4403541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526199595.24667704</v>
      </c>
      <c r="Y120" s="2">
        <f>Y10/'Output-Calculation-sheet'!Y9*'Output-Calculation-sheet'!Y99</f>
        <v>0</v>
      </c>
      <c r="AA120" s="2">
        <f t="shared" si="10"/>
        <v>56473.7137372543</v>
      </c>
    </row>
    <row r="121" spans="1:27" x14ac:dyDescent="0.25">
      <c r="A121" s="2">
        <v>2034</v>
      </c>
      <c r="B121" s="2">
        <f>B11/'Output-Calculation-sheet'!B10*'Output-Calculation-sheet'!B100</f>
        <v>31110627140.97897</v>
      </c>
      <c r="C121" s="2">
        <f>C11/'Output-Calculation-sheet'!C10*'Output-Calculation-sheet'!C100</f>
        <v>7730498218.6632509</v>
      </c>
      <c r="D121" s="2">
        <f>D11/'Output-Calculation-sheet'!D10*'Output-Calculation-sheet'!D100</f>
        <v>0</v>
      </c>
      <c r="E121" s="2">
        <f>E11/'Output-Calculation-sheet'!E10*'Output-Calculation-sheet'!E100</f>
        <v>643511282.50827396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11415773801.965733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528930912.21384865</v>
      </c>
      <c r="M121" s="2">
        <f>M11/'Output-Calculation-sheet'!M10*'Output-Calculation-sheet'!M100</f>
        <v>7989450205.9536915</v>
      </c>
      <c r="N121" s="2">
        <f>N11/'Output-Calculation-sheet'!N10*'Output-Calculation-sheet'!N100</f>
        <v>5425558354.3075428</v>
      </c>
      <c r="O121" s="2">
        <f>O11/'Output-Calculation-sheet'!O10*'Output-Calculation-sheet'!O100</f>
        <v>3440042384.1501369</v>
      </c>
      <c r="P121" s="2">
        <f>P11/'Output-Calculation-sheet'!P10*'Output-Calculation-sheet'!P100</f>
        <v>0</v>
      </c>
      <c r="Q121" s="2">
        <f>Q11/'Output-Calculation-sheet'!Q10*'Output-Calculation-sheet'!Q100</f>
        <v>699041459.27453959</v>
      </c>
      <c r="R121" s="2">
        <f>R11/'Output-Calculation-sheet'!R10*'Output-Calculation-sheet'!R100</f>
        <v>0</v>
      </c>
      <c r="S121" s="2">
        <f>S11/'Output-Calculation-sheet'!S10*'Output-Calculation-sheet'!S100</f>
        <v>2697626317.506166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35297413.53871768</v>
      </c>
      <c r="AA121" s="2">
        <f t="shared" si="10"/>
        <v>72101.565493641072</v>
      </c>
    </row>
    <row r="122" spans="1:27" x14ac:dyDescent="0.25">
      <c r="A122" s="2">
        <v>2035</v>
      </c>
      <c r="B122" s="2">
        <f>B12/'Output-Calculation-sheet'!B11*'Output-Calculation-sheet'!B101</f>
        <v>29734577934.612213</v>
      </c>
      <c r="C122" s="2">
        <f>C12/'Output-Calculation-sheet'!C11*'Output-Calculation-sheet'!C101</f>
        <v>174751860.20788178</v>
      </c>
      <c r="D122" s="2">
        <f>D12/'Output-Calculation-sheet'!D11*'Output-Calculation-sheet'!D101</f>
        <v>0</v>
      </c>
      <c r="E122" s="2">
        <f>E12/'Output-Calculation-sheet'!E11*'Output-Calculation-sheet'!E101</f>
        <v>2378810534.389143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9118502665.4000015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611248141.83007777</v>
      </c>
      <c r="M122" s="2">
        <f>M12/'Output-Calculation-sheet'!M11*'Output-Calculation-sheet'!M101</f>
        <v>6396454669.9236164</v>
      </c>
      <c r="N122" s="2">
        <f>N12/'Output-Calculation-sheet'!N11*'Output-Calculation-sheet'!N101</f>
        <v>4304008920.0020237</v>
      </c>
      <c r="O122" s="2">
        <f>O12/'Output-Calculation-sheet'!O11*'Output-Calculation-sheet'!O101</f>
        <v>2917863692.5013833</v>
      </c>
      <c r="P122" s="2">
        <f>P12/'Output-Calculation-sheet'!P11*'Output-Calculation-sheet'!P101</f>
        <v>182946055.76699069</v>
      </c>
      <c r="Q122" s="2">
        <f>Q12/'Output-Calculation-sheet'!Q11*'Output-Calculation-sheet'!Q101</f>
        <v>687831553.92614996</v>
      </c>
      <c r="R122" s="2">
        <f>R12/'Output-Calculation-sheet'!R11*'Output-Calculation-sheet'!R101</f>
        <v>0</v>
      </c>
      <c r="S122" s="2">
        <f>S12/'Output-Calculation-sheet'!S11*'Output-Calculation-sheet'!S101</f>
        <v>2260632112.3995352</v>
      </c>
      <c r="T122" s="2">
        <f>T12/'Output-Calculation-sheet'!T11*'Output-Calculation-sheet'!T101</f>
        <v>0</v>
      </c>
      <c r="U122" s="2">
        <f>U12/'Output-Calculation-sheet'!U11*'Output-Calculation-sheet'!U101</f>
        <v>33397055.27172951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78332493.41692999</v>
      </c>
      <c r="Y122" s="2">
        <f>Y12/'Output-Calculation-sheet'!Y11*'Output-Calculation-sheet'!Y101</f>
        <v>121319959.0440888</v>
      </c>
      <c r="AA122" s="2">
        <f t="shared" si="10"/>
        <v>59000.677648691759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54396263052.747681</v>
      </c>
      <c r="C129" s="2">
        <f>C8/'Output-Calculation-sheet'!C7*'Output-Calculation-sheet'!C106</f>
        <v>0</v>
      </c>
      <c r="D129" s="2">
        <f>D8/'Output-Calculation-sheet'!D7*'Output-Calculation-sheet'!D106</f>
        <v>23519841141.312927</v>
      </c>
      <c r="E129" s="2">
        <f>E8/'Output-Calculation-sheet'!E7*'Output-Calculation-sheet'!E106</f>
        <v>18660629071.174072</v>
      </c>
      <c r="F129" s="2">
        <f>F8/'Output-Calculation-sheet'!F7*'Output-Calculation-sheet'!F106</f>
        <v>12012512292.942419</v>
      </c>
      <c r="G129" s="2">
        <f>G8/'Output-Calculation-sheet'!G7*'Output-Calculation-sheet'!G106</f>
        <v>8440340320.676054</v>
      </c>
      <c r="H129" s="2">
        <f>H8/'Output-Calculation-sheet'!H7*'Output-Calculation-sheet'!H106</f>
        <v>0</v>
      </c>
      <c r="I129" s="2">
        <f>I8/'Output-Calculation-sheet'!I7*'Output-Calculation-sheet'!I106</f>
        <v>7689796559.1388197</v>
      </c>
      <c r="J129" s="2">
        <f>J8/'Output-Calculation-sheet'!J7*'Output-Calculation-sheet'!J106</f>
        <v>7484694652.7982025</v>
      </c>
      <c r="K129" s="2">
        <f>K8/'Output-Calculation-sheet'!K7*'Output-Calculation-sheet'!K106</f>
        <v>7412950541.3624067</v>
      </c>
      <c r="L129" s="2">
        <f>L8/'Output-Calculation-sheet'!L7*'Output-Calculation-sheet'!L106</f>
        <v>5946779385.7020378</v>
      </c>
      <c r="M129" s="2">
        <f>M8/'Output-Calculation-sheet'!M7*'Output-Calculation-sheet'!M106</f>
        <v>0</v>
      </c>
      <c r="N129" s="2">
        <f>N8/'Output-Calculation-sheet'!N7*'Output-Calculation-sheet'!N106</f>
        <v>3674143343.2464256</v>
      </c>
      <c r="O129" s="2">
        <f>O8/'Output-Calculation-sheet'!O7*'Output-Calculation-sheet'!O106</f>
        <v>0</v>
      </c>
      <c r="P129" s="2">
        <f>P8/'Output-Calculation-sheet'!P7*'Output-Calculation-sheet'!P106</f>
        <v>5075295513.8208494</v>
      </c>
      <c r="Q129" s="2">
        <f>Q8/'Output-Calculation-sheet'!Q7*'Output-Calculation-sheet'!Q106</f>
        <v>4993261239.8289099</v>
      </c>
      <c r="R129" s="2">
        <f>R8/'Output-Calculation-sheet'!R7*'Output-Calculation-sheet'!R106</f>
        <v>4803756732.623579</v>
      </c>
      <c r="S129" s="2">
        <f>S8/'Output-Calculation-sheet'!S7*'Output-Calculation-sheet'!S106</f>
        <v>2623083300.0983524</v>
      </c>
      <c r="T129" s="2">
        <f>T8/'Output-Calculation-sheet'!T7*'Output-Calculation-sheet'!T106</f>
        <v>1765807566.7219167</v>
      </c>
      <c r="U129" s="2">
        <f>U8/'Output-Calculation-sheet'!U7*'Output-Calculation-sheet'!U106</f>
        <v>1537960778.7442911</v>
      </c>
      <c r="V129" s="2">
        <f>V8/'Output-Calculation-sheet'!V7*'Output-Calculation-sheet'!V106</f>
        <v>1184255435.291991</v>
      </c>
      <c r="W129" s="2">
        <f>W8/'Output-Calculation-sheet'!W7*'Output-Calculation-sheet'!W106</f>
        <v>1025310814.1863887</v>
      </c>
      <c r="X129" s="2">
        <f>X8/'Output-Calculation-sheet'!X7*'Output-Calculation-sheet'!X106</f>
        <v>0</v>
      </c>
      <c r="Y129" s="2">
        <f>Y8/'Output-Calculation-sheet'!Y7*'Output-Calculation-sheet'!Y106</f>
        <v>598259896.30129874</v>
      </c>
      <c r="AA129" s="2">
        <f t="shared" si="11"/>
        <v>172844.94163871865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3.5709542858653008E-8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3752180927.3843355</v>
      </c>
      <c r="O130" s="2">
        <f>O9/'Output-Calculation-sheet'!O8*'Output-Calculation-sheet'!O107</f>
        <v>0</v>
      </c>
      <c r="P130" s="2">
        <f>P9/'Output-Calculation-sheet'!P8*'Output-Calculation-sheet'!P107</f>
        <v>6550133037.1637611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3088388428.9432745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217062.00494465811</v>
      </c>
    </row>
    <row r="131" spans="1:27" x14ac:dyDescent="0.25">
      <c r="A131" s="2">
        <v>2033</v>
      </c>
      <c r="B131" s="2">
        <f>B10/'Output-Calculation-sheet'!B9*'Output-Calculation-sheet'!B108</f>
        <v>64665201268.398125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3228889959.9021196</v>
      </c>
      <c r="O131" s="2">
        <f>O10/'Output-Calculation-sheet'!O9*'Output-Calculation-sheet'!O108</f>
        <v>0</v>
      </c>
      <c r="P131" s="2">
        <f>P10/'Output-Calculation-sheet'!P9*'Output-Calculation-sheet'!P108</f>
        <v>7311431624.3953123</v>
      </c>
      <c r="Q131" s="2">
        <f>Q10/'Output-Calculation-sheet'!Q9*'Output-Calculation-sheet'!Q108</f>
        <v>7036164271.5107574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2665051220.8200526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231975.35493820126</v>
      </c>
    </row>
    <row r="132" spans="1:27" x14ac:dyDescent="0.25">
      <c r="A132" s="2">
        <v>2034</v>
      </c>
      <c r="B132" s="2">
        <f>B11/'Output-Calculation-sheet'!B10*'Output-Calculation-sheet'!B109</f>
        <v>48159147441.038254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25774241115.70253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10596223581.225525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7890010530.3267851</v>
      </c>
      <c r="M132" s="2">
        <f>M11/'Output-Calculation-sheet'!M10*'Output-Calculation-sheet'!M109</f>
        <v>0</v>
      </c>
      <c r="N132" s="2">
        <f>N11/'Output-Calculation-sheet'!N10*'Output-Calculation-sheet'!N109</f>
        <v>2398746977.98316</v>
      </c>
      <c r="O132" s="2">
        <f>O11/'Output-Calculation-sheet'!O10*'Output-Calculation-sheet'!O109</f>
        <v>0</v>
      </c>
      <c r="P132" s="2">
        <f>P11/'Output-Calculation-sheet'!P10*'Output-Calculation-sheet'!P109</f>
        <v>7184653337.618639</v>
      </c>
      <c r="Q132" s="2">
        <f>Q11/'Output-Calculation-sheet'!Q10*'Output-Calculation-sheet'!Q109</f>
        <v>6012259333.6219769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1813129067.1858478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811677647.05560458</v>
      </c>
      <c r="AA132" s="2">
        <f t="shared" si="11"/>
        <v>208882.41328386363</v>
      </c>
    </row>
    <row r="133" spans="1:27" x14ac:dyDescent="0.25">
      <c r="A133" s="2">
        <v>2035</v>
      </c>
      <c r="B133" s="2">
        <f>B12/'Output-Calculation-sheet'!B11*'Output-Calculation-sheet'!B110</f>
        <v>34666524593.487343</v>
      </c>
      <c r="C133" s="2">
        <f>C12/'Output-Calculation-sheet'!C11*'Output-Calculation-sheet'!C110</f>
        <v>0</v>
      </c>
      <c r="D133" s="2">
        <f>D12/'Output-Calculation-sheet'!D11*'Output-Calculation-sheet'!D110</f>
        <v>26035772765.509087</v>
      </c>
      <c r="E133" s="2">
        <f>E12/'Output-Calculation-sheet'!E11*'Output-Calculation-sheet'!E110</f>
        <v>19729175606.74897</v>
      </c>
      <c r="F133" s="2">
        <f>F12/'Output-Calculation-sheet'!F11*'Output-Calculation-sheet'!F110</f>
        <v>14040333696.824238</v>
      </c>
      <c r="G133" s="2">
        <f>G12/'Output-Calculation-sheet'!G11*'Output-Calculation-sheet'!G110</f>
        <v>9731582779.2725964</v>
      </c>
      <c r="H133" s="2">
        <f>H12/'Output-Calculation-sheet'!H11*'Output-Calculation-sheet'!H110</f>
        <v>0</v>
      </c>
      <c r="I133" s="2">
        <f>I12/'Output-Calculation-sheet'!I11*'Output-Calculation-sheet'!I110</f>
        <v>8784433766.5833664</v>
      </c>
      <c r="J133" s="2">
        <f>J12/'Output-Calculation-sheet'!J11*'Output-Calculation-sheet'!J110</f>
        <v>8461208109.3979683</v>
      </c>
      <c r="K133" s="2">
        <f>K12/'Output-Calculation-sheet'!K11*'Output-Calculation-sheet'!K110</f>
        <v>8369611717.4698715</v>
      </c>
      <c r="L133" s="2">
        <f>L12/'Output-Calculation-sheet'!L11*'Output-Calculation-sheet'!L110</f>
        <v>6154150473.0194912</v>
      </c>
      <c r="M133" s="2">
        <f>M12/'Output-Calculation-sheet'!M11*'Output-Calculation-sheet'!M110</f>
        <v>0</v>
      </c>
      <c r="N133" s="2">
        <f>N12/'Output-Calculation-sheet'!N11*'Output-Calculation-sheet'!N110</f>
        <v>1885122181.6862719</v>
      </c>
      <c r="O133" s="2">
        <f>O12/'Output-Calculation-sheet'!O11*'Output-Calculation-sheet'!O110</f>
        <v>0</v>
      </c>
      <c r="P133" s="2">
        <f>P12/'Output-Calculation-sheet'!P11*'Output-Calculation-sheet'!P110</f>
        <v>5782413479.4289198</v>
      </c>
      <c r="Q133" s="2">
        <f>Q12/'Output-Calculation-sheet'!Q11*'Output-Calculation-sheet'!Q110</f>
        <v>4613772471.073555</v>
      </c>
      <c r="R133" s="2">
        <f>R12/'Output-Calculation-sheet'!R11*'Output-Calculation-sheet'!R110</f>
        <v>5567075937.8892384</v>
      </c>
      <c r="S133" s="2">
        <f>S12/'Output-Calculation-sheet'!S11*'Output-Calculation-sheet'!S110</f>
        <v>1314903773.0402369</v>
      </c>
      <c r="T133" s="2">
        <f>T12/'Output-Calculation-sheet'!T11*'Output-Calculation-sheet'!T110</f>
        <v>2090487331.484024</v>
      </c>
      <c r="U133" s="2">
        <f>U12/'Output-Calculation-sheet'!U11*'Output-Calculation-sheet'!U110</f>
        <v>1697169110.722034</v>
      </c>
      <c r="V133" s="2">
        <f>V12/'Output-Calculation-sheet'!V11*'Output-Calculation-sheet'!V110</f>
        <v>1407377989.074487</v>
      </c>
      <c r="W133" s="2">
        <f>W12/'Output-Calculation-sheet'!W11*'Output-Calculation-sheet'!W110</f>
        <v>1235784198.8575499</v>
      </c>
      <c r="X133" s="2">
        <f>X12/'Output-Calculation-sheet'!X11*'Output-Calculation-sheet'!X110</f>
        <v>672824.976237403</v>
      </c>
      <c r="Y133" s="2">
        <f>Y12/'Output-Calculation-sheet'!Y11*'Output-Calculation-sheet'!Y110</f>
        <v>588241188.28861582</v>
      </c>
      <c r="AA133" s="2">
        <f t="shared" si="11"/>
        <v>162155.81399483408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13161092745.479895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2606641906.1493869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305940390.19802284</v>
      </c>
      <c r="Y140" s="2">
        <f>Y8/'Output-Calculation-sheet'!Y7*'Output-Calculation-sheet'!Y115</f>
        <v>0</v>
      </c>
      <c r="AA140" s="2">
        <f t="shared" si="12"/>
        <v>16073.675041827304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24035502547.450455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390733686.48646754</v>
      </c>
      <c r="Y141" s="2">
        <f>Y9/'Output-Calculation-sheet'!Y8*'Output-Calculation-sheet'!Y116</f>
        <v>0</v>
      </c>
      <c r="AA141" s="2">
        <f t="shared" si="12"/>
        <v>24426.236233936925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28754545663.354439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359968689.25043827</v>
      </c>
      <c r="Y142" s="2">
        <f>Y10/'Output-Calculation-sheet'!Y9*'Output-Calculation-sheet'!Y117</f>
        <v>0</v>
      </c>
      <c r="AA142" s="2">
        <f t="shared" si="12"/>
        <v>29114.514352604878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29628753988.767693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30114.411327230933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32079757508.651485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670024616.59440362</v>
      </c>
      <c r="Y144" s="2">
        <f>Y12/'Output-Calculation-sheet'!Y11*'Output-Calculation-sheet'!Y119</f>
        <v>0</v>
      </c>
      <c r="AA144" s="2">
        <f t="shared" si="12"/>
        <v>32749.782125245889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55998261498.925339</v>
      </c>
      <c r="C151" s="2">
        <f>C8/'Output-Calculation-sheet'!C7*'Output-Calculation-sheet'!C124</f>
        <v>26389245501.999882</v>
      </c>
      <c r="D151" s="2">
        <f>D8/'Output-Calculation-sheet'!D7*'Output-Calculation-sheet'!D124</f>
        <v>23519841141.312927</v>
      </c>
      <c r="E151" s="2">
        <f>E8/'Output-Calculation-sheet'!E7*'Output-Calculation-sheet'!E124</f>
        <v>18660629071.174072</v>
      </c>
      <c r="F151" s="2">
        <f>F8/'Output-Calculation-sheet'!F7*'Output-Calculation-sheet'!F124</f>
        <v>12012512292.942419</v>
      </c>
      <c r="G151" s="2">
        <f>G8/'Output-Calculation-sheet'!G7*'Output-Calculation-sheet'!G124</f>
        <v>8440340320.676054</v>
      </c>
      <c r="H151" s="2">
        <f>H8/'Output-Calculation-sheet'!H7*'Output-Calculation-sheet'!H124</f>
        <v>8233237524.5700064</v>
      </c>
      <c r="I151" s="2">
        <f>I8/'Output-Calculation-sheet'!I7*'Output-Calculation-sheet'!I124</f>
        <v>7689796559.1388197</v>
      </c>
      <c r="J151" s="2">
        <f>J8/'Output-Calculation-sheet'!J7*'Output-Calculation-sheet'!J124</f>
        <v>7484694652.7982025</v>
      </c>
      <c r="K151" s="2">
        <f>K8/'Output-Calculation-sheet'!K7*'Output-Calculation-sheet'!K124</f>
        <v>7412950541.3624067</v>
      </c>
      <c r="L151" s="2">
        <f>L8/'Output-Calculation-sheet'!L7*'Output-Calculation-sheet'!L124</f>
        <v>5946779385.7020378</v>
      </c>
      <c r="M151" s="2">
        <f>M8/'Output-Calculation-sheet'!M7*'Output-Calculation-sheet'!M124</f>
        <v>5680211749.7934618</v>
      </c>
      <c r="N151" s="2">
        <f>N8/'Output-Calculation-sheet'!N7*'Output-Calculation-sheet'!N124</f>
        <v>5575101714.372139</v>
      </c>
      <c r="O151" s="2">
        <f>O8/'Output-Calculation-sheet'!O7*'Output-Calculation-sheet'!O124</f>
        <v>5464520418.1532927</v>
      </c>
      <c r="P151" s="2">
        <f>P8/'Output-Calculation-sheet'!P7*'Output-Calculation-sheet'!P124</f>
        <v>5075295513.8208494</v>
      </c>
      <c r="Q151" s="2">
        <f>Q8/'Output-Calculation-sheet'!Q7*'Output-Calculation-sheet'!Q124</f>
        <v>4993261239.8289099</v>
      </c>
      <c r="R151" s="2">
        <f>R8/'Output-Calculation-sheet'!R7*'Output-Calculation-sheet'!R124</f>
        <v>4803756732.623579</v>
      </c>
      <c r="S151" s="2">
        <f>S8/'Output-Calculation-sheet'!S7*'Output-Calculation-sheet'!S124</f>
        <v>3192815268.7309484</v>
      </c>
      <c r="T151" s="2">
        <f>T8/'Output-Calculation-sheet'!T7*'Output-Calculation-sheet'!T124</f>
        <v>1765807566.7219167</v>
      </c>
      <c r="U151" s="2">
        <f>U8/'Output-Calculation-sheet'!U7*'Output-Calculation-sheet'!U124</f>
        <v>1537960778.7442911</v>
      </c>
      <c r="V151" s="2">
        <f>V8/'Output-Calculation-sheet'!V7*'Output-Calculation-sheet'!V124</f>
        <v>1184255435.291991</v>
      </c>
      <c r="W151" s="2">
        <f>W8/'Output-Calculation-sheet'!W7*'Output-Calculation-sheet'!W124</f>
        <v>1025310814.1863887</v>
      </c>
      <c r="X151" s="2">
        <f>X8/'Output-Calculation-sheet'!X7*'Output-Calculation-sheet'!X124</f>
        <v>615183227.00627863</v>
      </c>
      <c r="Y151" s="2">
        <f>Y8/'Output-Calculation-sheet'!Y7*'Output-Calculation-sheet'!Y124</f>
        <v>598259896.30129874</v>
      </c>
      <c r="AA151" s="2">
        <f t="shared" si="13"/>
        <v>223300.02884617753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20434800009.938908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7422308703.7104855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176105.60814376999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6793677407.518116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111403.8796807834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2028454799.8401191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1230733264.014164</v>
      </c>
      <c r="N154" s="2">
        <f>N11/'Output-Calculation-sheet'!N10*'Output-Calculation-sheet'!N127</f>
        <v>1220016708.3044388</v>
      </c>
      <c r="O154" s="2">
        <f>O11/'Output-Calculation-sheet'!O10*'Output-Calculation-sheet'!O127</f>
        <v>5573460067.5459509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1480407746.1382027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658107092.13081264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50651.352428320744</v>
      </c>
    </row>
    <row r="155" spans="1:27" x14ac:dyDescent="0.25">
      <c r="A155" s="2">
        <v>2035</v>
      </c>
      <c r="B155" s="2">
        <f>B12/'Output-Calculation-sheet'!B11*'Output-Calculation-sheet'!B128</f>
        <v>5889598555.1772661</v>
      </c>
      <c r="C155" s="2">
        <f>C12/'Output-Calculation-sheet'!C11*'Output-Calculation-sheet'!C128</f>
        <v>43114260.839232236</v>
      </c>
      <c r="D155" s="2">
        <f>D12/'Output-Calculation-sheet'!D11*'Output-Calculation-sheet'!D128</f>
        <v>3504996283.6463289</v>
      </c>
      <c r="E155" s="2">
        <f>E12/'Output-Calculation-sheet'!E11*'Output-Calculation-sheet'!E128</f>
        <v>1590302751.9714379</v>
      </c>
      <c r="F155" s="2">
        <f>F12/'Output-Calculation-sheet'!F11*'Output-Calculation-sheet'!F128</f>
        <v>1009633626.0769522</v>
      </c>
      <c r="G155" s="2">
        <f>G12/'Output-Calculation-sheet'!G11*'Output-Calculation-sheet'!G128</f>
        <v>902714391.17772841</v>
      </c>
      <c r="H155" s="2">
        <f>H12/'Output-Calculation-sheet'!H11*'Output-Calculation-sheet'!H128</f>
        <v>1440608253.4596601</v>
      </c>
      <c r="I155" s="2">
        <f>I12/'Output-Calculation-sheet'!I11*'Output-Calculation-sheet'!I128</f>
        <v>900377161.67369258</v>
      </c>
      <c r="J155" s="2">
        <f>J12/'Output-Calculation-sheet'!J11*'Output-Calculation-sheet'!J128</f>
        <v>860681814.36359417</v>
      </c>
      <c r="K155" s="2">
        <f>K12/'Output-Calculation-sheet'!K11*'Output-Calculation-sheet'!K128</f>
        <v>978652568.73272026</v>
      </c>
      <c r="L155" s="2">
        <f>L12/'Output-Calculation-sheet'!L11*'Output-Calculation-sheet'!L128</f>
        <v>710320929.89921081</v>
      </c>
      <c r="M155" s="2">
        <f>M12/'Output-Calculation-sheet'!M11*'Output-Calculation-sheet'!M128</f>
        <v>877272142.48905754</v>
      </c>
      <c r="N155" s="2">
        <f>N12/'Output-Calculation-sheet'!N11*'Output-Calculation-sheet'!N128</f>
        <v>854218766.88241482</v>
      </c>
      <c r="O155" s="2">
        <f>O12/'Output-Calculation-sheet'!O11*'Output-Calculation-sheet'!O128</f>
        <v>3982700106.8472056</v>
      </c>
      <c r="P155" s="2">
        <f>P12/'Output-Calculation-sheet'!P11*'Output-Calculation-sheet'!P128</f>
        <v>471566944.34871423</v>
      </c>
      <c r="Q155" s="2">
        <f>Q12/'Output-Calculation-sheet'!Q11*'Output-Calculation-sheet'!Q128</f>
        <v>1054738121.3651786</v>
      </c>
      <c r="R155" s="2">
        <f>R12/'Output-Calculation-sheet'!R11*'Output-Calculation-sheet'!R128</f>
        <v>454940985.21756852</v>
      </c>
      <c r="S155" s="2">
        <f>S12/'Output-Calculation-sheet'!S11*'Output-Calculation-sheet'!S128</f>
        <v>456075048.1039294</v>
      </c>
      <c r="T155" s="2">
        <f>T12/'Output-Calculation-sheet'!T11*'Output-Calculation-sheet'!T128</f>
        <v>108808456.45141795</v>
      </c>
      <c r="U155" s="2">
        <f>U12/'Output-Calculation-sheet'!U11*'Output-Calculation-sheet'!U128</f>
        <v>210559106.32680854</v>
      </c>
      <c r="V155" s="2">
        <f>V12/'Output-Calculation-sheet'!V11*'Output-Calculation-sheet'!V128</f>
        <v>52500550.80996719</v>
      </c>
      <c r="W155" s="2">
        <f>W12/'Output-Calculation-sheet'!W11*'Output-Calculation-sheet'!W128</f>
        <v>48781133.749495178</v>
      </c>
      <c r="X155" s="2">
        <f>X12/'Output-Calculation-sheet'!X11*'Output-Calculation-sheet'!X128</f>
        <v>6001641.3109895214</v>
      </c>
      <c r="Y155" s="2">
        <f>Y12/'Output-Calculation-sheet'!Y11*'Output-Calculation-sheet'!Y128</f>
        <v>52472734.419265218</v>
      </c>
      <c r="AA155" s="2">
        <f t="shared" si="13"/>
        <v>26461.636335339837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1259.2667579292929</v>
      </c>
      <c r="C19" s="2">
        <f>C8/'Output-Calculation-sheet'!C7*'Output-Calculation-sheet'!C25</f>
        <v>8978.6493361387056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5657.8495715536465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3927.3343351751428</v>
      </c>
      <c r="N19" s="2">
        <f>N8/'Output-Calculation-sheet'!N7*'Output-Calculation-sheet'!N25</f>
        <v>1342.8690170123693</v>
      </c>
      <c r="O19" s="2">
        <f>O8/'Output-Calculation-sheet'!O7*'Output-Calculation-sheet'!O25</f>
        <v>1464.8832276597821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479.61950326838098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207.33798845671666</v>
      </c>
      <c r="Y19" s="2">
        <f>Y8/'Output-Calculation-sheet'!Y7*'Output-Calculation-sheet'!Y25</f>
        <v>0</v>
      </c>
      <c r="AA19" s="2">
        <f t="shared" si="0"/>
        <v>23.317809737194043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6716.4978608598558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7570.6728210779202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5260.55683711457</v>
      </c>
      <c r="N20" s="2">
        <f>N9/'Output-Calculation-sheet'!N8*'Output-Calculation-sheet'!N26</f>
        <v>2369.9732994113938</v>
      </c>
      <c r="O20" s="2">
        <f>O9/'Output-Calculation-sheet'!O8*'Output-Calculation-sheet'!O26</f>
        <v>2500.5753934813415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861.43953978324294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281.11690614271362</v>
      </c>
      <c r="Y20" s="2">
        <f>Y9/'Output-Calculation-sheet'!Y8*'Output-Calculation-sheet'!Y26</f>
        <v>0</v>
      </c>
      <c r="AA20" s="2">
        <f t="shared" si="0"/>
        <v>32.519214906937826</v>
      </c>
    </row>
    <row r="21" spans="1:27" x14ac:dyDescent="0.25">
      <c r="A21" s="2">
        <v>2033</v>
      </c>
      <c r="B21" s="2">
        <f>B10/'Output-Calculation-sheet'!B9*'Output-Calculation-sheet'!B27</f>
        <v>15579.085969365076</v>
      </c>
      <c r="C21" s="2">
        <f>C10/'Output-Calculation-sheet'!C9*'Output-Calculation-sheet'!C27</f>
        <v>6461.2058104543339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9032.1998059912439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6274.7194740088808</v>
      </c>
      <c r="N21" s="2">
        <f>N10/'Output-Calculation-sheet'!N9*'Output-Calculation-sheet'!N27</f>
        <v>3422.9958332379601</v>
      </c>
      <c r="O21" s="2">
        <f>O10/'Output-Calculation-sheet'!O9*'Output-Calculation-sheet'!O27</f>
        <v>2682.1050180932452</v>
      </c>
      <c r="P21" s="2">
        <f>P10/'Output-Calculation-sheet'!P9*'Output-Calculation-sheet'!P27</f>
        <v>0</v>
      </c>
      <c r="Q21" s="2">
        <f>Q10/'Output-Calculation-sheet'!Q9*'Output-Calculation-sheet'!Q27</f>
        <v>233.59525431246058</v>
      </c>
      <c r="R21" s="2">
        <f>R10/'Output-Calculation-sheet'!R9*'Output-Calculation-sheet'!R27</f>
        <v>0</v>
      </c>
      <c r="S21" s="2">
        <f>S10/'Output-Calculation-sheet'!S9*'Output-Calculation-sheet'!S27</f>
        <v>1492.1862111818646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397.67748302487252</v>
      </c>
      <c r="Y21" s="2">
        <f>Y10/'Output-Calculation-sheet'!Y9*'Output-Calculation-sheet'!Y27</f>
        <v>0</v>
      </c>
      <c r="AA21" s="2">
        <f t="shared" si="0"/>
        <v>45.575770859669937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5872.0834687548295</v>
      </c>
      <c r="D22" s="2">
        <f>D11/'Output-Calculation-sheet'!D10*'Output-Calculation-sheet'!D28</f>
        <v>0</v>
      </c>
      <c r="E22" s="2">
        <f>E11/'Output-Calculation-sheet'!E10*'Output-Calculation-sheet'!E28</f>
        <v>1401.1821201031171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10207.783354174349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840.10351034912833</v>
      </c>
      <c r="M22" s="2">
        <f>M11/'Output-Calculation-sheet'!M10*'Output-Calculation-sheet'!M28</f>
        <v>7422.2724337106765</v>
      </c>
      <c r="N22" s="2">
        <f>N11/'Output-Calculation-sheet'!N10*'Output-Calculation-sheet'!N28</f>
        <v>4275.150481838049</v>
      </c>
      <c r="O22" s="2">
        <f>O11/'Output-Calculation-sheet'!O10*'Output-Calculation-sheet'!O28</f>
        <v>2715.6938864303311</v>
      </c>
      <c r="P22" s="2">
        <f>P11/'Output-Calculation-sheet'!P10*'Output-Calculation-sheet'!P28</f>
        <v>0</v>
      </c>
      <c r="Q22" s="2">
        <f>Q11/'Output-Calculation-sheet'!Q10*'Output-Calculation-sheet'!Q28</f>
        <v>997.404942659639</v>
      </c>
      <c r="R22" s="2">
        <f>R11/'Output-Calculation-sheet'!R10*'Output-Calculation-sheet'!R28</f>
        <v>0</v>
      </c>
      <c r="S22" s="2">
        <f>S11/'Output-Calculation-sheet'!S10*'Output-Calculation-sheet'!S28</f>
        <v>2218.1873912165925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76.503778562859736</v>
      </c>
      <c r="AA22" s="2">
        <f t="shared" si="0"/>
        <v>63.924946221682582</v>
      </c>
    </row>
    <row r="23" spans="1:27" x14ac:dyDescent="0.25">
      <c r="A23" s="2">
        <v>2035</v>
      </c>
      <c r="B23" s="2">
        <f>B12/'Output-Calculation-sheet'!B11*'Output-Calculation-sheet'!B29</f>
        <v>29543.063232068424</v>
      </c>
      <c r="C23" s="2">
        <f>C12/'Output-Calculation-sheet'!C11*'Output-Calculation-sheet'!C29</f>
        <v>152.89564758188737</v>
      </c>
      <c r="D23" s="2">
        <f>D12/'Output-Calculation-sheet'!D11*'Output-Calculation-sheet'!D29</f>
        <v>0</v>
      </c>
      <c r="E23" s="2">
        <f>E12/'Output-Calculation-sheet'!E11*'Output-Calculation-sheet'!E29</f>
        <v>4493.0413404100236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9131.6519881106233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1011.1608540381881</v>
      </c>
      <c r="M23" s="2">
        <f>M12/'Output-Calculation-sheet'!M11*'Output-Calculation-sheet'!M29</f>
        <v>6651.539929613733</v>
      </c>
      <c r="N23" s="2">
        <f>N12/'Output-Calculation-sheet'!N11*'Output-Calculation-sheet'!N29</f>
        <v>3862.2321577817443</v>
      </c>
      <c r="O23" s="2">
        <f>O12/'Output-Calculation-sheet'!O11*'Output-Calculation-sheet'!O29</f>
        <v>2661.7109112358476</v>
      </c>
      <c r="P23" s="2">
        <f>P12/'Output-Calculation-sheet'!P11*'Output-Calculation-sheet'!P29</f>
        <v>464.61183653783934</v>
      </c>
      <c r="Q23" s="2">
        <f>Q12/'Output-Calculation-sheet'!Q11*'Output-Calculation-sheet'!Q29</f>
        <v>1035.0808183084889</v>
      </c>
      <c r="R23" s="2">
        <f>R12/'Output-Calculation-sheet'!R11*'Output-Calculation-sheet'!R29</f>
        <v>0</v>
      </c>
      <c r="S23" s="2">
        <f>S12/'Output-Calculation-sheet'!S11*'Output-Calculation-sheet'!S29</f>
        <v>2098.0362538621293</v>
      </c>
      <c r="T23" s="2">
        <f>T12/'Output-Calculation-sheet'!T11*'Output-Calculation-sheet'!T29</f>
        <v>0</v>
      </c>
      <c r="U23" s="2">
        <f>U12/'Output-Calculation-sheet'!U11*'Output-Calculation-sheet'!U29</f>
        <v>92.378201394639987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68.535075581592167</v>
      </c>
      <c r="Y23" s="2">
        <f>Y12/'Output-Calculation-sheet'!Y11*'Output-Calculation-sheet'!Y29</f>
        <v>197.37918436323389</v>
      </c>
      <c r="AA23" s="2">
        <f t="shared" si="0"/>
        <v>61.463317430888381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21950.278625273302</v>
      </c>
      <c r="C30" s="2">
        <f>C8/'Output-Calculation-sheet'!C7*'Output-Calculation-sheet'!C16</f>
        <v>0</v>
      </c>
      <c r="D30" s="2">
        <f>D8/'Output-Calculation-sheet'!D7*'Output-Calculation-sheet'!D16</f>
        <v>3696.1091917871781</v>
      </c>
      <c r="E30" s="2">
        <f>E8/'Output-Calculation-sheet'!E7*'Output-Calculation-sheet'!E16</f>
        <v>3976.8097778903725</v>
      </c>
      <c r="F30" s="2">
        <f>F8/'Output-Calculation-sheet'!F7*'Output-Calculation-sheet'!F16</f>
        <v>2006.354480669595</v>
      </c>
      <c r="G30" s="2">
        <f>G8/'Output-Calculation-sheet'!G7*'Output-Calculation-sheet'!G16</f>
        <v>1313.9064128370396</v>
      </c>
      <c r="H30" s="2">
        <f>H8/'Output-Calculation-sheet'!H7*'Output-Calculation-sheet'!H16</f>
        <v>0</v>
      </c>
      <c r="I30" s="2">
        <f>I8/'Output-Calculation-sheet'!I7*'Output-Calculation-sheet'!I16</f>
        <v>1280.8776698725831</v>
      </c>
      <c r="J30" s="2">
        <f>J8/'Output-Calculation-sheet'!J7*'Output-Calculation-sheet'!J16</f>
        <v>1140.2117198419162</v>
      </c>
      <c r="K30" s="2">
        <f>K8/'Output-Calculation-sheet'!K7*'Output-Calculation-sheet'!K16</f>
        <v>1522.4019047069496</v>
      </c>
      <c r="L30" s="2">
        <f>L8/'Output-Calculation-sheet'!L7*'Output-Calculation-sheet'!L16</f>
        <v>1285.9355767110405</v>
      </c>
      <c r="M30" s="2">
        <f>M8/'Output-Calculation-sheet'!M7*'Output-Calculation-sheet'!M16</f>
        <v>0</v>
      </c>
      <c r="N30" s="2">
        <f>N8/'Output-Calculation-sheet'!N7*'Output-Calculation-sheet'!N16</f>
        <v>1827.9312609722194</v>
      </c>
      <c r="O30" s="2">
        <f>O8/'Output-Calculation-sheet'!O7*'Output-Calculation-sheet'!O16</f>
        <v>0</v>
      </c>
      <c r="P30" s="2">
        <f>P8/'Output-Calculation-sheet'!P7*'Output-Calculation-sheet'!P16</f>
        <v>1641.6631323897639</v>
      </c>
      <c r="Q30" s="2">
        <f>Q8/'Output-Calculation-sheet'!Q7*'Output-Calculation-sheet'!Q16</f>
        <v>1805.2956598768506</v>
      </c>
      <c r="R30" s="2">
        <f>R8/'Output-Calculation-sheet'!R7*'Output-Calculation-sheet'!R16</f>
        <v>1145.4665471885653</v>
      </c>
      <c r="S30" s="2">
        <f>S8/'Output-Calculation-sheet'!S7*'Output-Calculation-sheet'!S16</f>
        <v>1152.0051534182323</v>
      </c>
      <c r="T30" s="2">
        <f>T8/'Output-Calculation-sheet'!T7*'Output-Calculation-sheet'!T16</f>
        <v>343.85045437015611</v>
      </c>
      <c r="U30" s="2">
        <f>U8/'Output-Calculation-sheet'!U7*'Output-Calculation-sheet'!U16</f>
        <v>343.23739953024511</v>
      </c>
      <c r="V30" s="2">
        <f>V8/'Output-Calculation-sheet'!V7*'Output-Calculation-sheet'!V16</f>
        <v>267.13398351690057</v>
      </c>
      <c r="W30" s="2">
        <f>W8/'Output-Calculation-sheet'!W7*'Output-Calculation-sheet'!W16</f>
        <v>162.03223623057065</v>
      </c>
      <c r="X30" s="2">
        <f>X8/'Output-Calculation-sheet'!X7*'Output-Calculation-sheet'!X16</f>
        <v>0</v>
      </c>
      <c r="Y30" s="2">
        <f>Y8/'Output-Calculation-sheet'!Y7*'Output-Calculation-sheet'!Y16</f>
        <v>137.13941798267621</v>
      </c>
      <c r="AA30" s="2">
        <f t="shared" si="1"/>
        <v>46.998640605066171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2017.9984782639287</v>
      </c>
      <c r="O31" s="2">
        <f>O9/'Output-Calculation-sheet'!O8*'Output-Calculation-sheet'!O17</f>
        <v>0</v>
      </c>
      <c r="P31" s="2">
        <f>P9/'Output-Calculation-sheet'!P8*'Output-Calculation-sheet'!P17</f>
        <v>2498.3580000583934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1500.6092007460272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64.162762778341943</v>
      </c>
    </row>
    <row r="32" spans="1:27" x14ac:dyDescent="0.25">
      <c r="A32" s="2">
        <v>2033</v>
      </c>
      <c r="B32" s="2">
        <f>B10/'Output-Calculation-sheet'!B9*'Output-Calculation-sheet'!B18</f>
        <v>31721.217879901029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3021.2971005058289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1943.1095446512256</v>
      </c>
      <c r="O32" s="2">
        <f>O10/'Output-Calculation-sheet'!O9*'Output-Calculation-sheet'!O18</f>
        <v>0</v>
      </c>
      <c r="P32" s="2">
        <f>P10/'Output-Calculation-sheet'!P9*'Output-Calculation-sheet'!P18</f>
        <v>3109.5912589617283</v>
      </c>
      <c r="Q32" s="2">
        <f>Q10/'Output-Calculation-sheet'!Q9*'Output-Calculation-sheet'!Q18</f>
        <v>3386.4580579513613</v>
      </c>
      <c r="R32" s="2">
        <f>R10/'Output-Calculation-sheet'!R9*'Output-Calculation-sheet'!R18</f>
        <v>2232.997695555041</v>
      </c>
      <c r="S32" s="2">
        <f>S10/'Output-Calculation-sheet'!S9*'Output-Calculation-sheet'!S18</f>
        <v>1462.3616441891695</v>
      </c>
      <c r="T32" s="2">
        <f>T10/'Output-Calculation-sheet'!T9*'Output-Calculation-sheet'!T18</f>
        <v>651.96414322522764</v>
      </c>
      <c r="U32" s="2">
        <f>U10/'Output-Calculation-sheet'!U9*'Output-Calculation-sheet'!U18</f>
        <v>720.74695495890944</v>
      </c>
      <c r="V32" s="2">
        <f>V10/'Output-Calculation-sheet'!V9*'Output-Calculation-sheet'!V18</f>
        <v>531.98485812751994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307.99204284223725</v>
      </c>
      <c r="AA32" s="2">
        <f t="shared" si="1"/>
        <v>76.195875879605325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8317.6716834326235</v>
      </c>
      <c r="E33" s="2">
        <f>E11/'Output-Calculation-sheet'!E10*'Output-Calculation-sheet'!E19</f>
        <v>10300.077182287625</v>
      </c>
      <c r="F33" s="2">
        <f>F11/'Output-Calculation-sheet'!F10*'Output-Calculation-sheet'!F19</f>
        <v>4721.0594814530759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3089.7246023285593</v>
      </c>
      <c r="J33" s="2">
        <f>J11/'Output-Calculation-sheet'!J10*'Output-Calculation-sheet'!J19</f>
        <v>2612.2999479530231</v>
      </c>
      <c r="K33" s="2">
        <f>K11/'Output-Calculation-sheet'!K10*'Output-Calculation-sheet'!K19</f>
        <v>3623.4296552982546</v>
      </c>
      <c r="L33" s="2">
        <f>L11/'Output-Calculation-sheet'!L10*'Output-Calculation-sheet'!L19</f>
        <v>2947.8898304734962</v>
      </c>
      <c r="M33" s="2">
        <f>M11/'Output-Calculation-sheet'!M10*'Output-Calculation-sheet'!M19</f>
        <v>0</v>
      </c>
      <c r="N33" s="2">
        <f>N11/'Output-Calculation-sheet'!N10*'Output-Calculation-sheet'!N19</f>
        <v>1676.2232023877464</v>
      </c>
      <c r="O33" s="2">
        <f>O11/'Output-Calculation-sheet'!O10*'Output-Calculation-sheet'!O19</f>
        <v>0</v>
      </c>
      <c r="P33" s="2">
        <f>P11/'Output-Calculation-sheet'!P10*'Output-Calculation-sheet'!P19</f>
        <v>3665.3111523609291</v>
      </c>
      <c r="Q33" s="2">
        <f>Q11/'Output-Calculation-sheet'!Q10*'Output-Calculation-sheet'!Q19</f>
        <v>2994.8041842495468</v>
      </c>
      <c r="R33" s="2">
        <f>R11/'Output-Calculation-sheet'!R10*'Output-Calculation-sheet'!R19</f>
        <v>2617.4140942469885</v>
      </c>
      <c r="S33" s="2">
        <f>S11/'Output-Calculation-sheet'!S10*'Output-Calculation-sheet'!S19</f>
        <v>1219.317023759615</v>
      </c>
      <c r="T33" s="2">
        <f>T11/'Output-Calculation-sheet'!T10*'Output-Calculation-sheet'!T19</f>
        <v>768.00041259669263</v>
      </c>
      <c r="U33" s="2">
        <f>U11/'Output-Calculation-sheet'!U10*'Output-Calculation-sheet'!U19</f>
        <v>883.35561691348664</v>
      </c>
      <c r="V33" s="2">
        <f>V11/'Output-Calculation-sheet'!V10*'Output-Calculation-sheet'!V19</f>
        <v>602.3987894806927</v>
      </c>
      <c r="W33" s="2">
        <f>W11/'Output-Calculation-sheet'!W10*'Output-Calculation-sheet'!W19</f>
        <v>375.0456312742383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81.465544044216429</v>
      </c>
    </row>
    <row r="34" spans="1:27" x14ac:dyDescent="0.25">
      <c r="A34" s="2">
        <v>2035</v>
      </c>
      <c r="B34" s="2">
        <f>B12/'Output-Calculation-sheet'!B11*'Output-Calculation-sheet'!B20</f>
        <v>23265.217441725912</v>
      </c>
      <c r="C34" s="2">
        <f>C12/'Output-Calculation-sheet'!C11*'Output-Calculation-sheet'!C20</f>
        <v>0</v>
      </c>
      <c r="D34" s="2">
        <f>D12/'Output-Calculation-sheet'!D11*'Output-Calculation-sheet'!D20</f>
        <v>7285.6427282746008</v>
      </c>
      <c r="E34" s="2">
        <f>E12/'Output-Calculation-sheet'!E11*'Output-Calculation-sheet'!E20</f>
        <v>8027.301750335866</v>
      </c>
      <c r="F34" s="2">
        <f>F12/'Output-Calculation-sheet'!F11*'Output-Calculation-sheet'!F20</f>
        <v>4968.2904638254213</v>
      </c>
      <c r="G34" s="2">
        <f>G12/'Output-Calculation-sheet'!G11*'Output-Calculation-sheet'!G20</f>
        <v>2683.4347891216257</v>
      </c>
      <c r="H34" s="2">
        <f>H12/'Output-Calculation-sheet'!H11*'Output-Calculation-sheet'!H20</f>
        <v>0</v>
      </c>
      <c r="I34" s="2">
        <f>I12/'Output-Calculation-sheet'!I11*'Output-Calculation-sheet'!I20</f>
        <v>2922.7964438272902</v>
      </c>
      <c r="J34" s="2">
        <f>J12/'Output-Calculation-sheet'!J11*'Output-Calculation-sheet'!J20</f>
        <v>2504.642818389641</v>
      </c>
      <c r="K34" s="2">
        <f>K12/'Output-Calculation-sheet'!K11*'Output-Calculation-sheet'!K20</f>
        <v>3292.1006435035097</v>
      </c>
      <c r="L34" s="2">
        <f>L12/'Output-Calculation-sheet'!L11*'Output-Calculation-sheet'!L20</f>
        <v>2606.5807982019046</v>
      </c>
      <c r="M34" s="2">
        <f>M12/'Output-Calculation-sheet'!M11*'Output-Calculation-sheet'!M20</f>
        <v>0</v>
      </c>
      <c r="N34" s="2">
        <f>N12/'Output-Calculation-sheet'!N11*'Output-Calculation-sheet'!N20</f>
        <v>1452.6694833312476</v>
      </c>
      <c r="O34" s="2">
        <f>O12/'Output-Calculation-sheet'!O11*'Output-Calculation-sheet'!O20</f>
        <v>0</v>
      </c>
      <c r="P34" s="2">
        <f>P12/'Output-Calculation-sheet'!P11*'Output-Calculation-sheet'!P20</f>
        <v>3250.6685450772798</v>
      </c>
      <c r="Q34" s="2">
        <f>Q12/'Output-Calculation-sheet'!Q11*'Output-Calculation-sheet'!Q20</f>
        <v>2561.7549090642624</v>
      </c>
      <c r="R34" s="2">
        <f>R12/'Output-Calculation-sheet'!R11*'Output-Calculation-sheet'!R20</f>
        <v>2585.094311969317</v>
      </c>
      <c r="S34" s="2">
        <f>S12/'Output-Calculation-sheet'!S11*'Output-Calculation-sheet'!S20</f>
        <v>998.46689565369297</v>
      </c>
      <c r="T34" s="2">
        <f>T12/'Output-Calculation-sheet'!T11*'Output-Calculation-sheet'!T20</f>
        <v>806.81252046749853</v>
      </c>
      <c r="U34" s="2">
        <f>U12/'Output-Calculation-sheet'!U11*'Output-Calculation-sheet'!U20</f>
        <v>738.57765878563077</v>
      </c>
      <c r="V34" s="2">
        <f>V12/'Output-Calculation-sheet'!V11*'Output-Calculation-sheet'!V20</f>
        <v>676.67157780003151</v>
      </c>
      <c r="W34" s="2">
        <f>W12/'Output-Calculation-sheet'!W11*'Output-Calculation-sheet'!W20</f>
        <v>437.61087744802177</v>
      </c>
      <c r="X34" s="2">
        <f>X12/'Output-Calculation-sheet'!X11*'Output-Calculation-sheet'!X20</f>
        <v>1.0329090433483799</v>
      </c>
      <c r="Y34" s="2">
        <f>Y12/'Output-Calculation-sheet'!Y11*'Output-Calculation-sheet'!Y20</f>
        <v>243.99212293000951</v>
      </c>
      <c r="AA34" s="2">
        <f t="shared" si="1"/>
        <v>71.309359688776127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4.6489276758161925E-2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4.6489276758161925E-2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0.52208859701630539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0.52208859701630539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0.65335987795501227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0.65335987795501227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5.4445731031748233E-2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1.2487987194139126E-2</v>
      </c>
      <c r="N44" s="2">
        <f>N11/'Output-Calculation-sheet'!N10*'Output-Calculation-sheet'!N37*0.0114</f>
        <v>1.2273666173308028E-2</v>
      </c>
      <c r="O44" s="2">
        <f>O11/'Output-Calculation-sheet'!O10*'Output-Calculation-sheet'!O37*0.0114</f>
        <v>0.7101213910100207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3.2260832224241608E-2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7.0356891583519994E-3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0.82862529679180963</v>
      </c>
    </row>
    <row r="45" spans="1:27" x14ac:dyDescent="0.25">
      <c r="A45" s="2">
        <v>2035</v>
      </c>
      <c r="B45" s="2">
        <f>B12/'Output-Calculation-sheet'!B11*'Output-Calculation-sheet'!B38*0.0114</f>
        <v>0.5431272407353509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0.18147694961396538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0.22218815580769571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4.3749264224037472E-2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4.6063194192308414E-2</v>
      </c>
      <c r="M45" s="2">
        <f>M12/'Output-Calculation-sheet'!M11*'Output-Calculation-sheet'!M38*0.0114</f>
        <v>0.13104606380660486</v>
      </c>
      <c r="N45" s="2">
        <f>N12/'Output-Calculation-sheet'!N11*'Output-Calculation-sheet'!N38*0.0114</f>
        <v>9.6597771251108133E-2</v>
      </c>
      <c r="O45" s="2">
        <f>O12/'Output-Calculation-sheet'!O11*'Output-Calculation-sheet'!O38*0.0114</f>
        <v>0.68108310655631787</v>
      </c>
      <c r="P45" s="2">
        <f>P12/'Output-Calculation-sheet'!P11*'Output-Calculation-sheet'!P38*0.0114</f>
        <v>5.949291542646977E-2</v>
      </c>
      <c r="Q45" s="2">
        <f>Q12/'Output-Calculation-sheet'!Q11*'Output-Calculation-sheet'!Q38*0.0114</f>
        <v>8.463443732742347E-2</v>
      </c>
      <c r="R45" s="2">
        <f>R12/'Output-Calculation-sheet'!R11*'Output-Calculation-sheet'!R38*0.0114</f>
        <v>3.7302664920458591E-2</v>
      </c>
      <c r="S45" s="2">
        <f>S12/'Output-Calculation-sheet'!S11*'Output-Calculation-sheet'!S38*0.0114</f>
        <v>4.3068026711374503E-2</v>
      </c>
      <c r="T45" s="2">
        <f>T12/'Output-Calculation-sheet'!T11*'Output-Calculation-sheet'!T38*0.0114</f>
        <v>1.0350435597737049E-2</v>
      </c>
      <c r="U45" s="2">
        <f>U12/'Output-Calculation-sheet'!U11*'Output-Calculation-sheet'!U38*0.0114</f>
        <v>1.5001930185002734E-2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6.9365699198665354E-3</v>
      </c>
      <c r="AA45" s="2">
        <f t="shared" si="2"/>
        <v>2.7112427942310768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3468.7955663962207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7989.9439410434125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5464.5117040239229</v>
      </c>
      <c r="N52" s="2">
        <f>N8/'Output-Calculation-sheet'!N7*'Output-Calculation-sheet'!N43</f>
        <v>172.6149613747431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36.94851396603012</v>
      </c>
      <c r="Y52" s="2">
        <f>Y8/'Output-Calculation-sheet'!Y7*'Output-Calculation-sheet'!Y43</f>
        <v>0</v>
      </c>
      <c r="AA52" s="2">
        <f t="shared" si="3"/>
        <v>17.132814686804334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583.73092787256405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15130.284310631727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10362.363595502628</v>
      </c>
      <c r="N53" s="2">
        <f>N9/'Output-Calculation-sheet'!N8*'Output-Calculation-sheet'!N44</f>
        <v>3673.7195954081549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1146.7257495114327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316.27743610903366</v>
      </c>
      <c r="Y53" s="2">
        <f>Y9/'Output-Calculation-sheet'!Y8*'Output-Calculation-sheet'!Y44</f>
        <v>0</v>
      </c>
      <c r="AA53" s="2">
        <f t="shared" si="3"/>
        <v>31.376102446349854</v>
      </c>
    </row>
    <row r="54" spans="1:27" x14ac:dyDescent="0.25">
      <c r="A54" s="2">
        <v>2033</v>
      </c>
      <c r="B54" s="2">
        <f>B10/'Output-Calculation-sheet'!B9*'Output-Calculation-sheet'!B45</f>
        <v>29858.674572402713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21767.767926326127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14920.570501765495</v>
      </c>
      <c r="N54" s="2">
        <f>N10/'Output-Calculation-sheet'!N9*'Output-Calculation-sheet'!N45</f>
        <v>8325.9138775859956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874.15470255141065</v>
      </c>
      <c r="R54" s="2">
        <f>R10/'Output-Calculation-sheet'!R9*'Output-Calculation-sheet'!R45</f>
        <v>1482.068315422576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837.48669029640939</v>
      </c>
      <c r="Y54" s="2">
        <f>Y10/'Output-Calculation-sheet'!Y9*'Output-Calculation-sheet'!Y45</f>
        <v>18.472929731693505</v>
      </c>
      <c r="AA54" s="2">
        <f t="shared" si="3"/>
        <v>90.063359758407387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23693.444881447627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3432.8229938877425</v>
      </c>
      <c r="L55" s="2">
        <f>L11/'Output-Calculation-sheet'!L10*'Output-Calculation-sheet'!L46</f>
        <v>1268.356263055168</v>
      </c>
      <c r="M55" s="2">
        <f>M11/'Output-Calculation-sheet'!M10*'Output-Calculation-sheet'!M46</f>
        <v>16634.218030087948</v>
      </c>
      <c r="N55" s="2">
        <f>N11/'Output-Calculation-sheet'!N10*'Output-Calculation-sheet'!N46</f>
        <v>12265.05307423904</v>
      </c>
      <c r="O55" s="2">
        <f>O11/'Output-Calculation-sheet'!O10*'Output-Calculation-sheet'!O46</f>
        <v>273.27818103385061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2775.1862106350527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6218.5617508381356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191.25918222527574</v>
      </c>
    </row>
    <row r="56" spans="1:27" x14ac:dyDescent="0.25">
      <c r="A56" s="2">
        <v>2035</v>
      </c>
      <c r="B56" s="2">
        <f>B12/'Output-Calculation-sheet'!B11*'Output-Calculation-sheet'!B47</f>
        <v>88301.055085868371</v>
      </c>
      <c r="C56" s="2">
        <f>C12/'Output-Calculation-sheet'!C11*'Output-Calculation-sheet'!C47</f>
        <v>303.00545397498979</v>
      </c>
      <c r="D56" s="2">
        <f>D12/'Output-Calculation-sheet'!D11*'Output-Calculation-sheet'!D47</f>
        <v>7106.8693105830735</v>
      </c>
      <c r="E56" s="2">
        <f>E12/'Output-Calculation-sheet'!E11*'Output-Calculation-sheet'!E47</f>
        <v>19631.348619644043</v>
      </c>
      <c r="F56" s="2">
        <f>F12/'Output-Calculation-sheet'!F11*'Output-Calculation-sheet'!F47</f>
        <v>2318.7734343136908</v>
      </c>
      <c r="G56" s="2">
        <f>G12/'Output-Calculation-sheet'!G11*'Output-Calculation-sheet'!G47</f>
        <v>5570.1543442173515</v>
      </c>
      <c r="H56" s="2">
        <f>H12/'Output-Calculation-sheet'!H11*'Output-Calculation-sheet'!H47</f>
        <v>21075.855205342767</v>
      </c>
      <c r="I56" s="2">
        <f>I12/'Output-Calculation-sheet'!I11*'Output-Calculation-sheet'!I47</f>
        <v>2771.2746743759294</v>
      </c>
      <c r="J56" s="2">
        <f>J12/'Output-Calculation-sheet'!J11*'Output-Calculation-sheet'!J47</f>
        <v>2544.3651035558632</v>
      </c>
      <c r="K56" s="2">
        <f>K12/'Output-Calculation-sheet'!K11*'Output-Calculation-sheet'!K47</f>
        <v>3621.8894987537669</v>
      </c>
      <c r="L56" s="2">
        <f>L12/'Output-Calculation-sheet'!L11*'Output-Calculation-sheet'!L47</f>
        <v>1987.990486194363</v>
      </c>
      <c r="M56" s="2">
        <f>M12/'Output-Calculation-sheet'!M11*'Output-Calculation-sheet'!M47</f>
        <v>14641.140637574186</v>
      </c>
      <c r="N56" s="2">
        <f>N12/'Output-Calculation-sheet'!N11*'Output-Calculation-sheet'!N47</f>
        <v>11028.716300540746</v>
      </c>
      <c r="O56" s="2">
        <f>O12/'Output-Calculation-sheet'!O11*'Output-Calculation-sheet'!O47</f>
        <v>1085.0588707392319</v>
      </c>
      <c r="P56" s="2">
        <f>P12/'Output-Calculation-sheet'!P11*'Output-Calculation-sheet'!P47</f>
        <v>5811.8663871296931</v>
      </c>
      <c r="Q56" s="2">
        <f>Q12/'Output-Calculation-sheet'!Q11*'Output-Calculation-sheet'!Q47</f>
        <v>2790.626720065045</v>
      </c>
      <c r="R56" s="2">
        <f>R12/'Output-Calculation-sheet'!R11*'Output-Calculation-sheet'!R47</f>
        <v>4287.3523431606027</v>
      </c>
      <c r="S56" s="2">
        <f>S12/'Output-Calculation-sheet'!S11*'Output-Calculation-sheet'!S47</f>
        <v>5699.767294471505</v>
      </c>
      <c r="T56" s="2">
        <f>T12/'Output-Calculation-sheet'!T11*'Output-Calculation-sheet'!T47</f>
        <v>1492.3391208316195</v>
      </c>
      <c r="U56" s="2">
        <f>U12/'Output-Calculation-sheet'!U11*'Output-Calculation-sheet'!U47</f>
        <v>1442.0276400636837</v>
      </c>
      <c r="V56" s="2">
        <f>V12/'Output-Calculation-sheet'!V11*'Output-Calculation-sheet'!V47</f>
        <v>1007.0073206340668</v>
      </c>
      <c r="W56" s="2">
        <f>W12/'Output-Calculation-sheet'!W11*'Output-Calculation-sheet'!W47</f>
        <v>582.21165679797355</v>
      </c>
      <c r="X56" s="2">
        <f>X12/'Output-Calculation-sheet'!X11*'Output-Calculation-sheet'!X47</f>
        <v>117.38319273783092</v>
      </c>
      <c r="Y56" s="2">
        <f>Y12/'Output-Calculation-sheet'!Y11*'Output-Calculation-sheet'!Y47</f>
        <v>773.6709344833597</v>
      </c>
      <c r="AA56" s="2">
        <f t="shared" si="3"/>
        <v>205.99174963605375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8.3447332669216703</v>
      </c>
      <c r="C63" s="2">
        <f>C8*'Output-Calculation-sheet'!C52/10^9</f>
        <v>4.5355692842901325</v>
      </c>
      <c r="D63" s="2">
        <f>D8*'Output-Calculation-sheet'!D52/10^9</f>
        <v>1.9538412721928069</v>
      </c>
      <c r="E63" s="2">
        <f>E8*'Output-Calculation-sheet'!E52/10^9</f>
        <v>2.2352805390538162</v>
      </c>
      <c r="F63" s="2">
        <f>F8*'Output-Calculation-sheet'!F52/10^9</f>
        <v>1.0448500526075715</v>
      </c>
      <c r="G63" s="2">
        <f>G8*'Output-Calculation-sheet'!G52/10^9</f>
        <v>0.79697576184146923</v>
      </c>
      <c r="H63" s="2">
        <f>H8*'Output-Calculation-sheet'!H52/10^9</f>
        <v>1.1912410310395243</v>
      </c>
      <c r="I63" s="2">
        <f>I8*'Output-Calculation-sheet'!I52/10^9</f>
        <v>0.62955789170304999</v>
      </c>
      <c r="J63" s="2">
        <f>J8*'Output-Calculation-sheet'!J52/10^9</f>
        <v>0.88998572568459855</v>
      </c>
      <c r="K63" s="2">
        <f>K8*'Output-Calculation-sheet'!K52/10^9</f>
        <v>0.58423192919175293</v>
      </c>
      <c r="L63" s="2">
        <f>L8*'Output-Calculation-sheet'!L52/10^9</f>
        <v>0.69170666507519607</v>
      </c>
      <c r="M63" s="2">
        <f>M8*'Output-Calculation-sheet'!M52/10^9</f>
        <v>0.87219846725391448</v>
      </c>
      <c r="N63" s="2">
        <f>N8*'Output-Calculation-sheet'!N52/10^9</f>
        <v>0.69548735210429835</v>
      </c>
      <c r="O63" s="2">
        <f>O8*'Output-Calculation-sheet'!O52/10^9</f>
        <v>0.82401146627669208</v>
      </c>
      <c r="P63" s="2">
        <f>P8*'Output-Calculation-sheet'!P52/10^9</f>
        <v>0.59417393703924448</v>
      </c>
      <c r="Q63" s="2">
        <f>Q8*'Output-Calculation-sheet'!Q52/10^9</f>
        <v>0.55423502267748015</v>
      </c>
      <c r="R63" s="2">
        <f>R8*'Output-Calculation-sheet'!R52/10^9</f>
        <v>0.50200750965363894</v>
      </c>
      <c r="S63" s="2">
        <f>S8*'Output-Calculation-sheet'!S52/10^9</f>
        <v>0.42593470003528933</v>
      </c>
      <c r="T63" s="2">
        <f>T8*'Output-Calculation-sheet'!T52/10^9</f>
        <v>0.20389568766098556</v>
      </c>
      <c r="U63" s="2">
        <f>U8*'Output-Calculation-sheet'!U52/10^9</f>
        <v>0.15900798783223324</v>
      </c>
      <c r="V63" s="2">
        <f>V8*'Output-Calculation-sheet'!V52/10^9</f>
        <v>0.26326979633604308</v>
      </c>
      <c r="W63" s="2">
        <f>W8*'Output-Calculation-sheet'!W52/10^9</f>
        <v>0.11047996961610931</v>
      </c>
      <c r="X63" s="2">
        <f>X8*'Output-Calculation-sheet'!X52/10^9</f>
        <v>0.11624777540713088</v>
      </c>
      <c r="Y63" s="2">
        <f>Y8*'Output-Calculation-sheet'!Y52/10^9</f>
        <v>6.3798075565926579E-2</v>
      </c>
      <c r="AA63" s="2">
        <f t="shared" si="4"/>
        <v>28.282721167060572</v>
      </c>
    </row>
    <row r="64" spans="1:27" x14ac:dyDescent="0.25">
      <c r="A64" s="2">
        <v>2032</v>
      </c>
      <c r="B64" s="2">
        <f>B9*'Output-Calculation-sheet'!B53/10^9</f>
        <v>8.5608195500208311</v>
      </c>
      <c r="C64" s="2">
        <f>C9*'Output-Calculation-sheet'!C53/10^9</f>
        <v>5.056637720674936</v>
      </c>
      <c r="D64" s="2">
        <f>D9*'Output-Calculation-sheet'!D53/10^9</f>
        <v>1.7976580909599587</v>
      </c>
      <c r="E64" s="2">
        <f>E9*'Output-Calculation-sheet'!E53/10^9</f>
        <v>2.0989760523681351</v>
      </c>
      <c r="F64" s="2">
        <f>F9*'Output-Calculation-sheet'!F53/10^9</f>
        <v>0.96318469194026024</v>
      </c>
      <c r="G64" s="2">
        <f>G9*'Output-Calculation-sheet'!G53/10^9</f>
        <v>0.72119287143342625</v>
      </c>
      <c r="H64" s="2">
        <f>H9*'Output-Calculation-sheet'!H53/10^9</f>
        <v>1.3431072218405389</v>
      </c>
      <c r="I64" s="2">
        <f>I9*'Output-Calculation-sheet'!I53/10^9</f>
        <v>0.58483794925458643</v>
      </c>
      <c r="J64" s="2">
        <f>J9*'Output-Calculation-sheet'!J53/10^9</f>
        <v>0.78497727015762386</v>
      </c>
      <c r="K64" s="2">
        <f>K9*'Output-Calculation-sheet'!K53/10^9</f>
        <v>0.57948883842117627</v>
      </c>
      <c r="L64" s="2">
        <f>L9*'Output-Calculation-sheet'!L53/10^9</f>
        <v>0.65057536097274782</v>
      </c>
      <c r="M64" s="2">
        <f>M9*'Output-Calculation-sheet'!M53/10^9</f>
        <v>0.96853737823042285</v>
      </c>
      <c r="N64" s="2">
        <f>N9*'Output-Calculation-sheet'!N53/10^9</f>
        <v>0.79162738475928429</v>
      </c>
      <c r="O64" s="2">
        <f>O9*'Output-Calculation-sheet'!O53/10^9</f>
        <v>0.93515099289340398</v>
      </c>
      <c r="P64" s="2">
        <f>P9*'Output-Calculation-sheet'!P53/10^9</f>
        <v>0.61834656479276662</v>
      </c>
      <c r="Q64" s="2">
        <f>Q9*'Output-Calculation-sheet'!Q53/10^9</f>
        <v>0.58651863188805398</v>
      </c>
      <c r="R64" s="2">
        <f>R9*'Output-Calculation-sheet'!R53/10^9</f>
        <v>0.49896269236311896</v>
      </c>
      <c r="S64" s="2">
        <f>S9*'Output-Calculation-sheet'!S53/10^9</f>
        <v>0.46909287234488584</v>
      </c>
      <c r="T64" s="2">
        <f>T9*'Output-Calculation-sheet'!T53/10^9</f>
        <v>0.18652171880355639</v>
      </c>
      <c r="U64" s="2">
        <f>U9*'Output-Calculation-sheet'!U53/10^9</f>
        <v>0.1589155130016591</v>
      </c>
      <c r="V64" s="2">
        <f>V9*'Output-Calculation-sheet'!V53/10^9</f>
        <v>0.23161370683211915</v>
      </c>
      <c r="W64" s="2">
        <f>W9*'Output-Calculation-sheet'!W53/10^9</f>
        <v>9.8721473857119588E-2</v>
      </c>
      <c r="X64" s="2">
        <f>X9*'Output-Calculation-sheet'!X53/10^9</f>
        <v>0.12605774380724902</v>
      </c>
      <c r="Y64" s="2">
        <f>Y9*'Output-Calculation-sheet'!Y53/10^9</f>
        <v>6.2792383167034602E-2</v>
      </c>
      <c r="AA64" s="2">
        <f t="shared" si="4"/>
        <v>28.874314674784895</v>
      </c>
    </row>
    <row r="65" spans="1:27" x14ac:dyDescent="0.25">
      <c r="A65" s="2">
        <v>2033</v>
      </c>
      <c r="B65" s="2">
        <f>B10*'Output-Calculation-sheet'!B54/10^9</f>
        <v>8.49871694920847</v>
      </c>
      <c r="C65" s="2">
        <f>C10*'Output-Calculation-sheet'!C54/10^9</f>
        <v>5.2507306750052587</v>
      </c>
      <c r="D65" s="2">
        <f>D10*'Output-Calculation-sheet'!D54/10^9</f>
        <v>1.5148797277228703</v>
      </c>
      <c r="E65" s="2">
        <f>E10*'Output-Calculation-sheet'!E54/10^9</f>
        <v>1.9292193871479113</v>
      </c>
      <c r="F65" s="2">
        <f>F10*'Output-Calculation-sheet'!F54/10^9</f>
        <v>0.82900127140220736</v>
      </c>
      <c r="G65" s="2">
        <f>G10*'Output-Calculation-sheet'!G54/10^9</f>
        <v>0.59020875415850471</v>
      </c>
      <c r="H65" s="2">
        <f>H10*'Output-Calculation-sheet'!H54/10^9</f>
        <v>1.3868530437254731</v>
      </c>
      <c r="I65" s="2">
        <f>I10*'Output-Calculation-sheet'!I54/10^9</f>
        <v>0.51748988500892146</v>
      </c>
      <c r="J65" s="2">
        <f>J10*'Output-Calculation-sheet'!J54/10^9</f>
        <v>0.6122719441691955</v>
      </c>
      <c r="K65" s="2">
        <f>K10*'Output-Calculation-sheet'!K54/10^9</f>
        <v>0.57296673053184033</v>
      </c>
      <c r="L65" s="2">
        <f>L10*'Output-Calculation-sheet'!L54/10^9</f>
        <v>0.59088375675831895</v>
      </c>
      <c r="M65" s="2">
        <f>M10*'Output-Calculation-sheet'!M54/10^9</f>
        <v>0.9860997076613196</v>
      </c>
      <c r="N65" s="2">
        <f>N10*'Output-Calculation-sheet'!N54/10^9</f>
        <v>0.8402761037405615</v>
      </c>
      <c r="O65" s="2">
        <f>O10*'Output-Calculation-sheet'!O54/10^9</f>
        <v>0.97771207436707042</v>
      </c>
      <c r="P65" s="2">
        <f>P10*'Output-Calculation-sheet'!P54/10^9</f>
        <v>0.61983942084324006</v>
      </c>
      <c r="Q65" s="2">
        <f>Q10*'Output-Calculation-sheet'!Q54/10^9</f>
        <v>0.61169894275615688</v>
      </c>
      <c r="R65" s="2">
        <f>R10*'Output-Calculation-sheet'!R54/10^9</f>
        <v>0.48489149870487702</v>
      </c>
      <c r="S65" s="2">
        <f>S10*'Output-Calculation-sheet'!S54/10^9</f>
        <v>0.48667599970037007</v>
      </c>
      <c r="T65" s="2">
        <f>T10*'Output-Calculation-sheet'!T54/10^9</f>
        <v>0.16420583123804211</v>
      </c>
      <c r="U65" s="2">
        <f>U10*'Output-Calculation-sheet'!U54/10^9</f>
        <v>0.1577079109099159</v>
      </c>
      <c r="V65" s="2">
        <f>V10*'Output-Calculation-sheet'!V54/10^9</f>
        <v>0.1858245938384438</v>
      </c>
      <c r="W65" s="2">
        <f>W10*'Output-Calculation-sheet'!W54/10^9</f>
        <v>7.9414713584080254E-2</v>
      </c>
      <c r="X65" s="2">
        <f>X10*'Output-Calculation-sheet'!X54/10^9</f>
        <v>0.12666335674286999</v>
      </c>
      <c r="Y65" s="2">
        <f>Y10*'Output-Calculation-sheet'!Y54/10^9</f>
        <v>6.1606832604331904E-2</v>
      </c>
      <c r="AA65" s="2">
        <f t="shared" si="4"/>
        <v>28.07583911153025</v>
      </c>
    </row>
    <row r="66" spans="1:27" x14ac:dyDescent="0.25">
      <c r="A66" s="2">
        <v>2034</v>
      </c>
      <c r="B66" s="2">
        <f>B11*'Output-Calculation-sheet'!B55/10^9</f>
        <v>8.1528118519902311</v>
      </c>
      <c r="C66" s="2">
        <f>C11*'Output-Calculation-sheet'!C55/10^9</f>
        <v>5.1120691903470936</v>
      </c>
      <c r="D66" s="2">
        <f>D11*'Output-Calculation-sheet'!D55/10^9</f>
        <v>1.4749580299026219</v>
      </c>
      <c r="E66" s="2">
        <f>E11*'Output-Calculation-sheet'!E55/10^9</f>
        <v>1.9103587833810194</v>
      </c>
      <c r="F66" s="2">
        <f>F11*'Output-Calculation-sheet'!F55/10^9</f>
        <v>0.75187837237028043</v>
      </c>
      <c r="G66" s="2">
        <f>G11*'Output-Calculation-sheet'!G55/10^9</f>
        <v>0.54846607215379872</v>
      </c>
      <c r="H66" s="2">
        <f>H11*'Output-Calculation-sheet'!H55/10^9</f>
        <v>1.3686204728046469</v>
      </c>
      <c r="I66" s="2">
        <f>I11*'Output-Calculation-sheet'!I55/10^9</f>
        <v>0.50985620881850158</v>
      </c>
      <c r="J66" s="2">
        <f>J11*'Output-Calculation-sheet'!J55/10^9</f>
        <v>0.51332946467935769</v>
      </c>
      <c r="K66" s="2">
        <f>K11*'Output-Calculation-sheet'!K55/10^9</f>
        <v>0.5845090023061591</v>
      </c>
      <c r="L66" s="2">
        <f>L11*'Output-Calculation-sheet'!L55/10^9</f>
        <v>0.56666179912056758</v>
      </c>
      <c r="M66" s="2">
        <f>M11*'Output-Calculation-sheet'!M55/10^9</f>
        <v>0.96128234699949944</v>
      </c>
      <c r="N66" s="2">
        <f>N11*'Output-Calculation-sheet'!N55/10^9</f>
        <v>0.83591024979856432</v>
      </c>
      <c r="O66" s="2">
        <f>O11*'Output-Calculation-sheet'!O55/10^9</f>
        <v>0.95348383480783339</v>
      </c>
      <c r="P66" s="2">
        <f>P11*'Output-Calculation-sheet'!P55/10^9</f>
        <v>0.61140129270278043</v>
      </c>
      <c r="Q66" s="2">
        <f>Q11*'Output-Calculation-sheet'!Q55/10^9</f>
        <v>0.62887932169368044</v>
      </c>
      <c r="R66" s="2">
        <f>R11*'Output-Calculation-sheet'!R55/10^9</f>
        <v>0.46528446178184935</v>
      </c>
      <c r="S66" s="2">
        <f>S11*'Output-Calculation-sheet'!S55/10^9</f>
        <v>0.48300375221202413</v>
      </c>
      <c r="T66" s="2">
        <f>T11*'Output-Calculation-sheet'!T55/10^9</f>
        <v>0.14578978015229307</v>
      </c>
      <c r="U66" s="2">
        <f>U11*'Output-Calculation-sheet'!U55/10^9</f>
        <v>0.15867062793566736</v>
      </c>
      <c r="V66" s="2">
        <f>V11*'Output-Calculation-sheet'!V55/10^9</f>
        <v>0.13778097653545823</v>
      </c>
      <c r="W66" s="2">
        <f>W11*'Output-Calculation-sheet'!W55/10^9</f>
        <v>6.7500574036199176E-2</v>
      </c>
      <c r="X66" s="2">
        <f>X11*'Output-Calculation-sheet'!X55/10^9</f>
        <v>0.11923053180737535</v>
      </c>
      <c r="Y66" s="2">
        <f>Y11*'Output-Calculation-sheet'!Y55/10^9</f>
        <v>6.4766132049024788E-2</v>
      </c>
      <c r="AA66" s="2">
        <f t="shared" si="4"/>
        <v>27.126503130386531</v>
      </c>
    </row>
    <row r="67" spans="1:27" x14ac:dyDescent="0.25">
      <c r="A67" s="2">
        <v>2035</v>
      </c>
      <c r="B67" s="2">
        <f>B12*'Output-Calculation-sheet'!B56/10^9</f>
        <v>7.809605007697642</v>
      </c>
      <c r="C67" s="2">
        <f>C12*'Output-Calculation-sheet'!C56/10^9</f>
        <v>4.7168134812324976</v>
      </c>
      <c r="D67" s="2">
        <f>D12*'Output-Calculation-sheet'!D56/10^9</f>
        <v>1.5470049537150128</v>
      </c>
      <c r="E67" s="2">
        <f>E12*'Output-Calculation-sheet'!E56/10^9</f>
        <v>2.118391721560938</v>
      </c>
      <c r="F67" s="2">
        <f>F12*'Output-Calculation-sheet'!F56/10^9</f>
        <v>0.83056861006772653</v>
      </c>
      <c r="G67" s="2">
        <f>G12*'Output-Calculation-sheet'!G56/10^9</f>
        <v>0.61196268184575719</v>
      </c>
      <c r="H67" s="2">
        <f>H12*'Output-Calculation-sheet'!H56/10^9</f>
        <v>1.3031589067478779</v>
      </c>
      <c r="I67" s="2">
        <f>I12*'Output-Calculation-sheet'!I56/10^9</f>
        <v>0.5607656337730712</v>
      </c>
      <c r="J67" s="2">
        <f>J12*'Output-Calculation-sheet'!J56/10^9</f>
        <v>0.51347419394888727</v>
      </c>
      <c r="K67" s="2">
        <f>K12*'Output-Calculation-sheet'!K56/10^9</f>
        <v>0.61506853331133349</v>
      </c>
      <c r="L67" s="2">
        <f>L12*'Output-Calculation-sheet'!L56/10^9</f>
        <v>0.57320835754437383</v>
      </c>
      <c r="M67" s="2">
        <f>M12*'Output-Calculation-sheet'!M56/10^9</f>
        <v>0.92192464475036207</v>
      </c>
      <c r="N67" s="2">
        <f>N12*'Output-Calculation-sheet'!N56/10^9</f>
        <v>0.78741161316568165</v>
      </c>
      <c r="O67" s="2">
        <f>O12*'Output-Calculation-sheet'!O56/10^9</f>
        <v>0.87104790919000952</v>
      </c>
      <c r="P67" s="2">
        <f>P12*'Output-Calculation-sheet'!P56/10^9</f>
        <v>0.63906149722349936</v>
      </c>
      <c r="Q67" s="2">
        <f>Q12*'Output-Calculation-sheet'!Q56/10^9</f>
        <v>0.60368000292599688</v>
      </c>
      <c r="R67" s="2">
        <f>R12*'Output-Calculation-sheet'!R56/10^9</f>
        <v>0.47353682103807487</v>
      </c>
      <c r="S67" s="2">
        <f>S12*'Output-Calculation-sheet'!S56/10^9</f>
        <v>0.45743181694097496</v>
      </c>
      <c r="T67" s="2">
        <f>T12*'Output-Calculation-sheet'!T56/10^9</f>
        <v>0.14736150481541577</v>
      </c>
      <c r="U67" s="2">
        <f>U12*'Output-Calculation-sheet'!U56/10^9</f>
        <v>0.15930685987710144</v>
      </c>
      <c r="V67" s="2">
        <f>V12*'Output-Calculation-sheet'!V56/10^9</f>
        <v>0.11364934824778988</v>
      </c>
      <c r="W67" s="2">
        <f>W12*'Output-Calculation-sheet'!W56/10^9</f>
        <v>7.714628086112113E-2</v>
      </c>
      <c r="X67" s="2">
        <f>X12*'Output-Calculation-sheet'!X56/10^9</f>
        <v>0.11004521091938475</v>
      </c>
      <c r="Y67" s="2">
        <f>Y12*'Output-Calculation-sheet'!Y56/10^9</f>
        <v>7.1986644329805616E-2</v>
      </c>
      <c r="AA67" s="2">
        <f t="shared" si="4"/>
        <v>26.633612235730332</v>
      </c>
    </row>
    <row r="68" spans="1:27" x14ac:dyDescent="0.25">
      <c r="B68" s="2">
        <f>SUM(B60:B67)</f>
        <v>41.366686625838845</v>
      </c>
      <c r="C68" s="2">
        <f t="shared" ref="C68:Y68" si="5">SUM(C60:C67)</f>
        <v>24.671820351549918</v>
      </c>
      <c r="D68" s="2">
        <f t="shared" si="5"/>
        <v>8.2883420744932703</v>
      </c>
      <c r="E68" s="2">
        <f t="shared" si="5"/>
        <v>10.29222648351182</v>
      </c>
      <c r="F68" s="2">
        <f t="shared" si="5"/>
        <v>4.4194829983880464</v>
      </c>
      <c r="G68" s="2">
        <f t="shared" si="5"/>
        <v>3.2688061414329561</v>
      </c>
      <c r="H68" s="2">
        <f t="shared" si="5"/>
        <v>6.5929806761580618</v>
      </c>
      <c r="I68" s="2">
        <f t="shared" si="5"/>
        <v>2.8025075685581311</v>
      </c>
      <c r="J68" s="2">
        <f t="shared" si="5"/>
        <v>3.3140385986396628</v>
      </c>
      <c r="K68" s="2">
        <f t="shared" si="5"/>
        <v>2.936265033762262</v>
      </c>
      <c r="L68" s="2">
        <f t="shared" si="5"/>
        <v>3.0730359394712039</v>
      </c>
      <c r="M68" s="2">
        <f t="shared" si="5"/>
        <v>4.7100425448955185</v>
      </c>
      <c r="N68" s="2">
        <f t="shared" si="5"/>
        <v>3.9507127035683895</v>
      </c>
      <c r="O68" s="2">
        <f t="shared" si="5"/>
        <v>4.5614062775350099</v>
      </c>
      <c r="P68" s="2">
        <f t="shared" si="5"/>
        <v>3.0828227126015308</v>
      </c>
      <c r="Q68" s="2">
        <f t="shared" si="5"/>
        <v>2.9850119219413687</v>
      </c>
      <c r="R68" s="2">
        <f t="shared" si="5"/>
        <v>2.4246829835415591</v>
      </c>
      <c r="S68" s="2">
        <f t="shared" si="5"/>
        <v>2.3221391412335444</v>
      </c>
      <c r="T68" s="2">
        <f t="shared" si="5"/>
        <v>0.84777452267029285</v>
      </c>
      <c r="U68" s="2">
        <f t="shared" si="5"/>
        <v>0.79360889955657699</v>
      </c>
      <c r="V68" s="2">
        <f t="shared" si="5"/>
        <v>0.93213842178985407</v>
      </c>
      <c r="W68" s="2">
        <f t="shared" si="5"/>
        <v>0.43326301195462946</v>
      </c>
      <c r="X68" s="2">
        <f t="shared" si="5"/>
        <v>0.59824461868401002</v>
      </c>
      <c r="Y68" s="2">
        <f t="shared" si="5"/>
        <v>0.32495006771612345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930.12000936167351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1696.2605754641399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1143.9025974142885</v>
      </c>
      <c r="N74" s="2">
        <f>N8/'Output-Calculation-sheet'!N7*'Output-Calculation-sheet'!N61</f>
        <v>47.422136888566286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10.150720130561979</v>
      </c>
      <c r="Y74" s="2">
        <f>Y8/'Output-Calculation-sheet'!Y7*'Output-Calculation-sheet'!Y61</f>
        <v>0</v>
      </c>
      <c r="AA74" s="2">
        <f t="shared" si="6"/>
        <v>3.8278560392592307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160.3632340408368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2879.6799571917318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1956.8971738722562</v>
      </c>
      <c r="N75" s="2">
        <f>N9/'Output-Calculation-sheet'!N8*'Output-Calculation-sheet'!N62</f>
        <v>753.63483024542347</v>
      </c>
      <c r="O75" s="2">
        <f>O9/'Output-Calculation-sheet'!O8*'Output-Calculation-sheet'!O62</f>
        <v>0</v>
      </c>
      <c r="P75" s="2">
        <f>P9/'Output-Calculation-sheet'!P8*'Output-Calculation-sheet'!P62</f>
        <v>59.706880667722849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253.24554020255925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68.729760552035373</v>
      </c>
      <c r="Y75" s="2">
        <f>Y9/'Output-Calculation-sheet'!Y8*'Output-Calculation-sheet'!Y62</f>
        <v>0</v>
      </c>
      <c r="AA75" s="2">
        <f t="shared" si="6"/>
        <v>6.1322573767725652</v>
      </c>
    </row>
    <row r="76" spans="1:27" x14ac:dyDescent="0.25">
      <c r="A76" s="2">
        <v>2033</v>
      </c>
      <c r="B76" s="2">
        <f>B10/'Output-Calculation-sheet'!B9*'Output-Calculation-sheet'!B63</f>
        <v>6011.5621174844237</v>
      </c>
      <c r="C76" s="2">
        <f>C10/'Output-Calculation-sheet'!C9*'Output-Calculation-sheet'!C63</f>
        <v>1212.1854357187774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3919.2365821671783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2674.8980986087267</v>
      </c>
      <c r="N76" s="2">
        <f>N10/'Output-Calculation-sheet'!N9*'Output-Calculation-sheet'!N63</f>
        <v>1523.4939143405711</v>
      </c>
      <c r="O76" s="2">
        <f>O10/'Output-Calculation-sheet'!O9*'Output-Calculation-sheet'!O63</f>
        <v>0</v>
      </c>
      <c r="P76" s="2">
        <f>P10/'Output-Calculation-sheet'!P9*'Output-Calculation-sheet'!P63</f>
        <v>528.31738709579042</v>
      </c>
      <c r="Q76" s="2">
        <f>Q10/'Output-Calculation-sheet'!Q9*'Output-Calculation-sheet'!Q63</f>
        <v>240.15192222079625</v>
      </c>
      <c r="R76" s="2">
        <f>R10/'Output-Calculation-sheet'!R9*'Output-Calculation-sheet'!R63</f>
        <v>400.92162979934704</v>
      </c>
      <c r="S76" s="2">
        <f>S10/'Output-Calculation-sheet'!S9*'Output-Calculation-sheet'!S63</f>
        <v>681.30061379747406</v>
      </c>
      <c r="T76" s="2">
        <f>T10/'Output-Calculation-sheet'!T9*'Output-Calculation-sheet'!T63</f>
        <v>26.416074032510053</v>
      </c>
      <c r="U76" s="2">
        <f>U10/'Output-Calculation-sheet'!U9*'Output-Calculation-sheet'!U63</f>
        <v>142.47464778921216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153.45407668492936</v>
      </c>
      <c r="Y76" s="2">
        <f>Y10/'Output-Calculation-sheet'!Y9*'Output-Calculation-sheet'!Y63</f>
        <v>6.7665842338822184</v>
      </c>
      <c r="AA76" s="2">
        <f t="shared" si="6"/>
        <v>17.631952719987869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1955.6321162878598</v>
      </c>
      <c r="D77" s="2">
        <f>D11/'Output-Calculation-sheet'!D10*'Output-Calculation-sheet'!D64</f>
        <v>1661.9538402578557</v>
      </c>
      <c r="E77" s="2">
        <f>E11/'Output-Calculation-sheet'!E10*'Output-Calculation-sheet'!E64</f>
        <v>2078.6504858358271</v>
      </c>
      <c r="F77" s="2">
        <f>F11/'Output-Calculation-sheet'!F10*'Output-Calculation-sheet'!F64</f>
        <v>147.90112421252607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4394.8164254108506</v>
      </c>
      <c r="I77" s="2">
        <f>I11/'Output-Calculation-sheet'!I10*'Output-Calculation-sheet'!I64</f>
        <v>515.85032310162001</v>
      </c>
      <c r="J77" s="2">
        <f>J11/'Output-Calculation-sheet'!J10*'Output-Calculation-sheet'!J64</f>
        <v>363.72724617645446</v>
      </c>
      <c r="K77" s="2">
        <f>K11/'Output-Calculation-sheet'!K10*'Output-Calculation-sheet'!K64</f>
        <v>791.78360165579704</v>
      </c>
      <c r="L77" s="2">
        <f>L11/'Output-Calculation-sheet'!L10*'Output-Calculation-sheet'!L64</f>
        <v>324.33417549228199</v>
      </c>
      <c r="M77" s="2">
        <f>M11/'Output-Calculation-sheet'!M10*'Output-Calculation-sheet'!M64</f>
        <v>3105.9179673035906</v>
      </c>
      <c r="N77" s="2">
        <f>N11/'Output-Calculation-sheet'!N10*'Output-Calculation-sheet'!N64</f>
        <v>2152.6998428841675</v>
      </c>
      <c r="O77" s="2">
        <f>O11/'Output-Calculation-sheet'!O10*'Output-Calculation-sheet'!O64</f>
        <v>78.220855824964858</v>
      </c>
      <c r="P77" s="2">
        <f>P11/'Output-Calculation-sheet'!P10*'Output-Calculation-sheet'!P64</f>
        <v>976.31479455862643</v>
      </c>
      <c r="Q77" s="2">
        <f>Q11/'Output-Calculation-sheet'!Q10*'Output-Calculation-sheet'!Q64</f>
        <v>558.95570695331162</v>
      </c>
      <c r="R77" s="2">
        <f>R11/'Output-Calculation-sheet'!R10*'Output-Calculation-sheet'!R64</f>
        <v>833.86435094903084</v>
      </c>
      <c r="S77" s="2">
        <f>S11/'Output-Calculation-sheet'!S10*'Output-Calculation-sheet'!S64</f>
        <v>1104.8173543645926</v>
      </c>
      <c r="T77" s="2">
        <f>T11/'Output-Calculation-sheet'!T10*'Output-Calculation-sheet'!T64</f>
        <v>230.57953401782856</v>
      </c>
      <c r="U77" s="2">
        <f>U11/'Output-Calculation-sheet'!U10*'Output-Calculation-sheet'!U64</f>
        <v>305.80934480372457</v>
      </c>
      <c r="V77" s="2">
        <f>V11/'Output-Calculation-sheet'!V10*'Output-Calculation-sheet'!V64</f>
        <v>120.35796571610727</v>
      </c>
      <c r="W77" s="2">
        <f>W11/'Output-Calculation-sheet'!W10*'Output-Calculation-sheet'!W64</f>
        <v>26.223645061511881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36.389977472132266</v>
      </c>
    </row>
    <row r="78" spans="1:27" x14ac:dyDescent="0.25">
      <c r="A78" s="2">
        <v>2035</v>
      </c>
      <c r="B78" s="2">
        <f>B12/'Output-Calculation-sheet'!B11*'Output-Calculation-sheet'!B65</f>
        <v>15133.973763744229</v>
      </c>
      <c r="C78" s="2">
        <f>C12/'Output-Calculation-sheet'!C11*'Output-Calculation-sheet'!C65</f>
        <v>55.653509203227223</v>
      </c>
      <c r="D78" s="2">
        <f>D12/'Output-Calculation-sheet'!D11*'Output-Calculation-sheet'!D65</f>
        <v>1580.9779620792019</v>
      </c>
      <c r="E78" s="2">
        <f>E12/'Output-Calculation-sheet'!E11*'Output-Calculation-sheet'!E65</f>
        <v>3004.1089315930444</v>
      </c>
      <c r="F78" s="2">
        <f>F12/'Output-Calculation-sheet'!F11*'Output-Calculation-sheet'!F65</f>
        <v>642.23416226919949</v>
      </c>
      <c r="G78" s="2">
        <f>G12/'Output-Calculation-sheet'!G11*'Output-Calculation-sheet'!G65</f>
        <v>1224.2095564756828</v>
      </c>
      <c r="H78" s="2">
        <f>H12/'Output-Calculation-sheet'!H11*'Output-Calculation-sheet'!H65</f>
        <v>3919.1011469857049</v>
      </c>
      <c r="I78" s="2">
        <f>I12/'Output-Calculation-sheet'!I11*'Output-Calculation-sheet'!I65</f>
        <v>708.71989109592857</v>
      </c>
      <c r="J78" s="2">
        <f>J12/'Output-Calculation-sheet'!J11*'Output-Calculation-sheet'!J65</f>
        <v>649.25699014024633</v>
      </c>
      <c r="K78" s="2">
        <f>K12/'Output-Calculation-sheet'!K11*'Output-Calculation-sheet'!K65</f>
        <v>807.11984466247964</v>
      </c>
      <c r="L78" s="2">
        <f>L12/'Output-Calculation-sheet'!L11*'Output-Calculation-sheet'!L65</f>
        <v>472.59827083541057</v>
      </c>
      <c r="M78" s="2">
        <f>M12/'Output-Calculation-sheet'!M11*'Output-Calculation-sheet'!M65</f>
        <v>2744.7607643684014</v>
      </c>
      <c r="N78" s="2">
        <f>N12/'Output-Calculation-sheet'!N11*'Output-Calculation-sheet'!N65</f>
        <v>1932.2115126808399</v>
      </c>
      <c r="O78" s="2">
        <f>O12/'Output-Calculation-sheet'!O11*'Output-Calculation-sheet'!O65</f>
        <v>285.46976369461515</v>
      </c>
      <c r="P78" s="2">
        <f>P12/'Output-Calculation-sheet'!P11*'Output-Calculation-sheet'!P65</f>
        <v>1107.9772696661225</v>
      </c>
      <c r="Q78" s="2">
        <f>Q12/'Output-Calculation-sheet'!Q11*'Output-Calculation-sheet'!Q65</f>
        <v>540.27952123385228</v>
      </c>
      <c r="R78" s="2">
        <f>R12/'Output-Calculation-sheet'!R11*'Output-Calculation-sheet'!R65</f>
        <v>925.81205932181058</v>
      </c>
      <c r="S78" s="2">
        <f>S12/'Output-Calculation-sheet'!S11*'Output-Calculation-sheet'!S65</f>
        <v>1041.5219695750791</v>
      </c>
      <c r="T78" s="2">
        <f>T12/'Output-Calculation-sheet'!T11*'Output-Calculation-sheet'!T65</f>
        <v>327.98654014471225</v>
      </c>
      <c r="U78" s="2">
        <f>U12/'Output-Calculation-sheet'!U11*'Output-Calculation-sheet'!U65</f>
        <v>283.18354034956764</v>
      </c>
      <c r="V78" s="2">
        <f>V12/'Output-Calculation-sheet'!V11*'Output-Calculation-sheet'!V65</f>
        <v>178.85866562445312</v>
      </c>
      <c r="W78" s="2">
        <f>W12/'Output-Calculation-sheet'!W11*'Output-Calculation-sheet'!W65</f>
        <v>127.95862906357441</v>
      </c>
      <c r="X78" s="2">
        <f>X12/'Output-Calculation-sheet'!X11*'Output-Calculation-sheet'!X65</f>
        <v>23.463502559121935</v>
      </c>
      <c r="Y78" s="2">
        <f>Y12/'Output-Calculation-sheet'!Y11*'Output-Calculation-sheet'!Y65</f>
        <v>122.52619186348579</v>
      </c>
      <c r="AA78" s="2">
        <f t="shared" si="6"/>
        <v>37.839963959229983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30.585050498790739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3.058505049879074E-2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342.3889295386798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0.34238892953867983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426.05725242349359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0.42605725242349357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25.471687032396833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5.4771873658504937</v>
      </c>
      <c r="N88" s="2">
        <f>N11/'Output-Calculation-sheet'!N10*'Output-Calculation-sheet'!N73</f>
        <v>5.3831869181175565</v>
      </c>
      <c r="O88" s="2">
        <f>O11/'Output-Calculation-sheet'!O10*'Output-Calculation-sheet'!O73</f>
        <v>463.16632888457769</v>
      </c>
      <c r="P88" s="2">
        <f>P11/'Output-Calculation-sheet'!P10*'Output-Calculation-sheet'!P73</f>
        <v>0</v>
      </c>
      <c r="Q88" s="2">
        <f>Q11/'Output-Calculation-sheet'!Q10*'Output-Calculation-sheet'!Q73</f>
        <v>19.809282944709757</v>
      </c>
      <c r="R88" s="2">
        <f>R11/'Output-Calculation-sheet'!R10*'Output-Calculation-sheet'!R73</f>
        <v>0</v>
      </c>
      <c r="S88" s="2">
        <f>S11/'Output-Calculation-sheet'!S10*'Output-Calculation-sheet'!S73</f>
        <v>0.61716571564491218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0.51992483886129714</v>
      </c>
    </row>
    <row r="89" spans="1:27" x14ac:dyDescent="0.25">
      <c r="A89" s="2">
        <v>2035</v>
      </c>
      <c r="B89" s="2">
        <f>B12/'Output-Calculation-sheet'!B11*'Output-Calculation-sheet'!B74</f>
        <v>295.38499057536632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100.15317517732629</v>
      </c>
      <c r="E89" s="2">
        <f>E12/'Output-Calculation-sheet'!E11*'Output-Calculation-sheet'!E74</f>
        <v>108.24940854166354</v>
      </c>
      <c r="F89" s="2">
        <f>F12/'Output-Calculation-sheet'!F11*'Output-Calculation-sheet'!F74</f>
        <v>42.050295440921857</v>
      </c>
      <c r="G89" s="2">
        <f>G12/'Output-Calculation-sheet'!G11*'Output-Calculation-sheet'!G74</f>
        <v>37.364296426638582</v>
      </c>
      <c r="H89" s="2">
        <f>H12/'Output-Calculation-sheet'!H11*'Output-Calculation-sheet'!H74</f>
        <v>143.39210556511691</v>
      </c>
      <c r="I89" s="2">
        <f>I12/'Output-Calculation-sheet'!I11*'Output-Calculation-sheet'!I74</f>
        <v>34.899447858278961</v>
      </c>
      <c r="J89" s="2">
        <f>J12/'Output-Calculation-sheet'!J11*'Output-Calculation-sheet'!J74</f>
        <v>20.467492034637413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27.274259719129979</v>
      </c>
      <c r="M89" s="2">
        <f>M12/'Output-Calculation-sheet'!M11*'Output-Calculation-sheet'!M74</f>
        <v>83.340698473498705</v>
      </c>
      <c r="N89" s="2">
        <f>N12/'Output-Calculation-sheet'!N11*'Output-Calculation-sheet'!N74</f>
        <v>62.138917179075399</v>
      </c>
      <c r="O89" s="2">
        <f>O12/'Output-Calculation-sheet'!O11*'Output-Calculation-sheet'!O74</f>
        <v>447.20240097673604</v>
      </c>
      <c r="P89" s="2">
        <f>P12/'Output-Calculation-sheet'!P11*'Output-Calculation-sheet'!P74</f>
        <v>33.921399146671362</v>
      </c>
      <c r="Q89" s="2">
        <f>Q12/'Output-Calculation-sheet'!Q11*'Output-Calculation-sheet'!Q74</f>
        <v>51.968514148417924</v>
      </c>
      <c r="R89" s="2">
        <f>R12/'Output-Calculation-sheet'!R11*'Output-Calculation-sheet'!R74</f>
        <v>20.451022434461947</v>
      </c>
      <c r="S89" s="2">
        <f>S12/'Output-Calculation-sheet'!S11*'Output-Calculation-sheet'!S74</f>
        <v>27.52467872531453</v>
      </c>
      <c r="T89" s="2">
        <f>T12/'Output-Calculation-sheet'!T11*'Output-Calculation-sheet'!T74</f>
        <v>4.8423090515728884</v>
      </c>
      <c r="U89" s="2">
        <f>U12/'Output-Calculation-sheet'!U11*'Output-Calculation-sheet'!U74</f>
        <v>8.9485197594753139</v>
      </c>
      <c r="V89" s="2">
        <f>V12/'Output-Calculation-sheet'!V11*'Output-Calculation-sheet'!V74</f>
        <v>1.2176630237413142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0.42035163021604627</v>
      </c>
      <c r="Y89" s="2">
        <f>Y12/'Output-Calculation-sheet'!Y11*'Output-Calculation-sheet'!Y74</f>
        <v>3.95506179641513</v>
      </c>
      <c r="AA89" s="2">
        <f t="shared" si="7"/>
        <v>1.6035052812514416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13847401060.92514</v>
      </c>
      <c r="C96" s="2">
        <f>C8/'Output-Calculation-sheet'!C7*'Output-Calculation-sheet'!C79</f>
        <v>4684647770.9154453</v>
      </c>
      <c r="D96" s="2">
        <f>D8/'Output-Calculation-sheet'!D7*'Output-Calculation-sheet'!D79</f>
        <v>4890438885.5767946</v>
      </c>
      <c r="E96" s="2">
        <f>E8/'Output-Calculation-sheet'!E7*'Output-Calculation-sheet'!E79</f>
        <v>8694797426.4129505</v>
      </c>
      <c r="F96" s="2">
        <f>F8/'Output-Calculation-sheet'!F7*'Output-Calculation-sheet'!F79</f>
        <v>3598690159.938787</v>
      </c>
      <c r="G96" s="2">
        <f>G8/'Output-Calculation-sheet'!G7*'Output-Calculation-sheet'!G79</f>
        <v>2803089840.5131016</v>
      </c>
      <c r="H96" s="2">
        <f>H8/'Output-Calculation-sheet'!H7*'Output-Calculation-sheet'!H79</f>
        <v>2399290024.19491</v>
      </c>
      <c r="I96" s="2">
        <f>I8/'Output-Calculation-sheet'!I7*'Output-Calculation-sheet'!I79</f>
        <v>1952645239.7070212</v>
      </c>
      <c r="J96" s="2">
        <f>J8/'Output-Calculation-sheet'!J7*'Output-Calculation-sheet'!J79</f>
        <v>1320425431.6278396</v>
      </c>
      <c r="K96" s="2">
        <f>K8/'Output-Calculation-sheet'!K7*'Output-Calculation-sheet'!K79</f>
        <v>1889137698.4773774</v>
      </c>
      <c r="L96" s="2">
        <f>L8/'Output-Calculation-sheet'!L7*'Output-Calculation-sheet'!L79</f>
        <v>1332977125.7350798</v>
      </c>
      <c r="M96" s="2">
        <f>M8/'Output-Calculation-sheet'!M7*'Output-Calculation-sheet'!M79</f>
        <v>1791021500.4146302</v>
      </c>
      <c r="N96" s="2">
        <f>N8/'Output-Calculation-sheet'!N7*'Output-Calculation-sheet'!N79</f>
        <v>1332660699.2966375</v>
      </c>
      <c r="O96" s="2">
        <f>O8/'Output-Calculation-sheet'!O7*'Output-Calculation-sheet'!O79</f>
        <v>673704451.64932001</v>
      </c>
      <c r="P96" s="2">
        <f>P8/'Output-Calculation-sheet'!P7*'Output-Calculation-sheet'!P79</f>
        <v>2253414712.4668479</v>
      </c>
      <c r="Q96" s="2">
        <f>Q8/'Output-Calculation-sheet'!Q7*'Output-Calculation-sheet'!Q79</f>
        <v>1050185876.4961545</v>
      </c>
      <c r="R96" s="2">
        <f>R8/'Output-Calculation-sheet'!R7*'Output-Calculation-sheet'!R79</f>
        <v>1310233951.2779191</v>
      </c>
      <c r="S96" s="2">
        <f>S8/'Output-Calculation-sheet'!S7*'Output-Calculation-sheet'!S79</f>
        <v>763450535.77320349</v>
      </c>
      <c r="T96" s="2">
        <f>T8/'Output-Calculation-sheet'!T7*'Output-Calculation-sheet'!T79</f>
        <v>583097737.43198264</v>
      </c>
      <c r="U96" s="2">
        <f>U8/'Output-Calculation-sheet'!U7*'Output-Calculation-sheet'!U79</f>
        <v>366287722.18826902</v>
      </c>
      <c r="V96" s="2">
        <f>V8/'Output-Calculation-sheet'!V7*'Output-Calculation-sheet'!V79</f>
        <v>190048317.32774886</v>
      </c>
      <c r="W96" s="2">
        <f>W8/'Output-Calculation-sheet'!W7*'Output-Calculation-sheet'!W79</f>
        <v>561581990.80183268</v>
      </c>
      <c r="X96" s="2">
        <f>X8/'Output-Calculation-sheet'!X7*'Output-Calculation-sheet'!X79</f>
        <v>197379083.54882321</v>
      </c>
      <c r="Y96" s="2">
        <f>Y8/'Output-Calculation-sheet'!Y7*'Output-Calculation-sheet'!Y79</f>
        <v>308698194.86362094</v>
      </c>
      <c r="AA96" s="2">
        <f t="shared" si="8"/>
        <v>58.795305437561439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1616.3222911498274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314.00651845425159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37.558225417614771</v>
      </c>
      <c r="Y107" s="2">
        <f>Y8/'Output-Calculation-sheet'!Y7*'Output-Calculation-sheet'!Y88</f>
        <v>0</v>
      </c>
      <c r="AA107" s="2">
        <f t="shared" si="9"/>
        <v>1.9678870350216937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3025.2977896472307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3.0755109083696959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3.907192933199668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4.4543753091770517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113.28476434322447</v>
      </c>
      <c r="Y111" s="2">
        <f>Y12/'Output-Calculation-sheet'!Y11*'Output-Calculation-sheet'!Y92</f>
        <v>0</v>
      </c>
      <c r="AA111" s="2">
        <f t="shared" si="9"/>
        <v>5.3367369933150632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1620213956.443012</v>
      </c>
      <c r="C118" s="2">
        <f>C8/'Output-Calculation-sheet'!C7*'Output-Calculation-sheet'!C97</f>
        <v>13377727593.685644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8325314810.8243217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5743762035.652257</v>
      </c>
      <c r="N118" s="2">
        <f>N8/'Output-Calculation-sheet'!N7*'Output-Calculation-sheet'!N97</f>
        <v>1922531907.3038673</v>
      </c>
      <c r="O118" s="2">
        <f>O8/'Output-Calculation-sheet'!O7*'Output-Calculation-sheet'!O97</f>
        <v>2263462974.1899414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576210807.68524432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312750147.72515553</v>
      </c>
      <c r="Y118" s="2">
        <f>Y8/'Output-Calculation-sheet'!Y7*'Output-Calculation-sheet'!Y97</f>
        <v>0</v>
      </c>
      <c r="AA118" s="2">
        <f t="shared" si="10"/>
        <v>34141.974233509449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10500269799.316732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3606549184.8031812</v>
      </c>
      <c r="O119" s="2">
        <f>O9/'Output-Calculation-sheet'!O8*'Output-Calculation-sheet'!O98</f>
        <v>3895041541.8759046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1081256550.7913704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422387668.169662</v>
      </c>
      <c r="Y119" s="2">
        <f>Y9/'Output-Calculation-sheet'!Y8*'Output-Calculation-sheet'!Y98</f>
        <v>0</v>
      </c>
      <c r="AA119" s="2">
        <f t="shared" si="10"/>
        <v>45431.794026723146</v>
      </c>
    </row>
    <row r="120" spans="1:27" x14ac:dyDescent="0.25">
      <c r="A120" s="2">
        <v>2033</v>
      </c>
      <c r="B120" s="2">
        <f>B10/'Output-Calculation-sheet'!B9*'Output-Calculation-sheet'!B99</f>
        <v>17876526853.127495</v>
      </c>
      <c r="C120" s="2">
        <f>C10/'Output-Calculation-sheet'!C9*'Output-Calculation-sheet'!C99</f>
        <v>10345782132.051062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5363218829.3200741</v>
      </c>
      <c r="O120" s="2">
        <f>O10/'Output-Calculation-sheet'!O9*'Output-Calculation-sheet'!O99</f>
        <v>4181827627.9875278</v>
      </c>
      <c r="P120" s="2">
        <f>P10/'Output-Calculation-sheet'!P9*'Output-Calculation-sheet'!P99</f>
        <v>0</v>
      </c>
      <c r="Q120" s="2">
        <f>Q10/'Output-Calculation-sheet'!Q9*'Output-Calculation-sheet'!Q99</f>
        <v>175848858.63429844</v>
      </c>
      <c r="R120" s="2">
        <f>R10/'Output-Calculation-sheet'!R9*'Output-Calculation-sheet'!R99</f>
        <v>0</v>
      </c>
      <c r="S120" s="2">
        <f>S10/'Output-Calculation-sheet'!S9*'Output-Calculation-sheet'!S99</f>
        <v>2160341802.6799903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587718669.37119579</v>
      </c>
      <c r="Y120" s="2">
        <f>Y10/'Output-Calculation-sheet'!Y9*'Output-Calculation-sheet'!Y99</f>
        <v>0</v>
      </c>
      <c r="AA120" s="2">
        <f t="shared" si="10"/>
        <v>63076.171460279205</v>
      </c>
    </row>
    <row r="121" spans="1:27" x14ac:dyDescent="0.25">
      <c r="A121" s="2">
        <v>2034</v>
      </c>
      <c r="B121" s="2">
        <f>B11/'Output-Calculation-sheet'!B10*'Output-Calculation-sheet'!B100</f>
        <v>38328114928.631798</v>
      </c>
      <c r="C121" s="2">
        <f>C11/'Output-Calculation-sheet'!C10*'Output-Calculation-sheet'!C100</f>
        <v>9523929647.5070953</v>
      </c>
      <c r="D121" s="2">
        <f>D11/'Output-Calculation-sheet'!D10*'Output-Calculation-sheet'!D100</f>
        <v>0</v>
      </c>
      <c r="E121" s="2">
        <f>E11/'Output-Calculation-sheet'!E10*'Output-Calculation-sheet'!E100</f>
        <v>792802224.20717955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14064168115.231318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651639862.50649762</v>
      </c>
      <c r="M121" s="2">
        <f>M11/'Output-Calculation-sheet'!M10*'Output-Calculation-sheet'!M100</f>
        <v>9842957016.6722832</v>
      </c>
      <c r="N121" s="2">
        <f>N11/'Output-Calculation-sheet'!N10*'Output-Calculation-sheet'!N100</f>
        <v>6684256900.8190737</v>
      </c>
      <c r="O121" s="2">
        <f>O11/'Output-Calculation-sheet'!O10*'Output-Calculation-sheet'!O100</f>
        <v>4238112567.1811829</v>
      </c>
      <c r="P121" s="2">
        <f>P11/'Output-Calculation-sheet'!P10*'Output-Calculation-sheet'!P100</f>
        <v>0</v>
      </c>
      <c r="Q121" s="2">
        <f>Q11/'Output-Calculation-sheet'!Q10*'Output-Calculation-sheet'!Q100</f>
        <v>861215084.78565288</v>
      </c>
      <c r="R121" s="2">
        <f>R11/'Output-Calculation-sheet'!R10*'Output-Calculation-sheet'!R100</f>
        <v>0</v>
      </c>
      <c r="S121" s="2">
        <f>S11/'Output-Calculation-sheet'!S10*'Output-Calculation-sheet'!S100</f>
        <v>3323460213.8793311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43486211.855028629</v>
      </c>
      <c r="AA121" s="2">
        <f t="shared" si="10"/>
        <v>88828.716832083359</v>
      </c>
    </row>
    <row r="122" spans="1:27" x14ac:dyDescent="0.25">
      <c r="A122" s="2">
        <v>2035</v>
      </c>
      <c r="B122" s="2">
        <f>B12/'Output-Calculation-sheet'!B11*'Output-Calculation-sheet'!B101</f>
        <v>42362895694.164398</v>
      </c>
      <c r="C122" s="2">
        <f>C12/'Output-Calculation-sheet'!C11*'Output-Calculation-sheet'!C101</f>
        <v>248969225.0761804</v>
      </c>
      <c r="D122" s="2">
        <f>D12/'Output-Calculation-sheet'!D11*'Output-Calculation-sheet'!D101</f>
        <v>0</v>
      </c>
      <c r="E122" s="2">
        <f>E12/'Output-Calculation-sheet'!E11*'Output-Calculation-sheet'!E101</f>
        <v>3389094769.2653375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12991143783.872179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870846101.55025887</v>
      </c>
      <c r="M122" s="2">
        <f>M12/'Output-Calculation-sheet'!M11*'Output-Calculation-sheet'!M101</f>
        <v>9113038113.0785294</v>
      </c>
      <c r="N122" s="2">
        <f>N12/'Output-Calculation-sheet'!N11*'Output-Calculation-sheet'!N101</f>
        <v>6131927661.6521044</v>
      </c>
      <c r="O122" s="2">
        <f>O12/'Output-Calculation-sheet'!O11*'Output-Calculation-sheet'!O101</f>
        <v>4157084574.297575</v>
      </c>
      <c r="P122" s="2">
        <f>P12/'Output-Calculation-sheet'!P11*'Output-Calculation-sheet'!P101</f>
        <v>260643507.20426279</v>
      </c>
      <c r="Q122" s="2">
        <f>Q12/'Output-Calculation-sheet'!Q11*'Output-Calculation-sheet'!Q101</f>
        <v>979954598.25276721</v>
      </c>
      <c r="R122" s="2">
        <f>R12/'Output-Calculation-sheet'!R11*'Output-Calculation-sheet'!R101</f>
        <v>0</v>
      </c>
      <c r="S122" s="2">
        <f>S12/'Output-Calculation-sheet'!S11*'Output-Calculation-sheet'!S101</f>
        <v>3220725802.5002465</v>
      </c>
      <c r="T122" s="2">
        <f>T12/'Output-Calculation-sheet'!T11*'Output-Calculation-sheet'!T101</f>
        <v>0</v>
      </c>
      <c r="U122" s="2">
        <f>U12/'Output-Calculation-sheet'!U11*'Output-Calculation-sheet'!U101</f>
        <v>47580832.392500274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111600415.36094877</v>
      </c>
      <c r="Y122" s="2">
        <f>Y12/'Output-Calculation-sheet'!Y11*'Output-Calculation-sheet'!Y101</f>
        <v>172844719.09797961</v>
      </c>
      <c r="AA122" s="2">
        <f t="shared" si="10"/>
        <v>84058.349797765259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55014812861.646408</v>
      </c>
      <c r="C129" s="2">
        <f>C8/'Output-Calculation-sheet'!C7*'Output-Calculation-sheet'!C106</f>
        <v>0</v>
      </c>
      <c r="D129" s="2">
        <f>D8/'Output-Calculation-sheet'!D7*'Output-Calculation-sheet'!D106</f>
        <v>23787289536.236313</v>
      </c>
      <c r="E129" s="2">
        <f>E8/'Output-Calculation-sheet'!E7*'Output-Calculation-sheet'!E106</f>
        <v>18872822481.127842</v>
      </c>
      <c r="F129" s="2">
        <f>F8/'Output-Calculation-sheet'!F7*'Output-Calculation-sheet'!F106</f>
        <v>12149108756.85738</v>
      </c>
      <c r="G129" s="2">
        <f>G8/'Output-Calculation-sheet'!G7*'Output-Calculation-sheet'!G106</f>
        <v>8536316966.8536043</v>
      </c>
      <c r="H129" s="2">
        <f>H8/'Output-Calculation-sheet'!H7*'Output-Calculation-sheet'!H106</f>
        <v>0</v>
      </c>
      <c r="I129" s="2">
        <f>I8/'Output-Calculation-sheet'!I7*'Output-Calculation-sheet'!I106</f>
        <v>7777238635.5828047</v>
      </c>
      <c r="J129" s="2">
        <f>J8/'Output-Calculation-sheet'!J7*'Output-Calculation-sheet'!J106</f>
        <v>7569804478.1305857</v>
      </c>
      <c r="K129" s="2">
        <f>K8/'Output-Calculation-sheet'!K7*'Output-Calculation-sheet'!K106</f>
        <v>7497244551.3441076</v>
      </c>
      <c r="L129" s="2">
        <f>L8/'Output-Calculation-sheet'!L7*'Output-Calculation-sheet'!L106</f>
        <v>6014401296.5862837</v>
      </c>
      <c r="M129" s="2">
        <f>M8/'Output-Calculation-sheet'!M7*'Output-Calculation-sheet'!M106</f>
        <v>0</v>
      </c>
      <c r="N129" s="2">
        <f>N8/'Output-Calculation-sheet'!N7*'Output-Calculation-sheet'!N106</f>
        <v>3715922696.0050492</v>
      </c>
      <c r="O129" s="2">
        <f>O8/'Output-Calculation-sheet'!O7*'Output-Calculation-sheet'!O106</f>
        <v>0</v>
      </c>
      <c r="P129" s="2">
        <f>P8/'Output-Calculation-sheet'!P7*'Output-Calculation-sheet'!P106</f>
        <v>5133007622.9621401</v>
      </c>
      <c r="Q129" s="2">
        <f>Q8/'Output-Calculation-sheet'!Q7*'Output-Calculation-sheet'!Q106</f>
        <v>5050040522.3079786</v>
      </c>
      <c r="R129" s="2">
        <f>R8/'Output-Calculation-sheet'!R7*'Output-Calculation-sheet'!R106</f>
        <v>4858381124.8557997</v>
      </c>
      <c r="S129" s="2">
        <f>S8/'Output-Calculation-sheet'!S7*'Output-Calculation-sheet'!S106</f>
        <v>2652910857.7823787</v>
      </c>
      <c r="T129" s="2">
        <f>T8/'Output-Calculation-sheet'!T7*'Output-Calculation-sheet'!T106</f>
        <v>1785886885.9922245</v>
      </c>
      <c r="U129" s="2">
        <f>U8/'Output-Calculation-sheet'!U7*'Output-Calculation-sheet'!U106</f>
        <v>1555449210.7136629</v>
      </c>
      <c r="V129" s="2">
        <f>V8/'Output-Calculation-sheet'!V7*'Output-Calculation-sheet'!V106</f>
        <v>1197721819.4161513</v>
      </c>
      <c r="W129" s="2">
        <f>W8/'Output-Calculation-sheet'!W7*'Output-Calculation-sheet'!W106</f>
        <v>1036969810.0913429</v>
      </c>
      <c r="X129" s="2">
        <f>X8/'Output-Calculation-sheet'!X7*'Output-Calculation-sheet'!X106</f>
        <v>0</v>
      </c>
      <c r="Y129" s="2">
        <f>Y8/'Output-Calculation-sheet'!Y7*'Output-Calculation-sheet'!Y106</f>
        <v>605062818.48310566</v>
      </c>
      <c r="AA129" s="2">
        <f t="shared" si="11"/>
        <v>174810.39293297511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3.7412336273745166E-8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3931101979.4032421</v>
      </c>
      <c r="O130" s="2">
        <f>O9/'Output-Calculation-sheet'!O8*'Output-Calculation-sheet'!O107</f>
        <v>0</v>
      </c>
      <c r="P130" s="2">
        <f>P9/'Output-Calculation-sheet'!P8*'Output-Calculation-sheet'!P107</f>
        <v>6862473171.2228384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3235656835.6228948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227412.50856632239</v>
      </c>
    </row>
    <row r="131" spans="1:27" x14ac:dyDescent="0.25">
      <c r="A131" s="2">
        <v>2033</v>
      </c>
      <c r="B131" s="2">
        <f>B10/'Output-Calculation-sheet'!B9*'Output-Calculation-sheet'!B108</f>
        <v>72225342602.681351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3606386108.8492002</v>
      </c>
      <c r="O131" s="2">
        <f>O10/'Output-Calculation-sheet'!O9*'Output-Calculation-sheet'!O108</f>
        <v>0</v>
      </c>
      <c r="P131" s="2">
        <f>P10/'Output-Calculation-sheet'!P9*'Output-Calculation-sheet'!P108</f>
        <v>8166226094.2516937</v>
      </c>
      <c r="Q131" s="2">
        <f>Q10/'Output-Calculation-sheet'!Q9*'Output-Calculation-sheet'!Q108</f>
        <v>7858776670.4588032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2976627826.1239948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259096.06955755534</v>
      </c>
    </row>
    <row r="132" spans="1:27" x14ac:dyDescent="0.25">
      <c r="A132" s="2">
        <v>2034</v>
      </c>
      <c r="B132" s="2">
        <f>B11/'Output-Calculation-sheet'!B10*'Output-Calculation-sheet'!B109</f>
        <v>59331794554.333565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31753717827.811939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13054486924.685966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9720447904.3158264</v>
      </c>
      <c r="M132" s="2">
        <f>M11/'Output-Calculation-sheet'!M10*'Output-Calculation-sheet'!M109</f>
        <v>0</v>
      </c>
      <c r="N132" s="2">
        <f>N11/'Output-Calculation-sheet'!N10*'Output-Calculation-sheet'!N109</f>
        <v>2955242574.8352709</v>
      </c>
      <c r="O132" s="2">
        <f>O11/'Output-Calculation-sheet'!O10*'Output-Calculation-sheet'!O109</f>
        <v>0</v>
      </c>
      <c r="P132" s="2">
        <f>P11/'Output-Calculation-sheet'!P10*'Output-Calculation-sheet'!P109</f>
        <v>8851451872.0164852</v>
      </c>
      <c r="Q132" s="2">
        <f>Q11/'Output-Calculation-sheet'!Q10*'Output-Calculation-sheet'!Q109</f>
        <v>7407069156.0013037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2233764653.8794699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999982224.73536706</v>
      </c>
      <c r="AA132" s="2">
        <f t="shared" si="11"/>
        <v>257341.93999478346</v>
      </c>
    </row>
    <row r="133" spans="1:27" x14ac:dyDescent="0.25">
      <c r="A133" s="2">
        <v>2035</v>
      </c>
      <c r="B133" s="2">
        <f>B12/'Output-Calculation-sheet'!B11*'Output-Calculation-sheet'!B110</f>
        <v>49389447150.134636</v>
      </c>
      <c r="C133" s="2">
        <f>C12/'Output-Calculation-sheet'!C11*'Output-Calculation-sheet'!C110</f>
        <v>0</v>
      </c>
      <c r="D133" s="2">
        <f>D12/'Output-Calculation-sheet'!D11*'Output-Calculation-sheet'!D110</f>
        <v>37093202681.6614</v>
      </c>
      <c r="E133" s="2">
        <f>E12/'Output-Calculation-sheet'!E11*'Output-Calculation-sheet'!E110</f>
        <v>28108184693.204369</v>
      </c>
      <c r="F133" s="2">
        <f>F12/'Output-Calculation-sheet'!F11*'Output-Calculation-sheet'!F110</f>
        <v>20003283490.951084</v>
      </c>
      <c r="G133" s="2">
        <f>G12/'Output-Calculation-sheet'!G11*'Output-Calculation-sheet'!G110</f>
        <v>13864599898.610533</v>
      </c>
      <c r="H133" s="2">
        <f>H12/'Output-Calculation-sheet'!H11*'Output-Calculation-sheet'!H110</f>
        <v>0</v>
      </c>
      <c r="I133" s="2">
        <f>I12/'Output-Calculation-sheet'!I11*'Output-Calculation-sheet'!I110</f>
        <v>12515195346.118843</v>
      </c>
      <c r="J133" s="2">
        <f>J12/'Output-Calculation-sheet'!J11*'Output-Calculation-sheet'!J110</f>
        <v>12054695290.219824</v>
      </c>
      <c r="K133" s="2">
        <f>K12/'Output-Calculation-sheet'!K11*'Output-Calculation-sheet'!K110</f>
        <v>11924197779.686977</v>
      </c>
      <c r="L133" s="2">
        <f>L12/'Output-Calculation-sheet'!L11*'Output-Calculation-sheet'!L110</f>
        <v>8767826977.3334618</v>
      </c>
      <c r="M133" s="2">
        <f>M12/'Output-Calculation-sheet'!M11*'Output-Calculation-sheet'!M110</f>
        <v>0</v>
      </c>
      <c r="N133" s="2">
        <f>N12/'Output-Calculation-sheet'!N11*'Output-Calculation-sheet'!N110</f>
        <v>2685736267.3566623</v>
      </c>
      <c r="O133" s="2">
        <f>O12/'Output-Calculation-sheet'!O11*'Output-Calculation-sheet'!O110</f>
        <v>0</v>
      </c>
      <c r="P133" s="2">
        <f>P12/'Output-Calculation-sheet'!P11*'Output-Calculation-sheet'!P110</f>
        <v>8238212751.102643</v>
      </c>
      <c r="Q133" s="2">
        <f>Q12/'Output-Calculation-sheet'!Q11*'Output-Calculation-sheet'!Q110</f>
        <v>6573248235.7242908</v>
      </c>
      <c r="R133" s="2">
        <f>R12/'Output-Calculation-sheet'!R11*'Output-Calculation-sheet'!R110</f>
        <v>7931421047.808794</v>
      </c>
      <c r="S133" s="2">
        <f>S12/'Output-Calculation-sheet'!S11*'Output-Calculation-sheet'!S110</f>
        <v>1873345285.3328097</v>
      </c>
      <c r="T133" s="2">
        <f>T12/'Output-Calculation-sheet'!T11*'Output-Calculation-sheet'!T110</f>
        <v>2978320289.8785238</v>
      </c>
      <c r="U133" s="2">
        <f>U12/'Output-Calculation-sheet'!U11*'Output-Calculation-sheet'!U110</f>
        <v>2417959258.4424872</v>
      </c>
      <c r="V133" s="2">
        <f>V12/'Output-Calculation-sheet'!V11*'Output-Calculation-sheet'!V110</f>
        <v>2005093433.1246929</v>
      </c>
      <c r="W133" s="2">
        <f>W12/'Output-Calculation-sheet'!W11*'Output-Calculation-sheet'!W110</f>
        <v>1760623514.8796189</v>
      </c>
      <c r="X133" s="2">
        <f>X12/'Output-Calculation-sheet'!X11*'Output-Calculation-sheet'!X110</f>
        <v>958574.70556511101</v>
      </c>
      <c r="Y133" s="2">
        <f>Y12/'Output-Calculation-sheet'!Y11*'Output-Calculation-sheet'!Y110</f>
        <v>838068061.94731832</v>
      </c>
      <c r="AA133" s="2">
        <f t="shared" si="11"/>
        <v>231023.62002822451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13310749926.796211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2636282505.750001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309419294.06514853</v>
      </c>
      <c r="Y140" s="2">
        <f>Y8/'Output-Calculation-sheet'!Y7*'Output-Calculation-sheet'!Y115</f>
        <v>0</v>
      </c>
      <c r="AA140" s="2">
        <f t="shared" si="12"/>
        <v>16256.45172661136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25181624625.468372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409365645.7651794</v>
      </c>
      <c r="Y141" s="2">
        <f>Y9/'Output-Calculation-sheet'!Y8*'Output-Calculation-sheet'!Y116</f>
        <v>0</v>
      </c>
      <c r="AA141" s="2">
        <f t="shared" si="12"/>
        <v>25590.99027123355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32116298583.843658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402053367.14936793</v>
      </c>
      <c r="Y142" s="2">
        <f>Y10/'Output-Calculation-sheet'!Y9*'Output-Calculation-sheet'!Y117</f>
        <v>0</v>
      </c>
      <c r="AA142" s="2">
        <f t="shared" si="12"/>
        <v>32518.351950993027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36502455669.812363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37100.782736643931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45704076386.138008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954585029.17813134</v>
      </c>
      <c r="Y144" s="2">
        <f>Y12/'Output-Calculation-sheet'!Y11*'Output-Calculation-sheet'!Y119</f>
        <v>0</v>
      </c>
      <c r="AA144" s="2">
        <f t="shared" si="12"/>
        <v>46658.661415316143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56635027923.766563</v>
      </c>
      <c r="C151" s="2">
        <f>C8/'Output-Calculation-sheet'!C7*'Output-Calculation-sheet'!C124</f>
        <v>26689322416.224957</v>
      </c>
      <c r="D151" s="2">
        <f>D8/'Output-Calculation-sheet'!D7*'Output-Calculation-sheet'!D124</f>
        <v>23787289536.236313</v>
      </c>
      <c r="E151" s="2">
        <f>E8/'Output-Calculation-sheet'!E7*'Output-Calculation-sheet'!E124</f>
        <v>18872822481.127842</v>
      </c>
      <c r="F151" s="2">
        <f>F8/'Output-Calculation-sheet'!F7*'Output-Calculation-sheet'!F124</f>
        <v>12149108756.85738</v>
      </c>
      <c r="G151" s="2">
        <f>G8/'Output-Calculation-sheet'!G7*'Output-Calculation-sheet'!G124</f>
        <v>8536316966.8536043</v>
      </c>
      <c r="H151" s="2">
        <f>H8/'Output-Calculation-sheet'!H7*'Output-Calculation-sheet'!H124</f>
        <v>8326859167.154212</v>
      </c>
      <c r="I151" s="2">
        <f>I8/'Output-Calculation-sheet'!I7*'Output-Calculation-sheet'!I124</f>
        <v>7777238635.5828047</v>
      </c>
      <c r="J151" s="2">
        <f>J8/'Output-Calculation-sheet'!J7*'Output-Calculation-sheet'!J124</f>
        <v>7569804478.1305857</v>
      </c>
      <c r="K151" s="2">
        <f>K8/'Output-Calculation-sheet'!K7*'Output-Calculation-sheet'!K124</f>
        <v>7497244551.3441076</v>
      </c>
      <c r="L151" s="2">
        <f>L8/'Output-Calculation-sheet'!L7*'Output-Calculation-sheet'!L124</f>
        <v>6014401296.5862837</v>
      </c>
      <c r="M151" s="2">
        <f>M8/'Output-Calculation-sheet'!M7*'Output-Calculation-sheet'!M124</f>
        <v>5744802471.5666113</v>
      </c>
      <c r="N151" s="2">
        <f>N8/'Output-Calculation-sheet'!N7*'Output-Calculation-sheet'!N124</f>
        <v>5638497210.7993832</v>
      </c>
      <c r="O151" s="2">
        <f>O8/'Output-Calculation-sheet'!O7*'Output-Calculation-sheet'!O124</f>
        <v>5526658474.5321722</v>
      </c>
      <c r="P151" s="2">
        <f>P8/'Output-Calculation-sheet'!P7*'Output-Calculation-sheet'!P124</f>
        <v>5133007622.9621401</v>
      </c>
      <c r="Q151" s="2">
        <f>Q8/'Output-Calculation-sheet'!Q7*'Output-Calculation-sheet'!Q124</f>
        <v>5050040522.3079786</v>
      </c>
      <c r="R151" s="2">
        <f>R8/'Output-Calculation-sheet'!R7*'Output-Calculation-sheet'!R124</f>
        <v>4858381124.8557997</v>
      </c>
      <c r="S151" s="2">
        <f>S8/'Output-Calculation-sheet'!S7*'Output-Calculation-sheet'!S124</f>
        <v>3229121352.3383355</v>
      </c>
      <c r="T151" s="2">
        <f>T8/'Output-Calculation-sheet'!T7*'Output-Calculation-sheet'!T124</f>
        <v>1785886885.9922245</v>
      </c>
      <c r="U151" s="2">
        <f>U8/'Output-Calculation-sheet'!U7*'Output-Calculation-sheet'!U124</f>
        <v>1555449210.7136629</v>
      </c>
      <c r="V151" s="2">
        <f>V8/'Output-Calculation-sheet'!V7*'Output-Calculation-sheet'!V124</f>
        <v>1197721819.4161513</v>
      </c>
      <c r="W151" s="2">
        <f>W8/'Output-Calculation-sheet'!W7*'Output-Calculation-sheet'!W124</f>
        <v>1036969810.0913429</v>
      </c>
      <c r="X151" s="2">
        <f>X8/'Output-Calculation-sheet'!X7*'Output-Calculation-sheet'!X124</f>
        <v>622178587.46207786</v>
      </c>
      <c r="Y151" s="2">
        <f>Y8/'Output-Calculation-sheet'!Y7*'Output-Calculation-sheet'!Y124</f>
        <v>605062818.48310566</v>
      </c>
      <c r="AA151" s="2">
        <f t="shared" si="13"/>
        <v>225839.21412138556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21409224214.510242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7776238140.3175659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184503.12449101012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7587940169.7599773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124428.33578783958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2499044726.533288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1516256351.1132312</v>
      </c>
      <c r="N154" s="2">
        <f>N11/'Output-Calculation-sheet'!N10*'Output-Calculation-sheet'!N127</f>
        <v>1503053615.6935899</v>
      </c>
      <c r="O154" s="2">
        <f>O11/'Output-Calculation-sheet'!O10*'Output-Calculation-sheet'!O127</f>
        <v>6866470966.6897144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1823853886.9080572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810784178.28846538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62402.176862777975</v>
      </c>
    </row>
    <row r="155" spans="1:27" x14ac:dyDescent="0.25">
      <c r="A155" s="2">
        <v>2035</v>
      </c>
      <c r="B155" s="2">
        <f>B12/'Output-Calculation-sheet'!B11*'Output-Calculation-sheet'!B128</f>
        <v>8390919481.7609158</v>
      </c>
      <c r="C155" s="2">
        <f>C12/'Output-Calculation-sheet'!C11*'Output-Calculation-sheet'!C128</f>
        <v>61424949.056947567</v>
      </c>
      <c r="D155" s="2">
        <f>D12/'Output-Calculation-sheet'!D11*'Output-Calculation-sheet'!D128</f>
        <v>4993573216.3093758</v>
      </c>
      <c r="E155" s="2">
        <f>E12/'Output-Calculation-sheet'!E11*'Output-Calculation-sheet'!E128</f>
        <v>2265706604.3465681</v>
      </c>
      <c r="F155" s="2">
        <f>F12/'Output-Calculation-sheet'!F11*'Output-Calculation-sheet'!F128</f>
        <v>1438426470.51774</v>
      </c>
      <c r="G155" s="2">
        <f>G12/'Output-Calculation-sheet'!G11*'Output-Calculation-sheet'!G128</f>
        <v>1286098483.6972752</v>
      </c>
      <c r="H155" s="2">
        <f>H12/'Output-Calculation-sheet'!H11*'Output-Calculation-sheet'!H128</f>
        <v>2052436638.3026597</v>
      </c>
      <c r="I155" s="2">
        <f>I12/'Output-Calculation-sheet'!I11*'Output-Calculation-sheet'!I128</f>
        <v>1282768629.4814017</v>
      </c>
      <c r="J155" s="2">
        <f>J12/'Output-Calculation-sheet'!J11*'Output-Calculation-sheet'!J128</f>
        <v>1226214611.4173396</v>
      </c>
      <c r="K155" s="2">
        <f>K12/'Output-Calculation-sheet'!K11*'Output-Calculation-sheet'!K128</f>
        <v>1394287713.826632</v>
      </c>
      <c r="L155" s="2">
        <f>L12/'Output-Calculation-sheet'!L11*'Output-Calculation-sheet'!L128</f>
        <v>1011995244.3540399</v>
      </c>
      <c r="M155" s="2">
        <f>M12/'Output-Calculation-sheet'!M11*'Output-Calculation-sheet'!M128</f>
        <v>1249850875.616431</v>
      </c>
      <c r="N155" s="2">
        <f>N12/'Output-Calculation-sheet'!N11*'Output-Calculation-sheet'!N128</f>
        <v>1217006698.4308591</v>
      </c>
      <c r="O155" s="2">
        <f>O12/'Output-Calculation-sheet'!O11*'Output-Calculation-sheet'!O128</f>
        <v>5674158536.1839085</v>
      </c>
      <c r="P155" s="2">
        <f>P12/'Output-Calculation-sheet'!P11*'Output-Calculation-sheet'!P128</f>
        <v>671842099.80012774</v>
      </c>
      <c r="Q155" s="2">
        <f>Q12/'Output-Calculation-sheet'!Q11*'Output-Calculation-sheet'!Q128</f>
        <v>1502686909.4395537</v>
      </c>
      <c r="R155" s="2">
        <f>R12/'Output-Calculation-sheet'!R11*'Output-Calculation-sheet'!R128</f>
        <v>648155072.05629981</v>
      </c>
      <c r="S155" s="2">
        <f>S12/'Output-Calculation-sheet'!S11*'Output-Calculation-sheet'!S128</f>
        <v>649770773.07183731</v>
      </c>
      <c r="T155" s="2">
        <f>T12/'Output-Calculation-sheet'!T11*'Output-Calculation-sheet'!T128</f>
        <v>155019563.46684438</v>
      </c>
      <c r="U155" s="2">
        <f>U12/'Output-Calculation-sheet'!U11*'Output-Calculation-sheet'!U128</f>
        <v>299983859.81446725</v>
      </c>
      <c r="V155" s="2">
        <f>V12/'Output-Calculation-sheet'!V11*'Output-Calculation-sheet'!V128</f>
        <v>74797609.797578722</v>
      </c>
      <c r="W155" s="2">
        <f>W12/'Output-Calculation-sheet'!W11*'Output-Calculation-sheet'!W128</f>
        <v>69498550.993974224</v>
      </c>
      <c r="X155" s="2">
        <f>X12/'Output-Calculation-sheet'!X11*'Output-Calculation-sheet'!X128</f>
        <v>8550546.9561511371</v>
      </c>
      <c r="Y155" s="2">
        <f>Y12/'Output-Calculation-sheet'!Y11*'Output-Calculation-sheet'!Y128</f>
        <v>74757979.745977283</v>
      </c>
      <c r="AA155" s="2">
        <f t="shared" si="13"/>
        <v>37699.931118444911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1268.2833200010482</v>
      </c>
      <c r="C19" s="2">
        <f>C8/'Output-Calculation-sheet'!C7*'Output-Calculation-sheet'!C25</f>
        <v>9042.9379775644011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5698.3607273777325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3955.4547104543822</v>
      </c>
      <c r="N19" s="2">
        <f>N8/'Output-Calculation-sheet'!N7*'Output-Calculation-sheet'!N25</f>
        <v>1352.4841853394034</v>
      </c>
      <c r="O19" s="2">
        <f>O8/'Output-Calculation-sheet'!O7*'Output-Calculation-sheet'!O25</f>
        <v>1475.3720382846143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483.05365968902288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208.82256337381119</v>
      </c>
      <c r="Y19" s="2">
        <f>Y8/'Output-Calculation-sheet'!Y7*'Output-Calculation-sheet'!Y25</f>
        <v>0</v>
      </c>
      <c r="AA19" s="2">
        <f t="shared" si="0"/>
        <v>23.484769182084417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6889.9060217407568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7766.1342769929961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5396.375161668715</v>
      </c>
      <c r="N20" s="2">
        <f>N9/'Output-Calculation-sheet'!N8*'Output-Calculation-sheet'!N26</f>
        <v>2431.1618413720335</v>
      </c>
      <c r="O20" s="2">
        <f>O9/'Output-Calculation-sheet'!O8*'Output-Calculation-sheet'!O26</f>
        <v>2565.1358517902086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883.68039348386151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288.3748501928136</v>
      </c>
      <c r="Y20" s="2">
        <f>Y9/'Output-Calculation-sheet'!Y8*'Output-Calculation-sheet'!Y26</f>
        <v>0</v>
      </c>
      <c r="AA20" s="2">
        <f t="shared" si="0"/>
        <v>33.358803836633548</v>
      </c>
    </row>
    <row r="21" spans="1:27" x14ac:dyDescent="0.25">
      <c r="A21" s="2">
        <v>2033</v>
      </c>
      <c r="B21" s="2">
        <f>B10/'Output-Calculation-sheet'!B9*'Output-Calculation-sheet'!B27</f>
        <v>16461.641802963375</v>
      </c>
      <c r="C21" s="2">
        <f>C10/'Output-Calculation-sheet'!C9*'Output-Calculation-sheet'!C27</f>
        <v>6827.2333740295589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9543.8742806477203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6630.1825792814861</v>
      </c>
      <c r="N21" s="2">
        <f>N10/'Output-Calculation-sheet'!N9*'Output-Calculation-sheet'!N27</f>
        <v>3616.9086819729455</v>
      </c>
      <c r="O21" s="2">
        <f>O10/'Output-Calculation-sheet'!O9*'Output-Calculation-sheet'!O27</f>
        <v>2834.0463729773619</v>
      </c>
      <c r="P21" s="2">
        <f>P10/'Output-Calculation-sheet'!P9*'Output-Calculation-sheet'!P27</f>
        <v>0</v>
      </c>
      <c r="Q21" s="2">
        <f>Q10/'Output-Calculation-sheet'!Q9*'Output-Calculation-sheet'!Q27</f>
        <v>246.8284346671835</v>
      </c>
      <c r="R21" s="2">
        <f>R10/'Output-Calculation-sheet'!R9*'Output-Calculation-sheet'!R27</f>
        <v>0</v>
      </c>
      <c r="S21" s="2">
        <f>S10/'Output-Calculation-sheet'!S9*'Output-Calculation-sheet'!S27</f>
        <v>1576.7186188008441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420.20592809696763</v>
      </c>
      <c r="Y21" s="2">
        <f>Y10/'Output-Calculation-sheet'!Y9*'Output-Calculation-sheet'!Y27</f>
        <v>0</v>
      </c>
      <c r="AA21" s="2">
        <f t="shared" si="0"/>
        <v>48.157640073437442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6476.247988134488</v>
      </c>
      <c r="D22" s="2">
        <f>D11/'Output-Calculation-sheet'!D10*'Output-Calculation-sheet'!D28</f>
        <v>0</v>
      </c>
      <c r="E22" s="2">
        <f>E11/'Output-Calculation-sheet'!E10*'Output-Calculation-sheet'!E28</f>
        <v>1545.3463723076211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11258.037587943641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926.53973630878306</v>
      </c>
      <c r="M22" s="2">
        <f>M11/'Output-Calculation-sheet'!M10*'Output-Calculation-sheet'!M28</f>
        <v>8185.9321605313826</v>
      </c>
      <c r="N22" s="2">
        <f>N11/'Output-Calculation-sheet'!N10*'Output-Calculation-sheet'!N28</f>
        <v>4715.010413986306</v>
      </c>
      <c r="O22" s="2">
        <f>O11/'Output-Calculation-sheet'!O10*'Output-Calculation-sheet'!O28</f>
        <v>2995.1050869706014</v>
      </c>
      <c r="P22" s="2">
        <f>P11/'Output-Calculation-sheet'!P10*'Output-Calculation-sheet'!P28</f>
        <v>0</v>
      </c>
      <c r="Q22" s="2">
        <f>Q11/'Output-Calculation-sheet'!Q10*'Output-Calculation-sheet'!Q28</f>
        <v>1100.0255339736511</v>
      </c>
      <c r="R22" s="2">
        <f>R11/'Output-Calculation-sheet'!R10*'Output-Calculation-sheet'!R28</f>
        <v>0</v>
      </c>
      <c r="S22" s="2">
        <f>S11/'Output-Calculation-sheet'!S10*'Output-Calculation-sheet'!S28</f>
        <v>2446.411347200748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84.375068004179496</v>
      </c>
      <c r="AA22" s="2">
        <f t="shared" si="0"/>
        <v>70.502029911976749</v>
      </c>
    </row>
    <row r="23" spans="1:27" x14ac:dyDescent="0.25">
      <c r="A23" s="2">
        <v>2035</v>
      </c>
      <c r="B23" s="2">
        <f>B12/'Output-Calculation-sheet'!B11*'Output-Calculation-sheet'!B29</f>
        <v>34565.312915483715</v>
      </c>
      <c r="C23" s="2">
        <f>C12/'Output-Calculation-sheet'!C11*'Output-Calculation-sheet'!C29</f>
        <v>178.88753987930463</v>
      </c>
      <c r="D23" s="2">
        <f>D12/'Output-Calculation-sheet'!D11*'Output-Calculation-sheet'!D29</f>
        <v>0</v>
      </c>
      <c r="E23" s="2">
        <f>E12/'Output-Calculation-sheet'!E11*'Output-Calculation-sheet'!E29</f>
        <v>5256.8475602387116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10684.010859839456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1183.0557668704782</v>
      </c>
      <c r="M23" s="2">
        <f>M12/'Output-Calculation-sheet'!M11*'Output-Calculation-sheet'!M29</f>
        <v>7782.2857173242492</v>
      </c>
      <c r="N23" s="2">
        <f>N12/'Output-Calculation-sheet'!N11*'Output-Calculation-sheet'!N29</f>
        <v>4518.8023339793353</v>
      </c>
      <c r="O23" s="2">
        <f>O12/'Output-Calculation-sheet'!O11*'Output-Calculation-sheet'!O29</f>
        <v>3114.1953633825296</v>
      </c>
      <c r="P23" s="2">
        <f>P12/'Output-Calculation-sheet'!P11*'Output-Calculation-sheet'!P29</f>
        <v>543.59473112238959</v>
      </c>
      <c r="Q23" s="2">
        <f>Q12/'Output-Calculation-sheet'!Q11*'Output-Calculation-sheet'!Q29</f>
        <v>1211.0420675270962</v>
      </c>
      <c r="R23" s="2">
        <f>R12/'Output-Calculation-sheet'!R11*'Output-Calculation-sheet'!R29</f>
        <v>0</v>
      </c>
      <c r="S23" s="2">
        <f>S12/'Output-Calculation-sheet'!S11*'Output-Calculation-sheet'!S29</f>
        <v>2454.6973701784405</v>
      </c>
      <c r="T23" s="2">
        <f>T12/'Output-Calculation-sheet'!T11*'Output-Calculation-sheet'!T29</f>
        <v>0</v>
      </c>
      <c r="U23" s="2">
        <f>U12/'Output-Calculation-sheet'!U11*'Output-Calculation-sheet'!U29</f>
        <v>108.08227341534705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80.185873568879828</v>
      </c>
      <c r="Y23" s="2">
        <f>Y12/'Output-Calculation-sheet'!Y11*'Output-Calculation-sheet'!Y29</f>
        <v>230.93317090803464</v>
      </c>
      <c r="AA23" s="2">
        <f t="shared" si="0"/>
        <v>71.911933543717964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22107.446317083533</v>
      </c>
      <c r="C30" s="2">
        <f>C8/'Output-Calculation-sheet'!C7*'Output-Calculation-sheet'!C16</f>
        <v>0</v>
      </c>
      <c r="D30" s="2">
        <f>D8/'Output-Calculation-sheet'!D7*'Output-Calculation-sheet'!D16</f>
        <v>3722.5739560969523</v>
      </c>
      <c r="E30" s="2">
        <f>E8/'Output-Calculation-sheet'!E7*'Output-Calculation-sheet'!E16</f>
        <v>4005.2844056720787</v>
      </c>
      <c r="F30" s="2">
        <f>F8/'Output-Calculation-sheet'!F7*'Output-Calculation-sheet'!F16</f>
        <v>2020.7203166602537</v>
      </c>
      <c r="G30" s="2">
        <f>G8/'Output-Calculation-sheet'!G7*'Output-Calculation-sheet'!G16</f>
        <v>1323.3142040403134</v>
      </c>
      <c r="H30" s="2">
        <f>H8/'Output-Calculation-sheet'!H7*'Output-Calculation-sheet'!H16</f>
        <v>0</v>
      </c>
      <c r="I30" s="2">
        <f>I8/'Output-Calculation-sheet'!I7*'Output-Calculation-sheet'!I16</f>
        <v>1290.048969713549</v>
      </c>
      <c r="J30" s="2">
        <f>J8/'Output-Calculation-sheet'!J7*'Output-Calculation-sheet'!J16</f>
        <v>1148.375827789785</v>
      </c>
      <c r="K30" s="2">
        <f>K8/'Output-Calculation-sheet'!K7*'Output-Calculation-sheet'!K16</f>
        <v>1533.3025587467025</v>
      </c>
      <c r="L30" s="2">
        <f>L8/'Output-Calculation-sheet'!L7*'Output-Calculation-sheet'!L16</f>
        <v>1295.14309201682</v>
      </c>
      <c r="M30" s="2">
        <f>M8/'Output-Calculation-sheet'!M7*'Output-Calculation-sheet'!M16</f>
        <v>0</v>
      </c>
      <c r="N30" s="2">
        <f>N8/'Output-Calculation-sheet'!N7*'Output-Calculation-sheet'!N16</f>
        <v>1841.0195566599095</v>
      </c>
      <c r="O30" s="2">
        <f>O8/'Output-Calculation-sheet'!O7*'Output-Calculation-sheet'!O16</f>
        <v>0</v>
      </c>
      <c r="P30" s="2">
        <f>P8/'Output-Calculation-sheet'!P7*'Output-Calculation-sheet'!P16</f>
        <v>1653.4177169056322</v>
      </c>
      <c r="Q30" s="2">
        <f>Q8/'Output-Calculation-sheet'!Q7*'Output-Calculation-sheet'!Q16</f>
        <v>1818.2218808484226</v>
      </c>
      <c r="R30" s="2">
        <f>R8/'Output-Calculation-sheet'!R7*'Output-Calculation-sheet'!R16</f>
        <v>1153.6682805852506</v>
      </c>
      <c r="S30" s="2">
        <f>S8/'Output-Calculation-sheet'!S7*'Output-Calculation-sheet'!S16</f>
        <v>1160.2537043367508</v>
      </c>
      <c r="T30" s="2">
        <f>T8/'Output-Calculation-sheet'!T7*'Output-Calculation-sheet'!T16</f>
        <v>346.31248153454169</v>
      </c>
      <c r="U30" s="2">
        <f>U8/'Output-Calculation-sheet'!U7*'Output-Calculation-sheet'!U16</f>
        <v>345.69503711872659</v>
      </c>
      <c r="V30" s="2">
        <f>V8/'Output-Calculation-sheet'!V7*'Output-Calculation-sheet'!V16</f>
        <v>269.04670782943299</v>
      </c>
      <c r="W30" s="2">
        <f>W8/'Output-Calculation-sheet'!W7*'Output-Calculation-sheet'!W16</f>
        <v>163.19241433135733</v>
      </c>
      <c r="X30" s="2">
        <f>X8/'Output-Calculation-sheet'!X7*'Output-Calculation-sheet'!X16</f>
        <v>0</v>
      </c>
      <c r="Y30" s="2">
        <f>Y8/'Output-Calculation-sheet'!Y7*'Output-Calculation-sheet'!Y16</f>
        <v>138.12135931237387</v>
      </c>
      <c r="AA30" s="2">
        <f t="shared" si="1"/>
        <v>47.335158787282396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2070.0996494435476</v>
      </c>
      <c r="O31" s="2">
        <f>O9/'Output-Calculation-sheet'!O8*'Output-Calculation-sheet'!O17</f>
        <v>0</v>
      </c>
      <c r="P31" s="2">
        <f>P9/'Output-Calculation-sheet'!P8*'Output-Calculation-sheet'!P17</f>
        <v>2562.8612091693317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1539.3522908344999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65.819332455117689</v>
      </c>
    </row>
    <row r="32" spans="1:27" x14ac:dyDescent="0.25">
      <c r="A32" s="2">
        <v>2033</v>
      </c>
      <c r="B32" s="2">
        <f>B10/'Output-Calculation-sheet'!B9*'Output-Calculation-sheet'!B18</f>
        <v>33518.226121835149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3192.4537002144639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2053.1867768665611</v>
      </c>
      <c r="O32" s="2">
        <f>O10/'Output-Calculation-sheet'!O9*'Output-Calculation-sheet'!O18</f>
        <v>0</v>
      </c>
      <c r="P32" s="2">
        <f>P10/'Output-Calculation-sheet'!P9*'Output-Calculation-sheet'!P18</f>
        <v>3285.7497262235142</v>
      </c>
      <c r="Q32" s="2">
        <f>Q10/'Output-Calculation-sheet'!Q9*'Output-Calculation-sheet'!Q18</f>
        <v>3578.3010402776708</v>
      </c>
      <c r="R32" s="2">
        <f>R10/'Output-Calculation-sheet'!R9*'Output-Calculation-sheet'!R18</f>
        <v>2359.4971029335588</v>
      </c>
      <c r="S32" s="2">
        <f>S10/'Output-Calculation-sheet'!S9*'Output-Calculation-sheet'!S18</f>
        <v>1545.2044889136566</v>
      </c>
      <c r="T32" s="2">
        <f>T10/'Output-Calculation-sheet'!T9*'Output-Calculation-sheet'!T18</f>
        <v>688.89793761032865</v>
      </c>
      <c r="U32" s="2">
        <f>U10/'Output-Calculation-sheet'!U9*'Output-Calculation-sheet'!U18</f>
        <v>761.57729833707879</v>
      </c>
      <c r="V32" s="2">
        <f>V10/'Output-Calculation-sheet'!V9*'Output-Calculation-sheet'!V18</f>
        <v>562.12182128759548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325.4398041965801</v>
      </c>
      <c r="AA32" s="2">
        <f t="shared" si="1"/>
        <v>80.512375248433088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9173.4568816025803</v>
      </c>
      <c r="E33" s="2">
        <f>E11/'Output-Calculation-sheet'!E10*'Output-Calculation-sheet'!E19</f>
        <v>11359.827305650526</v>
      </c>
      <c r="F33" s="2">
        <f>F11/'Output-Calculation-sheet'!F10*'Output-Calculation-sheet'!F19</f>
        <v>5206.7979161588937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3407.6189220047027</v>
      </c>
      <c r="J33" s="2">
        <f>J11/'Output-Calculation-sheet'!J10*'Output-Calculation-sheet'!J19</f>
        <v>2881.07319528992</v>
      </c>
      <c r="K33" s="2">
        <f>K11/'Output-Calculation-sheet'!K10*'Output-Calculation-sheet'!K19</f>
        <v>3996.2356019179956</v>
      </c>
      <c r="L33" s="2">
        <f>L11/'Output-Calculation-sheet'!L10*'Output-Calculation-sheet'!L19</f>
        <v>3251.1911122227943</v>
      </c>
      <c r="M33" s="2">
        <f>M11/'Output-Calculation-sheet'!M10*'Output-Calculation-sheet'!M19</f>
        <v>0</v>
      </c>
      <c r="N33" s="2">
        <f>N11/'Output-Calculation-sheet'!N10*'Output-Calculation-sheet'!N19</f>
        <v>1848.6857688400539</v>
      </c>
      <c r="O33" s="2">
        <f>O11/'Output-Calculation-sheet'!O10*'Output-Calculation-sheet'!O19</f>
        <v>0</v>
      </c>
      <c r="P33" s="2">
        <f>P11/'Output-Calculation-sheet'!P10*'Output-Calculation-sheet'!P19</f>
        <v>4042.4261853004423</v>
      </c>
      <c r="Q33" s="2">
        <f>Q11/'Output-Calculation-sheet'!Q10*'Output-Calculation-sheet'!Q19</f>
        <v>3302.9323708192428</v>
      </c>
      <c r="R33" s="2">
        <f>R11/'Output-Calculation-sheet'!R10*'Output-Calculation-sheet'!R19</f>
        <v>2886.7135237735911</v>
      </c>
      <c r="S33" s="2">
        <f>S11/'Output-Calculation-sheet'!S10*'Output-Calculation-sheet'!S19</f>
        <v>1344.7696144032852</v>
      </c>
      <c r="T33" s="2">
        <f>T11/'Output-Calculation-sheet'!T10*'Output-Calculation-sheet'!T19</f>
        <v>847.01812456022003</v>
      </c>
      <c r="U33" s="2">
        <f>U11/'Output-Calculation-sheet'!U10*'Output-Calculation-sheet'!U19</f>
        <v>974.24194790207309</v>
      </c>
      <c r="V33" s="2">
        <f>V11/'Output-Calculation-sheet'!V10*'Output-Calculation-sheet'!V19</f>
        <v>664.37814945710443</v>
      </c>
      <c r="W33" s="2">
        <f>W11/'Output-Calculation-sheet'!W10*'Output-Calculation-sheet'!W19</f>
        <v>413.63317260772158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89.847337580593575</v>
      </c>
    </row>
    <row r="34" spans="1:27" x14ac:dyDescent="0.25">
      <c r="A34" s="2">
        <v>2035</v>
      </c>
      <c r="B34" s="2">
        <f>B12/'Output-Calculation-sheet'!B11*'Output-Calculation-sheet'!B20</f>
        <v>27220.248442183049</v>
      </c>
      <c r="C34" s="2">
        <f>C12/'Output-Calculation-sheet'!C11*'Output-Calculation-sheet'!C20</f>
        <v>0</v>
      </c>
      <c r="D34" s="2">
        <f>D12/'Output-Calculation-sheet'!D11*'Output-Calculation-sheet'!D20</f>
        <v>8524.1844664189357</v>
      </c>
      <c r="E34" s="2">
        <f>E12/'Output-Calculation-sheet'!E11*'Output-Calculation-sheet'!E20</f>
        <v>9391.9237381648763</v>
      </c>
      <c r="F34" s="2">
        <f>F12/'Output-Calculation-sheet'!F11*'Output-Calculation-sheet'!F20</f>
        <v>5812.8878914197785</v>
      </c>
      <c r="G34" s="2">
        <f>G12/'Output-Calculation-sheet'!G11*'Output-Calculation-sheet'!G20</f>
        <v>3139.6122482519572</v>
      </c>
      <c r="H34" s="2">
        <f>H12/'Output-Calculation-sheet'!H11*'Output-Calculation-sheet'!H20</f>
        <v>0</v>
      </c>
      <c r="I34" s="2">
        <f>I12/'Output-Calculation-sheet'!I11*'Output-Calculation-sheet'!I20</f>
        <v>3419.6648084715221</v>
      </c>
      <c r="J34" s="2">
        <f>J12/'Output-Calculation-sheet'!J11*'Output-Calculation-sheet'!J20</f>
        <v>2930.4260725808163</v>
      </c>
      <c r="K34" s="2">
        <f>K12/'Output-Calculation-sheet'!K11*'Output-Calculation-sheet'!K20</f>
        <v>3851.7498337289749</v>
      </c>
      <c r="L34" s="2">
        <f>L12/'Output-Calculation-sheet'!L11*'Output-Calculation-sheet'!L20</f>
        <v>3049.693263748673</v>
      </c>
      <c r="M34" s="2">
        <f>M12/'Output-Calculation-sheet'!M11*'Output-Calculation-sheet'!M20</f>
        <v>0</v>
      </c>
      <c r="N34" s="2">
        <f>N12/'Output-Calculation-sheet'!N11*'Output-Calculation-sheet'!N20</f>
        <v>1699.6198010913949</v>
      </c>
      <c r="O34" s="2">
        <f>O12/'Output-Calculation-sheet'!O11*'Output-Calculation-sheet'!O20</f>
        <v>0</v>
      </c>
      <c r="P34" s="2">
        <f>P12/'Output-Calculation-sheet'!P11*'Output-Calculation-sheet'!P20</f>
        <v>3803.2743782354755</v>
      </c>
      <c r="Q34" s="2">
        <f>Q12/'Output-Calculation-sheet'!Q11*'Output-Calculation-sheet'!Q20</f>
        <v>2997.2470812866081</v>
      </c>
      <c r="R34" s="2">
        <f>R12/'Output-Calculation-sheet'!R11*'Output-Calculation-sheet'!R20</f>
        <v>3024.5541265424322</v>
      </c>
      <c r="S34" s="2">
        <f>S12/'Output-Calculation-sheet'!S11*'Output-Calculation-sheet'!S20</f>
        <v>1168.2038660960206</v>
      </c>
      <c r="T34" s="2">
        <f>T12/'Output-Calculation-sheet'!T11*'Output-Calculation-sheet'!T20</f>
        <v>943.96870815405521</v>
      </c>
      <c r="U34" s="2">
        <f>U12/'Output-Calculation-sheet'!U11*'Output-Calculation-sheet'!U20</f>
        <v>864.13408412568663</v>
      </c>
      <c r="V34" s="2">
        <f>V12/'Output-Calculation-sheet'!V11*'Output-Calculation-sheet'!V20</f>
        <v>791.70411828802776</v>
      </c>
      <c r="W34" s="2">
        <f>W12/'Output-Calculation-sheet'!W11*'Output-Calculation-sheet'!W20</f>
        <v>512.00367393829094</v>
      </c>
      <c r="X34" s="2">
        <f>X12/'Output-Calculation-sheet'!X11*'Output-Calculation-sheet'!X20</f>
        <v>1.2085010960479874</v>
      </c>
      <c r="Y34" s="2">
        <f>Y12/'Output-Calculation-sheet'!Y11*'Output-Calculation-sheet'!Y20</f>
        <v>285.47019690342643</v>
      </c>
      <c r="AA34" s="2">
        <f t="shared" si="1"/>
        <v>83.431779300726063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4.6822147809447538E-2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4.6822147809447538E-2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0.53556800627110079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0.53556800627110079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0.69037274076751309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0.69037274076751309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6.0047521111214794E-2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1.3772846106876322E-2</v>
      </c>
      <c r="N44" s="2">
        <f>N11/'Output-Calculation-sheet'!N10*'Output-Calculation-sheet'!N37*0.0114</f>
        <v>1.3536474112616059E-2</v>
      </c>
      <c r="O44" s="2">
        <f>O11/'Output-Calculation-sheet'!O10*'Output-Calculation-sheet'!O37*0.0114</f>
        <v>0.78318406990136147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3.5580071519673434E-2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7.7595742634392001E-3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0.91388055701518134</v>
      </c>
    </row>
    <row r="45" spans="1:27" x14ac:dyDescent="0.25">
      <c r="A45" s="2">
        <v>2035</v>
      </c>
      <c r="B45" s="2">
        <f>B12/'Output-Calculation-sheet'!B11*'Output-Calculation-sheet'!B38*0.0114</f>
        <v>0.63545756516414786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0.21232759450432254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0.25995960781990818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5.1186533902975929E-2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5.3893826399678928E-2</v>
      </c>
      <c r="M45" s="2">
        <f>M12/'Output-Calculation-sheet'!M11*'Output-Calculation-sheet'!M38*0.0114</f>
        <v>0.15332357942154415</v>
      </c>
      <c r="N45" s="2">
        <f>N12/'Output-Calculation-sheet'!N11*'Output-Calculation-sheet'!N38*0.0114</f>
        <v>0.11301915999721122</v>
      </c>
      <c r="O45" s="2">
        <f>O12/'Output-Calculation-sheet'!O11*'Output-Calculation-sheet'!O38*0.0114</f>
        <v>0.79686559632092069</v>
      </c>
      <c r="P45" s="2">
        <f>P12/'Output-Calculation-sheet'!P11*'Output-Calculation-sheet'!P38*0.0114</f>
        <v>6.9606567938363395E-2</v>
      </c>
      <c r="Q45" s="2">
        <f>Q12/'Output-Calculation-sheet'!Q11*'Output-Calculation-sheet'!Q38*0.0114</f>
        <v>9.9022088084380039E-2</v>
      </c>
      <c r="R45" s="2">
        <f>R12/'Output-Calculation-sheet'!R11*'Output-Calculation-sheet'!R38*0.0114</f>
        <v>4.3644028225126426E-2</v>
      </c>
      <c r="S45" s="2">
        <f>S12/'Output-Calculation-sheet'!S11*'Output-Calculation-sheet'!S38*0.0114</f>
        <v>5.0389487651881656E-2</v>
      </c>
      <c r="T45" s="2">
        <f>T12/'Output-Calculation-sheet'!T11*'Output-Calculation-sheet'!T38*0.0114</f>
        <v>1.210998475131024E-2</v>
      </c>
      <c r="U45" s="2">
        <f>U12/'Output-Calculation-sheet'!U11*'Output-Calculation-sheet'!U38*0.0114</f>
        <v>1.755222222920973E-2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8.1157701202784795E-3</v>
      </c>
      <c r="AA45" s="2">
        <f t="shared" si="2"/>
        <v>3.1721475473376715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3493.6327268641667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8047.1532853230337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5503.6385281546454</v>
      </c>
      <c r="N52" s="2">
        <f>N8/'Output-Calculation-sheet'!N7*'Output-Calculation-sheet'!N43</f>
        <v>173.85091356989852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37.213071548874311</v>
      </c>
      <c r="Y52" s="2">
        <f>Y8/'Output-Calculation-sheet'!Y7*'Output-Calculation-sheet'!Y43</f>
        <v>0</v>
      </c>
      <c r="AA52" s="2">
        <f t="shared" si="3"/>
        <v>17.255488525460621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598.80183368518408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15520.921638338094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10629.901596809348</v>
      </c>
      <c r="N53" s="2">
        <f>N9/'Output-Calculation-sheet'!N8*'Output-Calculation-sheet'!N44</f>
        <v>3768.5685735257925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1176.3321913471921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324.44316319775976</v>
      </c>
      <c r="Y53" s="2">
        <f>Y9/'Output-Calculation-sheet'!Y8*'Output-Calculation-sheet'!Y44</f>
        <v>0</v>
      </c>
      <c r="AA53" s="2">
        <f t="shared" si="3"/>
        <v>32.186178222974277</v>
      </c>
    </row>
    <row r="54" spans="1:27" x14ac:dyDescent="0.25">
      <c r="A54" s="2">
        <v>2033</v>
      </c>
      <c r="B54" s="2">
        <f>B10/'Output-Calculation-sheet'!B9*'Output-Calculation-sheet'!B45</f>
        <v>31550.169662628545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23000.912836468498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15765.821408194923</v>
      </c>
      <c r="N54" s="2">
        <f>N10/'Output-Calculation-sheet'!N9*'Output-Calculation-sheet'!N45</f>
        <v>8797.5772265879787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923.67560087119693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884.9303442781295</v>
      </c>
      <c r="Y54" s="2">
        <f>Y10/'Output-Calculation-sheet'!Y9*'Output-Calculation-sheet'!Y45</f>
        <v>19.51942192837415</v>
      </c>
      <c r="AA54" s="2">
        <f t="shared" si="3"/>
        <v>95.165452635007867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26131.206336204963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3786.0178803796093</v>
      </c>
      <c r="L55" s="2">
        <f>L11/'Output-Calculation-sheet'!L10*'Output-Calculation-sheet'!L46</f>
        <v>1398.8543828704501</v>
      </c>
      <c r="M55" s="2">
        <f>M11/'Output-Calculation-sheet'!M10*'Output-Calculation-sheet'!M46</f>
        <v>18345.672643238329</v>
      </c>
      <c r="N55" s="2">
        <f>N11/'Output-Calculation-sheet'!N10*'Output-Calculation-sheet'!N46</f>
        <v>13526.974832537029</v>
      </c>
      <c r="O55" s="2">
        <f>O11/'Output-Calculation-sheet'!O10*'Output-Calculation-sheet'!O46</f>
        <v>301.39511461965242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3060.718433066645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6858.3745858257353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210.93737864753871</v>
      </c>
    </row>
    <row r="56" spans="1:27" x14ac:dyDescent="0.25">
      <c r="A56" s="2">
        <v>2035</v>
      </c>
      <c r="B56" s="2">
        <f>B12/'Output-Calculation-sheet'!B11*'Output-Calculation-sheet'!B47</f>
        <v>103312.02204168699</v>
      </c>
      <c r="C56" s="2">
        <f>C12/'Output-Calculation-sheet'!C11*'Output-Calculation-sheet'!C47</f>
        <v>354.51565226909048</v>
      </c>
      <c r="D56" s="2">
        <f>D12/'Output-Calculation-sheet'!D11*'Output-Calculation-sheet'!D47</f>
        <v>8315.0199977605025</v>
      </c>
      <c r="E56" s="2">
        <f>E12/'Output-Calculation-sheet'!E11*'Output-Calculation-sheet'!E47</f>
        <v>22968.630661643034</v>
      </c>
      <c r="F56" s="2">
        <f>F12/'Output-Calculation-sheet'!F11*'Output-Calculation-sheet'!F47</f>
        <v>2712.9593403220019</v>
      </c>
      <c r="G56" s="2">
        <f>G12/'Output-Calculation-sheet'!G11*'Output-Calculation-sheet'!G47</f>
        <v>6517.0671836907459</v>
      </c>
      <c r="H56" s="2">
        <f>H12/'Output-Calculation-sheet'!H11*'Output-Calculation-sheet'!H47</f>
        <v>24658.699892140285</v>
      </c>
      <c r="I56" s="2">
        <f>I12/'Output-Calculation-sheet'!I11*'Output-Calculation-sheet'!I47</f>
        <v>3242.3847027000602</v>
      </c>
      <c r="J56" s="2">
        <f>J12/'Output-Calculation-sheet'!J11*'Output-Calculation-sheet'!J47</f>
        <v>2976.9010506730738</v>
      </c>
      <c r="K56" s="2">
        <f>K12/'Output-Calculation-sheet'!K11*'Output-Calculation-sheet'!K47</f>
        <v>4237.602001062477</v>
      </c>
      <c r="L56" s="2">
        <f>L12/'Output-Calculation-sheet'!L11*'Output-Calculation-sheet'!L47</f>
        <v>2325.944086722985</v>
      </c>
      <c r="M56" s="2">
        <f>M12/'Output-Calculation-sheet'!M11*'Output-Calculation-sheet'!M47</f>
        <v>17130.099326600004</v>
      </c>
      <c r="N56" s="2">
        <f>N12/'Output-Calculation-sheet'!N11*'Output-Calculation-sheet'!N47</f>
        <v>12903.571541981797</v>
      </c>
      <c r="O56" s="2">
        <f>O12/'Output-Calculation-sheet'!O11*'Output-Calculation-sheet'!O47</f>
        <v>1269.5162686485255</v>
      </c>
      <c r="P56" s="2">
        <f>P12/'Output-Calculation-sheet'!P11*'Output-Calculation-sheet'!P47</f>
        <v>6799.8696924582482</v>
      </c>
      <c r="Q56" s="2">
        <f>Q12/'Output-Calculation-sheet'!Q11*'Output-Calculation-sheet'!Q47</f>
        <v>3265.0265496048505</v>
      </c>
      <c r="R56" s="2">
        <f>R12/'Output-Calculation-sheet'!R11*'Output-Calculation-sheet'!R47</f>
        <v>5016.1919282431491</v>
      </c>
      <c r="S56" s="2">
        <f>S12/'Output-Calculation-sheet'!S11*'Output-Calculation-sheet'!S47</f>
        <v>6668.7140237032863</v>
      </c>
      <c r="T56" s="2">
        <f>T12/'Output-Calculation-sheet'!T11*'Output-Calculation-sheet'!T47</f>
        <v>1746.0331815412515</v>
      </c>
      <c r="U56" s="2">
        <f>U12/'Output-Calculation-sheet'!U11*'Output-Calculation-sheet'!U47</f>
        <v>1687.1688700673703</v>
      </c>
      <c r="V56" s="2">
        <f>V12/'Output-Calculation-sheet'!V11*'Output-Calculation-sheet'!V47</f>
        <v>1178.1961427790088</v>
      </c>
      <c r="W56" s="2">
        <f>W12/'Output-Calculation-sheet'!W11*'Output-Calculation-sheet'!W47</f>
        <v>681.18623793959193</v>
      </c>
      <c r="X56" s="2">
        <f>X12/'Output-Calculation-sheet'!X11*'Output-Calculation-sheet'!X47</f>
        <v>137.3380531372064</v>
      </c>
      <c r="Y56" s="2">
        <f>Y12/'Output-Calculation-sheet'!Y11*'Output-Calculation-sheet'!Y47</f>
        <v>905.19313227491989</v>
      </c>
      <c r="AA56" s="2">
        <f t="shared" si="3"/>
        <v>241.00985155965049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B6*'Output-Calculation-sheet'!B50/10^9</f>
        <v>0</v>
      </c>
      <c r="C61" s="2">
        <f>C6*'Output-Calculation-sheet'!C50/10^9</f>
        <v>0</v>
      </c>
      <c r="D61" s="2">
        <f>D6*'Output-Calculation-sheet'!D50/10^9</f>
        <v>0</v>
      </c>
      <c r="E61" s="2">
        <f>E6*'Output-Calculation-sheet'!E50/10^9</f>
        <v>0</v>
      </c>
      <c r="F61" s="2">
        <f>F6*'Output-Calculation-sheet'!F50/10^9</f>
        <v>0</v>
      </c>
      <c r="G61" s="2">
        <f>G6*'Output-Calculation-sheet'!G50/10^9</f>
        <v>0</v>
      </c>
      <c r="H61" s="2">
        <f>H6*'Output-Calculation-sheet'!H50/10^9</f>
        <v>0</v>
      </c>
      <c r="I61" s="2">
        <f>I6*'Output-Calculation-sheet'!I50/10^9</f>
        <v>0</v>
      </c>
      <c r="J61" s="2">
        <f>J6*'Output-Calculation-sheet'!J50/10^9</f>
        <v>0</v>
      </c>
      <c r="K61" s="2">
        <f>K6*'Output-Calculation-sheet'!K50/10^9</f>
        <v>0</v>
      </c>
      <c r="L61" s="2">
        <f>L6*'Output-Calculation-sheet'!L50/10^9</f>
        <v>0</v>
      </c>
      <c r="M61" s="2">
        <f>M6*'Output-Calculation-sheet'!M50/10^9</f>
        <v>0</v>
      </c>
      <c r="N61" s="2">
        <f>N6*'Output-Calculation-sheet'!N50/10^9</f>
        <v>0</v>
      </c>
      <c r="O61" s="2">
        <f>O6*'Output-Calculation-sheet'!O50/10^9</f>
        <v>0</v>
      </c>
      <c r="P61" s="2">
        <f>P6*'Output-Calculation-sheet'!P50/10^9</f>
        <v>0</v>
      </c>
      <c r="Q61" s="2">
        <f>Q6*'Output-Calculation-sheet'!Q50/10^9</f>
        <v>0</v>
      </c>
      <c r="R61" s="2">
        <f>R6*'Output-Calculation-sheet'!R50/10^9</f>
        <v>0</v>
      </c>
      <c r="S61" s="2">
        <f>S6*'Output-Calculation-sheet'!S50/10^9</f>
        <v>0</v>
      </c>
      <c r="T61" s="2">
        <f>T6*'Output-Calculation-sheet'!T50/10^9</f>
        <v>0</v>
      </c>
      <c r="U61" s="2">
        <f>U6*'Output-Calculation-sheet'!U50/10^9</f>
        <v>0</v>
      </c>
      <c r="V61" s="2">
        <f>V6*'Output-Calculation-sheet'!V50/10^9</f>
        <v>0</v>
      </c>
      <c r="W61" s="2">
        <f>W6*'Output-Calculation-sheet'!W50/10^9</f>
        <v>0</v>
      </c>
      <c r="X61" s="2">
        <f>X6*'Output-Calculation-sheet'!X50/10^9</f>
        <v>0</v>
      </c>
      <c r="Y61" s="2">
        <f>Y6*'Output-Calculation-sheet'!Y50/10^9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B7*'Output-Calculation-sheet'!B51/10^9</f>
        <v>0</v>
      </c>
      <c r="C62" s="2">
        <f>C7*'Output-Calculation-sheet'!C51/10^9</f>
        <v>0</v>
      </c>
      <c r="D62" s="2">
        <f>D7*'Output-Calculation-sheet'!D51/10^9</f>
        <v>0</v>
      </c>
      <c r="E62" s="2">
        <f>E7*'Output-Calculation-sheet'!E51/10^9</f>
        <v>0</v>
      </c>
      <c r="F62" s="2">
        <f>F7*'Output-Calculation-sheet'!F51/10^9</f>
        <v>0</v>
      </c>
      <c r="G62" s="2">
        <f>G7*'Output-Calculation-sheet'!G51/10^9</f>
        <v>0</v>
      </c>
      <c r="H62" s="2">
        <f>H7*'Output-Calculation-sheet'!H51/10^9</f>
        <v>0</v>
      </c>
      <c r="I62" s="2">
        <f>I7*'Output-Calculation-sheet'!I51/10^9</f>
        <v>0</v>
      </c>
      <c r="J62" s="2">
        <f>J7*'Output-Calculation-sheet'!J51/10^9</f>
        <v>0</v>
      </c>
      <c r="K62" s="2">
        <f>K7*'Output-Calculation-sheet'!K51/10^9</f>
        <v>0</v>
      </c>
      <c r="L62" s="2">
        <f>L7*'Output-Calculation-sheet'!L51/10^9</f>
        <v>0</v>
      </c>
      <c r="M62" s="2">
        <f>M7*'Output-Calculation-sheet'!M51/10^9</f>
        <v>0</v>
      </c>
      <c r="N62" s="2">
        <f>N7*'Output-Calculation-sheet'!N51/10^9</f>
        <v>0</v>
      </c>
      <c r="O62" s="2">
        <f>O7*'Output-Calculation-sheet'!O51/10^9</f>
        <v>0</v>
      </c>
      <c r="P62" s="2">
        <f>P7*'Output-Calculation-sheet'!P51/10^9</f>
        <v>0</v>
      </c>
      <c r="Q62" s="2">
        <f>Q7*'Output-Calculation-sheet'!Q51/10^9</f>
        <v>0</v>
      </c>
      <c r="R62" s="2">
        <f>R7*'Output-Calculation-sheet'!R51/10^9</f>
        <v>0</v>
      </c>
      <c r="S62" s="2">
        <f>S7*'Output-Calculation-sheet'!S51/10^9</f>
        <v>0</v>
      </c>
      <c r="T62" s="2">
        <f>T7*'Output-Calculation-sheet'!T51/10^9</f>
        <v>0</v>
      </c>
      <c r="U62" s="2">
        <f>U7*'Output-Calculation-sheet'!U51/10^9</f>
        <v>0</v>
      </c>
      <c r="V62" s="2">
        <f>V7*'Output-Calculation-sheet'!V51/10^9</f>
        <v>0</v>
      </c>
      <c r="W62" s="2">
        <f>W7*'Output-Calculation-sheet'!W51/10^9</f>
        <v>0</v>
      </c>
      <c r="X62" s="2">
        <f>X7*'Output-Calculation-sheet'!X51/10^9</f>
        <v>0</v>
      </c>
      <c r="Y62" s="2">
        <f>Y7*'Output-Calculation-sheet'!Y51/10^9</f>
        <v>0</v>
      </c>
      <c r="AA62" s="2">
        <f t="shared" si="4"/>
        <v>0</v>
      </c>
    </row>
    <row r="63" spans="1:27" x14ac:dyDescent="0.25">
      <c r="A63" s="2">
        <v>2031</v>
      </c>
      <c r="B63" s="2">
        <f>B8*'Output-Calculation-sheet'!B52/10^9</f>
        <v>8.4044829625279949</v>
      </c>
      <c r="C63" s="2">
        <f>C8*'Output-Calculation-sheet'!C52/10^9</f>
        <v>4.5680447242436131</v>
      </c>
      <c r="D63" s="2">
        <f>D8*'Output-Calculation-sheet'!D52/10^9</f>
        <v>1.9678311047665278</v>
      </c>
      <c r="E63" s="2">
        <f>E8*'Output-Calculation-sheet'!E52/10^9</f>
        <v>2.251285524178102</v>
      </c>
      <c r="F63" s="2">
        <f>F8*'Output-Calculation-sheet'!F52/10^9</f>
        <v>1.052331354957285</v>
      </c>
      <c r="G63" s="2">
        <f>G8*'Output-Calculation-sheet'!G52/10^9</f>
        <v>0.80268224252245257</v>
      </c>
      <c r="H63" s="2">
        <f>H8*'Output-Calculation-sheet'!H52/10^9</f>
        <v>1.1997705174498947</v>
      </c>
      <c r="I63" s="2">
        <f>I8*'Output-Calculation-sheet'!I52/10^9</f>
        <v>0.63406563223742107</v>
      </c>
      <c r="J63" s="2">
        <f>J8*'Output-Calculation-sheet'!J52/10^9</f>
        <v>0.89635817337138324</v>
      </c>
      <c r="K63" s="2">
        <f>K8*'Output-Calculation-sheet'!K52/10^9</f>
        <v>0.58841512820077047</v>
      </c>
      <c r="L63" s="2">
        <f>L8*'Output-Calculation-sheet'!L52/10^9</f>
        <v>0.69665940129397197</v>
      </c>
      <c r="M63" s="2">
        <f>M8*'Output-Calculation-sheet'!M52/10^9</f>
        <v>0.87844355517461548</v>
      </c>
      <c r="N63" s="2">
        <f>N8*'Output-Calculation-sheet'!N52/10^9</f>
        <v>0.70046715867894382</v>
      </c>
      <c r="O63" s="2">
        <f>O8*'Output-Calculation-sheet'!O52/10^9</f>
        <v>0.8299115271547689</v>
      </c>
      <c r="P63" s="2">
        <f>P8*'Output-Calculation-sheet'!P52/10^9</f>
        <v>0.59842832249887734</v>
      </c>
      <c r="Q63" s="2">
        <f>Q8*'Output-Calculation-sheet'!Q52/10^9</f>
        <v>0.55820343878379386</v>
      </c>
      <c r="R63" s="2">
        <f>R8*'Output-Calculation-sheet'!R52/10^9</f>
        <v>0.50560196797057422</v>
      </c>
      <c r="S63" s="2">
        <f>S8*'Output-Calculation-sheet'!S52/10^9</f>
        <v>0.42898446422321868</v>
      </c>
      <c r="T63" s="2">
        <f>T8*'Output-Calculation-sheet'!T52/10^9</f>
        <v>0.20535561512463238</v>
      </c>
      <c r="U63" s="2">
        <f>U8*'Output-Calculation-sheet'!U52/10^9</f>
        <v>0.16014651180514566</v>
      </c>
      <c r="V63" s="2">
        <f>V8*'Output-Calculation-sheet'!V52/10^9</f>
        <v>0.26515485241755637</v>
      </c>
      <c r="W63" s="2">
        <f>W8*'Output-Calculation-sheet'!W52/10^9</f>
        <v>0.11127102480553344</v>
      </c>
      <c r="X63" s="2">
        <f>X8*'Output-Calculation-sheet'!X52/10^9</f>
        <v>0.11708012905742923</v>
      </c>
      <c r="Y63" s="2">
        <f>Y8*'Output-Calculation-sheet'!Y52/10^9</f>
        <v>6.4254880531813718E-2</v>
      </c>
      <c r="AA63" s="2">
        <f t="shared" si="4"/>
        <v>28.485230213976312</v>
      </c>
    </row>
    <row r="64" spans="1:27" x14ac:dyDescent="0.25">
      <c r="A64" s="2">
        <v>2032</v>
      </c>
      <c r="B64" s="2">
        <f>B9*'Output-Calculation-sheet'!B53/10^9</f>
        <v>8.7818448528729824</v>
      </c>
      <c r="C64" s="2">
        <f>C9*'Output-Calculation-sheet'!C53/10^9</f>
        <v>5.1871912123231834</v>
      </c>
      <c r="D64" s="2">
        <f>D9*'Output-Calculation-sheet'!D53/10^9</f>
        <v>1.8440704609039178</v>
      </c>
      <c r="E64" s="2">
        <f>E9*'Output-Calculation-sheet'!E53/10^9</f>
        <v>2.1531679220767952</v>
      </c>
      <c r="F64" s="2">
        <f>F9*'Output-Calculation-sheet'!F53/10^9</f>
        <v>0.98805242650641345</v>
      </c>
      <c r="G64" s="2">
        <f>G9*'Output-Calculation-sheet'!G53/10^9</f>
        <v>0.73981280284209605</v>
      </c>
      <c r="H64" s="2">
        <f>H9*'Output-Calculation-sheet'!H53/10^9</f>
        <v>1.3777838878694937</v>
      </c>
      <c r="I64" s="2">
        <f>I9*'Output-Calculation-sheet'!I53/10^9</f>
        <v>0.59993743641211117</v>
      </c>
      <c r="J64" s="2">
        <f>J9*'Output-Calculation-sheet'!J53/10^9</f>
        <v>0.80524400254870931</v>
      </c>
      <c r="K64" s="2">
        <f>K9*'Output-Calculation-sheet'!K53/10^9</f>
        <v>0.59445022094572331</v>
      </c>
      <c r="L64" s="2">
        <f>L9*'Output-Calculation-sheet'!L53/10^9</f>
        <v>0.66737207247296859</v>
      </c>
      <c r="M64" s="2">
        <f>M9*'Output-Calculation-sheet'!M53/10^9</f>
        <v>0.99354330974155791</v>
      </c>
      <c r="N64" s="2">
        <f>N9*'Output-Calculation-sheet'!N53/10^9</f>
        <v>0.81206581141226197</v>
      </c>
      <c r="O64" s="2">
        <f>O9*'Output-Calculation-sheet'!O53/10^9</f>
        <v>0.95929494665963577</v>
      </c>
      <c r="P64" s="2">
        <f>P9*'Output-Calculation-sheet'!P53/10^9</f>
        <v>0.6343111854639939</v>
      </c>
      <c r="Q64" s="2">
        <f>Q9*'Output-Calculation-sheet'!Q53/10^9</f>
        <v>0.60166151131496237</v>
      </c>
      <c r="R64" s="2">
        <f>R9*'Output-Calculation-sheet'!R53/10^9</f>
        <v>0.51184503143674365</v>
      </c>
      <c r="S64" s="2">
        <f>S9*'Output-Calculation-sheet'!S53/10^9</f>
        <v>0.48120402520472644</v>
      </c>
      <c r="T64" s="2">
        <f>T9*'Output-Calculation-sheet'!T53/10^9</f>
        <v>0.19133738150339216</v>
      </c>
      <c r="U64" s="2">
        <f>U9*'Output-Calculation-sheet'!U53/10^9</f>
        <v>0.16301843202522517</v>
      </c>
      <c r="V64" s="2">
        <f>V9*'Output-Calculation-sheet'!V53/10^9</f>
        <v>0.23759356534895404</v>
      </c>
      <c r="W64" s="2">
        <f>W9*'Output-Calculation-sheet'!W53/10^9</f>
        <v>0.10127028866740578</v>
      </c>
      <c r="X64" s="2">
        <f>X9*'Output-Calculation-sheet'!X53/10^9</f>
        <v>0.12931233302491199</v>
      </c>
      <c r="Y64" s="2">
        <f>Y9*'Output-Calculation-sheet'!Y53/10^9</f>
        <v>6.4413572052655771E-2</v>
      </c>
      <c r="AA64" s="2">
        <f t="shared" si="4"/>
        <v>29.619798691630816</v>
      </c>
    </row>
    <row r="65" spans="1:27" x14ac:dyDescent="0.25">
      <c r="A65" s="2">
        <v>2033</v>
      </c>
      <c r="B65" s="2">
        <f>B10*'Output-Calculation-sheet'!B54/10^9</f>
        <v>8.9801695990220676</v>
      </c>
      <c r="C65" s="2">
        <f>C10*'Output-Calculation-sheet'!C54/10^9</f>
        <v>5.5481847744942714</v>
      </c>
      <c r="D65" s="2">
        <f>D10*'Output-Calculation-sheet'!D54/10^9</f>
        <v>1.6006977239474656</v>
      </c>
      <c r="E65" s="2">
        <f>E10*'Output-Calculation-sheet'!E54/10^9</f>
        <v>2.038509741393753</v>
      </c>
      <c r="F65" s="2">
        <f>F10*'Output-Calculation-sheet'!F54/10^9</f>
        <v>0.87596422606945379</v>
      </c>
      <c r="G65" s="2">
        <f>G10*'Output-Calculation-sheet'!G54/10^9</f>
        <v>0.62364410332132847</v>
      </c>
      <c r="H65" s="2">
        <f>H10*'Output-Calculation-sheet'!H54/10^9</f>
        <v>1.4654183232605054</v>
      </c>
      <c r="I65" s="2">
        <f>I10*'Output-Calculation-sheet'!I54/10^9</f>
        <v>0.54680570737108203</v>
      </c>
      <c r="J65" s="2">
        <f>J10*'Output-Calculation-sheet'!J54/10^9</f>
        <v>0.64695717391487351</v>
      </c>
      <c r="K65" s="2">
        <f>K10*'Output-Calculation-sheet'!K54/10^9</f>
        <v>0.60542531837730085</v>
      </c>
      <c r="L65" s="2">
        <f>L10*'Output-Calculation-sheet'!L54/10^9</f>
        <v>0.62435734484500083</v>
      </c>
      <c r="M65" s="2">
        <f>M10*'Output-Calculation-sheet'!M54/10^9</f>
        <v>1.0419622949284688</v>
      </c>
      <c r="N65" s="2">
        <f>N10*'Output-Calculation-sheet'!N54/10^9</f>
        <v>0.88787777810372737</v>
      </c>
      <c r="O65" s="2">
        <f>O10*'Output-Calculation-sheet'!O54/10^9</f>
        <v>1.0330995018778331</v>
      </c>
      <c r="P65" s="2">
        <f>P10*'Output-Calculation-sheet'!P54/10^9</f>
        <v>0.65495334844047559</v>
      </c>
      <c r="Q65" s="2">
        <f>Q10*'Output-Calculation-sheet'!Q54/10^9</f>
        <v>0.64635171194922414</v>
      </c>
      <c r="R65" s="2">
        <f>R10*'Output-Calculation-sheet'!R54/10^9</f>
        <v>0.51236062119933701</v>
      </c>
      <c r="S65" s="2">
        <f>S10*'Output-Calculation-sheet'!S54/10^9</f>
        <v>0.5142462142464902</v>
      </c>
      <c r="T65" s="2">
        <f>T10*'Output-Calculation-sheet'!T54/10^9</f>
        <v>0.17350809804335832</v>
      </c>
      <c r="U65" s="2">
        <f>U10*'Output-Calculation-sheet'!U54/10^9</f>
        <v>0.1666420702727851</v>
      </c>
      <c r="V65" s="2">
        <f>V10*'Output-Calculation-sheet'!V54/10^9</f>
        <v>0.19635156439632157</v>
      </c>
      <c r="W65" s="2">
        <f>W10*'Output-Calculation-sheet'!W54/10^9</f>
        <v>8.3913560235609738E-2</v>
      </c>
      <c r="X65" s="2">
        <f>X10*'Output-Calculation-sheet'!X54/10^9</f>
        <v>0.13383884088978221</v>
      </c>
      <c r="Y65" s="2">
        <f>Y10*'Output-Calculation-sheet'!Y54/10^9</f>
        <v>6.5096862097165031E-2</v>
      </c>
      <c r="AA65" s="2">
        <f t="shared" si="4"/>
        <v>29.666336502697682</v>
      </c>
    </row>
    <row r="66" spans="1:27" x14ac:dyDescent="0.25">
      <c r="A66" s="2">
        <v>2034</v>
      </c>
      <c r="B66" s="2">
        <f>B11*'Output-Calculation-sheet'!B55/10^9</f>
        <v>8.9916350193310279</v>
      </c>
      <c r="C66" s="2">
        <f>C11*'Output-Calculation-sheet'!C55/10^9</f>
        <v>5.6380376718674237</v>
      </c>
      <c r="D66" s="2">
        <f>D11*'Output-Calculation-sheet'!D55/10^9</f>
        <v>1.6267129077041542</v>
      </c>
      <c r="E66" s="2">
        <f>E11*'Output-Calculation-sheet'!E55/10^9</f>
        <v>2.1069109956146175</v>
      </c>
      <c r="F66" s="2">
        <f>F11*'Output-Calculation-sheet'!F55/10^9</f>
        <v>0.82923732646079085</v>
      </c>
      <c r="G66" s="2">
        <f>G11*'Output-Calculation-sheet'!G55/10^9</f>
        <v>0.60489642479473527</v>
      </c>
      <c r="H66" s="2">
        <f>H11*'Output-Calculation-sheet'!H55/10^9</f>
        <v>1.5094345355755427</v>
      </c>
      <c r="I66" s="2">
        <f>I11*'Output-Calculation-sheet'!I55/10^9</f>
        <v>0.56231408565091046</v>
      </c>
      <c r="J66" s="2">
        <f>J11*'Output-Calculation-sheet'!J55/10^9</f>
        <v>0.56614469643851817</v>
      </c>
      <c r="K66" s="2">
        <f>K11*'Output-Calculation-sheet'!K55/10^9</f>
        <v>0.64464772518542823</v>
      </c>
      <c r="L66" s="2">
        <f>L11*'Output-Calculation-sheet'!L55/10^9</f>
        <v>0.62496426626671098</v>
      </c>
      <c r="M66" s="2">
        <f>M11*'Output-Calculation-sheet'!M55/10^9</f>
        <v>1.0601863714830368</v>
      </c>
      <c r="N66" s="2">
        <f>N11*'Output-Calculation-sheet'!N55/10^9</f>
        <v>0.92191504128378676</v>
      </c>
      <c r="O66" s="2">
        <f>O11*'Output-Calculation-sheet'!O55/10^9</f>
        <v>1.0515854891623999</v>
      </c>
      <c r="P66" s="2">
        <f>P11*'Output-Calculation-sheet'!P55/10^9</f>
        <v>0.67430689854428028</v>
      </c>
      <c r="Q66" s="2">
        <f>Q11*'Output-Calculation-sheet'!Q55/10^9</f>
        <v>0.6935831998249351</v>
      </c>
      <c r="R66" s="2">
        <f>R11*'Output-Calculation-sheet'!R55/10^9</f>
        <v>0.51315645895679107</v>
      </c>
      <c r="S66" s="2">
        <f>S11*'Output-Calculation-sheet'!S55/10^9</f>
        <v>0.53269884448489124</v>
      </c>
      <c r="T66" s="2">
        <f>T11*'Output-Calculation-sheet'!T55/10^9</f>
        <v>0.16078973935329091</v>
      </c>
      <c r="U66" s="2">
        <f>U11*'Output-Calculation-sheet'!U55/10^9</f>
        <v>0.17499586652883553</v>
      </c>
      <c r="V66" s="2">
        <f>V11*'Output-Calculation-sheet'!V55/10^9</f>
        <v>0.15195692922944418</v>
      </c>
      <c r="W66" s="2">
        <f>W11*'Output-Calculation-sheet'!W55/10^9</f>
        <v>7.4445545456893081E-2</v>
      </c>
      <c r="X66" s="2">
        <f>X11*'Output-Calculation-sheet'!X55/10^9</f>
        <v>0.13149787394038129</v>
      </c>
      <c r="Y66" s="2">
        <f>Y11*'Output-Calculation-sheet'!Y55/10^9</f>
        <v>7.1429763322266221E-2</v>
      </c>
      <c r="AA66" s="2">
        <f t="shared" si="4"/>
        <v>29.917483676461096</v>
      </c>
    </row>
    <row r="67" spans="1:27" x14ac:dyDescent="0.25">
      <c r="A67" s="2">
        <v>2035</v>
      </c>
      <c r="B67" s="2">
        <f>B12*'Output-Calculation-sheet'!B56/10^9</f>
        <v>9.1372190729491276</v>
      </c>
      <c r="C67" s="2">
        <f>C12*'Output-Calculation-sheet'!C56/10^9</f>
        <v>5.5186604267156225</v>
      </c>
      <c r="D67" s="2">
        <f>D12*'Output-Calculation-sheet'!D56/10^9</f>
        <v>1.8099920745157945</v>
      </c>
      <c r="E67" s="2">
        <f>E12*'Output-Calculation-sheet'!E56/10^9</f>
        <v>2.4785132184208325</v>
      </c>
      <c r="F67" s="2">
        <f>F12*'Output-Calculation-sheet'!F56/10^9</f>
        <v>0.97176327584088951</v>
      </c>
      <c r="G67" s="2">
        <f>G12*'Output-Calculation-sheet'!G56/10^9</f>
        <v>0.71599486567920911</v>
      </c>
      <c r="H67" s="2">
        <f>H12*'Output-Calculation-sheet'!H56/10^9</f>
        <v>1.5246927861375452</v>
      </c>
      <c r="I67" s="2">
        <f>I12*'Output-Calculation-sheet'!I56/10^9</f>
        <v>0.65609444258900806</v>
      </c>
      <c r="J67" s="2">
        <f>J12*'Output-Calculation-sheet'!J56/10^9</f>
        <v>0.60076357175458794</v>
      </c>
      <c r="K67" s="2">
        <f>K12*'Output-Calculation-sheet'!K56/10^9</f>
        <v>0.7196287044227867</v>
      </c>
      <c r="L67" s="2">
        <f>L12*'Output-Calculation-sheet'!L56/10^9</f>
        <v>0.67065239947037691</v>
      </c>
      <c r="M67" s="2">
        <f>M12*'Output-Calculation-sheet'!M56/10^9</f>
        <v>1.0786496166620205</v>
      </c>
      <c r="N67" s="2">
        <f>N12*'Output-Calculation-sheet'!N56/10^9</f>
        <v>0.92126969327994201</v>
      </c>
      <c r="O67" s="2">
        <f>O12*'Output-Calculation-sheet'!O56/10^9</f>
        <v>1.0191239584407357</v>
      </c>
      <c r="P67" s="2">
        <f>P12*'Output-Calculation-sheet'!P56/10^9</f>
        <v>0.74770041448478552</v>
      </c>
      <c r="Q67" s="2">
        <f>Q12*'Output-Calculation-sheet'!Q56/10^9</f>
        <v>0.70630415126712909</v>
      </c>
      <c r="R67" s="2">
        <f>R12*'Output-Calculation-sheet'!R56/10^9</f>
        <v>0.55403694151855531</v>
      </c>
      <c r="S67" s="2">
        <f>S12*'Output-Calculation-sheet'!S56/10^9</f>
        <v>0.53519412546564349</v>
      </c>
      <c r="T67" s="2">
        <f>T12*'Output-Calculation-sheet'!T56/10^9</f>
        <v>0.17241260615495033</v>
      </c>
      <c r="U67" s="2">
        <f>U12*'Output-Calculation-sheet'!U56/10^9</f>
        <v>0.18638864284249104</v>
      </c>
      <c r="V67" s="2">
        <f>V12*'Output-Calculation-sheet'!V56/10^9</f>
        <v>0.13296946406564633</v>
      </c>
      <c r="W67" s="2">
        <f>W12*'Output-Calculation-sheet'!W56/10^9</f>
        <v>9.0260963031616792E-2</v>
      </c>
      <c r="X67" s="2">
        <f>X12*'Output-Calculation-sheet'!X56/10^9</f>
        <v>0.12875263206118878</v>
      </c>
      <c r="Y67" s="2">
        <f>Y12*'Output-Calculation-sheet'!Y56/10^9</f>
        <v>8.4224200701517829E-2</v>
      </c>
      <c r="AA67" s="2">
        <f t="shared" si="4"/>
        <v>31.161262248472003</v>
      </c>
    </row>
    <row r="68" spans="1:27" x14ac:dyDescent="0.25">
      <c r="B68" s="2">
        <f>SUM(B60:B67)</f>
        <v>44.295351506703206</v>
      </c>
      <c r="C68" s="2">
        <f t="shared" ref="C68:Y68" si="5">SUM(C60:C67)</f>
        <v>26.460118809644115</v>
      </c>
      <c r="D68" s="2">
        <f t="shared" si="5"/>
        <v>8.8493042718378589</v>
      </c>
      <c r="E68" s="2">
        <f t="shared" si="5"/>
        <v>11.0283874016841</v>
      </c>
      <c r="F68" s="2">
        <f t="shared" si="5"/>
        <v>4.7173486098348327</v>
      </c>
      <c r="G68" s="2">
        <f t="shared" si="5"/>
        <v>3.4870304391598217</v>
      </c>
      <c r="H68" s="2">
        <f t="shared" si="5"/>
        <v>7.0771000502929819</v>
      </c>
      <c r="I68" s="2">
        <f t="shared" si="5"/>
        <v>2.999217304260533</v>
      </c>
      <c r="J68" s="2">
        <f t="shared" si="5"/>
        <v>3.5154676180280719</v>
      </c>
      <c r="K68" s="2">
        <f t="shared" si="5"/>
        <v>3.1525670971320094</v>
      </c>
      <c r="L68" s="2">
        <f t="shared" si="5"/>
        <v>3.2840054843490294</v>
      </c>
      <c r="M68" s="2">
        <f t="shared" si="5"/>
        <v>5.0527851479896997</v>
      </c>
      <c r="N68" s="2">
        <f t="shared" si="5"/>
        <v>4.2435954827586624</v>
      </c>
      <c r="O68" s="2">
        <f t="shared" si="5"/>
        <v>4.893015423295374</v>
      </c>
      <c r="P68" s="2">
        <f t="shared" si="5"/>
        <v>3.3097001694324129</v>
      </c>
      <c r="Q68" s="2">
        <f t="shared" si="5"/>
        <v>3.2061040131400445</v>
      </c>
      <c r="R68" s="2">
        <f t="shared" si="5"/>
        <v>2.5970010210820016</v>
      </c>
      <c r="S68" s="2">
        <f t="shared" si="5"/>
        <v>2.49232767362497</v>
      </c>
      <c r="T68" s="2">
        <f t="shared" si="5"/>
        <v>0.90340344017962415</v>
      </c>
      <c r="U68" s="2">
        <f t="shared" si="5"/>
        <v>0.85119152347448246</v>
      </c>
      <c r="V68" s="2">
        <f t="shared" si="5"/>
        <v>0.9840263754579226</v>
      </c>
      <c r="W68" s="2">
        <f t="shared" si="5"/>
        <v>0.46116138219705882</v>
      </c>
      <c r="X68" s="2">
        <f t="shared" si="5"/>
        <v>0.64048180897369356</v>
      </c>
      <c r="Y68" s="2">
        <f t="shared" si="5"/>
        <v>0.34941927870541856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6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6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936.77982527897871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1708.4060868676911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1152.093132667191</v>
      </c>
      <c r="N74" s="2">
        <f>N8/'Output-Calculation-sheet'!N7*'Output-Calculation-sheet'!N61</f>
        <v>47.761687375497374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10.223400996275233</v>
      </c>
      <c r="Y74" s="2">
        <f>Y8/'Output-Calculation-sheet'!Y7*'Output-Calculation-sheet'!Y61</f>
        <v>0</v>
      </c>
      <c r="AA74" s="2">
        <f t="shared" si="6"/>
        <v>3.8552641331856332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164.50353067518648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2954.0282285151275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2007.4208168457355</v>
      </c>
      <c r="N75" s="2">
        <f>N9/'Output-Calculation-sheet'!N8*'Output-Calculation-sheet'!N62</f>
        <v>773.09235596730593</v>
      </c>
      <c r="O75" s="2">
        <f>O9/'Output-Calculation-sheet'!O8*'Output-Calculation-sheet'!O62</f>
        <v>0</v>
      </c>
      <c r="P75" s="2">
        <f>P9/'Output-Calculation-sheet'!P8*'Output-Calculation-sheet'!P62</f>
        <v>61.248407306011657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259.7838946080193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70.504242078273421</v>
      </c>
      <c r="Y75" s="2">
        <f>Y9/'Output-Calculation-sheet'!Y8*'Output-Calculation-sheet'!Y62</f>
        <v>0</v>
      </c>
      <c r="AA75" s="2">
        <f t="shared" si="6"/>
        <v>6.2905814759956593</v>
      </c>
    </row>
    <row r="76" spans="1:27" x14ac:dyDescent="0.25">
      <c r="A76" s="2">
        <v>2033</v>
      </c>
      <c r="B76" s="2">
        <f>B10/'Output-Calculation-sheet'!B9*'Output-Calculation-sheet'!B63</f>
        <v>6352.1173481479746</v>
      </c>
      <c r="C76" s="2">
        <f>C10/'Output-Calculation-sheet'!C9*'Output-Calculation-sheet'!C63</f>
        <v>1280.8557883826122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4141.261488868714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2826.43118122027</v>
      </c>
      <c r="N76" s="2">
        <f>N10/'Output-Calculation-sheet'!N9*'Output-Calculation-sheet'!N63</f>
        <v>1609.7999045762469</v>
      </c>
      <c r="O76" s="2">
        <f>O10/'Output-Calculation-sheet'!O9*'Output-Calculation-sheet'!O63</f>
        <v>0</v>
      </c>
      <c r="P76" s="2">
        <f>P10/'Output-Calculation-sheet'!P9*'Output-Calculation-sheet'!P63</f>
        <v>558.24658787751014</v>
      </c>
      <c r="Q76" s="2">
        <f>Q10/'Output-Calculation-sheet'!Q9*'Output-Calculation-sheet'!Q63</f>
        <v>253.75653807069824</v>
      </c>
      <c r="R76" s="2">
        <f>R10/'Output-Calculation-sheet'!R9*'Output-Calculation-sheet'!R63</f>
        <v>423.63385591395604</v>
      </c>
      <c r="S76" s="2">
        <f>S10/'Output-Calculation-sheet'!S9*'Output-Calculation-sheet'!S63</f>
        <v>719.89632039562991</v>
      </c>
      <c r="T76" s="2">
        <f>T10/'Output-Calculation-sheet'!T9*'Output-Calculation-sheet'!T63</f>
        <v>27.912545666596973</v>
      </c>
      <c r="U76" s="2">
        <f>U10/'Output-Calculation-sheet'!U9*'Output-Calculation-sheet'!U63</f>
        <v>150.54584219647668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162.14725617145632</v>
      </c>
      <c r="Y76" s="2">
        <f>Y10/'Output-Calculation-sheet'!Y9*'Output-Calculation-sheet'!Y63</f>
        <v>7.1499114971690512</v>
      </c>
      <c r="AA76" s="2">
        <f t="shared" si="6"/>
        <v>18.630803535841533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2156.8423926586452</v>
      </c>
      <c r="D77" s="2">
        <f>D11/'Output-Calculation-sheet'!D10*'Output-Calculation-sheet'!D64</f>
        <v>1832.9482664224902</v>
      </c>
      <c r="E77" s="2">
        <f>E11/'Output-Calculation-sheet'!E10*'Output-Calculation-sheet'!E64</f>
        <v>2292.5178258379942</v>
      </c>
      <c r="F77" s="2">
        <f>F11/'Output-Calculation-sheet'!F10*'Output-Calculation-sheet'!F64</f>
        <v>163.11831451662096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4846.9884981595387</v>
      </c>
      <c r="I77" s="2">
        <f>I11/'Output-Calculation-sheet'!I10*'Output-Calculation-sheet'!I64</f>
        <v>568.92491990986662</v>
      </c>
      <c r="J77" s="2">
        <f>J11/'Output-Calculation-sheet'!J10*'Output-Calculation-sheet'!J64</f>
        <v>401.15026613875119</v>
      </c>
      <c r="K77" s="2">
        <f>K11/'Output-Calculation-sheet'!K10*'Output-Calculation-sheet'!K64</f>
        <v>873.24830863628347</v>
      </c>
      <c r="L77" s="2">
        <f>L11/'Output-Calculation-sheet'!L10*'Output-Calculation-sheet'!L64</f>
        <v>357.70413732905467</v>
      </c>
      <c r="M77" s="2">
        <f>M11/'Output-Calculation-sheet'!M10*'Output-Calculation-sheet'!M64</f>
        <v>3425.4783832842795</v>
      </c>
      <c r="N77" s="2">
        <f>N11/'Output-Calculation-sheet'!N10*'Output-Calculation-sheet'!N64</f>
        <v>2374.1859428119278</v>
      </c>
      <c r="O77" s="2">
        <f>O11/'Output-Calculation-sheet'!O10*'Output-Calculation-sheet'!O64</f>
        <v>86.268811208503834</v>
      </c>
      <c r="P77" s="2">
        <f>P11/'Output-Calculation-sheet'!P10*'Output-Calculation-sheet'!P64</f>
        <v>1076.7654713510055</v>
      </c>
      <c r="Q77" s="2">
        <f>Q11/'Output-Calculation-sheet'!Q10*'Output-Calculation-sheet'!Q64</f>
        <v>616.46531284411037</v>
      </c>
      <c r="R77" s="2">
        <f>R11/'Output-Calculation-sheet'!R10*'Output-Calculation-sheet'!R64</f>
        <v>919.65864483119515</v>
      </c>
      <c r="S77" s="2">
        <f>S11/'Output-Calculation-sheet'!S10*'Output-Calculation-sheet'!S64</f>
        <v>1218.4893499099028</v>
      </c>
      <c r="T77" s="2">
        <f>T11/'Output-Calculation-sheet'!T10*'Output-Calculation-sheet'!T64</f>
        <v>254.30330669407206</v>
      </c>
      <c r="U77" s="2">
        <f>U11/'Output-Calculation-sheet'!U10*'Output-Calculation-sheet'!U64</f>
        <v>337.27333144632735</v>
      </c>
      <c r="V77" s="2">
        <f>V11/'Output-Calculation-sheet'!V10*'Output-Calculation-sheet'!V64</f>
        <v>132.74130680744312</v>
      </c>
      <c r="W77" s="2">
        <f>W11/'Output-Calculation-sheet'!W10*'Output-Calculation-sheet'!W64</f>
        <v>28.921732716306522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40.134054572989534</v>
      </c>
    </row>
    <row r="78" spans="1:27" x14ac:dyDescent="0.25">
      <c r="A78" s="2">
        <v>2035</v>
      </c>
      <c r="B78" s="2">
        <f>B12/'Output-Calculation-sheet'!B11*'Output-Calculation-sheet'!B65</f>
        <v>17706.712898705566</v>
      </c>
      <c r="C78" s="2">
        <f>C12/'Output-Calculation-sheet'!C11*'Output-Calculation-sheet'!C65</f>
        <v>65.114471892886968</v>
      </c>
      <c r="D78" s="2">
        <f>D12/'Output-Calculation-sheet'!D11*'Output-Calculation-sheet'!D65</f>
        <v>1849.7404125795965</v>
      </c>
      <c r="E78" s="2">
        <f>E12/'Output-Calculation-sheet'!E11*'Output-Calculation-sheet'!E65</f>
        <v>3514.8002235597205</v>
      </c>
      <c r="F78" s="2">
        <f>F12/'Output-Calculation-sheet'!F11*'Output-Calculation-sheet'!F65</f>
        <v>751.41242495638744</v>
      </c>
      <c r="G78" s="2">
        <f>G12/'Output-Calculation-sheet'!G11*'Output-Calculation-sheet'!G65</f>
        <v>1432.3222362322674</v>
      </c>
      <c r="H78" s="2">
        <f>H12/'Output-Calculation-sheet'!H11*'Output-Calculation-sheet'!H65</f>
        <v>4585.3389145492356</v>
      </c>
      <c r="I78" s="2">
        <f>I12/'Output-Calculation-sheet'!I11*'Output-Calculation-sheet'!I65</f>
        <v>829.20056775179501</v>
      </c>
      <c r="J78" s="2">
        <f>J12/'Output-Calculation-sheet'!J11*'Output-Calculation-sheet'!J65</f>
        <v>759.62911667205287</v>
      </c>
      <c r="K78" s="2">
        <f>K12/'Output-Calculation-sheet'!K11*'Output-Calculation-sheet'!K65</f>
        <v>944.32827672291285</v>
      </c>
      <c r="L78" s="2">
        <f>L12/'Output-Calculation-sheet'!L11*'Output-Calculation-sheet'!L65</f>
        <v>552.93884003912683</v>
      </c>
      <c r="M78" s="2">
        <f>M12/'Output-Calculation-sheet'!M11*'Output-Calculation-sheet'!M65</f>
        <v>3211.3634917706413</v>
      </c>
      <c r="N78" s="2">
        <f>N12/'Output-Calculation-sheet'!N11*'Output-Calculation-sheet'!N65</f>
        <v>2260.6828218888568</v>
      </c>
      <c r="O78" s="2">
        <f>O12/'Output-Calculation-sheet'!O11*'Output-Calculation-sheet'!O65</f>
        <v>333.99893682327257</v>
      </c>
      <c r="P78" s="2">
        <f>P12/'Output-Calculation-sheet'!P11*'Output-Calculation-sheet'!P65</f>
        <v>1296.3307402626253</v>
      </c>
      <c r="Q78" s="2">
        <f>Q12/'Output-Calculation-sheet'!Q11*'Output-Calculation-sheet'!Q65</f>
        <v>632.12574019760291</v>
      </c>
      <c r="R78" s="2">
        <f>R12/'Output-Calculation-sheet'!R11*'Output-Calculation-sheet'!R65</f>
        <v>1083.1978823594136</v>
      </c>
      <c r="S78" s="2">
        <f>S12/'Output-Calculation-sheet'!S11*'Output-Calculation-sheet'!S65</f>
        <v>1218.5781990147741</v>
      </c>
      <c r="T78" s="2">
        <f>T12/'Output-Calculation-sheet'!T11*'Output-Calculation-sheet'!T65</f>
        <v>383.7434629954958</v>
      </c>
      <c r="U78" s="2">
        <f>U12/'Output-Calculation-sheet'!U11*'Output-Calculation-sheet'!U65</f>
        <v>331.32406100909253</v>
      </c>
      <c r="V78" s="2">
        <f>V12/'Output-Calculation-sheet'!V11*'Output-Calculation-sheet'!V65</f>
        <v>209.26420853489296</v>
      </c>
      <c r="W78" s="2">
        <f>W12/'Output-Calculation-sheet'!W11*'Output-Calculation-sheet'!W65</f>
        <v>149.71128819904345</v>
      </c>
      <c r="X78" s="2">
        <f>X12/'Output-Calculation-sheet'!X11*'Output-Calculation-sheet'!X65</f>
        <v>27.452241552560217</v>
      </c>
      <c r="Y78" s="2">
        <f>Y12/'Output-Calculation-sheet'!Y11*'Output-Calculation-sheet'!Y65</f>
        <v>143.35534974270379</v>
      </c>
      <c r="AA78" s="2">
        <f t="shared" si="6"/>
        <v>44.272666808012517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7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7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30.804044611478641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3.0804044611478641E-2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351.22880945932673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0.35122880945932672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450.19341254948716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0.45019341254948714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28.092407537410427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6.0407219767001408</v>
      </c>
      <c r="N88" s="2">
        <f>N11/'Output-Calculation-sheet'!N10*'Output-Calculation-sheet'!N73</f>
        <v>5.9370500493930081</v>
      </c>
      <c r="O88" s="2">
        <f>O11/'Output-Calculation-sheet'!O10*'Output-Calculation-sheet'!O73</f>
        <v>510.82039646933742</v>
      </c>
      <c r="P88" s="2">
        <f>P11/'Output-Calculation-sheet'!P10*'Output-Calculation-sheet'!P73</f>
        <v>0</v>
      </c>
      <c r="Q88" s="2">
        <f>Q11/'Output-Calculation-sheet'!Q10*'Output-Calculation-sheet'!Q73</f>
        <v>21.847412336641586</v>
      </c>
      <c r="R88" s="2">
        <f>R11/'Output-Calculation-sheet'!R10*'Output-Calculation-sheet'!R73</f>
        <v>0</v>
      </c>
      <c r="S88" s="2">
        <f>S11/'Output-Calculation-sheet'!S10*'Output-Calculation-sheet'!S73</f>
        <v>0.68066440907361403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0.57341865277855619</v>
      </c>
    </row>
    <row r="89" spans="1:27" x14ac:dyDescent="0.25">
      <c r="A89" s="2">
        <v>2035</v>
      </c>
      <c r="B89" s="2">
        <f>B12/'Output-Calculation-sheet'!B11*'Output-Calculation-sheet'!B74</f>
        <v>345.59972842260674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117.17897403833852</v>
      </c>
      <c r="E89" s="2">
        <f>E12/'Output-Calculation-sheet'!E11*'Output-Calculation-sheet'!E74</f>
        <v>126.65154759906959</v>
      </c>
      <c r="F89" s="2">
        <f>F12/'Output-Calculation-sheet'!F11*'Output-Calculation-sheet'!F74</f>
        <v>49.198744513611437</v>
      </c>
      <c r="G89" s="2">
        <f>G12/'Output-Calculation-sheet'!G11*'Output-Calculation-sheet'!G74</f>
        <v>43.716136939102014</v>
      </c>
      <c r="H89" s="2">
        <f>H12/'Output-Calculation-sheet'!H11*'Output-Calculation-sheet'!H74</f>
        <v>167.76841858051716</v>
      </c>
      <c r="I89" s="2">
        <f>I12/'Output-Calculation-sheet'!I11*'Output-Calculation-sheet'!I74</f>
        <v>40.832270043330979</v>
      </c>
      <c r="J89" s="2">
        <f>J12/'Output-Calculation-sheet'!J11*'Output-Calculation-sheet'!J74</f>
        <v>23.946916445836692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31.910818262967783</v>
      </c>
      <c r="M89" s="2">
        <f>M12/'Output-Calculation-sheet'!M11*'Output-Calculation-sheet'!M74</f>
        <v>97.508416737385517</v>
      </c>
      <c r="N89" s="2">
        <f>N12/'Output-Calculation-sheet'!N11*'Output-Calculation-sheet'!N74</f>
        <v>72.702383623937052</v>
      </c>
      <c r="O89" s="2">
        <f>O12/'Output-Calculation-sheet'!O11*'Output-Calculation-sheet'!O74</f>
        <v>523.22573339441249</v>
      </c>
      <c r="P89" s="2">
        <f>P12/'Output-Calculation-sheet'!P11*'Output-Calculation-sheet'!P74</f>
        <v>39.687955403452811</v>
      </c>
      <c r="Q89" s="2">
        <f>Q12/'Output-Calculation-sheet'!Q11*'Output-Calculation-sheet'!Q74</f>
        <v>60.803036543040378</v>
      </c>
      <c r="R89" s="2">
        <f>R12/'Output-Calculation-sheet'!R11*'Output-Calculation-sheet'!R74</f>
        <v>23.927647053249139</v>
      </c>
      <c r="S89" s="2">
        <f>S12/'Output-Calculation-sheet'!S11*'Output-Calculation-sheet'!S74</f>
        <v>32.203807897819111</v>
      </c>
      <c r="T89" s="2">
        <f>T12/'Output-Calculation-sheet'!T11*'Output-Calculation-sheet'!T74</f>
        <v>5.6654899421334459</v>
      </c>
      <c r="U89" s="2">
        <f>U12/'Output-Calculation-sheet'!U11*'Output-Calculation-sheet'!U74</f>
        <v>10.469746592861943</v>
      </c>
      <c r="V89" s="2">
        <f>V12/'Output-Calculation-sheet'!V11*'Output-Calculation-sheet'!V74</f>
        <v>1.4246628086807844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0.49181039619411426</v>
      </c>
      <c r="Y89" s="2">
        <f>Y12/'Output-Calculation-sheet'!Y11*'Output-Calculation-sheet'!Y74</f>
        <v>4.6274127878780806</v>
      </c>
      <c r="AA89" s="2">
        <f t="shared" si="7"/>
        <v>1.8760973218215007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8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8"/>
        <v>#DIV/0!</v>
      </c>
    </row>
    <row r="96" spans="1:27" x14ac:dyDescent="0.25">
      <c r="A96" s="2">
        <v>2031</v>
      </c>
      <c r="B96" s="2">
        <f>B8/'Output-Calculation-sheet'!B7*'Output-Calculation-sheet'!B79</f>
        <v>13946550784.692667</v>
      </c>
      <c r="C96" s="2">
        <f>C8/'Output-Calculation-sheet'!C7*'Output-Calculation-sheet'!C79</f>
        <v>4718190637.940876</v>
      </c>
      <c r="D96" s="2">
        <f>D8/'Output-Calculation-sheet'!D7*'Output-Calculation-sheet'!D79</f>
        <v>4925455251.6424208</v>
      </c>
      <c r="E96" s="2">
        <f>E8/'Output-Calculation-sheet'!E7*'Output-Calculation-sheet'!E79</f>
        <v>8757053640.358839</v>
      </c>
      <c r="F96" s="2">
        <f>F8/'Output-Calculation-sheet'!F7*'Output-Calculation-sheet'!F79</f>
        <v>3624457387.5732698</v>
      </c>
      <c r="G96" s="2">
        <f>G8/'Output-Calculation-sheet'!G7*'Output-Calculation-sheet'!G79</f>
        <v>2823160435.8659506</v>
      </c>
      <c r="H96" s="2">
        <f>H8/'Output-Calculation-sheet'!H7*'Output-Calculation-sheet'!H79</f>
        <v>2416469344.8551879</v>
      </c>
      <c r="I96" s="2">
        <f>I8/'Output-Calculation-sheet'!I7*'Output-Calculation-sheet'!I79</f>
        <v>1966626508.4867086</v>
      </c>
      <c r="J96" s="2">
        <f>J8/'Output-Calculation-sheet'!J7*'Output-Calculation-sheet'!J79</f>
        <v>1329879900.103585</v>
      </c>
      <c r="K96" s="2">
        <f>K8/'Output-Calculation-sheet'!K7*'Output-Calculation-sheet'!K79</f>
        <v>1902664242.5659573</v>
      </c>
      <c r="L96" s="2">
        <f>L8/'Output-Calculation-sheet'!L7*'Output-Calculation-sheet'!L79</f>
        <v>1342521466.454582</v>
      </c>
      <c r="M96" s="2">
        <f>M8/'Output-Calculation-sheet'!M7*'Output-Calculation-sheet'!M79</f>
        <v>1803845516.0004077</v>
      </c>
      <c r="N96" s="2">
        <f>N8/'Output-Calculation-sheet'!N7*'Output-Calculation-sheet'!N79</f>
        <v>1342202774.3495481</v>
      </c>
      <c r="O96" s="2">
        <f>O8/'Output-Calculation-sheet'!O7*'Output-Calculation-sheet'!O79</f>
        <v>678528288.98804426</v>
      </c>
      <c r="P96" s="2">
        <f>P8/'Output-Calculation-sheet'!P7*'Output-Calculation-sheet'!P79</f>
        <v>2269549541.3269162</v>
      </c>
      <c r="Q96" s="2">
        <f>Q8/'Output-Calculation-sheet'!Q7*'Output-Calculation-sheet'!Q79</f>
        <v>1057705384.2435668</v>
      </c>
      <c r="R96" s="2">
        <f>R8/'Output-Calculation-sheet'!R7*'Output-Calculation-sheet'!R79</f>
        <v>1319615447.0379152</v>
      </c>
      <c r="S96" s="2">
        <f>S8/'Output-Calculation-sheet'!S7*'Output-Calculation-sheet'!S79</f>
        <v>768916970.18923879</v>
      </c>
      <c r="T96" s="2">
        <f>T8/'Output-Calculation-sheet'!T7*'Output-Calculation-sheet'!T79</f>
        <v>587272815.43698037</v>
      </c>
      <c r="U96" s="2">
        <f>U8/'Output-Calculation-sheet'!U7*'Output-Calculation-sheet'!U79</f>
        <v>368910403.96910399</v>
      </c>
      <c r="V96" s="2">
        <f>V8/'Output-Calculation-sheet'!V7*'Output-Calculation-sheet'!V79</f>
        <v>191409095.28764352</v>
      </c>
      <c r="W96" s="2">
        <f>W8/'Output-Calculation-sheet'!W7*'Output-Calculation-sheet'!W79</f>
        <v>565603012.437289</v>
      </c>
      <c r="X96" s="2">
        <f>X8/'Output-Calculation-sheet'!X7*'Output-Calculation-sheet'!X79</f>
        <v>198792351.02950421</v>
      </c>
      <c r="Y96" s="2">
        <f>Y8/'Output-Calculation-sheet'!Y7*'Output-Calculation-sheet'!Y79</f>
        <v>310908525.92961645</v>
      </c>
      <c r="AA96" s="2">
        <f t="shared" si="8"/>
        <v>59.216289726765822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9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9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1627.8954309745286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316.25485801118072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37.827148637139565</v>
      </c>
      <c r="Y107" s="2">
        <f>Y8/'Output-Calculation-sheet'!Y7*'Output-Calculation-sheet'!Y88</f>
        <v>0</v>
      </c>
      <c r="AA107" s="2">
        <f t="shared" si="9"/>
        <v>1.9819774376228487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3103.405657272252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3.1549151903984942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4.1285355667129702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4.9126752519699686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132.5429017743138</v>
      </c>
      <c r="Y111" s="2">
        <f>Y12/'Output-Calculation-sheet'!Y11*'Output-Calculation-sheet'!Y92</f>
        <v>0</v>
      </c>
      <c r="AA111" s="2">
        <f t="shared" si="9"/>
        <v>6.243969444622067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10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10"/>
        <v>#DIV/0!</v>
      </c>
    </row>
    <row r="118" spans="1:27" x14ac:dyDescent="0.25">
      <c r="A118" s="2">
        <v>2031</v>
      </c>
      <c r="B118" s="2">
        <f>B8/'Output-Calculation-sheet'!B7*'Output-Calculation-sheet'!B97</f>
        <v>1631814961.2466445</v>
      </c>
      <c r="C118" s="2">
        <f>C8/'Output-Calculation-sheet'!C7*'Output-Calculation-sheet'!C97</f>
        <v>13473514376.3256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8384925467.0145426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5784888339.1886187</v>
      </c>
      <c r="N118" s="2">
        <f>N8/'Output-Calculation-sheet'!N7*'Output-Calculation-sheet'!N97</f>
        <v>1936297559.5518785</v>
      </c>
      <c r="O118" s="2">
        <f>O8/'Output-Calculation-sheet'!O7*'Output-Calculation-sheet'!O97</f>
        <v>2279669750.2962699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580336574.11336279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314989491.45606714</v>
      </c>
      <c r="Y118" s="2">
        <f>Y8/'Output-Calculation-sheet'!Y7*'Output-Calculation-sheet'!Y97</f>
        <v>0</v>
      </c>
      <c r="AA118" s="2">
        <f t="shared" si="10"/>
        <v>34386.436519192983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10771368296.237816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3699663941.0674176</v>
      </c>
      <c r="O119" s="2">
        <f>O9/'Output-Calculation-sheet'!O8*'Output-Calculation-sheet'!O98</f>
        <v>3995604663.3603125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1109172693.0722754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433292974.80913979</v>
      </c>
      <c r="Y119" s="2">
        <f>Y9/'Output-Calculation-sheet'!Y8*'Output-Calculation-sheet'!Y98</f>
        <v>0</v>
      </c>
      <c r="AA119" s="2">
        <f t="shared" si="10"/>
        <v>46604.763036897944</v>
      </c>
    </row>
    <row r="120" spans="1:27" x14ac:dyDescent="0.25">
      <c r="A120" s="2">
        <v>2033</v>
      </c>
      <c r="B120" s="2">
        <f>B10/'Output-Calculation-sheet'!B9*'Output-Calculation-sheet'!B99</f>
        <v>18889232803.253738</v>
      </c>
      <c r="C120" s="2">
        <f>C10/'Output-Calculation-sheet'!C9*'Output-Calculation-sheet'!C99</f>
        <v>10931871097.201742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5667045387.1802959</v>
      </c>
      <c r="O120" s="2">
        <f>O10/'Output-Calculation-sheet'!O9*'Output-Calculation-sheet'!O99</f>
        <v>4418728327.7744312</v>
      </c>
      <c r="P120" s="2">
        <f>P10/'Output-Calculation-sheet'!P9*'Output-Calculation-sheet'!P99</f>
        <v>0</v>
      </c>
      <c r="Q120" s="2">
        <f>Q10/'Output-Calculation-sheet'!Q9*'Output-Calculation-sheet'!Q99</f>
        <v>185810703.4000622</v>
      </c>
      <c r="R120" s="2">
        <f>R10/'Output-Calculation-sheet'!R9*'Output-Calculation-sheet'!R99</f>
        <v>0</v>
      </c>
      <c r="S120" s="2">
        <f>S10/'Output-Calculation-sheet'!S9*'Output-Calculation-sheet'!S99</f>
        <v>2282725250.8662763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621012955.13277042</v>
      </c>
      <c r="Y120" s="2">
        <f>Y10/'Output-Calculation-sheet'!Y9*'Output-Calculation-sheet'!Y99</f>
        <v>0</v>
      </c>
      <c r="AA120" s="2">
        <f t="shared" si="10"/>
        <v>66649.439057157637</v>
      </c>
    </row>
    <row r="121" spans="1:27" x14ac:dyDescent="0.25">
      <c r="A121" s="2">
        <v>2034</v>
      </c>
      <c r="B121" s="2">
        <f>B11/'Output-Calculation-sheet'!B10*'Output-Calculation-sheet'!B100</f>
        <v>42271602322.467407</v>
      </c>
      <c r="C121" s="2">
        <f>C11/'Output-Calculation-sheet'!C10*'Output-Calculation-sheet'!C100</f>
        <v>10503823821.135376</v>
      </c>
      <c r="D121" s="2">
        <f>D11/'Output-Calculation-sheet'!D10*'Output-Calculation-sheet'!D100</f>
        <v>0</v>
      </c>
      <c r="E121" s="2">
        <f>E11/'Output-Calculation-sheet'!E10*'Output-Calculation-sheet'!E100</f>
        <v>874371734.80761766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15511196485.149101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718685517.8407104</v>
      </c>
      <c r="M121" s="2">
        <f>M11/'Output-Calculation-sheet'!M10*'Output-Calculation-sheet'!M100</f>
        <v>10855675147.621033</v>
      </c>
      <c r="N121" s="2">
        <f>N11/'Output-Calculation-sheet'!N10*'Output-Calculation-sheet'!N100</f>
        <v>7371983987.7008734</v>
      </c>
      <c r="O121" s="2">
        <f>O11/'Output-Calculation-sheet'!O10*'Output-Calculation-sheet'!O100</f>
        <v>4674161757.5328445</v>
      </c>
      <c r="P121" s="2">
        <f>P11/'Output-Calculation-sheet'!P10*'Output-Calculation-sheet'!P100</f>
        <v>0</v>
      </c>
      <c r="Q121" s="2">
        <f>Q11/'Output-Calculation-sheet'!Q10*'Output-Calculation-sheet'!Q100</f>
        <v>949823429.77097499</v>
      </c>
      <c r="R121" s="2">
        <f>R11/'Output-Calculation-sheet'!R10*'Output-Calculation-sheet'!R100</f>
        <v>0</v>
      </c>
      <c r="S121" s="2">
        <f>S11/'Output-Calculation-sheet'!S10*'Output-Calculation-sheet'!S100</f>
        <v>3665403027.4445472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47960403.413243428</v>
      </c>
      <c r="AA121" s="2">
        <f t="shared" si="10"/>
        <v>97968.08947512033</v>
      </c>
    </row>
    <row r="122" spans="1:27" x14ac:dyDescent="0.25">
      <c r="A122" s="2">
        <v>2035</v>
      </c>
      <c r="B122" s="2">
        <f>B12/'Output-Calculation-sheet'!B11*'Output-Calculation-sheet'!B101</f>
        <v>49564486057.943222</v>
      </c>
      <c r="C122" s="2">
        <f>C12/'Output-Calculation-sheet'!C11*'Output-Calculation-sheet'!C101</f>
        <v>291293394.44199377</v>
      </c>
      <c r="D122" s="2">
        <f>D12/'Output-Calculation-sheet'!D11*'Output-Calculation-sheet'!D101</f>
        <v>0</v>
      </c>
      <c r="E122" s="2">
        <f>E12/'Output-Calculation-sheet'!E11*'Output-Calculation-sheet'!E101</f>
        <v>3965232727.5502944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15199606976.847132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1018887843.9876772</v>
      </c>
      <c r="M122" s="2">
        <f>M12/'Output-Calculation-sheet'!M11*'Output-Calculation-sheet'!M101</f>
        <v>10662232670.827707</v>
      </c>
      <c r="N122" s="2">
        <f>N12/'Output-Calculation-sheet'!N11*'Output-Calculation-sheet'!N101</f>
        <v>7174340613.7399311</v>
      </c>
      <c r="O122" s="2">
        <f>O12/'Output-Calculation-sheet'!O11*'Output-Calculation-sheet'!O101</f>
        <v>4863778952.0333967</v>
      </c>
      <c r="P122" s="2">
        <f>P12/'Output-Calculation-sheet'!P11*'Output-Calculation-sheet'!P101</f>
        <v>304952276.4492864</v>
      </c>
      <c r="Q122" s="2">
        <f>Q12/'Output-Calculation-sheet'!Q11*'Output-Calculation-sheet'!Q101</f>
        <v>1146544522.6683929</v>
      </c>
      <c r="R122" s="2">
        <f>R12/'Output-Calculation-sheet'!R11*'Output-Calculation-sheet'!R101</f>
        <v>0</v>
      </c>
      <c r="S122" s="2">
        <f>S12/'Output-Calculation-sheet'!S11*'Output-Calculation-sheet'!S101</f>
        <v>3768241441.4478145</v>
      </c>
      <c r="T122" s="2">
        <f>T12/'Output-Calculation-sheet'!T11*'Output-Calculation-sheet'!T101</f>
        <v>0</v>
      </c>
      <c r="U122" s="2">
        <f>U12/'Output-Calculation-sheet'!U11*'Output-Calculation-sheet'!U101</f>
        <v>55669459.443214543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130572217.51676399</v>
      </c>
      <c r="Y122" s="2">
        <f>Y12/'Output-Calculation-sheet'!Y11*'Output-Calculation-sheet'!Y101</f>
        <v>202227905.56550753</v>
      </c>
      <c r="AA122" s="2">
        <f t="shared" si="10"/>
        <v>98348.067060462345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1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1"/>
        <v>#DIV/0!</v>
      </c>
    </row>
    <row r="129" spans="1:27" x14ac:dyDescent="0.25">
      <c r="A129" s="2">
        <v>2031</v>
      </c>
      <c r="B129" s="2">
        <f>B8/'Output-Calculation-sheet'!B7*'Output-Calculation-sheet'!B106</f>
        <v>55408728187.298866</v>
      </c>
      <c r="C129" s="2">
        <f>C8/'Output-Calculation-sheet'!C7*'Output-Calculation-sheet'!C106</f>
        <v>0</v>
      </c>
      <c r="D129" s="2">
        <f>D8/'Output-Calculation-sheet'!D7*'Output-Calculation-sheet'!D106</f>
        <v>23957610535.55735</v>
      </c>
      <c r="E129" s="2">
        <f>E8/'Output-Calculation-sheet'!E7*'Output-Calculation-sheet'!E106</f>
        <v>19007955068.642605</v>
      </c>
      <c r="F129" s="2">
        <f>F8/'Output-Calculation-sheet'!F7*'Output-Calculation-sheet'!F106</f>
        <v>12236098421.70237</v>
      </c>
      <c r="G129" s="2">
        <f>G8/'Output-Calculation-sheet'!G7*'Output-Calculation-sheet'!G106</f>
        <v>8597438434.0178585</v>
      </c>
      <c r="H129" s="2">
        <f>H8/'Output-Calculation-sheet'!H7*'Output-Calculation-sheet'!H106</f>
        <v>0</v>
      </c>
      <c r="I129" s="2">
        <f>I8/'Output-Calculation-sheet'!I7*'Output-Calculation-sheet'!I106</f>
        <v>7832924974.0516224</v>
      </c>
      <c r="J129" s="2">
        <f>J8/'Output-Calculation-sheet'!J7*'Output-Calculation-sheet'!J106</f>
        <v>7624005553.0961075</v>
      </c>
      <c r="K129" s="2">
        <f>K8/'Output-Calculation-sheet'!K7*'Output-Calculation-sheet'!K106</f>
        <v>7550926085.0133362</v>
      </c>
      <c r="L129" s="2">
        <f>L8/'Output-Calculation-sheet'!L7*'Output-Calculation-sheet'!L106</f>
        <v>6057465422.8118391</v>
      </c>
      <c r="M129" s="2">
        <f>M8/'Output-Calculation-sheet'!M7*'Output-Calculation-sheet'!M106</f>
        <v>0</v>
      </c>
      <c r="N129" s="2">
        <f>N8/'Output-Calculation-sheet'!N7*'Output-Calculation-sheet'!N106</f>
        <v>3742529328.3420038</v>
      </c>
      <c r="O129" s="2">
        <f>O8/'Output-Calculation-sheet'!O7*'Output-Calculation-sheet'!O106</f>
        <v>0</v>
      </c>
      <c r="P129" s="2">
        <f>P8/'Output-Calculation-sheet'!P7*'Output-Calculation-sheet'!P106</f>
        <v>5169760822.0407314</v>
      </c>
      <c r="Q129" s="2">
        <f>Q8/'Output-Calculation-sheet'!Q7*'Output-Calculation-sheet'!Q106</f>
        <v>5086199662.9726162</v>
      </c>
      <c r="R129" s="2">
        <f>R8/'Output-Calculation-sheet'!R7*'Output-Calculation-sheet'!R106</f>
        <v>4893167951.955514</v>
      </c>
      <c r="S129" s="2">
        <f>S8/'Output-Calculation-sheet'!S7*'Output-Calculation-sheet'!S106</f>
        <v>2671906146.3258181</v>
      </c>
      <c r="T129" s="2">
        <f>T8/'Output-Calculation-sheet'!T7*'Output-Calculation-sheet'!T106</f>
        <v>1798674136.8739684</v>
      </c>
      <c r="U129" s="2">
        <f>U8/'Output-Calculation-sheet'!U7*'Output-Calculation-sheet'!U106</f>
        <v>1566586489.0302317</v>
      </c>
      <c r="V129" s="2">
        <f>V8/'Output-Calculation-sheet'!V7*'Output-Calculation-sheet'!V106</f>
        <v>1206297709.3627889</v>
      </c>
      <c r="W129" s="2">
        <f>W8/'Output-Calculation-sheet'!W7*'Output-Calculation-sheet'!W106</f>
        <v>1044394688.5774546</v>
      </c>
      <c r="X129" s="2">
        <f>X8/'Output-Calculation-sheet'!X7*'Output-Calculation-sheet'!X106</f>
        <v>0</v>
      </c>
      <c r="Y129" s="2">
        <f>Y8/'Output-Calculation-sheet'!Y7*'Output-Calculation-sheet'!Y106</f>
        <v>609395170.16777575</v>
      </c>
      <c r="AA129" s="2">
        <f t="shared" si="11"/>
        <v>176062.06478784088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3.8378256990446991E-8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4032596117.9566216</v>
      </c>
      <c r="O130" s="2">
        <f>O9/'Output-Calculation-sheet'!O8*'Output-Calculation-sheet'!O107</f>
        <v>0</v>
      </c>
      <c r="P130" s="2">
        <f>P9/'Output-Calculation-sheet'!P8*'Output-Calculation-sheet'!P107</f>
        <v>7039650157.8561563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3319195803.8070149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233283.89953357121</v>
      </c>
    </row>
    <row r="131" spans="1:27" x14ac:dyDescent="0.25">
      <c r="A131" s="2">
        <v>2033</v>
      </c>
      <c r="B131" s="2">
        <f>B10/'Output-Calculation-sheet'!B9*'Output-Calculation-sheet'!B108</f>
        <v>76316911105.029755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3810688023.9186401</v>
      </c>
      <c r="O131" s="2">
        <f>O10/'Output-Calculation-sheet'!O9*'Output-Calculation-sheet'!O108</f>
        <v>0</v>
      </c>
      <c r="P131" s="2">
        <f>P10/'Output-Calculation-sheet'!P9*'Output-Calculation-sheet'!P108</f>
        <v>8628843124.0400085</v>
      </c>
      <c r="Q131" s="2">
        <f>Q10/'Output-Calculation-sheet'!Q9*'Output-Calculation-sheet'!Q108</f>
        <v>8303976678.283289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3145253909.6800261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273773.87210001925</v>
      </c>
    </row>
    <row r="132" spans="1:27" x14ac:dyDescent="0.25">
      <c r="A132" s="2">
        <v>2034</v>
      </c>
      <c r="B132" s="2">
        <f>B11/'Output-Calculation-sheet'!B10*'Output-Calculation-sheet'!B109</f>
        <v>65436299936.72261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35020781344.881683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14397631629.72426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10720561367.878582</v>
      </c>
      <c r="M132" s="2">
        <f>M11/'Output-Calculation-sheet'!M10*'Output-Calculation-sheet'!M109</f>
        <v>0</v>
      </c>
      <c r="N132" s="2">
        <f>N11/'Output-Calculation-sheet'!N10*'Output-Calculation-sheet'!N109</f>
        <v>3259300362.7355957</v>
      </c>
      <c r="O132" s="2">
        <f>O11/'Output-Calculation-sheet'!O10*'Output-Calculation-sheet'!O109</f>
        <v>0</v>
      </c>
      <c r="P132" s="2">
        <f>P11/'Output-Calculation-sheet'!P10*'Output-Calculation-sheet'!P109</f>
        <v>9762156427.6523418</v>
      </c>
      <c r="Q132" s="2">
        <f>Q11/'Output-Calculation-sheet'!Q10*'Output-Calculation-sheet'!Q109</f>
        <v>8169164654.2106218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2463591316.885766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1102867986.3922186</v>
      </c>
      <c r="AA132" s="2">
        <f t="shared" si="11"/>
        <v>283819.23213827302</v>
      </c>
    </row>
    <row r="133" spans="1:27" x14ac:dyDescent="0.25">
      <c r="A133" s="2">
        <v>2035</v>
      </c>
      <c r="B133" s="2">
        <f>B12/'Output-Calculation-sheet'!B11*'Output-Calculation-sheet'!B110</f>
        <v>57785534359.011841</v>
      </c>
      <c r="C133" s="2">
        <f>C12/'Output-Calculation-sheet'!C11*'Output-Calculation-sheet'!C110</f>
        <v>0</v>
      </c>
      <c r="D133" s="2">
        <f>D12/'Output-Calculation-sheet'!D11*'Output-Calculation-sheet'!D110</f>
        <v>43398957909.596519</v>
      </c>
      <c r="E133" s="2">
        <f>E12/'Output-Calculation-sheet'!E11*'Output-Calculation-sheet'!E110</f>
        <v>32886508476.622704</v>
      </c>
      <c r="F133" s="2">
        <f>F12/'Output-Calculation-sheet'!F11*'Output-Calculation-sheet'!F110</f>
        <v>23403793566.380447</v>
      </c>
      <c r="G133" s="2">
        <f>G12/'Output-Calculation-sheet'!G11*'Output-Calculation-sheet'!G110</f>
        <v>16221548529.986475</v>
      </c>
      <c r="H133" s="2">
        <f>H12/'Output-Calculation-sheet'!H11*'Output-Calculation-sheet'!H110</f>
        <v>0</v>
      </c>
      <c r="I133" s="2">
        <f>I12/'Output-Calculation-sheet'!I11*'Output-Calculation-sheet'!I110</f>
        <v>14642748449.572878</v>
      </c>
      <c r="J133" s="2">
        <f>J12/'Output-Calculation-sheet'!J11*'Output-Calculation-sheet'!J110</f>
        <v>14103964491.906988</v>
      </c>
      <c r="K133" s="2">
        <f>K12/'Output-Calculation-sheet'!K11*'Output-Calculation-sheet'!K110</f>
        <v>13951282718.496195</v>
      </c>
      <c r="L133" s="2">
        <f>L12/'Output-Calculation-sheet'!L11*'Output-Calculation-sheet'!L110</f>
        <v>10258336472.413675</v>
      </c>
      <c r="M133" s="2">
        <f>M12/'Output-Calculation-sheet'!M11*'Output-Calculation-sheet'!M110</f>
        <v>0</v>
      </c>
      <c r="N133" s="2">
        <f>N12/'Output-Calculation-sheet'!N11*'Output-Calculation-sheet'!N110</f>
        <v>3142304972.2507281</v>
      </c>
      <c r="O133" s="2">
        <f>O12/'Output-Calculation-sheet'!O11*'Output-Calculation-sheet'!O110</f>
        <v>0</v>
      </c>
      <c r="P133" s="2">
        <f>P12/'Output-Calculation-sheet'!P11*'Output-Calculation-sheet'!P110</f>
        <v>9638689101.7141819</v>
      </c>
      <c r="Q133" s="2">
        <f>Q12/'Output-Calculation-sheet'!Q11*'Output-Calculation-sheet'!Q110</f>
        <v>7690684623.8047962</v>
      </c>
      <c r="R133" s="2">
        <f>R12/'Output-Calculation-sheet'!R11*'Output-Calculation-sheet'!R110</f>
        <v>9279743546.8498745</v>
      </c>
      <c r="S133" s="2">
        <f>S12/'Output-Calculation-sheet'!S11*'Output-Calculation-sheet'!S110</f>
        <v>2191809477.4947653</v>
      </c>
      <c r="T133" s="2">
        <f>T12/'Output-Calculation-sheet'!T11*'Output-Calculation-sheet'!T110</f>
        <v>3484627574.7884817</v>
      </c>
      <c r="U133" s="2">
        <f>U12/'Output-Calculation-sheet'!U11*'Output-Calculation-sheet'!U110</f>
        <v>2829006515.9605303</v>
      </c>
      <c r="V133" s="2">
        <f>V12/'Output-Calculation-sheet'!V11*'Output-Calculation-sheet'!V110</f>
        <v>2345954493.4902177</v>
      </c>
      <c r="W133" s="2">
        <f>W12/'Output-Calculation-sheet'!W11*'Output-Calculation-sheet'!W110</f>
        <v>2059925277.2175057</v>
      </c>
      <c r="X133" s="2">
        <f>X12/'Output-Calculation-sheet'!X11*'Output-Calculation-sheet'!X110</f>
        <v>1121530.0996533099</v>
      </c>
      <c r="Y133" s="2">
        <f>Y12/'Output-Calculation-sheet'!Y11*'Output-Calculation-sheet'!Y110</f>
        <v>980537616.5000304</v>
      </c>
      <c r="AA133" s="2">
        <f t="shared" si="11"/>
        <v>270297.07970415847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2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2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13406057138.0609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2655158732.4923496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311634788.32287407</v>
      </c>
      <c r="Y140" s="2">
        <f>Y8/'Output-Calculation-sheet'!Y7*'Output-Calculation-sheet'!Y115</f>
        <v>0</v>
      </c>
      <c r="AA140" s="2">
        <f t="shared" si="12"/>
        <v>16372.850658876123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25831769880.44455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419934746.69107085</v>
      </c>
      <c r="Y141" s="2">
        <f>Y9/'Output-Calculation-sheet'!Y8*'Output-Calculation-sheet'!Y116</f>
        <v>0</v>
      </c>
      <c r="AA141" s="2">
        <f t="shared" si="12"/>
        <v>26251.704627135619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33935688163.212608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424829706.22941822</v>
      </c>
      <c r="Y142" s="2">
        <f>Y10/'Output-Calculation-sheet'!Y9*'Output-Calculation-sheet'!Y117</f>
        <v>0</v>
      </c>
      <c r="AA142" s="2">
        <f t="shared" si="12"/>
        <v>34360.517869442025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40258105381.41394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40917.99287848932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53473659430.319824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1116862187.877737</v>
      </c>
      <c r="Y144" s="2">
        <f>Y12/'Output-Calculation-sheet'!Y11*'Output-Calculation-sheet'!Y119</f>
        <v>0</v>
      </c>
      <c r="AA144" s="2">
        <f t="shared" si="12"/>
        <v>54590.521618197563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3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3"/>
        <v>#DIV/0!</v>
      </c>
    </row>
    <row r="151" spans="1:27" x14ac:dyDescent="0.25">
      <c r="A151" s="2">
        <v>2031</v>
      </c>
      <c r="B151" s="2">
        <f>B8/'Output-Calculation-sheet'!B7*'Output-Calculation-sheet'!B124</f>
        <v>57040544262.139488</v>
      </c>
      <c r="C151" s="2">
        <f>C8/'Output-Calculation-sheet'!C7*'Output-Calculation-sheet'!C124</f>
        <v>26880422459.725418</v>
      </c>
      <c r="D151" s="2">
        <f>D8/'Output-Calculation-sheet'!D7*'Output-Calculation-sheet'!D124</f>
        <v>23957610535.55735</v>
      </c>
      <c r="E151" s="2">
        <f>E8/'Output-Calculation-sheet'!E7*'Output-Calculation-sheet'!E124</f>
        <v>19007955068.642605</v>
      </c>
      <c r="F151" s="2">
        <f>F8/'Output-Calculation-sheet'!F7*'Output-Calculation-sheet'!F124</f>
        <v>12236098421.70237</v>
      </c>
      <c r="G151" s="2">
        <f>G8/'Output-Calculation-sheet'!G7*'Output-Calculation-sheet'!G124</f>
        <v>8597438434.0178585</v>
      </c>
      <c r="H151" s="2">
        <f>H8/'Output-Calculation-sheet'!H7*'Output-Calculation-sheet'!H124</f>
        <v>8386480881.1958551</v>
      </c>
      <c r="I151" s="2">
        <f>I8/'Output-Calculation-sheet'!I7*'Output-Calculation-sheet'!I124</f>
        <v>7832924974.0516224</v>
      </c>
      <c r="J151" s="2">
        <f>J8/'Output-Calculation-sheet'!J7*'Output-Calculation-sheet'!J124</f>
        <v>7624005553.0961075</v>
      </c>
      <c r="K151" s="2">
        <f>K8/'Output-Calculation-sheet'!K7*'Output-Calculation-sheet'!K124</f>
        <v>7550926085.0133362</v>
      </c>
      <c r="L151" s="2">
        <f>L8/'Output-Calculation-sheet'!L7*'Output-Calculation-sheet'!L124</f>
        <v>6057465422.8118391</v>
      </c>
      <c r="M151" s="2">
        <f>M8/'Output-Calculation-sheet'!M7*'Output-Calculation-sheet'!M124</f>
        <v>5785936224.7993498</v>
      </c>
      <c r="N151" s="2">
        <f>N8/'Output-Calculation-sheet'!N7*'Output-Calculation-sheet'!N124</f>
        <v>5678869800.4611559</v>
      </c>
      <c r="O151" s="2">
        <f>O8/'Output-Calculation-sheet'!O7*'Output-Calculation-sheet'!O124</f>
        <v>5566230280.0064545</v>
      </c>
      <c r="P151" s="2">
        <f>P8/'Output-Calculation-sheet'!P7*'Output-Calculation-sheet'!P124</f>
        <v>5169760822.0407314</v>
      </c>
      <c r="Q151" s="2">
        <f>Q8/'Output-Calculation-sheet'!Q7*'Output-Calculation-sheet'!Q124</f>
        <v>5086199662.9726162</v>
      </c>
      <c r="R151" s="2">
        <f>R8/'Output-Calculation-sheet'!R7*'Output-Calculation-sheet'!R124</f>
        <v>4893167951.955514</v>
      </c>
      <c r="S151" s="2">
        <f>S8/'Output-Calculation-sheet'!S7*'Output-Calculation-sheet'!S124</f>
        <v>3252242405.0678349</v>
      </c>
      <c r="T151" s="2">
        <f>T8/'Output-Calculation-sheet'!T7*'Output-Calculation-sheet'!T124</f>
        <v>1798674136.8739684</v>
      </c>
      <c r="U151" s="2">
        <f>U8/'Output-Calculation-sheet'!U7*'Output-Calculation-sheet'!U124</f>
        <v>1566586489.0302317</v>
      </c>
      <c r="V151" s="2">
        <f>V8/'Output-Calculation-sheet'!V7*'Output-Calculation-sheet'!V124</f>
        <v>1206297709.3627889</v>
      </c>
      <c r="W151" s="2">
        <f>W8/'Output-Calculation-sheet'!W7*'Output-Calculation-sheet'!W124</f>
        <v>1044394688.5774546</v>
      </c>
      <c r="X151" s="2">
        <f>X8/'Output-Calculation-sheet'!X7*'Output-Calculation-sheet'!X124</f>
        <v>626633490.93526518</v>
      </c>
      <c r="Y151" s="2">
        <f>Y8/'Output-Calculation-sheet'!Y7*'Output-Calculation-sheet'!Y124</f>
        <v>609395170.16777575</v>
      </c>
      <c r="AA151" s="2">
        <f t="shared" si="13"/>
        <v>227456.260930205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21961972726.284473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7977006931.1992712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189266.67063627316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8017797279.1555576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131477.2059096444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2756165417.0255189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1672260313.6762719</v>
      </c>
      <c r="N154" s="2">
        <f>N11/'Output-Calculation-sheet'!N10*'Output-Calculation-sheet'!N127</f>
        <v>1657699180.6211503</v>
      </c>
      <c r="O154" s="2">
        <f>O11/'Output-Calculation-sheet'!O10*'Output-Calculation-sheet'!O127</f>
        <v>7572945619.7661572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2011505818.7761486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894203808.81700635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68822.586482830491</v>
      </c>
    </row>
    <row r="155" spans="1:27" x14ac:dyDescent="0.25">
      <c r="A155" s="2">
        <v>2035</v>
      </c>
      <c r="B155" s="2">
        <f>B12/'Output-Calculation-sheet'!B11*'Output-Calculation-sheet'!B128</f>
        <v>9817355609.2472973</v>
      </c>
      <c r="C155" s="2">
        <f>C12/'Output-Calculation-sheet'!C11*'Output-Calculation-sheet'!C128</f>
        <v>71867042.638502568</v>
      </c>
      <c r="D155" s="2">
        <f>D12/'Output-Calculation-sheet'!D11*'Output-Calculation-sheet'!D128</f>
        <v>5842468651.0081739</v>
      </c>
      <c r="E155" s="2">
        <f>E12/'Output-Calculation-sheet'!E11*'Output-Calculation-sheet'!E128</f>
        <v>2650871276.913084</v>
      </c>
      <c r="F155" s="2">
        <f>F12/'Output-Calculation-sheet'!F11*'Output-Calculation-sheet'!F128</f>
        <v>1682955510.3612533</v>
      </c>
      <c r="G155" s="2">
        <f>G12/'Output-Calculation-sheet'!G11*'Output-Calculation-sheet'!G128</f>
        <v>1504732132.2073019</v>
      </c>
      <c r="H155" s="2">
        <f>H12/'Output-Calculation-sheet'!H11*'Output-Calculation-sheet'!H128</f>
        <v>2401345929.664042</v>
      </c>
      <c r="I155" s="2">
        <f>I12/'Output-Calculation-sheet'!I11*'Output-Calculation-sheet'!I128</f>
        <v>1500836210.7847161</v>
      </c>
      <c r="J155" s="2">
        <f>J12/'Output-Calculation-sheet'!J11*'Output-Calculation-sheet'!J128</f>
        <v>1434668145.6908321</v>
      </c>
      <c r="K155" s="2">
        <f>K12/'Output-Calculation-sheet'!K11*'Output-Calculation-sheet'!K128</f>
        <v>1631313271.2087319</v>
      </c>
      <c r="L155" s="2">
        <f>L12/'Output-Calculation-sheet'!L11*'Output-Calculation-sheet'!L128</f>
        <v>1184032001.5328934</v>
      </c>
      <c r="M155" s="2">
        <f>M12/'Output-Calculation-sheet'!M11*'Output-Calculation-sheet'!M128</f>
        <v>1462322517.9465778</v>
      </c>
      <c r="N155" s="2">
        <f>N12/'Output-Calculation-sheet'!N11*'Output-Calculation-sheet'!N128</f>
        <v>1423894909.6463466</v>
      </c>
      <c r="O155" s="2">
        <f>O12/'Output-Calculation-sheet'!O11*'Output-Calculation-sheet'!O128</f>
        <v>6638751838.1088381</v>
      </c>
      <c r="P155" s="2">
        <f>P12/'Output-Calculation-sheet'!P11*'Output-Calculation-sheet'!P128</f>
        <v>786053640.64548171</v>
      </c>
      <c r="Q155" s="2">
        <f>Q12/'Output-Calculation-sheet'!Q11*'Output-Calculation-sheet'!Q128</f>
        <v>1758140069.3208601</v>
      </c>
      <c r="R155" s="2">
        <f>R12/'Output-Calculation-sheet'!R11*'Output-Calculation-sheet'!R128</f>
        <v>758339875.16450703</v>
      </c>
      <c r="S155" s="2">
        <f>S12/'Output-Calculation-sheet'!S11*'Output-Calculation-sheet'!S128</f>
        <v>760230241.46610618</v>
      </c>
      <c r="T155" s="2">
        <f>T12/'Output-Calculation-sheet'!T11*'Output-Calculation-sheet'!T128</f>
        <v>181372516.35561046</v>
      </c>
      <c r="U155" s="2">
        <f>U12/'Output-Calculation-sheet'!U11*'Output-Calculation-sheet'!U128</f>
        <v>350980394.36974412</v>
      </c>
      <c r="V155" s="2">
        <f>V12/'Output-Calculation-sheet'!V11*'Output-Calculation-sheet'!V128</f>
        <v>87513023.537016138</v>
      </c>
      <c r="W155" s="2">
        <f>W12/'Output-Calculation-sheet'!W11*'Output-Calculation-sheet'!W128</f>
        <v>81313137.483720288</v>
      </c>
      <c r="X155" s="2">
        <f>X12/'Output-Calculation-sheet'!X11*'Output-Calculation-sheet'!X128</f>
        <v>10004119.3702989</v>
      </c>
      <c r="Y155" s="2">
        <f>Y12/'Output-Calculation-sheet'!Y11*'Output-Calculation-sheet'!Y128</f>
        <v>87466656.471972793</v>
      </c>
      <c r="AA155" s="2">
        <f t="shared" si="13"/>
        <v>44108.828721143916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46.5" customHeight="1" x14ac:dyDescent="0.25">
      <c r="A5" s="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46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.5" customHeigh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.5" customHeigh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.5" customHeight="1" x14ac:dyDescent="0.25">
      <c r="A16" s="4"/>
      <c r="B16" s="7">
        <v>1985.2339999999999</v>
      </c>
      <c r="C16" s="7">
        <v>0</v>
      </c>
      <c r="D16" s="7">
        <v>795.09400000000005</v>
      </c>
      <c r="E16" s="7">
        <v>1076.432</v>
      </c>
      <c r="F16" s="7">
        <v>863.48800000000006</v>
      </c>
      <c r="G16" s="7">
        <v>787.91499999999996</v>
      </c>
      <c r="H16" s="7">
        <v>0</v>
      </c>
      <c r="I16" s="7">
        <v>853.98699999999997</v>
      </c>
      <c r="J16" s="7">
        <v>768.13800000000003</v>
      </c>
      <c r="K16" s="7">
        <v>1032.7370000000001</v>
      </c>
      <c r="L16" s="7">
        <v>1097.0550000000001</v>
      </c>
      <c r="M16" s="7">
        <v>0</v>
      </c>
      <c r="N16" s="7">
        <v>1673.164</v>
      </c>
      <c r="O16" s="7">
        <v>0</v>
      </c>
      <c r="P16" s="7">
        <v>1626.5719999999999</v>
      </c>
      <c r="Q16" s="7">
        <v>1886.0229999999999</v>
      </c>
      <c r="R16" s="7">
        <v>1206.7180000000001</v>
      </c>
      <c r="S16" s="7">
        <v>1839.5039999999999</v>
      </c>
      <c r="T16" s="7">
        <v>979.11900000000003</v>
      </c>
      <c r="U16" s="7">
        <v>1123.8820000000001</v>
      </c>
      <c r="V16" s="7">
        <v>1134.3620000000001</v>
      </c>
      <c r="W16" s="7">
        <v>794.58500000000004</v>
      </c>
      <c r="X16" s="7">
        <v>0</v>
      </c>
      <c r="Y16" s="7">
        <v>1165.3920000000001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1727.02</v>
      </c>
      <c r="O17" s="7">
        <v>0</v>
      </c>
      <c r="P17" s="7">
        <v>2314.4180000000001</v>
      </c>
      <c r="Q17" s="7">
        <v>2600.6390000000001</v>
      </c>
      <c r="R17" s="7">
        <v>1715.731</v>
      </c>
      <c r="S17" s="7">
        <v>2240.3290000000002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2704.8159999999998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1932.28</v>
      </c>
      <c r="L18" s="7">
        <v>2097.828</v>
      </c>
      <c r="M18" s="7">
        <v>0</v>
      </c>
      <c r="N18" s="7">
        <v>1676.8420000000001</v>
      </c>
      <c r="O18" s="7">
        <v>0</v>
      </c>
      <c r="P18" s="7">
        <v>2904.75</v>
      </c>
      <c r="Q18" s="7">
        <v>3335.4969999999998</v>
      </c>
      <c r="R18" s="7">
        <v>2217.828</v>
      </c>
      <c r="S18" s="7">
        <v>2201.4929999999999</v>
      </c>
      <c r="T18" s="7">
        <v>1750.2729999999999</v>
      </c>
      <c r="U18" s="7">
        <v>2224.9749999999999</v>
      </c>
      <c r="V18" s="7">
        <v>2129.7959999999998</v>
      </c>
      <c r="W18" s="7">
        <v>1226.963</v>
      </c>
      <c r="X18" s="7">
        <v>0</v>
      </c>
      <c r="Y18" s="7">
        <v>2467.547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1815.63</v>
      </c>
      <c r="E19" s="7">
        <v>2829.0729999999999</v>
      </c>
      <c r="F19" s="7">
        <v>2061.7689999999998</v>
      </c>
      <c r="G19" s="7">
        <v>1722.914</v>
      </c>
      <c r="H19" s="7">
        <v>0</v>
      </c>
      <c r="I19" s="7">
        <v>2090.3319999999999</v>
      </c>
      <c r="J19" s="7">
        <v>1785.7829999999999</v>
      </c>
      <c r="K19" s="7">
        <v>2494.2049999999999</v>
      </c>
      <c r="L19" s="7">
        <v>2551.951</v>
      </c>
      <c r="M19" s="7">
        <v>0</v>
      </c>
      <c r="N19" s="7">
        <v>1556.9059999999999</v>
      </c>
      <c r="O19" s="7">
        <v>0</v>
      </c>
      <c r="P19" s="7">
        <v>3685.123</v>
      </c>
      <c r="Q19" s="7">
        <v>3174.819</v>
      </c>
      <c r="R19" s="7">
        <v>2798</v>
      </c>
      <c r="S19" s="7">
        <v>1975.672</v>
      </c>
      <c r="T19" s="7">
        <v>2219.1120000000001</v>
      </c>
      <c r="U19" s="7">
        <v>2935.0369999999998</v>
      </c>
      <c r="V19" s="7">
        <v>2595.7240000000002</v>
      </c>
      <c r="W19" s="7">
        <v>1866.2719999999999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2441.6329999999998</v>
      </c>
      <c r="C20" s="7">
        <v>0</v>
      </c>
      <c r="D20" s="7">
        <v>1818.625</v>
      </c>
      <c r="E20" s="7">
        <v>2521.2910000000002</v>
      </c>
      <c r="F20" s="7">
        <v>2481.174</v>
      </c>
      <c r="G20" s="7">
        <v>1867.2719999999999</v>
      </c>
      <c r="H20" s="7">
        <v>0</v>
      </c>
      <c r="I20" s="7">
        <v>2261.2249999999999</v>
      </c>
      <c r="J20" s="7">
        <v>1957.9480000000001</v>
      </c>
      <c r="K20" s="7">
        <v>2591.404</v>
      </c>
      <c r="L20" s="7">
        <v>2580.37</v>
      </c>
      <c r="M20" s="7">
        <v>0</v>
      </c>
      <c r="N20" s="7">
        <v>1542.933</v>
      </c>
      <c r="O20" s="7">
        <v>0</v>
      </c>
      <c r="P20" s="7">
        <v>3737.348</v>
      </c>
      <c r="Q20" s="7">
        <v>3105.5450000000001</v>
      </c>
      <c r="R20" s="7">
        <v>3160.1039999999998</v>
      </c>
      <c r="S20" s="7">
        <v>1850.0419999999999</v>
      </c>
      <c r="T20" s="7">
        <v>2665.877</v>
      </c>
      <c r="U20" s="7">
        <v>2806.2339999999999</v>
      </c>
      <c r="V20" s="7">
        <v>3334.28</v>
      </c>
      <c r="W20" s="7">
        <v>2490.1680000000001</v>
      </c>
      <c r="X20" s="7">
        <v>9.8290000000000006</v>
      </c>
      <c r="Y20" s="7">
        <v>2405.953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5">
      <c r="B25" s="7">
        <v>113.89100000000001</v>
      </c>
      <c r="C25" s="7">
        <v>1710.9359999999999</v>
      </c>
      <c r="D25" s="7">
        <v>0</v>
      </c>
      <c r="E25" s="7">
        <v>0</v>
      </c>
      <c r="F25" s="7">
        <v>0</v>
      </c>
      <c r="G25" s="7">
        <v>0</v>
      </c>
      <c r="H25" s="7">
        <v>3502.3679999999999</v>
      </c>
      <c r="I25" s="7">
        <v>0</v>
      </c>
      <c r="J25" s="7">
        <v>0</v>
      </c>
      <c r="K25" s="7">
        <v>0</v>
      </c>
      <c r="L25" s="7">
        <v>0</v>
      </c>
      <c r="M25" s="7">
        <v>3533.12</v>
      </c>
      <c r="N25" s="7">
        <v>1229.171</v>
      </c>
      <c r="O25" s="7">
        <v>1436.8620000000001</v>
      </c>
      <c r="P25" s="7">
        <v>0</v>
      </c>
      <c r="Q25" s="7">
        <v>0</v>
      </c>
      <c r="R25" s="7">
        <v>0</v>
      </c>
      <c r="S25" s="7">
        <v>765.84900000000005</v>
      </c>
      <c r="T25" s="7">
        <v>0</v>
      </c>
      <c r="U25" s="7">
        <v>0</v>
      </c>
      <c r="V25" s="7">
        <v>0</v>
      </c>
      <c r="W25" s="7">
        <v>0</v>
      </c>
      <c r="X25" s="7">
        <v>1700.296</v>
      </c>
      <c r="Y25" s="7">
        <v>0</v>
      </c>
    </row>
    <row r="26" spans="1:25" x14ac:dyDescent="0.25">
      <c r="B26" s="7">
        <v>588.40700000000004</v>
      </c>
      <c r="C26" s="7">
        <v>1196.6400000000001</v>
      </c>
      <c r="D26" s="7">
        <v>0</v>
      </c>
      <c r="E26" s="7">
        <v>0</v>
      </c>
      <c r="F26" s="7">
        <v>0</v>
      </c>
      <c r="G26" s="7">
        <v>0</v>
      </c>
      <c r="H26" s="7">
        <v>4381.701</v>
      </c>
      <c r="I26" s="7">
        <v>0</v>
      </c>
      <c r="J26" s="7">
        <v>0</v>
      </c>
      <c r="K26" s="7">
        <v>0</v>
      </c>
      <c r="L26" s="7">
        <v>0</v>
      </c>
      <c r="M26" s="7">
        <v>4424.7640000000001</v>
      </c>
      <c r="N26" s="7">
        <v>2028.2429999999999</v>
      </c>
      <c r="O26" s="7">
        <v>2293.2420000000002</v>
      </c>
      <c r="P26" s="7">
        <v>0</v>
      </c>
      <c r="Q26" s="7">
        <v>0</v>
      </c>
      <c r="R26" s="7">
        <v>0</v>
      </c>
      <c r="S26" s="7">
        <v>1286.0830000000001</v>
      </c>
      <c r="T26" s="7">
        <v>0</v>
      </c>
      <c r="U26" s="7">
        <v>0</v>
      </c>
      <c r="V26" s="7">
        <v>0</v>
      </c>
      <c r="W26" s="7">
        <v>0</v>
      </c>
      <c r="X26" s="7">
        <v>2155.413</v>
      </c>
      <c r="Y26" s="7">
        <v>0</v>
      </c>
    </row>
    <row r="27" spans="1:25" x14ac:dyDescent="0.25">
      <c r="B27" s="7">
        <v>1328.403</v>
      </c>
      <c r="C27" s="7">
        <v>1160.787</v>
      </c>
      <c r="D27" s="7">
        <v>0</v>
      </c>
      <c r="E27" s="7">
        <v>0</v>
      </c>
      <c r="F27" s="7">
        <v>0</v>
      </c>
      <c r="G27" s="7">
        <v>0</v>
      </c>
      <c r="H27" s="7">
        <v>5271.3289999999997</v>
      </c>
      <c r="I27" s="7">
        <v>0</v>
      </c>
      <c r="J27" s="7">
        <v>0</v>
      </c>
      <c r="K27" s="7">
        <v>0</v>
      </c>
      <c r="L27" s="7">
        <v>0</v>
      </c>
      <c r="M27" s="7">
        <v>5321.9530000000004</v>
      </c>
      <c r="N27" s="7">
        <v>2953.9369999999999</v>
      </c>
      <c r="O27" s="7">
        <v>2480.299</v>
      </c>
      <c r="P27" s="7">
        <v>0</v>
      </c>
      <c r="Q27" s="7">
        <v>230.08</v>
      </c>
      <c r="R27" s="7">
        <v>0</v>
      </c>
      <c r="S27" s="7">
        <v>2246.3919999999998</v>
      </c>
      <c r="T27" s="7">
        <v>0</v>
      </c>
      <c r="U27" s="7">
        <v>0</v>
      </c>
      <c r="V27" s="7">
        <v>0</v>
      </c>
      <c r="W27" s="7">
        <v>0</v>
      </c>
      <c r="X27" s="7">
        <v>3074.63</v>
      </c>
      <c r="Y27" s="7">
        <v>0</v>
      </c>
    </row>
    <row r="28" spans="1:25" x14ac:dyDescent="0.25">
      <c r="B28" s="7">
        <v>2531.6640000000002</v>
      </c>
      <c r="C28" s="7">
        <v>1135.4469999999999</v>
      </c>
      <c r="D28" s="7">
        <v>0</v>
      </c>
      <c r="E28" s="7">
        <v>384.85599999999999</v>
      </c>
      <c r="F28" s="7">
        <v>0</v>
      </c>
      <c r="G28" s="7">
        <v>0</v>
      </c>
      <c r="H28" s="7">
        <v>6412.0029999999997</v>
      </c>
      <c r="I28" s="7">
        <v>0</v>
      </c>
      <c r="J28" s="7">
        <v>0</v>
      </c>
      <c r="K28" s="7">
        <v>0</v>
      </c>
      <c r="L28" s="7">
        <v>727.26700000000005</v>
      </c>
      <c r="M28" s="7">
        <v>6775.6239999999998</v>
      </c>
      <c r="N28" s="7">
        <v>3970.8359999999998</v>
      </c>
      <c r="O28" s="7">
        <v>2702.9920000000002</v>
      </c>
      <c r="P28" s="7">
        <v>0</v>
      </c>
      <c r="Q28" s="7">
        <v>1057.3579999999999</v>
      </c>
      <c r="R28" s="7">
        <v>0</v>
      </c>
      <c r="S28" s="7">
        <v>3594.152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659.697</v>
      </c>
    </row>
    <row r="29" spans="1:25" x14ac:dyDescent="0.25">
      <c r="B29" s="7">
        <v>3100.4789999999998</v>
      </c>
      <c r="C29" s="7">
        <v>33.808</v>
      </c>
      <c r="D29" s="7">
        <v>0</v>
      </c>
      <c r="E29" s="7">
        <v>1411.2170000000001</v>
      </c>
      <c r="F29" s="7">
        <v>0</v>
      </c>
      <c r="G29" s="7">
        <v>0</v>
      </c>
      <c r="H29" s="7">
        <v>6559.3580000000002</v>
      </c>
      <c r="I29" s="7">
        <v>0</v>
      </c>
      <c r="J29" s="7">
        <v>0</v>
      </c>
      <c r="K29" s="7">
        <v>0</v>
      </c>
      <c r="L29" s="7">
        <v>1000.9930000000001</v>
      </c>
      <c r="M29" s="7">
        <v>6943.5940000000001</v>
      </c>
      <c r="N29" s="7">
        <v>4102.2169999999996</v>
      </c>
      <c r="O29" s="7">
        <v>3029.5250000000001</v>
      </c>
      <c r="P29" s="7">
        <v>534.17200000000003</v>
      </c>
      <c r="Q29" s="7">
        <v>1254.8</v>
      </c>
      <c r="R29" s="7">
        <v>0</v>
      </c>
      <c r="S29" s="7">
        <v>3887.415</v>
      </c>
      <c r="T29" s="7">
        <v>0</v>
      </c>
      <c r="U29" s="7">
        <v>350.99200000000002</v>
      </c>
      <c r="V29" s="7">
        <v>0</v>
      </c>
      <c r="W29" s="7">
        <v>0</v>
      </c>
      <c r="X29" s="7">
        <v>652.16899999999998</v>
      </c>
      <c r="Y29" s="7">
        <v>1946.3130000000001</v>
      </c>
    </row>
    <row r="31" spans="1:25" x14ac:dyDescent="0.25">
      <c r="A31" s="6" t="s">
        <v>19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4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42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53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3</v>
      </c>
      <c r="I37" s="7">
        <v>0</v>
      </c>
      <c r="J37" s="7">
        <v>0</v>
      </c>
      <c r="K37" s="7">
        <v>0</v>
      </c>
      <c r="L37" s="7">
        <v>0</v>
      </c>
      <c r="M37" s="7">
        <v>1</v>
      </c>
      <c r="N37" s="7">
        <v>1</v>
      </c>
      <c r="O37" s="7">
        <v>62</v>
      </c>
      <c r="P37" s="7">
        <v>0</v>
      </c>
      <c r="Q37" s="7">
        <v>3</v>
      </c>
      <c r="R37" s="7">
        <v>0</v>
      </c>
      <c r="S37" s="7">
        <v>1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5</v>
      </c>
      <c r="C38" s="7">
        <v>1</v>
      </c>
      <c r="D38" s="7">
        <v>4</v>
      </c>
      <c r="E38" s="7">
        <v>5</v>
      </c>
      <c r="F38" s="7">
        <v>3</v>
      </c>
      <c r="G38" s="7">
        <v>4</v>
      </c>
      <c r="H38" s="7">
        <v>14</v>
      </c>
      <c r="I38" s="7">
        <v>4</v>
      </c>
      <c r="J38" s="7">
        <v>3</v>
      </c>
      <c r="K38" s="7">
        <v>5</v>
      </c>
      <c r="L38" s="7">
        <v>4</v>
      </c>
      <c r="M38" s="7">
        <v>12</v>
      </c>
      <c r="N38" s="7">
        <v>9</v>
      </c>
      <c r="O38" s="7">
        <v>68</v>
      </c>
      <c r="P38" s="7">
        <v>6</v>
      </c>
      <c r="Q38" s="7">
        <v>9</v>
      </c>
      <c r="R38" s="7">
        <v>4</v>
      </c>
      <c r="S38" s="7">
        <v>7</v>
      </c>
      <c r="T38" s="7">
        <v>3</v>
      </c>
      <c r="U38" s="7">
        <v>5</v>
      </c>
      <c r="V38" s="7">
        <v>1</v>
      </c>
      <c r="W38" s="7">
        <v>3</v>
      </c>
      <c r="X38" s="7">
        <v>1</v>
      </c>
      <c r="Y38" s="7">
        <v>6</v>
      </c>
    </row>
    <row r="40" spans="1:25" ht="45" x14ac:dyDescent="0.25">
      <c r="A40" s="6" t="s">
        <v>3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7">
        <v>0</v>
      </c>
      <c r="C43" s="7">
        <v>661</v>
      </c>
      <c r="D43" s="7">
        <v>0</v>
      </c>
      <c r="E43" s="7">
        <v>0</v>
      </c>
      <c r="F43" s="7">
        <v>0</v>
      </c>
      <c r="G43" s="7">
        <v>0</v>
      </c>
      <c r="H43" s="7">
        <v>4946</v>
      </c>
      <c r="I43" s="7">
        <v>0</v>
      </c>
      <c r="J43" s="7">
        <v>0</v>
      </c>
      <c r="K43" s="7">
        <v>0</v>
      </c>
      <c r="L43" s="7">
        <v>0</v>
      </c>
      <c r="M43" s="7">
        <v>4916</v>
      </c>
      <c r="N43" s="7">
        <v>158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303</v>
      </c>
      <c r="Y43" s="7">
        <v>0</v>
      </c>
    </row>
    <row r="44" spans="1:25" x14ac:dyDescent="0.25">
      <c r="B44" s="7">
        <v>0</v>
      </c>
      <c r="C44" s="7">
        <v>104</v>
      </c>
      <c r="D44" s="7">
        <v>0</v>
      </c>
      <c r="E44" s="7">
        <v>0</v>
      </c>
      <c r="F44" s="7">
        <v>0</v>
      </c>
      <c r="G44" s="7">
        <v>0</v>
      </c>
      <c r="H44" s="7">
        <v>8757</v>
      </c>
      <c r="I44" s="7">
        <v>0</v>
      </c>
      <c r="J44" s="7">
        <v>0</v>
      </c>
      <c r="K44" s="7">
        <v>0</v>
      </c>
      <c r="L44" s="7">
        <v>0</v>
      </c>
      <c r="M44" s="7">
        <v>8716</v>
      </c>
      <c r="N44" s="7">
        <v>3144</v>
      </c>
      <c r="O44" s="7">
        <v>0</v>
      </c>
      <c r="P44" s="7">
        <v>151</v>
      </c>
      <c r="Q44" s="7">
        <v>0</v>
      </c>
      <c r="R44" s="7">
        <v>0</v>
      </c>
      <c r="S44" s="7">
        <v>1712</v>
      </c>
      <c r="T44" s="7">
        <v>0</v>
      </c>
      <c r="U44" s="7">
        <v>0</v>
      </c>
      <c r="V44" s="7">
        <v>0</v>
      </c>
      <c r="W44" s="7">
        <v>0</v>
      </c>
      <c r="X44" s="7">
        <v>2425</v>
      </c>
      <c r="Y44" s="7">
        <v>0</v>
      </c>
    </row>
    <row r="45" spans="1:25" x14ac:dyDescent="0.25">
      <c r="B45" s="7">
        <v>2546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12704</v>
      </c>
      <c r="I45" s="7">
        <v>0</v>
      </c>
      <c r="J45" s="7">
        <v>0</v>
      </c>
      <c r="K45" s="7">
        <v>174</v>
      </c>
      <c r="L45" s="7">
        <v>0</v>
      </c>
      <c r="M45" s="7">
        <v>12655</v>
      </c>
      <c r="N45" s="7">
        <v>7185</v>
      </c>
      <c r="O45" s="7">
        <v>0</v>
      </c>
      <c r="P45" s="7">
        <v>2110</v>
      </c>
      <c r="Q45" s="7">
        <v>861</v>
      </c>
      <c r="R45" s="7">
        <v>1472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6475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118</v>
      </c>
      <c r="G46" s="7">
        <v>1967</v>
      </c>
      <c r="H46" s="7">
        <v>14883</v>
      </c>
      <c r="I46" s="7">
        <v>1181</v>
      </c>
      <c r="J46" s="7">
        <v>865</v>
      </c>
      <c r="K46" s="7">
        <v>2363</v>
      </c>
      <c r="L46" s="7">
        <v>1098</v>
      </c>
      <c r="M46" s="7">
        <v>15185</v>
      </c>
      <c r="N46" s="7">
        <v>11392</v>
      </c>
      <c r="O46" s="7">
        <v>272</v>
      </c>
      <c r="P46" s="7">
        <v>4725</v>
      </c>
      <c r="Q46" s="7">
        <v>2942</v>
      </c>
      <c r="R46" s="7">
        <v>4065</v>
      </c>
      <c r="S46" s="7">
        <v>10076</v>
      </c>
      <c r="T46" s="7">
        <v>2488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9267</v>
      </c>
      <c r="C47" s="7">
        <v>67</v>
      </c>
      <c r="D47" s="7">
        <v>1774</v>
      </c>
      <c r="E47" s="7">
        <v>6166</v>
      </c>
      <c r="F47" s="7">
        <v>1158</v>
      </c>
      <c r="G47" s="7">
        <v>3876</v>
      </c>
      <c r="H47" s="7">
        <v>15139</v>
      </c>
      <c r="I47" s="7">
        <v>2144</v>
      </c>
      <c r="J47" s="7">
        <v>1989</v>
      </c>
      <c r="K47" s="7">
        <v>2851</v>
      </c>
      <c r="L47" s="7">
        <v>1968</v>
      </c>
      <c r="M47" s="7">
        <v>15284</v>
      </c>
      <c r="N47" s="7">
        <v>11714</v>
      </c>
      <c r="O47" s="7">
        <v>1235</v>
      </c>
      <c r="P47" s="7">
        <v>6682</v>
      </c>
      <c r="Q47" s="7">
        <v>3383</v>
      </c>
      <c r="R47" s="7">
        <v>5241</v>
      </c>
      <c r="S47" s="7">
        <v>10561</v>
      </c>
      <c r="T47" s="7">
        <v>4931</v>
      </c>
      <c r="U47" s="7">
        <v>5479</v>
      </c>
      <c r="V47" s="7">
        <v>4962</v>
      </c>
      <c r="W47" s="7">
        <v>3313</v>
      </c>
      <c r="X47" s="7">
        <v>1117</v>
      </c>
      <c r="Y47" s="7">
        <v>7629</v>
      </c>
    </row>
    <row r="49" spans="1:25" x14ac:dyDescent="0.25">
      <c r="A49" s="6" t="s">
        <v>20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5">
      <c r="B52" s="7">
        <v>7.3671175421209115E-2</v>
      </c>
      <c r="C52" s="7">
        <v>8.4969935078935396E-2</v>
      </c>
      <c r="D52" s="7">
        <v>4.1068922275927205E-2</v>
      </c>
      <c r="E52" s="7">
        <v>5.9219491835339387E-2</v>
      </c>
      <c r="F52" s="7">
        <v>4.3001033033779425E-2</v>
      </c>
      <c r="G52" s="7">
        <v>4.6681513098392649E-2</v>
      </c>
      <c r="H52" s="7">
        <v>7.1530172311910556E-2</v>
      </c>
      <c r="I52" s="7">
        <v>4.047432192172435E-2</v>
      </c>
      <c r="J52" s="7">
        <v>5.878498674035789E-2</v>
      </c>
      <c r="K52" s="7">
        <v>3.896297982096799E-2</v>
      </c>
      <c r="L52" s="7">
        <v>5.7504143548016876E-2</v>
      </c>
      <c r="M52" s="7">
        <v>7.5912051298170621E-2</v>
      </c>
      <c r="N52" s="7">
        <v>6.1673077225728269E-2</v>
      </c>
      <c r="O52" s="7">
        <v>7.9449651086661452E-2</v>
      </c>
      <c r="P52" s="7">
        <v>5.7878007490277814E-2</v>
      </c>
      <c r="Q52" s="7">
        <v>5.4874449610493578E-2</v>
      </c>
      <c r="R52" s="7">
        <v>5.1664304701448123E-2</v>
      </c>
      <c r="S52" s="7">
        <v>6.5952245553787744E-2</v>
      </c>
      <c r="T52" s="7">
        <v>5.7085140196618672E-2</v>
      </c>
      <c r="U52" s="7">
        <v>5.1113174598111766E-2</v>
      </c>
      <c r="V52" s="7">
        <v>0.10990385997412844</v>
      </c>
      <c r="W52" s="7">
        <v>5.3270738661321107E-2</v>
      </c>
      <c r="X52" s="7">
        <v>9.3419722525132726E-2</v>
      </c>
      <c r="Y52" s="7">
        <v>5.2720115950270922E-2</v>
      </c>
    </row>
    <row r="53" spans="1:25" x14ac:dyDescent="0.25">
      <c r="B53" s="7">
        <v>7.0664023785926663E-2</v>
      </c>
      <c r="C53" s="7">
        <v>8.8571337310047987E-2</v>
      </c>
      <c r="D53" s="7">
        <v>3.5328809416097208E-2</v>
      </c>
      <c r="E53" s="7">
        <v>5.1992177189830346E-2</v>
      </c>
      <c r="F53" s="7">
        <v>3.7062300480787902E-2</v>
      </c>
      <c r="G53" s="7">
        <v>3.9495636513653745E-2</v>
      </c>
      <c r="H53" s="7">
        <v>7.5404661167182738E-2</v>
      </c>
      <c r="I53" s="7">
        <v>3.5154209450410021E-2</v>
      </c>
      <c r="J53" s="7">
        <v>4.8477291369685191E-2</v>
      </c>
      <c r="K53" s="7">
        <v>3.6133483458304388E-2</v>
      </c>
      <c r="L53" s="7">
        <v>5.0567638375507554E-2</v>
      </c>
      <c r="M53" s="7">
        <v>7.8815144276104865E-2</v>
      </c>
      <c r="N53" s="7">
        <v>6.5633425662170883E-2</v>
      </c>
      <c r="O53" s="7">
        <v>8.4302093480031301E-2</v>
      </c>
      <c r="P53" s="7">
        <v>5.6315741561459409E-2</v>
      </c>
      <c r="Q53" s="7">
        <v>5.4294508421344333E-2</v>
      </c>
      <c r="R53" s="7">
        <v>4.8011616742709783E-2</v>
      </c>
      <c r="S53" s="7">
        <v>6.7911493202690562E-2</v>
      </c>
      <c r="T53" s="7">
        <v>4.8825007786482667E-2</v>
      </c>
      <c r="U53" s="7">
        <v>4.7761514416943096E-2</v>
      </c>
      <c r="V53" s="7">
        <v>9.0401169011610272E-2</v>
      </c>
      <c r="W53" s="7">
        <v>4.4505602453419377E-2</v>
      </c>
      <c r="X53" s="7">
        <v>9.4715560402123644E-2</v>
      </c>
      <c r="Y53" s="7">
        <v>4.8514730739459423E-2</v>
      </c>
    </row>
    <row r="54" spans="1:25" x14ac:dyDescent="0.25">
      <c r="B54" s="7">
        <v>7.0738315163528243E-2</v>
      </c>
      <c r="C54" s="7">
        <v>9.2740499405089868E-2</v>
      </c>
      <c r="D54" s="7">
        <v>3.0020532234894481E-2</v>
      </c>
      <c r="E54" s="7">
        <v>4.8187063743182865E-2</v>
      </c>
      <c r="F54" s="7">
        <v>3.2165945614266743E-2</v>
      </c>
      <c r="G54" s="7">
        <v>3.2592799454167529E-2</v>
      </c>
      <c r="H54" s="7">
        <v>7.8512042924338762E-2</v>
      </c>
      <c r="I54" s="7">
        <v>3.1366205346303563E-2</v>
      </c>
      <c r="J54" s="7">
        <v>3.8127993374160819E-2</v>
      </c>
      <c r="K54" s="7">
        <v>3.6025704908607431E-2</v>
      </c>
      <c r="L54" s="7">
        <v>4.6312202689546542E-2</v>
      </c>
      <c r="M54" s="7">
        <v>8.0915634626265165E-2</v>
      </c>
      <c r="N54" s="7">
        <v>7.0249720652806852E-2</v>
      </c>
      <c r="O54" s="7">
        <v>8.8876291458409848E-2</v>
      </c>
      <c r="P54" s="7">
        <v>5.6923995240719005E-2</v>
      </c>
      <c r="Q54" s="7">
        <v>5.7099216368506941E-2</v>
      </c>
      <c r="R54" s="7">
        <v>4.7047998413013291E-2</v>
      </c>
      <c r="S54" s="7">
        <v>7.1046502102991446E-2</v>
      </c>
      <c r="T54" s="7">
        <v>4.3343084405472097E-2</v>
      </c>
      <c r="U54" s="7">
        <v>4.7795124712936975E-2</v>
      </c>
      <c r="V54" s="7">
        <v>7.3136017375473109E-2</v>
      </c>
      <c r="W54" s="7">
        <v>3.6101259453890568E-2</v>
      </c>
      <c r="X54" s="7">
        <v>9.5966824003247561E-2</v>
      </c>
      <c r="Y54" s="7">
        <v>4.7996974866909944E-2</v>
      </c>
    </row>
    <row r="55" spans="1:25" x14ac:dyDescent="0.25">
      <c r="B55" s="7">
        <v>7.3037256689791871E-2</v>
      </c>
      <c r="C55" s="7">
        <v>9.718116410735532E-2</v>
      </c>
      <c r="D55" s="7">
        <v>3.1459772851734562E-2</v>
      </c>
      <c r="E55" s="7">
        <v>5.1356979314073105E-2</v>
      </c>
      <c r="F55" s="7">
        <v>3.1399620962041831E-2</v>
      </c>
      <c r="G55" s="7">
        <v>3.2598789330879202E-2</v>
      </c>
      <c r="H55" s="7">
        <v>8.3392031263541888E-2</v>
      </c>
      <c r="I55" s="7">
        <v>3.32616289543144E-2</v>
      </c>
      <c r="J55" s="7">
        <v>3.4405784867284121E-2</v>
      </c>
      <c r="K55" s="7">
        <v>3.9555781807728244E-2</v>
      </c>
      <c r="L55" s="7">
        <v>4.780276394836197E-2</v>
      </c>
      <c r="M55" s="7">
        <v>8.4898158043628588E-2</v>
      </c>
      <c r="N55" s="7">
        <v>7.5217332116271379E-2</v>
      </c>
      <c r="O55" s="7">
        <v>9.3287609983552372E-2</v>
      </c>
      <c r="P55" s="7">
        <v>6.0433565707623635E-2</v>
      </c>
      <c r="Q55" s="7">
        <v>6.3182298241832677E-2</v>
      </c>
      <c r="R55" s="7">
        <v>4.8590438405078359E-2</v>
      </c>
      <c r="S55" s="7">
        <v>7.5890770466753826E-2</v>
      </c>
      <c r="T55" s="7">
        <v>4.1418465543815938E-2</v>
      </c>
      <c r="U55" s="7">
        <v>5.1756195776983926E-2</v>
      </c>
      <c r="V55" s="7">
        <v>5.8365076576648516E-2</v>
      </c>
      <c r="W55" s="7">
        <v>3.3026650587399072E-2</v>
      </c>
      <c r="X55" s="7">
        <v>9.7228435204126301E-2</v>
      </c>
      <c r="Y55" s="7">
        <v>5.4308603067785094E-2</v>
      </c>
    </row>
    <row r="56" spans="1:25" x14ac:dyDescent="0.25">
      <c r="B56" s="7">
        <v>8.0004757185332009E-2</v>
      </c>
      <c r="C56" s="7">
        <v>0.10253775084046028</v>
      </c>
      <c r="D56" s="7">
        <v>3.7732652364738842E-2</v>
      </c>
      <c r="E56" s="7">
        <v>6.512391681109185E-2</v>
      </c>
      <c r="F56" s="7">
        <v>3.9664504803995436E-2</v>
      </c>
      <c r="G56" s="7">
        <v>4.1593584881709854E-2</v>
      </c>
      <c r="H56" s="7">
        <v>9.0800576736710242E-2</v>
      </c>
      <c r="I56" s="7">
        <v>4.1833760191733828E-2</v>
      </c>
      <c r="J56" s="7">
        <v>3.9355334517277352E-2</v>
      </c>
      <c r="K56" s="7">
        <v>4.7598359804837537E-2</v>
      </c>
      <c r="L56" s="7">
        <v>5.5295691818174619E-2</v>
      </c>
      <c r="M56" s="7">
        <v>9.3109165776073421E-2</v>
      </c>
      <c r="N56" s="7">
        <v>8.1023276309784231E-2</v>
      </c>
      <c r="O56" s="7">
        <v>9.7454609328840841E-2</v>
      </c>
      <c r="P56" s="7">
        <v>7.2234426530595947E-2</v>
      </c>
      <c r="Q56" s="7">
        <v>6.9356090464020692E-2</v>
      </c>
      <c r="R56" s="7">
        <v>5.655040666534418E-2</v>
      </c>
      <c r="S56" s="7">
        <v>8.2189158960948944E-2</v>
      </c>
      <c r="T56" s="7">
        <v>4.7874106551027418E-2</v>
      </c>
      <c r="U56" s="7">
        <v>5.9422373373309516E-2</v>
      </c>
      <c r="V56" s="7">
        <v>5.505293290959324E-2</v>
      </c>
      <c r="W56" s="7">
        <v>4.3164008529465787E-2</v>
      </c>
      <c r="X56" s="7">
        <v>0.10261873870718681</v>
      </c>
      <c r="Y56" s="7">
        <v>6.9027526341563589E-2</v>
      </c>
    </row>
    <row r="58" spans="1:25" ht="45" x14ac:dyDescent="0.25">
      <c r="A58" s="5" t="s">
        <v>10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5">
      <c r="B61" s="7">
        <v>0</v>
      </c>
      <c r="C61" s="7">
        <v>177.24</v>
      </c>
      <c r="D61" s="7">
        <v>0</v>
      </c>
      <c r="E61" s="7">
        <v>0</v>
      </c>
      <c r="F61" s="7">
        <v>0</v>
      </c>
      <c r="G61" s="7">
        <v>0</v>
      </c>
      <c r="H61" s="7">
        <v>1050.0329999999999</v>
      </c>
      <c r="I61" s="7">
        <v>0</v>
      </c>
      <c r="J61" s="7">
        <v>0</v>
      </c>
      <c r="K61" s="7">
        <v>0</v>
      </c>
      <c r="L61" s="7">
        <v>0</v>
      </c>
      <c r="M61" s="7">
        <v>1029.0809999999999</v>
      </c>
      <c r="N61" s="7">
        <v>43.406999999999996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83.242000000000004</v>
      </c>
      <c r="Y61" s="7">
        <v>0</v>
      </c>
    </row>
    <row r="62" spans="1:25" x14ac:dyDescent="0.25">
      <c r="B62" s="7">
        <v>0</v>
      </c>
      <c r="C62" s="7">
        <v>28.571000000000002</v>
      </c>
      <c r="D62" s="7">
        <v>0</v>
      </c>
      <c r="E62" s="7">
        <v>0</v>
      </c>
      <c r="F62" s="7">
        <v>0</v>
      </c>
      <c r="G62" s="7">
        <v>0</v>
      </c>
      <c r="H62" s="7">
        <v>1666.681</v>
      </c>
      <c r="I62" s="7">
        <v>0</v>
      </c>
      <c r="J62" s="7">
        <v>0</v>
      </c>
      <c r="K62" s="7">
        <v>0</v>
      </c>
      <c r="L62" s="7">
        <v>0</v>
      </c>
      <c r="M62" s="7">
        <v>1645.9870000000001</v>
      </c>
      <c r="N62" s="7">
        <v>644.96699999999998</v>
      </c>
      <c r="O62" s="7">
        <v>0</v>
      </c>
      <c r="P62" s="7">
        <v>55.311</v>
      </c>
      <c r="Q62" s="7">
        <v>0</v>
      </c>
      <c r="R62" s="7">
        <v>0</v>
      </c>
      <c r="S62" s="7">
        <v>378.08199999999999</v>
      </c>
      <c r="T62" s="7">
        <v>0</v>
      </c>
      <c r="U62" s="7">
        <v>0</v>
      </c>
      <c r="V62" s="7">
        <v>0</v>
      </c>
      <c r="W62" s="7">
        <v>0</v>
      </c>
      <c r="X62" s="7">
        <v>526.97299999999996</v>
      </c>
      <c r="Y62" s="7">
        <v>0</v>
      </c>
    </row>
    <row r="63" spans="1:25" x14ac:dyDescent="0.25">
      <c r="B63" s="7">
        <v>512.596</v>
      </c>
      <c r="C63" s="7">
        <v>217.77500000000001</v>
      </c>
      <c r="D63" s="7">
        <v>0</v>
      </c>
      <c r="E63" s="7">
        <v>0</v>
      </c>
      <c r="F63" s="7">
        <v>0</v>
      </c>
      <c r="G63" s="7">
        <v>0</v>
      </c>
      <c r="H63" s="7">
        <v>2287.326</v>
      </c>
      <c r="I63" s="7">
        <v>0</v>
      </c>
      <c r="J63" s="7">
        <v>0</v>
      </c>
      <c r="K63" s="7">
        <v>63.735999999999997</v>
      </c>
      <c r="L63" s="7">
        <v>0</v>
      </c>
      <c r="M63" s="7">
        <v>2268.7359999999999</v>
      </c>
      <c r="N63" s="7">
        <v>1314.7270000000001</v>
      </c>
      <c r="O63" s="7">
        <v>0</v>
      </c>
      <c r="P63" s="7">
        <v>493.51499999999999</v>
      </c>
      <c r="Q63" s="7">
        <v>236.53800000000001</v>
      </c>
      <c r="R63" s="7">
        <v>398.19799999999998</v>
      </c>
      <c r="S63" s="7">
        <v>1025.655</v>
      </c>
      <c r="T63" s="7">
        <v>70.917000000000002</v>
      </c>
      <c r="U63" s="7">
        <v>439.82499999999999</v>
      </c>
      <c r="V63" s="7">
        <v>44.505000000000003</v>
      </c>
      <c r="W63" s="7">
        <v>0</v>
      </c>
      <c r="X63" s="7">
        <v>1186.425</v>
      </c>
      <c r="Y63" s="7">
        <v>54.212000000000003</v>
      </c>
    </row>
    <row r="64" spans="1:25" x14ac:dyDescent="0.25">
      <c r="B64" s="7">
        <v>1246.364</v>
      </c>
      <c r="C64" s="7">
        <v>378.14800000000002</v>
      </c>
      <c r="D64" s="7">
        <v>362.78100000000001</v>
      </c>
      <c r="E64" s="7">
        <v>570.93299999999999</v>
      </c>
      <c r="F64" s="7">
        <v>64.590999999999994</v>
      </c>
      <c r="G64" s="7">
        <v>532.03</v>
      </c>
      <c r="H64" s="7">
        <v>2760.5970000000002</v>
      </c>
      <c r="I64" s="7">
        <v>348.995</v>
      </c>
      <c r="J64" s="7">
        <v>248.64599999999999</v>
      </c>
      <c r="K64" s="7">
        <v>545.02800000000002</v>
      </c>
      <c r="L64" s="7">
        <v>280.77199999999999</v>
      </c>
      <c r="M64" s="7">
        <v>2835.3220000000001</v>
      </c>
      <c r="N64" s="7">
        <v>1999.4659999999999</v>
      </c>
      <c r="O64" s="7">
        <v>77.855000000000004</v>
      </c>
      <c r="P64" s="7">
        <v>981.59199999999998</v>
      </c>
      <c r="Q64" s="7">
        <v>592.55399999999997</v>
      </c>
      <c r="R64" s="7">
        <v>891.39599999999996</v>
      </c>
      <c r="S64" s="7">
        <v>1790.1469999999999</v>
      </c>
      <c r="T64" s="7">
        <v>666.25199999999995</v>
      </c>
      <c r="U64" s="7">
        <v>1016.082</v>
      </c>
      <c r="V64" s="7">
        <v>518.62</v>
      </c>
      <c r="W64" s="7">
        <v>130.49199999999999</v>
      </c>
      <c r="X64" s="7">
        <v>1082.088</v>
      </c>
      <c r="Y64" s="7">
        <v>659.99400000000003</v>
      </c>
    </row>
    <row r="65" spans="1:25" x14ac:dyDescent="0.25">
      <c r="B65" s="7">
        <v>1588.277</v>
      </c>
      <c r="C65" s="7">
        <v>12.305999999999999</v>
      </c>
      <c r="D65" s="7">
        <v>394.64</v>
      </c>
      <c r="E65" s="7">
        <v>943.55899999999997</v>
      </c>
      <c r="F65" s="7">
        <v>320.733</v>
      </c>
      <c r="G65" s="7">
        <v>851.86800000000005</v>
      </c>
      <c r="H65" s="7">
        <v>2815.13</v>
      </c>
      <c r="I65" s="7">
        <v>548.30200000000002</v>
      </c>
      <c r="J65" s="7">
        <v>507.54199999999997</v>
      </c>
      <c r="K65" s="7">
        <v>635.33100000000002</v>
      </c>
      <c r="L65" s="7">
        <v>467.846</v>
      </c>
      <c r="M65" s="7">
        <v>2865.277</v>
      </c>
      <c r="N65" s="7">
        <v>2052.2719999999999</v>
      </c>
      <c r="O65" s="7">
        <v>324.91800000000001</v>
      </c>
      <c r="P65" s="7">
        <v>1273.8599999999999</v>
      </c>
      <c r="Q65" s="7">
        <v>654.96600000000001</v>
      </c>
      <c r="R65" s="7">
        <v>1131.7429999999999</v>
      </c>
      <c r="S65" s="7">
        <v>1929.818</v>
      </c>
      <c r="T65" s="7">
        <v>1083.7360000000001</v>
      </c>
      <c r="U65" s="7">
        <v>1075.9590000000001</v>
      </c>
      <c r="V65" s="7">
        <v>881.32100000000003</v>
      </c>
      <c r="W65" s="7">
        <v>728.13199999999995</v>
      </c>
      <c r="X65" s="7">
        <v>223.27500000000001</v>
      </c>
      <c r="Y65" s="7">
        <v>1208.204</v>
      </c>
    </row>
    <row r="67" spans="1:25" ht="30" x14ac:dyDescent="0.25">
      <c r="A67" s="5" t="s">
        <v>8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30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314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394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16</v>
      </c>
      <c r="I73" s="7">
        <v>0</v>
      </c>
      <c r="J73" s="7">
        <v>0</v>
      </c>
      <c r="K73" s="7">
        <v>0</v>
      </c>
      <c r="L73" s="7">
        <v>0</v>
      </c>
      <c r="M73" s="7">
        <v>5</v>
      </c>
      <c r="N73" s="7">
        <v>5</v>
      </c>
      <c r="O73" s="7">
        <v>461</v>
      </c>
      <c r="P73" s="7">
        <v>0</v>
      </c>
      <c r="Q73" s="7">
        <v>21</v>
      </c>
      <c r="R73" s="7">
        <v>0</v>
      </c>
      <c r="S73" s="7">
        <v>1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31</v>
      </c>
      <c r="C74" s="7">
        <v>1</v>
      </c>
      <c r="D74" s="7">
        <v>25</v>
      </c>
      <c r="E74" s="7">
        <v>34</v>
      </c>
      <c r="F74" s="7">
        <v>21</v>
      </c>
      <c r="G74" s="7">
        <v>26</v>
      </c>
      <c r="H74" s="7">
        <v>103</v>
      </c>
      <c r="I74" s="7">
        <v>27</v>
      </c>
      <c r="J74" s="7">
        <v>16</v>
      </c>
      <c r="K74" s="7">
        <v>32</v>
      </c>
      <c r="L74" s="7">
        <v>27</v>
      </c>
      <c r="M74" s="7">
        <v>87</v>
      </c>
      <c r="N74" s="7">
        <v>66</v>
      </c>
      <c r="O74" s="7">
        <v>509</v>
      </c>
      <c r="P74" s="7">
        <v>39</v>
      </c>
      <c r="Q74" s="7">
        <v>63</v>
      </c>
      <c r="R74" s="7">
        <v>25</v>
      </c>
      <c r="S74" s="7">
        <v>51</v>
      </c>
      <c r="T74" s="7">
        <v>16</v>
      </c>
      <c r="U74" s="7">
        <v>34</v>
      </c>
      <c r="V74" s="7">
        <v>6</v>
      </c>
      <c r="W74" s="7">
        <v>18</v>
      </c>
      <c r="X74" s="7">
        <v>4</v>
      </c>
      <c r="Y74" s="7">
        <v>39</v>
      </c>
    </row>
    <row r="76" spans="1:25" ht="45" x14ac:dyDescent="0.25">
      <c r="A76" s="5" t="s">
        <v>11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5">
      <c r="B79" s="7">
        <v>1252391000</v>
      </c>
      <c r="C79" s="7">
        <v>892688000</v>
      </c>
      <c r="D79" s="7">
        <v>1052014000</v>
      </c>
      <c r="E79" s="7">
        <v>2353484000</v>
      </c>
      <c r="F79" s="7">
        <v>1548792000</v>
      </c>
      <c r="G79" s="7">
        <v>1680939000</v>
      </c>
      <c r="H79" s="7">
        <v>1485228000</v>
      </c>
      <c r="I79" s="7">
        <v>1301868000</v>
      </c>
      <c r="J79" s="7">
        <v>889544400</v>
      </c>
      <c r="K79" s="7">
        <v>1281516000</v>
      </c>
      <c r="L79" s="7">
        <v>1137187000</v>
      </c>
      <c r="M79" s="7">
        <v>1611244000</v>
      </c>
      <c r="N79" s="7">
        <v>1219827000</v>
      </c>
      <c r="O79" s="7">
        <v>660817400</v>
      </c>
      <c r="P79" s="7">
        <v>2232700000</v>
      </c>
      <c r="Q79" s="7">
        <v>1097147000</v>
      </c>
      <c r="R79" s="7">
        <v>1380296000</v>
      </c>
      <c r="S79" s="7">
        <v>1219066000</v>
      </c>
      <c r="T79" s="7">
        <v>1660379000</v>
      </c>
      <c r="U79" s="7">
        <v>1199357000</v>
      </c>
      <c r="V79" s="7">
        <v>807024200</v>
      </c>
      <c r="W79" s="7">
        <v>2753925000</v>
      </c>
      <c r="X79" s="7">
        <v>1618627000</v>
      </c>
      <c r="Y79" s="7">
        <v>2623275000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5">
      <c r="B88" s="7">
        <v>0</v>
      </c>
      <c r="C88" s="7">
        <v>308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308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308</v>
      </c>
      <c r="Y88" s="7">
        <v>0</v>
      </c>
    </row>
    <row r="89" spans="1:25" x14ac:dyDescent="0.25">
      <c r="B89" s="7">
        <v>0</v>
      </c>
      <c r="C89" s="7">
        <v>539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1078</v>
      </c>
      <c r="Y92" s="7">
        <v>0</v>
      </c>
    </row>
    <row r="94" spans="1:25" ht="45" x14ac:dyDescent="0.25">
      <c r="A94" s="6" t="s">
        <v>46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5">
      <c r="B97" s="7">
        <v>146535900</v>
      </c>
      <c r="C97" s="7">
        <v>2549207000</v>
      </c>
      <c r="D97" s="7">
        <v>0</v>
      </c>
      <c r="E97" s="7">
        <v>0</v>
      </c>
      <c r="F97" s="7">
        <v>0</v>
      </c>
      <c r="G97" s="7">
        <v>0</v>
      </c>
      <c r="H97" s="7">
        <v>5153604000</v>
      </c>
      <c r="I97" s="7">
        <v>0</v>
      </c>
      <c r="J97" s="7">
        <v>0</v>
      </c>
      <c r="K97" s="7">
        <v>0</v>
      </c>
      <c r="L97" s="7">
        <v>0</v>
      </c>
      <c r="M97" s="7">
        <v>5167220000</v>
      </c>
      <c r="N97" s="7">
        <v>1759755000</v>
      </c>
      <c r="O97" s="7">
        <v>2220166000</v>
      </c>
      <c r="P97" s="7">
        <v>0</v>
      </c>
      <c r="Q97" s="7">
        <v>0</v>
      </c>
      <c r="R97" s="7">
        <v>0</v>
      </c>
      <c r="S97" s="7">
        <v>920084500</v>
      </c>
      <c r="T97" s="7">
        <v>0</v>
      </c>
      <c r="U97" s="7">
        <v>0</v>
      </c>
      <c r="V97" s="7">
        <v>0</v>
      </c>
      <c r="W97" s="7">
        <v>0</v>
      </c>
      <c r="X97" s="7">
        <v>2564739000</v>
      </c>
      <c r="Y97" s="7">
        <v>0</v>
      </c>
    </row>
    <row r="98" spans="1:25" x14ac:dyDescent="0.25">
      <c r="B98" s="7">
        <v>601794400</v>
      </c>
      <c r="C98" s="7">
        <v>1870773000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3086515000</v>
      </c>
      <c r="O98" s="7">
        <v>3572087000</v>
      </c>
      <c r="P98" s="7">
        <v>0</v>
      </c>
      <c r="Q98" s="7">
        <v>0</v>
      </c>
      <c r="R98" s="7">
        <v>0</v>
      </c>
      <c r="S98" s="7">
        <v>1614258000</v>
      </c>
      <c r="T98" s="7">
        <v>0</v>
      </c>
      <c r="U98" s="7">
        <v>0</v>
      </c>
      <c r="V98" s="7">
        <v>0</v>
      </c>
      <c r="W98" s="7">
        <v>0</v>
      </c>
      <c r="X98" s="7">
        <v>3238581000</v>
      </c>
      <c r="Y98" s="7">
        <v>0</v>
      </c>
    </row>
    <row r="99" spans="1:25" x14ac:dyDescent="0.25">
      <c r="B99" s="7">
        <v>1524302000</v>
      </c>
      <c r="C99" s="7">
        <v>1858670000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4628288000</v>
      </c>
      <c r="O99" s="7">
        <v>3867180000</v>
      </c>
      <c r="P99" s="7">
        <v>0</v>
      </c>
      <c r="Q99" s="7">
        <v>173202600</v>
      </c>
      <c r="R99" s="7">
        <v>0</v>
      </c>
      <c r="S99" s="7">
        <v>3252258000</v>
      </c>
      <c r="T99" s="7">
        <v>0</v>
      </c>
      <c r="U99" s="7">
        <v>0</v>
      </c>
      <c r="V99" s="7">
        <v>0</v>
      </c>
      <c r="W99" s="7">
        <v>0</v>
      </c>
      <c r="X99" s="7">
        <v>4543927000</v>
      </c>
      <c r="Y99" s="7">
        <v>0</v>
      </c>
    </row>
    <row r="100" spans="1:25" x14ac:dyDescent="0.25">
      <c r="B100" s="7">
        <v>3517556000</v>
      </c>
      <c r="C100" s="7">
        <v>1841581000</v>
      </c>
      <c r="D100" s="7">
        <v>0</v>
      </c>
      <c r="E100" s="7">
        <v>217755200</v>
      </c>
      <c r="F100" s="7">
        <v>0</v>
      </c>
      <c r="G100" s="7">
        <v>0</v>
      </c>
      <c r="H100" s="7">
        <v>8834385000</v>
      </c>
      <c r="I100" s="7">
        <v>0</v>
      </c>
      <c r="J100" s="7">
        <v>0</v>
      </c>
      <c r="K100" s="7">
        <v>0</v>
      </c>
      <c r="L100" s="7">
        <v>564116400</v>
      </c>
      <c r="M100" s="7">
        <v>8985412000</v>
      </c>
      <c r="N100" s="7">
        <v>6208457000</v>
      </c>
      <c r="O100" s="7">
        <v>4218290000</v>
      </c>
      <c r="P100" s="7">
        <v>0</v>
      </c>
      <c r="Q100" s="7">
        <v>912981900</v>
      </c>
      <c r="R100" s="7">
        <v>0</v>
      </c>
      <c r="S100" s="7">
        <v>5385037000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374984400</v>
      </c>
    </row>
    <row r="101" spans="1:25" x14ac:dyDescent="0.25">
      <c r="B101" s="7">
        <v>4445892000</v>
      </c>
      <c r="C101" s="7">
        <v>55051610</v>
      </c>
      <c r="D101" s="7">
        <v>0</v>
      </c>
      <c r="E101" s="7">
        <v>1064479000</v>
      </c>
      <c r="F101" s="7">
        <v>0</v>
      </c>
      <c r="G101" s="7">
        <v>0</v>
      </c>
      <c r="H101" s="7">
        <v>9331670000</v>
      </c>
      <c r="I101" s="7">
        <v>0</v>
      </c>
      <c r="J101" s="7">
        <v>0</v>
      </c>
      <c r="K101" s="7">
        <v>0</v>
      </c>
      <c r="L101" s="7">
        <v>862089200</v>
      </c>
      <c r="M101" s="7">
        <v>9513171000</v>
      </c>
      <c r="N101" s="7">
        <v>6512943000</v>
      </c>
      <c r="O101" s="7">
        <v>4731540000</v>
      </c>
      <c r="P101" s="7">
        <v>299666200</v>
      </c>
      <c r="Q101" s="7">
        <v>1187972000</v>
      </c>
      <c r="R101" s="7">
        <v>0</v>
      </c>
      <c r="S101" s="7">
        <v>5967627000</v>
      </c>
      <c r="T101" s="7">
        <v>0</v>
      </c>
      <c r="U101" s="7">
        <v>180783900</v>
      </c>
      <c r="V101" s="7">
        <v>0</v>
      </c>
      <c r="W101" s="7">
        <v>0</v>
      </c>
      <c r="X101" s="7">
        <v>1061972000</v>
      </c>
      <c r="Y101" s="7">
        <v>1704384000</v>
      </c>
    </row>
    <row r="103" spans="1:25" ht="45" x14ac:dyDescent="0.25">
      <c r="A103" s="6" t="s">
        <v>47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5">
      <c r="B106" s="7">
        <v>4975667000</v>
      </c>
      <c r="C106" s="7">
        <v>0</v>
      </c>
      <c r="D106" s="7">
        <v>5117038000</v>
      </c>
      <c r="E106" s="7">
        <v>5108444000</v>
      </c>
      <c r="F106" s="7">
        <v>5228692000</v>
      </c>
      <c r="G106" s="7">
        <v>5119004000</v>
      </c>
      <c r="H106" s="7">
        <v>0</v>
      </c>
      <c r="I106" s="7">
        <v>5185242000</v>
      </c>
      <c r="J106" s="7">
        <v>5099627000</v>
      </c>
      <c r="K106" s="7">
        <v>5085833000</v>
      </c>
      <c r="L106" s="7">
        <v>5130995000</v>
      </c>
      <c r="M106" s="7">
        <v>0</v>
      </c>
      <c r="N106" s="7">
        <v>3401303000</v>
      </c>
      <c r="O106" s="7">
        <v>0</v>
      </c>
      <c r="P106" s="7">
        <v>5085822000</v>
      </c>
      <c r="Q106" s="7">
        <v>5275863000</v>
      </c>
      <c r="R106" s="7">
        <v>5118173000</v>
      </c>
      <c r="S106" s="7">
        <v>4236127000</v>
      </c>
      <c r="T106" s="7">
        <v>5085338000</v>
      </c>
      <c r="U106" s="7">
        <v>5093097000</v>
      </c>
      <c r="V106" s="7">
        <v>5086025000</v>
      </c>
      <c r="W106" s="7">
        <v>5085165000</v>
      </c>
      <c r="X106" s="7">
        <v>0</v>
      </c>
      <c r="Y106" s="7">
        <v>5141741000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2.1653249999999999E-8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3364270000</v>
      </c>
      <c r="O107" s="7">
        <v>0</v>
      </c>
      <c r="P107" s="7">
        <v>6357228000</v>
      </c>
      <c r="Q107" s="7">
        <v>6594829000</v>
      </c>
      <c r="R107" s="7">
        <v>6397716000</v>
      </c>
      <c r="S107" s="7">
        <v>4830662000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6158536000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3112197000</v>
      </c>
      <c r="O108" s="7">
        <v>0</v>
      </c>
      <c r="P108" s="7">
        <v>7628284000</v>
      </c>
      <c r="Q108" s="7">
        <v>7740514000</v>
      </c>
      <c r="R108" s="7">
        <v>7676897000</v>
      </c>
      <c r="S108" s="7">
        <v>4481125000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5445165000</v>
      </c>
      <c r="C109" s="7">
        <v>0</v>
      </c>
      <c r="D109" s="7">
        <v>8954817000</v>
      </c>
      <c r="E109" s="7">
        <v>8721642000</v>
      </c>
      <c r="F109" s="7">
        <v>9150270000</v>
      </c>
      <c r="G109" s="7">
        <v>8957774000</v>
      </c>
      <c r="H109" s="7">
        <v>0</v>
      </c>
      <c r="I109" s="7">
        <v>9073857000</v>
      </c>
      <c r="J109" s="7">
        <v>8924121000</v>
      </c>
      <c r="K109" s="7">
        <v>8900207000</v>
      </c>
      <c r="L109" s="7">
        <v>8414869000</v>
      </c>
      <c r="M109" s="7">
        <v>0</v>
      </c>
      <c r="N109" s="7">
        <v>2744882000</v>
      </c>
      <c r="O109" s="7">
        <v>0</v>
      </c>
      <c r="P109" s="7">
        <v>8899296000</v>
      </c>
      <c r="Q109" s="7">
        <v>7852301000</v>
      </c>
      <c r="R109" s="7">
        <v>8955991000</v>
      </c>
      <c r="S109" s="7">
        <v>3619392000</v>
      </c>
      <c r="T109" s="7">
        <v>8898734000</v>
      </c>
      <c r="U109" s="7">
        <v>8917717000</v>
      </c>
      <c r="V109" s="7">
        <v>8900544000</v>
      </c>
      <c r="W109" s="7">
        <v>8899306000</v>
      </c>
      <c r="X109" s="7">
        <v>0</v>
      </c>
      <c r="Y109" s="7">
        <v>8622911000</v>
      </c>
    </row>
    <row r="110" spans="1:25" x14ac:dyDescent="0.25">
      <c r="B110" s="7">
        <v>5183313000</v>
      </c>
      <c r="C110" s="7">
        <v>0</v>
      </c>
      <c r="D110" s="7">
        <v>9259118000</v>
      </c>
      <c r="E110" s="7">
        <v>8828485000</v>
      </c>
      <c r="F110" s="7">
        <v>9989679000</v>
      </c>
      <c r="G110" s="7">
        <v>9647702000</v>
      </c>
      <c r="H110" s="7">
        <v>0</v>
      </c>
      <c r="I110" s="7">
        <v>9682396000</v>
      </c>
      <c r="J110" s="7">
        <v>9423486000</v>
      </c>
      <c r="K110" s="7">
        <v>9386230000</v>
      </c>
      <c r="L110" s="7">
        <v>8679661000</v>
      </c>
      <c r="M110" s="7">
        <v>0</v>
      </c>
      <c r="N110" s="7">
        <v>2852618000</v>
      </c>
      <c r="O110" s="7">
        <v>0</v>
      </c>
      <c r="P110" s="7">
        <v>9471611000</v>
      </c>
      <c r="Q110" s="7">
        <v>7968568000</v>
      </c>
      <c r="R110" s="7">
        <v>9695629000</v>
      </c>
      <c r="S110" s="7">
        <v>3471089000</v>
      </c>
      <c r="T110" s="7">
        <v>9840992000</v>
      </c>
      <c r="U110" s="7">
        <v>9187063000</v>
      </c>
      <c r="V110" s="7">
        <v>9880041000</v>
      </c>
      <c r="W110" s="7">
        <v>10018600000</v>
      </c>
      <c r="X110" s="7">
        <v>9121646.1329999994</v>
      </c>
      <c r="Y110" s="7">
        <v>8264006000</v>
      </c>
    </row>
    <row r="112" spans="1:25" ht="45" x14ac:dyDescent="0.25">
      <c r="A112" s="6" t="s">
        <v>48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5">
      <c r="B115" s="7">
        <v>0</v>
      </c>
      <c r="C115" s="7">
        <v>2536444000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2585854000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2537424000</v>
      </c>
      <c r="Y115" s="7">
        <v>0</v>
      </c>
    </row>
    <row r="116" spans="1:25" x14ac:dyDescent="0.25">
      <c r="B116" s="7">
        <v>0</v>
      </c>
      <c r="C116" s="7">
        <v>4486466000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3138737000</v>
      </c>
      <c r="Y116" s="7">
        <v>0</v>
      </c>
    </row>
    <row r="117" spans="1:25" x14ac:dyDescent="0.25">
      <c r="B117" s="7">
        <v>0</v>
      </c>
      <c r="C117" s="7">
        <v>5769849000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3108462000</v>
      </c>
      <c r="Y117" s="7">
        <v>0</v>
      </c>
    </row>
    <row r="118" spans="1:25" x14ac:dyDescent="0.25">
      <c r="B118" s="7">
        <v>0</v>
      </c>
      <c r="C118" s="7">
        <v>7058245000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10106000000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9083681000</v>
      </c>
      <c r="Y119" s="7">
        <v>0</v>
      </c>
    </row>
    <row r="121" spans="1:25" ht="45" x14ac:dyDescent="0.25">
      <c r="A121" s="6" t="s">
        <v>49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5">
      <c r="B124" s="7">
        <v>5122203000</v>
      </c>
      <c r="C124" s="7">
        <v>5085812000</v>
      </c>
      <c r="D124" s="7">
        <v>5117038000</v>
      </c>
      <c r="E124" s="7">
        <v>5108444000</v>
      </c>
      <c r="F124" s="7">
        <v>5228692000</v>
      </c>
      <c r="G124" s="7">
        <v>5119004000</v>
      </c>
      <c r="H124" s="7">
        <v>5154560000</v>
      </c>
      <c r="I124" s="7">
        <v>5185242000</v>
      </c>
      <c r="J124" s="7">
        <v>5099627000</v>
      </c>
      <c r="K124" s="7">
        <v>5085833000</v>
      </c>
      <c r="L124" s="7">
        <v>5130995000</v>
      </c>
      <c r="M124" s="7">
        <v>5168156000</v>
      </c>
      <c r="N124" s="7">
        <v>5161097000</v>
      </c>
      <c r="O124" s="7">
        <v>5420941000</v>
      </c>
      <c r="P124" s="7">
        <v>5085822000</v>
      </c>
      <c r="Q124" s="7">
        <v>5275863000</v>
      </c>
      <c r="R124" s="7">
        <v>5118173000</v>
      </c>
      <c r="S124" s="7">
        <v>5156211000</v>
      </c>
      <c r="T124" s="7">
        <v>5085338000</v>
      </c>
      <c r="U124" s="7">
        <v>5093097000</v>
      </c>
      <c r="V124" s="7">
        <v>5086025000</v>
      </c>
      <c r="W124" s="7">
        <v>5085165000</v>
      </c>
      <c r="X124" s="7">
        <v>5102238000</v>
      </c>
      <c r="Y124" s="7">
        <v>5141741000</v>
      </c>
    </row>
    <row r="125" spans="1:25" x14ac:dyDescent="0.25">
      <c r="B125" s="7">
        <v>3841652000</v>
      </c>
      <c r="C125" s="7">
        <v>3814359000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7131477000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7017011000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1569771000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1384156000</v>
      </c>
      <c r="N127" s="7">
        <v>1396063000</v>
      </c>
      <c r="O127" s="7">
        <v>6834355000</v>
      </c>
      <c r="P127" s="7">
        <v>1271456000</v>
      </c>
      <c r="Q127" s="7">
        <v>1933484000</v>
      </c>
      <c r="R127" s="7">
        <v>1279543000</v>
      </c>
      <c r="S127" s="7">
        <v>1313722000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880608400</v>
      </c>
      <c r="C128" s="7">
        <v>13582170</v>
      </c>
      <c r="D128" s="7">
        <v>1246484000</v>
      </c>
      <c r="E128" s="7">
        <v>711634600</v>
      </c>
      <c r="F128" s="7">
        <v>718353000</v>
      </c>
      <c r="G128" s="7">
        <v>894933500</v>
      </c>
      <c r="H128" s="7">
        <v>1474286000</v>
      </c>
      <c r="I128" s="7">
        <v>992415500</v>
      </c>
      <c r="J128" s="7">
        <v>958565600</v>
      </c>
      <c r="K128" s="7">
        <v>1097525000</v>
      </c>
      <c r="L128" s="7">
        <v>1001819000</v>
      </c>
      <c r="M128" s="7">
        <v>1304729000</v>
      </c>
      <c r="N128" s="7">
        <v>1292627000</v>
      </c>
      <c r="O128" s="7">
        <v>6458254000</v>
      </c>
      <c r="P128" s="7">
        <v>772428100</v>
      </c>
      <c r="Q128" s="7">
        <v>1821666000</v>
      </c>
      <c r="R128" s="7">
        <v>792326000</v>
      </c>
      <c r="S128" s="7">
        <v>1203949000</v>
      </c>
      <c r="T128" s="7">
        <v>512217000</v>
      </c>
      <c r="U128" s="7">
        <v>1139792000</v>
      </c>
      <c r="V128" s="7">
        <v>368563100</v>
      </c>
      <c r="W128" s="7">
        <v>395472500</v>
      </c>
      <c r="X128" s="7">
        <v>81365660</v>
      </c>
      <c r="Y128" s="7">
        <v>737172100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 t="e">
        <f>B5/'Output-Calculation-sheet'!B4*'Output-Calculation-sheet'!B22</f>
        <v>#DIV/0!</v>
      </c>
      <c r="C16" s="2" t="e">
        <f>C5/'Output-Calculation-sheet'!C4*'Output-Calculation-sheet'!C22</f>
        <v>#DIV/0!</v>
      </c>
      <c r="D16" s="2" t="e">
        <f>D5/'Output-Calculation-sheet'!D4*'Output-Calculation-sheet'!D22</f>
        <v>#DIV/0!</v>
      </c>
      <c r="E16" s="2" t="e">
        <f>E5/'Output-Calculation-sheet'!E4*'Output-Calculation-sheet'!E22</f>
        <v>#DIV/0!</v>
      </c>
      <c r="F16" s="2" t="e">
        <f>F5/'Output-Calculation-sheet'!F4*'Output-Calculation-sheet'!F22</f>
        <v>#DIV/0!</v>
      </c>
      <c r="G16" s="2" t="e">
        <f>G5/'Output-Calculation-sheet'!G4*'Output-Calculation-sheet'!G22</f>
        <v>#DIV/0!</v>
      </c>
      <c r="H16" s="2" t="e">
        <f>H5/'Output-Calculation-sheet'!H4*'Output-Calculation-sheet'!H22</f>
        <v>#DIV/0!</v>
      </c>
      <c r="I16" s="2" t="e">
        <f>I5/'Output-Calculation-sheet'!I4*'Output-Calculation-sheet'!I22</f>
        <v>#DIV/0!</v>
      </c>
      <c r="J16" s="2" t="e">
        <f>J5/'Output-Calculation-sheet'!J4*'Output-Calculation-sheet'!J22</f>
        <v>#DIV/0!</v>
      </c>
      <c r="K16" s="2" t="e">
        <f>K5/'Output-Calculation-sheet'!K4*'Output-Calculation-sheet'!K22</f>
        <v>#DIV/0!</v>
      </c>
      <c r="L16" s="2" t="e">
        <f>L5/'Output-Calculation-sheet'!L4*'Output-Calculation-sheet'!L22</f>
        <v>#DIV/0!</v>
      </c>
      <c r="M16" s="2" t="e">
        <f>M5/'Output-Calculation-sheet'!M4*'Output-Calculation-sheet'!M22</f>
        <v>#DIV/0!</v>
      </c>
      <c r="N16" s="2" t="e">
        <f>N5/'Output-Calculation-sheet'!N4*'Output-Calculation-sheet'!N22</f>
        <v>#DIV/0!</v>
      </c>
      <c r="O16" s="2" t="e">
        <f>O5/'Output-Calculation-sheet'!O4*'Output-Calculation-sheet'!O22</f>
        <v>#DIV/0!</v>
      </c>
      <c r="P16" s="2" t="e">
        <f>P5/'Output-Calculation-sheet'!P4*'Output-Calculation-sheet'!P22</f>
        <v>#DIV/0!</v>
      </c>
      <c r="Q16" s="2" t="e">
        <f>Q5/'Output-Calculation-sheet'!Q4*'Output-Calculation-sheet'!Q22</f>
        <v>#DIV/0!</v>
      </c>
      <c r="R16" s="2" t="e">
        <f>R5/'Output-Calculation-sheet'!R4*'Output-Calculation-sheet'!R22</f>
        <v>#DIV/0!</v>
      </c>
      <c r="S16" s="2" t="e">
        <f>S5/'Output-Calculation-sheet'!S4*'Output-Calculation-sheet'!S22</f>
        <v>#DIV/0!</v>
      </c>
      <c r="T16" s="2" t="e">
        <f>T5/'Output-Calculation-sheet'!T4*'Output-Calculation-sheet'!T22</f>
        <v>#DIV/0!</v>
      </c>
      <c r="U16" s="2" t="e">
        <f>U5/'Output-Calculation-sheet'!U4*'Output-Calculation-sheet'!U22</f>
        <v>#DIV/0!</v>
      </c>
      <c r="V16" s="2" t="e">
        <f>V5/'Output-Calculation-sheet'!V4*'Output-Calculation-sheet'!V22</f>
        <v>#DIV/0!</v>
      </c>
      <c r="W16" s="2" t="e">
        <f>W5/'Output-Calculation-sheet'!W4*'Output-Calculation-sheet'!W22</f>
        <v>#DIV/0!</v>
      </c>
      <c r="X16" s="2" t="e">
        <f>X5/'Output-Calculation-sheet'!X4*'Output-Calculation-sheet'!X22</f>
        <v>#DIV/0!</v>
      </c>
      <c r="Y16" s="2" t="e">
        <f>Y5/'Output-Calculation-sheet'!Y4*'Output-Calculation-sheet'!Y22</f>
        <v>#DIV/0!</v>
      </c>
      <c r="AA16" s="2" t="e">
        <f>SUM(B16:Y16)/1000</f>
        <v>#DIV/0!</v>
      </c>
    </row>
    <row r="17" spans="1:27" x14ac:dyDescent="0.25">
      <c r="A17" s="2">
        <v>2029</v>
      </c>
      <c r="B17" s="2" t="e">
        <f>B6/'Output-Calculation-sheet'!B5*'Output-Calculation-sheet'!B23</f>
        <v>#DIV/0!</v>
      </c>
      <c r="C17" s="2" t="e">
        <f>C6/'Output-Calculation-sheet'!C5*'Output-Calculation-sheet'!C23</f>
        <v>#DIV/0!</v>
      </c>
      <c r="D17" s="2" t="e">
        <f>D6/'Output-Calculation-sheet'!D5*'Output-Calculation-sheet'!D23</f>
        <v>#DIV/0!</v>
      </c>
      <c r="E17" s="2" t="e">
        <f>E6/'Output-Calculation-sheet'!E5*'Output-Calculation-sheet'!E23</f>
        <v>#DIV/0!</v>
      </c>
      <c r="F17" s="2" t="e">
        <f>F6/'Output-Calculation-sheet'!F5*'Output-Calculation-sheet'!F23</f>
        <v>#DIV/0!</v>
      </c>
      <c r="G17" s="2" t="e">
        <f>G6/'Output-Calculation-sheet'!G5*'Output-Calculation-sheet'!G23</f>
        <v>#DIV/0!</v>
      </c>
      <c r="H17" s="2" t="e">
        <f>H6/'Output-Calculation-sheet'!H5*'Output-Calculation-sheet'!H23</f>
        <v>#DIV/0!</v>
      </c>
      <c r="I17" s="2" t="e">
        <f>I6/'Output-Calculation-sheet'!I5*'Output-Calculation-sheet'!I23</f>
        <v>#DIV/0!</v>
      </c>
      <c r="J17" s="2" t="e">
        <f>J6/'Output-Calculation-sheet'!J5*'Output-Calculation-sheet'!J23</f>
        <v>#DIV/0!</v>
      </c>
      <c r="K17" s="2" t="e">
        <f>K6/'Output-Calculation-sheet'!K5*'Output-Calculation-sheet'!K23</f>
        <v>#DIV/0!</v>
      </c>
      <c r="L17" s="2" t="e">
        <f>L6/'Output-Calculation-sheet'!L5*'Output-Calculation-sheet'!L23</f>
        <v>#DIV/0!</v>
      </c>
      <c r="M17" s="2" t="e">
        <f>M6/'Output-Calculation-sheet'!M5*'Output-Calculation-sheet'!M23</f>
        <v>#DIV/0!</v>
      </c>
      <c r="N17" s="2" t="e">
        <f>N6/'Output-Calculation-sheet'!N5*'Output-Calculation-sheet'!N23</f>
        <v>#DIV/0!</v>
      </c>
      <c r="O17" s="2" t="e">
        <f>O6/'Output-Calculation-sheet'!O5*'Output-Calculation-sheet'!O23</f>
        <v>#DIV/0!</v>
      </c>
      <c r="P17" s="2" t="e">
        <f>P6/'Output-Calculation-sheet'!P5*'Output-Calculation-sheet'!P23</f>
        <v>#DIV/0!</v>
      </c>
      <c r="Q17" s="2" t="e">
        <f>Q6/'Output-Calculation-sheet'!Q5*'Output-Calculation-sheet'!Q23</f>
        <v>#DIV/0!</v>
      </c>
      <c r="R17" s="2" t="e">
        <f>R6/'Output-Calculation-sheet'!R5*'Output-Calculation-sheet'!R23</f>
        <v>#DIV/0!</v>
      </c>
      <c r="S17" s="2" t="e">
        <f>S6/'Output-Calculation-sheet'!S5*'Output-Calculation-sheet'!S23</f>
        <v>#DIV/0!</v>
      </c>
      <c r="T17" s="2" t="e">
        <f>T6/'Output-Calculation-sheet'!T5*'Output-Calculation-sheet'!T23</f>
        <v>#DIV/0!</v>
      </c>
      <c r="U17" s="2" t="e">
        <f>U6/'Output-Calculation-sheet'!U5*'Output-Calculation-sheet'!U23</f>
        <v>#DIV/0!</v>
      </c>
      <c r="V17" s="2" t="e">
        <f>V6/'Output-Calculation-sheet'!V5*'Output-Calculation-sheet'!V23</f>
        <v>#DIV/0!</v>
      </c>
      <c r="W17" s="2" t="e">
        <f>W6/'Output-Calculation-sheet'!W5*'Output-Calculation-sheet'!W23</f>
        <v>#DIV/0!</v>
      </c>
      <c r="X17" s="2" t="e">
        <f>X6/'Output-Calculation-sheet'!X5*'Output-Calculation-sheet'!X23</f>
        <v>#DIV/0!</v>
      </c>
      <c r="Y17" s="2" t="e">
        <f>Y6/'Output-Calculation-sheet'!Y5*'Output-Calculation-sheet'!Y23</f>
        <v>#DIV/0!</v>
      </c>
      <c r="AA17" s="2" t="e">
        <f t="shared" ref="AA17:AA23" si="0">SUM(B17:Y17)/1000</f>
        <v>#DIV/0!</v>
      </c>
    </row>
    <row r="18" spans="1:27" x14ac:dyDescent="0.25">
      <c r="A18" s="2">
        <v>2030</v>
      </c>
      <c r="B18" s="2" t="e">
        <f>B7/'Output-Calculation-sheet'!B6*'Output-Calculation-sheet'!B24</f>
        <v>#DIV/0!</v>
      </c>
      <c r="C18" s="2" t="e">
        <f>C7/'Output-Calculation-sheet'!C6*'Output-Calculation-sheet'!C24</f>
        <v>#DIV/0!</v>
      </c>
      <c r="D18" s="2" t="e">
        <f>D7/'Output-Calculation-sheet'!D6*'Output-Calculation-sheet'!D24</f>
        <v>#DIV/0!</v>
      </c>
      <c r="E18" s="2" t="e">
        <f>E7/'Output-Calculation-sheet'!E6*'Output-Calculation-sheet'!E24</f>
        <v>#DIV/0!</v>
      </c>
      <c r="F18" s="2" t="e">
        <f>F7/'Output-Calculation-sheet'!F6*'Output-Calculation-sheet'!F24</f>
        <v>#DIV/0!</v>
      </c>
      <c r="G18" s="2" t="e">
        <f>G7/'Output-Calculation-sheet'!G6*'Output-Calculation-sheet'!G24</f>
        <v>#DIV/0!</v>
      </c>
      <c r="H18" s="2" t="e">
        <f>H7/'Output-Calculation-sheet'!H6*'Output-Calculation-sheet'!H24</f>
        <v>#DIV/0!</v>
      </c>
      <c r="I18" s="2" t="e">
        <f>I7/'Output-Calculation-sheet'!I6*'Output-Calculation-sheet'!I24</f>
        <v>#DIV/0!</v>
      </c>
      <c r="J18" s="2" t="e">
        <f>J7/'Output-Calculation-sheet'!J6*'Output-Calculation-sheet'!J24</f>
        <v>#DIV/0!</v>
      </c>
      <c r="K18" s="2" t="e">
        <f>K7/'Output-Calculation-sheet'!K6*'Output-Calculation-sheet'!K24</f>
        <v>#DIV/0!</v>
      </c>
      <c r="L18" s="2" t="e">
        <f>L7/'Output-Calculation-sheet'!L6*'Output-Calculation-sheet'!L24</f>
        <v>#DIV/0!</v>
      </c>
      <c r="M18" s="2" t="e">
        <f>M7/'Output-Calculation-sheet'!M6*'Output-Calculation-sheet'!M24</f>
        <v>#DIV/0!</v>
      </c>
      <c r="N18" s="2" t="e">
        <f>N7/'Output-Calculation-sheet'!N6*'Output-Calculation-sheet'!N24</f>
        <v>#DIV/0!</v>
      </c>
      <c r="O18" s="2" t="e">
        <f>O7/'Output-Calculation-sheet'!O6*'Output-Calculation-sheet'!O24</f>
        <v>#DIV/0!</v>
      </c>
      <c r="P18" s="2" t="e">
        <f>P7/'Output-Calculation-sheet'!P6*'Output-Calculation-sheet'!P24</f>
        <v>#DIV/0!</v>
      </c>
      <c r="Q18" s="2" t="e">
        <f>Q7/'Output-Calculation-sheet'!Q6*'Output-Calculation-sheet'!Q24</f>
        <v>#DIV/0!</v>
      </c>
      <c r="R18" s="2" t="e">
        <f>R7/'Output-Calculation-sheet'!R6*'Output-Calculation-sheet'!R24</f>
        <v>#DIV/0!</v>
      </c>
      <c r="S18" s="2" t="e">
        <f>S7/'Output-Calculation-sheet'!S6*'Output-Calculation-sheet'!S24</f>
        <v>#DIV/0!</v>
      </c>
      <c r="T18" s="2" t="e">
        <f>T7/'Output-Calculation-sheet'!T6*'Output-Calculation-sheet'!T24</f>
        <v>#DIV/0!</v>
      </c>
      <c r="U18" s="2" t="e">
        <f>U7/'Output-Calculation-sheet'!U6*'Output-Calculation-sheet'!U24</f>
        <v>#DIV/0!</v>
      </c>
      <c r="V18" s="2" t="e">
        <f>V7/'Output-Calculation-sheet'!V6*'Output-Calculation-sheet'!V24</f>
        <v>#DIV/0!</v>
      </c>
      <c r="W18" s="2" t="e">
        <f>W7/'Output-Calculation-sheet'!W6*'Output-Calculation-sheet'!W24</f>
        <v>#DIV/0!</v>
      </c>
      <c r="X18" s="2" t="e">
        <f>X7/'Output-Calculation-sheet'!X6*'Output-Calculation-sheet'!X24</f>
        <v>#DIV/0!</v>
      </c>
      <c r="Y18" s="2" t="e">
        <f>Y7/'Output-Calculation-sheet'!Y6*'Output-Calculation-sheet'!Y24</f>
        <v>#DIV/0!</v>
      </c>
      <c r="AA18" s="2" t="e">
        <f t="shared" si="0"/>
        <v>#DIV/0!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 t="e">
        <f>B5/'Output-Calculation-sheet'!B4*'Output-Calculation-sheet'!B13</f>
        <v>#DIV/0!</v>
      </c>
      <c r="C27" s="2" t="e">
        <f>C5/'Output-Calculation-sheet'!C4*'Output-Calculation-sheet'!C13</f>
        <v>#DIV/0!</v>
      </c>
      <c r="D27" s="2" t="e">
        <f>D5/'Output-Calculation-sheet'!D4*'Output-Calculation-sheet'!D13</f>
        <v>#DIV/0!</v>
      </c>
      <c r="E27" s="2" t="e">
        <f>E5/'Output-Calculation-sheet'!E4*'Output-Calculation-sheet'!E13</f>
        <v>#DIV/0!</v>
      </c>
      <c r="F27" s="2" t="e">
        <f>F5/'Output-Calculation-sheet'!F4*'Output-Calculation-sheet'!F13</f>
        <v>#DIV/0!</v>
      </c>
      <c r="G27" s="2" t="e">
        <f>G5/'Output-Calculation-sheet'!G4*'Output-Calculation-sheet'!G13</f>
        <v>#DIV/0!</v>
      </c>
      <c r="H27" s="2" t="e">
        <f>H5/'Output-Calculation-sheet'!H4*'Output-Calculation-sheet'!H13</f>
        <v>#DIV/0!</v>
      </c>
      <c r="I27" s="2" t="e">
        <f>I5/'Output-Calculation-sheet'!I4*'Output-Calculation-sheet'!I13</f>
        <v>#DIV/0!</v>
      </c>
      <c r="J27" s="2" t="e">
        <f>J5/'Output-Calculation-sheet'!J4*'Output-Calculation-sheet'!J13</f>
        <v>#DIV/0!</v>
      </c>
      <c r="K27" s="2" t="e">
        <f>K5/'Output-Calculation-sheet'!K4*'Output-Calculation-sheet'!K13</f>
        <v>#DIV/0!</v>
      </c>
      <c r="L27" s="2" t="e">
        <f>L5/'Output-Calculation-sheet'!L4*'Output-Calculation-sheet'!L13</f>
        <v>#DIV/0!</v>
      </c>
      <c r="M27" s="2" t="e">
        <f>M5/'Output-Calculation-sheet'!M4*'Output-Calculation-sheet'!M13</f>
        <v>#DIV/0!</v>
      </c>
      <c r="N27" s="2" t="e">
        <f>N5/'Output-Calculation-sheet'!N4*'Output-Calculation-sheet'!N13</f>
        <v>#DIV/0!</v>
      </c>
      <c r="O27" s="2" t="e">
        <f>O5/'Output-Calculation-sheet'!O4*'Output-Calculation-sheet'!O13</f>
        <v>#DIV/0!</v>
      </c>
      <c r="P27" s="2" t="e">
        <f>P5/'Output-Calculation-sheet'!P4*'Output-Calculation-sheet'!P13</f>
        <v>#DIV/0!</v>
      </c>
      <c r="Q27" s="2" t="e">
        <f>Q5/'Output-Calculation-sheet'!Q4*'Output-Calculation-sheet'!Q13</f>
        <v>#DIV/0!</v>
      </c>
      <c r="R27" s="2" t="e">
        <f>R5/'Output-Calculation-sheet'!R4*'Output-Calculation-sheet'!R13</f>
        <v>#DIV/0!</v>
      </c>
      <c r="S27" s="2" t="e">
        <f>S5/'Output-Calculation-sheet'!S4*'Output-Calculation-sheet'!S13</f>
        <v>#DIV/0!</v>
      </c>
      <c r="T27" s="2" t="e">
        <f>T5/'Output-Calculation-sheet'!T4*'Output-Calculation-sheet'!T13</f>
        <v>#DIV/0!</v>
      </c>
      <c r="U27" s="2" t="e">
        <f>U5/'Output-Calculation-sheet'!U4*'Output-Calculation-sheet'!U13</f>
        <v>#DIV/0!</v>
      </c>
      <c r="V27" s="2" t="e">
        <f>V5/'Output-Calculation-sheet'!V4*'Output-Calculation-sheet'!V13</f>
        <v>#DIV/0!</v>
      </c>
      <c r="W27" s="2" t="e">
        <f>W5/'Output-Calculation-sheet'!W4*'Output-Calculation-sheet'!W13</f>
        <v>#DIV/0!</v>
      </c>
      <c r="X27" s="2" t="e">
        <f>X5/'Output-Calculation-sheet'!X4*'Output-Calculation-sheet'!X13</f>
        <v>#DIV/0!</v>
      </c>
      <c r="Y27" s="2" t="e">
        <f>Y5/'Output-Calculation-sheet'!Y4*'Output-Calculation-sheet'!Y13</f>
        <v>#DIV/0!</v>
      </c>
      <c r="AA27" s="2" t="e">
        <f>SUM(B27:Y27)/1000</f>
        <v>#DIV/0!</v>
      </c>
    </row>
    <row r="28" spans="1:27" x14ac:dyDescent="0.25">
      <c r="A28" s="2">
        <v>2029</v>
      </c>
      <c r="B28" s="2" t="e">
        <f>B6/'Output-Calculation-sheet'!B5*'Output-Calculation-sheet'!B14</f>
        <v>#DIV/0!</v>
      </c>
      <c r="C28" s="2" t="e">
        <f>C6/'Output-Calculation-sheet'!C5*'Output-Calculation-sheet'!C14</f>
        <v>#DIV/0!</v>
      </c>
      <c r="D28" s="2" t="e">
        <f>D6/'Output-Calculation-sheet'!D5*'Output-Calculation-sheet'!D14</f>
        <v>#DIV/0!</v>
      </c>
      <c r="E28" s="2" t="e">
        <f>E6/'Output-Calculation-sheet'!E5*'Output-Calculation-sheet'!E14</f>
        <v>#DIV/0!</v>
      </c>
      <c r="F28" s="2" t="e">
        <f>F6/'Output-Calculation-sheet'!F5*'Output-Calculation-sheet'!F14</f>
        <v>#DIV/0!</v>
      </c>
      <c r="G28" s="2" t="e">
        <f>G6/'Output-Calculation-sheet'!G5*'Output-Calculation-sheet'!G14</f>
        <v>#DIV/0!</v>
      </c>
      <c r="H28" s="2" t="e">
        <f>H6/'Output-Calculation-sheet'!H5*'Output-Calculation-sheet'!H14</f>
        <v>#DIV/0!</v>
      </c>
      <c r="I28" s="2" t="e">
        <f>I6/'Output-Calculation-sheet'!I5*'Output-Calculation-sheet'!I14</f>
        <v>#DIV/0!</v>
      </c>
      <c r="J28" s="2" t="e">
        <f>J6/'Output-Calculation-sheet'!J5*'Output-Calculation-sheet'!J14</f>
        <v>#DIV/0!</v>
      </c>
      <c r="K28" s="2" t="e">
        <f>K6/'Output-Calculation-sheet'!K5*'Output-Calculation-sheet'!K14</f>
        <v>#DIV/0!</v>
      </c>
      <c r="L28" s="2" t="e">
        <f>L6/'Output-Calculation-sheet'!L5*'Output-Calculation-sheet'!L14</f>
        <v>#DIV/0!</v>
      </c>
      <c r="M28" s="2" t="e">
        <f>M6/'Output-Calculation-sheet'!M5*'Output-Calculation-sheet'!M14</f>
        <v>#DIV/0!</v>
      </c>
      <c r="N28" s="2" t="e">
        <f>N6/'Output-Calculation-sheet'!N5*'Output-Calculation-sheet'!N14</f>
        <v>#DIV/0!</v>
      </c>
      <c r="O28" s="2" t="e">
        <f>O6/'Output-Calculation-sheet'!O5*'Output-Calculation-sheet'!O14</f>
        <v>#DIV/0!</v>
      </c>
      <c r="P28" s="2" t="e">
        <f>P6/'Output-Calculation-sheet'!P5*'Output-Calculation-sheet'!P14</f>
        <v>#DIV/0!</v>
      </c>
      <c r="Q28" s="2" t="e">
        <f>Q6/'Output-Calculation-sheet'!Q5*'Output-Calculation-sheet'!Q14</f>
        <v>#DIV/0!</v>
      </c>
      <c r="R28" s="2" t="e">
        <f>R6/'Output-Calculation-sheet'!R5*'Output-Calculation-sheet'!R14</f>
        <v>#DIV/0!</v>
      </c>
      <c r="S28" s="2" t="e">
        <f>S6/'Output-Calculation-sheet'!S5*'Output-Calculation-sheet'!S14</f>
        <v>#DIV/0!</v>
      </c>
      <c r="T28" s="2" t="e">
        <f>T6/'Output-Calculation-sheet'!T5*'Output-Calculation-sheet'!T14</f>
        <v>#DIV/0!</v>
      </c>
      <c r="U28" s="2" t="e">
        <f>U6/'Output-Calculation-sheet'!U5*'Output-Calculation-sheet'!U14</f>
        <v>#DIV/0!</v>
      </c>
      <c r="V28" s="2" t="e">
        <f>V6/'Output-Calculation-sheet'!V5*'Output-Calculation-sheet'!V14</f>
        <v>#DIV/0!</v>
      </c>
      <c r="W28" s="2" t="e">
        <f>W6/'Output-Calculation-sheet'!W5*'Output-Calculation-sheet'!W14</f>
        <v>#DIV/0!</v>
      </c>
      <c r="X28" s="2" t="e">
        <f>X6/'Output-Calculation-sheet'!X5*'Output-Calculation-sheet'!X14</f>
        <v>#DIV/0!</v>
      </c>
      <c r="Y28" s="2" t="e">
        <f>Y6/'Output-Calculation-sheet'!Y5*'Output-Calculation-sheet'!Y14</f>
        <v>#DIV/0!</v>
      </c>
      <c r="AA28" s="2" t="e">
        <f t="shared" ref="AA28:AA34" si="1">SUM(B28:Y28)/1000</f>
        <v>#DIV/0!</v>
      </c>
    </row>
    <row r="29" spans="1:27" x14ac:dyDescent="0.25">
      <c r="A29" s="2">
        <v>2030</v>
      </c>
      <c r="B29" s="2" t="e">
        <f>B7/'Output-Calculation-sheet'!B6*'Output-Calculation-sheet'!B15</f>
        <v>#DIV/0!</v>
      </c>
      <c r="C29" s="2" t="e">
        <f>C7/'Output-Calculation-sheet'!C6*'Output-Calculation-sheet'!C15</f>
        <v>#DIV/0!</v>
      </c>
      <c r="D29" s="2" t="e">
        <f>D7/'Output-Calculation-sheet'!D6*'Output-Calculation-sheet'!D15</f>
        <v>#DIV/0!</v>
      </c>
      <c r="E29" s="2" t="e">
        <f>E7/'Output-Calculation-sheet'!E6*'Output-Calculation-sheet'!E15</f>
        <v>#DIV/0!</v>
      </c>
      <c r="F29" s="2" t="e">
        <f>F7/'Output-Calculation-sheet'!F6*'Output-Calculation-sheet'!F15</f>
        <v>#DIV/0!</v>
      </c>
      <c r="G29" s="2" t="e">
        <f>G7/'Output-Calculation-sheet'!G6*'Output-Calculation-sheet'!G15</f>
        <v>#DIV/0!</v>
      </c>
      <c r="H29" s="2" t="e">
        <f>H7/'Output-Calculation-sheet'!H6*'Output-Calculation-sheet'!H15</f>
        <v>#DIV/0!</v>
      </c>
      <c r="I29" s="2" t="e">
        <f>I7/'Output-Calculation-sheet'!I6*'Output-Calculation-sheet'!I15</f>
        <v>#DIV/0!</v>
      </c>
      <c r="J29" s="2" t="e">
        <f>J7/'Output-Calculation-sheet'!J6*'Output-Calculation-sheet'!J15</f>
        <v>#DIV/0!</v>
      </c>
      <c r="K29" s="2" t="e">
        <f>K7/'Output-Calculation-sheet'!K6*'Output-Calculation-sheet'!K15</f>
        <v>#DIV/0!</v>
      </c>
      <c r="L29" s="2" t="e">
        <f>L7/'Output-Calculation-sheet'!L6*'Output-Calculation-sheet'!L15</f>
        <v>#DIV/0!</v>
      </c>
      <c r="M29" s="2" t="e">
        <f>M7/'Output-Calculation-sheet'!M6*'Output-Calculation-sheet'!M15</f>
        <v>#DIV/0!</v>
      </c>
      <c r="N29" s="2" t="e">
        <f>N7/'Output-Calculation-sheet'!N6*'Output-Calculation-sheet'!N15</f>
        <v>#DIV/0!</v>
      </c>
      <c r="O29" s="2" t="e">
        <f>O7/'Output-Calculation-sheet'!O6*'Output-Calculation-sheet'!O15</f>
        <v>#DIV/0!</v>
      </c>
      <c r="P29" s="2" t="e">
        <f>P7/'Output-Calculation-sheet'!P6*'Output-Calculation-sheet'!P15</f>
        <v>#DIV/0!</v>
      </c>
      <c r="Q29" s="2" t="e">
        <f>Q7/'Output-Calculation-sheet'!Q6*'Output-Calculation-sheet'!Q15</f>
        <v>#DIV/0!</v>
      </c>
      <c r="R29" s="2" t="e">
        <f>R7/'Output-Calculation-sheet'!R6*'Output-Calculation-sheet'!R15</f>
        <v>#DIV/0!</v>
      </c>
      <c r="S29" s="2" t="e">
        <f>S7/'Output-Calculation-sheet'!S6*'Output-Calculation-sheet'!S15</f>
        <v>#DIV/0!</v>
      </c>
      <c r="T29" s="2" t="e">
        <f>T7/'Output-Calculation-sheet'!T6*'Output-Calculation-sheet'!T15</f>
        <v>#DIV/0!</v>
      </c>
      <c r="U29" s="2" t="e">
        <f>U7/'Output-Calculation-sheet'!U6*'Output-Calculation-sheet'!U15</f>
        <v>#DIV/0!</v>
      </c>
      <c r="V29" s="2" t="e">
        <f>V7/'Output-Calculation-sheet'!V6*'Output-Calculation-sheet'!V15</f>
        <v>#DIV/0!</v>
      </c>
      <c r="W29" s="2" t="e">
        <f>W7/'Output-Calculation-sheet'!W6*'Output-Calculation-sheet'!W15</f>
        <v>#DIV/0!</v>
      </c>
      <c r="X29" s="2" t="e">
        <f>X7/'Output-Calculation-sheet'!X6*'Output-Calculation-sheet'!X15</f>
        <v>#DIV/0!</v>
      </c>
      <c r="Y29" s="2" t="e">
        <f>Y7/'Output-Calculation-sheet'!Y6*'Output-Calculation-sheet'!Y15</f>
        <v>#DIV/0!</v>
      </c>
      <c r="AA29" s="2" t="e">
        <f t="shared" si="1"/>
        <v>#DIV/0!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 t="e">
        <f>B5/'Output-Calculation-sheet'!B4*'Output-Calculation-sheet'!B31*0.0114</f>
        <v>#DIV/0!</v>
      </c>
      <c r="C38" s="2" t="e">
        <f>C5/'Output-Calculation-sheet'!C4*'Output-Calculation-sheet'!C31*0.0114</f>
        <v>#DIV/0!</v>
      </c>
      <c r="D38" s="2" t="e">
        <f>D5/'Output-Calculation-sheet'!D4*'Output-Calculation-sheet'!D31*0.0114</f>
        <v>#DIV/0!</v>
      </c>
      <c r="E38" s="2" t="e">
        <f>E5/'Output-Calculation-sheet'!E4*'Output-Calculation-sheet'!E31*0.0114</f>
        <v>#DIV/0!</v>
      </c>
      <c r="F38" s="2" t="e">
        <f>F5/'Output-Calculation-sheet'!F4*'Output-Calculation-sheet'!F31*0.0114</f>
        <v>#DIV/0!</v>
      </c>
      <c r="G38" s="2" t="e">
        <f>G5/'Output-Calculation-sheet'!G4*'Output-Calculation-sheet'!G31*0.0114</f>
        <v>#DIV/0!</v>
      </c>
      <c r="H38" s="2" t="e">
        <f>H5/'Output-Calculation-sheet'!H4*'Output-Calculation-sheet'!H31*0.0114</f>
        <v>#DIV/0!</v>
      </c>
      <c r="I38" s="2" t="e">
        <f>I5/'Output-Calculation-sheet'!I4*'Output-Calculation-sheet'!I31*0.0114</f>
        <v>#DIV/0!</v>
      </c>
      <c r="J38" s="2" t="e">
        <f>J5/'Output-Calculation-sheet'!J4*'Output-Calculation-sheet'!J31*0.0114</f>
        <v>#DIV/0!</v>
      </c>
      <c r="K38" s="2" t="e">
        <f>K5/'Output-Calculation-sheet'!K4*'Output-Calculation-sheet'!K31*0.0114</f>
        <v>#DIV/0!</v>
      </c>
      <c r="L38" s="2" t="e">
        <f>L5/'Output-Calculation-sheet'!L4*'Output-Calculation-sheet'!L31*0.0114</f>
        <v>#DIV/0!</v>
      </c>
      <c r="M38" s="2" t="e">
        <f>M5/'Output-Calculation-sheet'!M4*'Output-Calculation-sheet'!M31*0.0114</f>
        <v>#DIV/0!</v>
      </c>
      <c r="N38" s="2" t="e">
        <f>N5/'Output-Calculation-sheet'!N4*'Output-Calculation-sheet'!N31*0.0114</f>
        <v>#DIV/0!</v>
      </c>
      <c r="O38" s="2" t="e">
        <f>O5/'Output-Calculation-sheet'!O4*'Output-Calculation-sheet'!O31*0.0114</f>
        <v>#DIV/0!</v>
      </c>
      <c r="P38" s="2" t="e">
        <f>P5/'Output-Calculation-sheet'!P4*'Output-Calculation-sheet'!P31*0.0114</f>
        <v>#DIV/0!</v>
      </c>
      <c r="Q38" s="2" t="e">
        <f>Q5/'Output-Calculation-sheet'!Q4*'Output-Calculation-sheet'!Q31*0.0114</f>
        <v>#DIV/0!</v>
      </c>
      <c r="R38" s="2" t="e">
        <f>R5/'Output-Calculation-sheet'!R4*'Output-Calculation-sheet'!R31*0.0114</f>
        <v>#DIV/0!</v>
      </c>
      <c r="S38" s="2" t="e">
        <f>S5/'Output-Calculation-sheet'!S4*'Output-Calculation-sheet'!S31*0.0114</f>
        <v>#DIV/0!</v>
      </c>
      <c r="T38" s="2" t="e">
        <f>T5/'Output-Calculation-sheet'!T4*'Output-Calculation-sheet'!T31*0.0114</f>
        <v>#DIV/0!</v>
      </c>
      <c r="U38" s="2" t="e">
        <f>U5/'Output-Calculation-sheet'!U4*'Output-Calculation-sheet'!U31*0.0114</f>
        <v>#DIV/0!</v>
      </c>
      <c r="V38" s="2" t="e">
        <f>V5/'Output-Calculation-sheet'!V4*'Output-Calculation-sheet'!V31*0.0114</f>
        <v>#DIV/0!</v>
      </c>
      <c r="W38" s="2" t="e">
        <f>W5/'Output-Calculation-sheet'!W4*'Output-Calculation-sheet'!W31*0.0114</f>
        <v>#DIV/0!</v>
      </c>
      <c r="X38" s="2" t="e">
        <f>X5/'Output-Calculation-sheet'!X4*'Output-Calculation-sheet'!X31*0.0114</f>
        <v>#DIV/0!</v>
      </c>
      <c r="Y38" s="2" t="e">
        <f>Y5/'Output-Calculation-sheet'!Y4*'Output-Calculation-sheet'!Y31*0.0114</f>
        <v>#DIV/0!</v>
      </c>
      <c r="AA38" s="2" t="e">
        <f>SUM(B38:Y38)</f>
        <v>#DIV/0!</v>
      </c>
    </row>
    <row r="39" spans="1:27" x14ac:dyDescent="0.25">
      <c r="A39" s="2">
        <v>2029</v>
      </c>
      <c r="B39" s="2" t="e">
        <f>B6/'Output-Calculation-sheet'!B5*'Output-Calculation-sheet'!B32*0.0114</f>
        <v>#DIV/0!</v>
      </c>
      <c r="C39" s="2" t="e">
        <f>C6/'Output-Calculation-sheet'!C5*'Output-Calculation-sheet'!C32*0.0114</f>
        <v>#DIV/0!</v>
      </c>
      <c r="D39" s="2" t="e">
        <f>D6/'Output-Calculation-sheet'!D5*'Output-Calculation-sheet'!D32*0.0114</f>
        <v>#DIV/0!</v>
      </c>
      <c r="E39" s="2" t="e">
        <f>E6/'Output-Calculation-sheet'!E5*'Output-Calculation-sheet'!E32*0.0114</f>
        <v>#DIV/0!</v>
      </c>
      <c r="F39" s="2" t="e">
        <f>F6/'Output-Calculation-sheet'!F5*'Output-Calculation-sheet'!F32*0.0114</f>
        <v>#DIV/0!</v>
      </c>
      <c r="G39" s="2" t="e">
        <f>G6/'Output-Calculation-sheet'!G5*'Output-Calculation-sheet'!G32*0.0114</f>
        <v>#DIV/0!</v>
      </c>
      <c r="H39" s="2" t="e">
        <f>H6/'Output-Calculation-sheet'!H5*'Output-Calculation-sheet'!H32*0.0114</f>
        <v>#DIV/0!</v>
      </c>
      <c r="I39" s="2" t="e">
        <f>I6/'Output-Calculation-sheet'!I5*'Output-Calculation-sheet'!I32*0.0114</f>
        <v>#DIV/0!</v>
      </c>
      <c r="J39" s="2" t="e">
        <f>J6/'Output-Calculation-sheet'!J5*'Output-Calculation-sheet'!J32*0.0114</f>
        <v>#DIV/0!</v>
      </c>
      <c r="K39" s="2" t="e">
        <f>K6/'Output-Calculation-sheet'!K5*'Output-Calculation-sheet'!K32*0.0114</f>
        <v>#DIV/0!</v>
      </c>
      <c r="L39" s="2" t="e">
        <f>L6/'Output-Calculation-sheet'!L5*'Output-Calculation-sheet'!L32*0.0114</f>
        <v>#DIV/0!</v>
      </c>
      <c r="M39" s="2" t="e">
        <f>M6/'Output-Calculation-sheet'!M5*'Output-Calculation-sheet'!M32*0.0114</f>
        <v>#DIV/0!</v>
      </c>
      <c r="N39" s="2" t="e">
        <f>N6/'Output-Calculation-sheet'!N5*'Output-Calculation-sheet'!N32*0.0114</f>
        <v>#DIV/0!</v>
      </c>
      <c r="O39" s="2" t="e">
        <f>O6/'Output-Calculation-sheet'!O5*'Output-Calculation-sheet'!O32*0.0114</f>
        <v>#DIV/0!</v>
      </c>
      <c r="P39" s="2" t="e">
        <f>P6/'Output-Calculation-sheet'!P5*'Output-Calculation-sheet'!P32*0.0114</f>
        <v>#DIV/0!</v>
      </c>
      <c r="Q39" s="2" t="e">
        <f>Q6/'Output-Calculation-sheet'!Q5*'Output-Calculation-sheet'!Q32*0.0114</f>
        <v>#DIV/0!</v>
      </c>
      <c r="R39" s="2" t="e">
        <f>R6/'Output-Calculation-sheet'!R5*'Output-Calculation-sheet'!R32*0.0114</f>
        <v>#DIV/0!</v>
      </c>
      <c r="S39" s="2" t="e">
        <f>S6/'Output-Calculation-sheet'!S5*'Output-Calculation-sheet'!S32*0.0114</f>
        <v>#DIV/0!</v>
      </c>
      <c r="T39" s="2" t="e">
        <f>T6/'Output-Calculation-sheet'!T5*'Output-Calculation-sheet'!T32*0.0114</f>
        <v>#DIV/0!</v>
      </c>
      <c r="U39" s="2" t="e">
        <f>U6/'Output-Calculation-sheet'!U5*'Output-Calculation-sheet'!U32*0.0114</f>
        <v>#DIV/0!</v>
      </c>
      <c r="V39" s="2" t="e">
        <f>V6/'Output-Calculation-sheet'!V5*'Output-Calculation-sheet'!V32*0.0114</f>
        <v>#DIV/0!</v>
      </c>
      <c r="W39" s="2" t="e">
        <f>W6/'Output-Calculation-sheet'!W5*'Output-Calculation-sheet'!W32*0.0114</f>
        <v>#DIV/0!</v>
      </c>
      <c r="X39" s="2" t="e">
        <f>X6/'Output-Calculation-sheet'!X5*'Output-Calculation-sheet'!X32*0.0114</f>
        <v>#DIV/0!</v>
      </c>
      <c r="Y39" s="2" t="e">
        <f>Y6/'Output-Calculation-sheet'!Y5*'Output-Calculation-sheet'!Y32*0.0114</f>
        <v>#DIV/0!</v>
      </c>
      <c r="AA39" s="2" t="e">
        <f t="shared" ref="AA39:AA45" si="2">SUM(B39:Y39)</f>
        <v>#DIV/0!</v>
      </c>
    </row>
    <row r="40" spans="1:27" x14ac:dyDescent="0.25">
      <c r="A40" s="2">
        <v>2030</v>
      </c>
      <c r="B40" s="2" t="e">
        <f>B7/'Output-Calculation-sheet'!B6*'Output-Calculation-sheet'!B33*0.0114</f>
        <v>#DIV/0!</v>
      </c>
      <c r="C40" s="2" t="e">
        <f>C7/'Output-Calculation-sheet'!C6*'Output-Calculation-sheet'!C33*0.0114</f>
        <v>#DIV/0!</v>
      </c>
      <c r="D40" s="2" t="e">
        <f>D7/'Output-Calculation-sheet'!D6*'Output-Calculation-sheet'!D33*0.0114</f>
        <v>#DIV/0!</v>
      </c>
      <c r="E40" s="2" t="e">
        <f>E7/'Output-Calculation-sheet'!E6*'Output-Calculation-sheet'!E33*0.0114</f>
        <v>#DIV/0!</v>
      </c>
      <c r="F40" s="2" t="e">
        <f>F7/'Output-Calculation-sheet'!F6*'Output-Calculation-sheet'!F33*0.0114</f>
        <v>#DIV/0!</v>
      </c>
      <c r="G40" s="2" t="e">
        <f>G7/'Output-Calculation-sheet'!G6*'Output-Calculation-sheet'!G33*0.0114</f>
        <v>#DIV/0!</v>
      </c>
      <c r="H40" s="2" t="e">
        <f>H7/'Output-Calculation-sheet'!H6*'Output-Calculation-sheet'!H33*0.0114</f>
        <v>#DIV/0!</v>
      </c>
      <c r="I40" s="2" t="e">
        <f>I7/'Output-Calculation-sheet'!I6*'Output-Calculation-sheet'!I33*0.0114</f>
        <v>#DIV/0!</v>
      </c>
      <c r="J40" s="2" t="e">
        <f>J7/'Output-Calculation-sheet'!J6*'Output-Calculation-sheet'!J33*0.0114</f>
        <v>#DIV/0!</v>
      </c>
      <c r="K40" s="2" t="e">
        <f>K7/'Output-Calculation-sheet'!K6*'Output-Calculation-sheet'!K33*0.0114</f>
        <v>#DIV/0!</v>
      </c>
      <c r="L40" s="2" t="e">
        <f>L7/'Output-Calculation-sheet'!L6*'Output-Calculation-sheet'!L33*0.0114</f>
        <v>#DIV/0!</v>
      </c>
      <c r="M40" s="2" t="e">
        <f>M7/'Output-Calculation-sheet'!M6*'Output-Calculation-sheet'!M33*0.0114</f>
        <v>#DIV/0!</v>
      </c>
      <c r="N40" s="2" t="e">
        <f>N7/'Output-Calculation-sheet'!N6*'Output-Calculation-sheet'!N33*0.0114</f>
        <v>#DIV/0!</v>
      </c>
      <c r="O40" s="2" t="e">
        <f>O7/'Output-Calculation-sheet'!O6*'Output-Calculation-sheet'!O33*0.0114</f>
        <v>#DIV/0!</v>
      </c>
      <c r="P40" s="2" t="e">
        <f>P7/'Output-Calculation-sheet'!P6*'Output-Calculation-sheet'!P33*0.0114</f>
        <v>#DIV/0!</v>
      </c>
      <c r="Q40" s="2" t="e">
        <f>Q7/'Output-Calculation-sheet'!Q6*'Output-Calculation-sheet'!Q33*0.0114</f>
        <v>#DIV/0!</v>
      </c>
      <c r="R40" s="2" t="e">
        <f>R7/'Output-Calculation-sheet'!R6*'Output-Calculation-sheet'!R33*0.0114</f>
        <v>#DIV/0!</v>
      </c>
      <c r="S40" s="2" t="e">
        <f>S7/'Output-Calculation-sheet'!S6*'Output-Calculation-sheet'!S33*0.0114</f>
        <v>#DIV/0!</v>
      </c>
      <c r="T40" s="2" t="e">
        <f>T7/'Output-Calculation-sheet'!T6*'Output-Calculation-sheet'!T33*0.0114</f>
        <v>#DIV/0!</v>
      </c>
      <c r="U40" s="2" t="e">
        <f>U7/'Output-Calculation-sheet'!U6*'Output-Calculation-sheet'!U33*0.0114</f>
        <v>#DIV/0!</v>
      </c>
      <c r="V40" s="2" t="e">
        <f>V7/'Output-Calculation-sheet'!V6*'Output-Calculation-sheet'!V33*0.0114</f>
        <v>#DIV/0!</v>
      </c>
      <c r="W40" s="2" t="e">
        <f>W7/'Output-Calculation-sheet'!W6*'Output-Calculation-sheet'!W33*0.0114</f>
        <v>#DIV/0!</v>
      </c>
      <c r="X40" s="2" t="e">
        <f>X7/'Output-Calculation-sheet'!X6*'Output-Calculation-sheet'!X33*0.0114</f>
        <v>#DIV/0!</v>
      </c>
      <c r="Y40" s="2" t="e">
        <f>Y7/'Output-Calculation-sheet'!Y6*'Output-Calculation-sheet'!Y33*0.0114</f>
        <v>#DIV/0!</v>
      </c>
      <c r="AA40" s="2" t="e">
        <f t="shared" si="2"/>
        <v>#DIV/0!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 t="e">
        <f>B5/'Output-Calculation-sheet'!B4*'Output-Calculation-sheet'!B40</f>
        <v>#DIV/0!</v>
      </c>
      <c r="C49" s="2" t="e">
        <f>C5/'Output-Calculation-sheet'!C4*'Output-Calculation-sheet'!C40</f>
        <v>#DIV/0!</v>
      </c>
      <c r="D49" s="2" t="e">
        <f>D5/'Output-Calculation-sheet'!D4*'Output-Calculation-sheet'!D40</f>
        <v>#DIV/0!</v>
      </c>
      <c r="E49" s="2" t="e">
        <f>E5/'Output-Calculation-sheet'!E4*'Output-Calculation-sheet'!E40</f>
        <v>#DIV/0!</v>
      </c>
      <c r="F49" s="2" t="e">
        <f>F5/'Output-Calculation-sheet'!F4*'Output-Calculation-sheet'!F40</f>
        <v>#DIV/0!</v>
      </c>
      <c r="G49" s="2" t="e">
        <f>G5/'Output-Calculation-sheet'!G4*'Output-Calculation-sheet'!G40</f>
        <v>#DIV/0!</v>
      </c>
      <c r="H49" s="2" t="e">
        <f>H5/'Output-Calculation-sheet'!H4*'Output-Calculation-sheet'!H40</f>
        <v>#DIV/0!</v>
      </c>
      <c r="I49" s="2" t="e">
        <f>I5/'Output-Calculation-sheet'!I4*'Output-Calculation-sheet'!I40</f>
        <v>#DIV/0!</v>
      </c>
      <c r="J49" s="2" t="e">
        <f>J5/'Output-Calculation-sheet'!J4*'Output-Calculation-sheet'!J40</f>
        <v>#DIV/0!</v>
      </c>
      <c r="K49" s="2" t="e">
        <f>K5/'Output-Calculation-sheet'!K4*'Output-Calculation-sheet'!K40</f>
        <v>#DIV/0!</v>
      </c>
      <c r="L49" s="2" t="e">
        <f>L5/'Output-Calculation-sheet'!L4*'Output-Calculation-sheet'!L40</f>
        <v>#DIV/0!</v>
      </c>
      <c r="M49" s="2" t="e">
        <f>M5/'Output-Calculation-sheet'!M4*'Output-Calculation-sheet'!M40</f>
        <v>#DIV/0!</v>
      </c>
      <c r="N49" s="2" t="e">
        <f>N5/'Output-Calculation-sheet'!N4*'Output-Calculation-sheet'!N40</f>
        <v>#DIV/0!</v>
      </c>
      <c r="O49" s="2" t="e">
        <f>O5/'Output-Calculation-sheet'!O4*'Output-Calculation-sheet'!O40</f>
        <v>#DIV/0!</v>
      </c>
      <c r="P49" s="2" t="e">
        <f>P5/'Output-Calculation-sheet'!P4*'Output-Calculation-sheet'!P40</f>
        <v>#DIV/0!</v>
      </c>
      <c r="Q49" s="2" t="e">
        <f>Q5/'Output-Calculation-sheet'!Q4*'Output-Calculation-sheet'!Q40</f>
        <v>#DIV/0!</v>
      </c>
      <c r="R49" s="2" t="e">
        <f>R5/'Output-Calculation-sheet'!R4*'Output-Calculation-sheet'!R40</f>
        <v>#DIV/0!</v>
      </c>
      <c r="S49" s="2" t="e">
        <f>S5/'Output-Calculation-sheet'!S4*'Output-Calculation-sheet'!S40</f>
        <v>#DIV/0!</v>
      </c>
      <c r="T49" s="2" t="e">
        <f>T5/'Output-Calculation-sheet'!T4*'Output-Calculation-sheet'!T40</f>
        <v>#DIV/0!</v>
      </c>
      <c r="U49" s="2" t="e">
        <f>U5/'Output-Calculation-sheet'!U4*'Output-Calculation-sheet'!U40</f>
        <v>#DIV/0!</v>
      </c>
      <c r="V49" s="2" t="e">
        <f>V5/'Output-Calculation-sheet'!V4*'Output-Calculation-sheet'!V40</f>
        <v>#DIV/0!</v>
      </c>
      <c r="W49" s="2" t="e">
        <f>W5/'Output-Calculation-sheet'!W4*'Output-Calculation-sheet'!W40</f>
        <v>#DIV/0!</v>
      </c>
      <c r="X49" s="2" t="e">
        <f>X5/'Output-Calculation-sheet'!X4*'Output-Calculation-sheet'!X40</f>
        <v>#DIV/0!</v>
      </c>
      <c r="Y49" s="2" t="e">
        <f>Y5/'Output-Calculation-sheet'!Y4*'Output-Calculation-sheet'!Y40</f>
        <v>#DIV/0!</v>
      </c>
      <c r="AA49" s="2" t="e">
        <f>SUM(B49:Y49)/1000</f>
        <v>#DIV/0!</v>
      </c>
    </row>
    <row r="50" spans="1:27" x14ac:dyDescent="0.25">
      <c r="A50" s="2">
        <v>2029</v>
      </c>
      <c r="B50" s="2" t="e">
        <f>B6/'Output-Calculation-sheet'!B5*'Output-Calculation-sheet'!B41</f>
        <v>#DIV/0!</v>
      </c>
      <c r="C50" s="2" t="e">
        <f>C6/'Output-Calculation-sheet'!C5*'Output-Calculation-sheet'!C41</f>
        <v>#DIV/0!</v>
      </c>
      <c r="D50" s="2" t="e">
        <f>D6/'Output-Calculation-sheet'!D5*'Output-Calculation-sheet'!D41</f>
        <v>#DIV/0!</v>
      </c>
      <c r="E50" s="2" t="e">
        <f>E6/'Output-Calculation-sheet'!E5*'Output-Calculation-sheet'!E41</f>
        <v>#DIV/0!</v>
      </c>
      <c r="F50" s="2" t="e">
        <f>F6/'Output-Calculation-sheet'!F5*'Output-Calculation-sheet'!F41</f>
        <v>#DIV/0!</v>
      </c>
      <c r="G50" s="2" t="e">
        <f>G6/'Output-Calculation-sheet'!G5*'Output-Calculation-sheet'!G41</f>
        <v>#DIV/0!</v>
      </c>
      <c r="H50" s="2" t="e">
        <f>H6/'Output-Calculation-sheet'!H5*'Output-Calculation-sheet'!H41</f>
        <v>#DIV/0!</v>
      </c>
      <c r="I50" s="2" t="e">
        <f>I6/'Output-Calculation-sheet'!I5*'Output-Calculation-sheet'!I41</f>
        <v>#DIV/0!</v>
      </c>
      <c r="J50" s="2" t="e">
        <f>J6/'Output-Calculation-sheet'!J5*'Output-Calculation-sheet'!J41</f>
        <v>#DIV/0!</v>
      </c>
      <c r="K50" s="2" t="e">
        <f>K6/'Output-Calculation-sheet'!K5*'Output-Calculation-sheet'!K41</f>
        <v>#DIV/0!</v>
      </c>
      <c r="L50" s="2" t="e">
        <f>L6/'Output-Calculation-sheet'!L5*'Output-Calculation-sheet'!L41</f>
        <v>#DIV/0!</v>
      </c>
      <c r="M50" s="2" t="e">
        <f>M6/'Output-Calculation-sheet'!M5*'Output-Calculation-sheet'!M41</f>
        <v>#DIV/0!</v>
      </c>
      <c r="N50" s="2" t="e">
        <f>N6/'Output-Calculation-sheet'!N5*'Output-Calculation-sheet'!N41</f>
        <v>#DIV/0!</v>
      </c>
      <c r="O50" s="2" t="e">
        <f>O6/'Output-Calculation-sheet'!O5*'Output-Calculation-sheet'!O41</f>
        <v>#DIV/0!</v>
      </c>
      <c r="P50" s="2" t="e">
        <f>P6/'Output-Calculation-sheet'!P5*'Output-Calculation-sheet'!P41</f>
        <v>#DIV/0!</v>
      </c>
      <c r="Q50" s="2" t="e">
        <f>Q6/'Output-Calculation-sheet'!Q5*'Output-Calculation-sheet'!Q41</f>
        <v>#DIV/0!</v>
      </c>
      <c r="R50" s="2" t="e">
        <f>R6/'Output-Calculation-sheet'!R5*'Output-Calculation-sheet'!R41</f>
        <v>#DIV/0!</v>
      </c>
      <c r="S50" s="2" t="e">
        <f>S6/'Output-Calculation-sheet'!S5*'Output-Calculation-sheet'!S41</f>
        <v>#DIV/0!</v>
      </c>
      <c r="T50" s="2" t="e">
        <f>T6/'Output-Calculation-sheet'!T5*'Output-Calculation-sheet'!T41</f>
        <v>#DIV/0!</v>
      </c>
      <c r="U50" s="2" t="e">
        <f>U6/'Output-Calculation-sheet'!U5*'Output-Calculation-sheet'!U41</f>
        <v>#DIV/0!</v>
      </c>
      <c r="V50" s="2" t="e">
        <f>V6/'Output-Calculation-sheet'!V5*'Output-Calculation-sheet'!V41</f>
        <v>#DIV/0!</v>
      </c>
      <c r="W50" s="2" t="e">
        <f>W6/'Output-Calculation-sheet'!W5*'Output-Calculation-sheet'!W41</f>
        <v>#DIV/0!</v>
      </c>
      <c r="X50" s="2" t="e">
        <f>X6/'Output-Calculation-sheet'!X5*'Output-Calculation-sheet'!X41</f>
        <v>#DIV/0!</v>
      </c>
      <c r="Y50" s="2" t="e">
        <f>Y6/'Output-Calculation-sheet'!Y5*'Output-Calculation-sheet'!Y41</f>
        <v>#DIV/0!</v>
      </c>
      <c r="AA50" s="2" t="e">
        <f t="shared" ref="AA50:AA56" si="3">SUM(B50:Y50)/1000</f>
        <v>#DIV/0!</v>
      </c>
    </row>
    <row r="51" spans="1:27" x14ac:dyDescent="0.25">
      <c r="A51" s="2">
        <v>2030</v>
      </c>
      <c r="B51" s="2" t="e">
        <f>B7/'Output-Calculation-sheet'!B6*'Output-Calculation-sheet'!B42</f>
        <v>#DIV/0!</v>
      </c>
      <c r="C51" s="2" t="e">
        <f>C7/'Output-Calculation-sheet'!C6*'Output-Calculation-sheet'!C42</f>
        <v>#DIV/0!</v>
      </c>
      <c r="D51" s="2" t="e">
        <f>D7/'Output-Calculation-sheet'!D6*'Output-Calculation-sheet'!D42</f>
        <v>#DIV/0!</v>
      </c>
      <c r="E51" s="2" t="e">
        <f>E7/'Output-Calculation-sheet'!E6*'Output-Calculation-sheet'!E42</f>
        <v>#DIV/0!</v>
      </c>
      <c r="F51" s="2" t="e">
        <f>F7/'Output-Calculation-sheet'!F6*'Output-Calculation-sheet'!F42</f>
        <v>#DIV/0!</v>
      </c>
      <c r="G51" s="2" t="e">
        <f>G7/'Output-Calculation-sheet'!G6*'Output-Calculation-sheet'!G42</f>
        <v>#DIV/0!</v>
      </c>
      <c r="H51" s="2" t="e">
        <f>H7/'Output-Calculation-sheet'!H6*'Output-Calculation-sheet'!H42</f>
        <v>#DIV/0!</v>
      </c>
      <c r="I51" s="2" t="e">
        <f>I7/'Output-Calculation-sheet'!I6*'Output-Calculation-sheet'!I42</f>
        <v>#DIV/0!</v>
      </c>
      <c r="J51" s="2" t="e">
        <f>J7/'Output-Calculation-sheet'!J6*'Output-Calculation-sheet'!J42</f>
        <v>#DIV/0!</v>
      </c>
      <c r="K51" s="2" t="e">
        <f>K7/'Output-Calculation-sheet'!K6*'Output-Calculation-sheet'!K42</f>
        <v>#DIV/0!</v>
      </c>
      <c r="L51" s="2" t="e">
        <f>L7/'Output-Calculation-sheet'!L6*'Output-Calculation-sheet'!L42</f>
        <v>#DIV/0!</v>
      </c>
      <c r="M51" s="2" t="e">
        <f>M7/'Output-Calculation-sheet'!M6*'Output-Calculation-sheet'!M42</f>
        <v>#DIV/0!</v>
      </c>
      <c r="N51" s="2" t="e">
        <f>N7/'Output-Calculation-sheet'!N6*'Output-Calculation-sheet'!N42</f>
        <v>#DIV/0!</v>
      </c>
      <c r="O51" s="2" t="e">
        <f>O7/'Output-Calculation-sheet'!O6*'Output-Calculation-sheet'!O42</f>
        <v>#DIV/0!</v>
      </c>
      <c r="P51" s="2" t="e">
        <f>P7/'Output-Calculation-sheet'!P6*'Output-Calculation-sheet'!P42</f>
        <v>#DIV/0!</v>
      </c>
      <c r="Q51" s="2" t="e">
        <f>Q7/'Output-Calculation-sheet'!Q6*'Output-Calculation-sheet'!Q42</f>
        <v>#DIV/0!</v>
      </c>
      <c r="R51" s="2" t="e">
        <f>R7/'Output-Calculation-sheet'!R6*'Output-Calculation-sheet'!R42</f>
        <v>#DIV/0!</v>
      </c>
      <c r="S51" s="2" t="e">
        <f>S7/'Output-Calculation-sheet'!S6*'Output-Calculation-sheet'!S42</f>
        <v>#DIV/0!</v>
      </c>
      <c r="T51" s="2" t="e">
        <f>T7/'Output-Calculation-sheet'!T6*'Output-Calculation-sheet'!T42</f>
        <v>#DIV/0!</v>
      </c>
      <c r="U51" s="2" t="e">
        <f>U7/'Output-Calculation-sheet'!U6*'Output-Calculation-sheet'!U42</f>
        <v>#DIV/0!</v>
      </c>
      <c r="V51" s="2" t="e">
        <f>V7/'Output-Calculation-sheet'!V6*'Output-Calculation-sheet'!V42</f>
        <v>#DIV/0!</v>
      </c>
      <c r="W51" s="2" t="e">
        <f>W7/'Output-Calculation-sheet'!W6*'Output-Calculation-sheet'!W42</f>
        <v>#DIV/0!</v>
      </c>
      <c r="X51" s="2" t="e">
        <f>X7/'Output-Calculation-sheet'!X6*'Output-Calculation-sheet'!X42</f>
        <v>#DIV/0!</v>
      </c>
      <c r="Y51" s="2" t="e">
        <f>Y7/'Output-Calculation-sheet'!Y6*'Output-Calculation-sheet'!Y42</f>
        <v>#DIV/0!</v>
      </c>
      <c r="AA51" s="2" t="e">
        <f t="shared" si="3"/>
        <v>#DIV/0!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 t="e">
        <f>B5/'Output-Calculation-sheet'!B4*'Output-Calculation-sheet'!B58</f>
        <v>#DIV/0!</v>
      </c>
      <c r="C71" s="2" t="e">
        <f>C5/'Output-Calculation-sheet'!C4*'Output-Calculation-sheet'!C58</f>
        <v>#DIV/0!</v>
      </c>
      <c r="D71" s="2" t="e">
        <f>D5/'Output-Calculation-sheet'!D4*'Output-Calculation-sheet'!D58</f>
        <v>#DIV/0!</v>
      </c>
      <c r="E71" s="2" t="e">
        <f>E5/'Output-Calculation-sheet'!E4*'Output-Calculation-sheet'!E58</f>
        <v>#DIV/0!</v>
      </c>
      <c r="F71" s="2" t="e">
        <f>F5/'Output-Calculation-sheet'!F4*'Output-Calculation-sheet'!F58</f>
        <v>#DIV/0!</v>
      </c>
      <c r="G71" s="2" t="e">
        <f>G5/'Output-Calculation-sheet'!G4*'Output-Calculation-sheet'!G58</f>
        <v>#DIV/0!</v>
      </c>
      <c r="H71" s="2" t="e">
        <f>H5/'Output-Calculation-sheet'!H4*'Output-Calculation-sheet'!H58</f>
        <v>#DIV/0!</v>
      </c>
      <c r="I71" s="2" t="e">
        <f>I5/'Output-Calculation-sheet'!I4*'Output-Calculation-sheet'!I58</f>
        <v>#DIV/0!</v>
      </c>
      <c r="J71" s="2" t="e">
        <f>J5/'Output-Calculation-sheet'!J4*'Output-Calculation-sheet'!J58</f>
        <v>#DIV/0!</v>
      </c>
      <c r="K71" s="2" t="e">
        <f>K5/'Output-Calculation-sheet'!K4*'Output-Calculation-sheet'!K58</f>
        <v>#DIV/0!</v>
      </c>
      <c r="L71" s="2" t="e">
        <f>L5/'Output-Calculation-sheet'!L4*'Output-Calculation-sheet'!L58</f>
        <v>#DIV/0!</v>
      </c>
      <c r="M71" s="2" t="e">
        <f>M5/'Output-Calculation-sheet'!M4*'Output-Calculation-sheet'!M58</f>
        <v>#DIV/0!</v>
      </c>
      <c r="N71" s="2" t="e">
        <f>N5/'Output-Calculation-sheet'!N4*'Output-Calculation-sheet'!N58</f>
        <v>#DIV/0!</v>
      </c>
      <c r="O71" s="2" t="e">
        <f>O5/'Output-Calculation-sheet'!O4*'Output-Calculation-sheet'!O58</f>
        <v>#DIV/0!</v>
      </c>
      <c r="P71" s="2" t="e">
        <f>P5/'Output-Calculation-sheet'!P4*'Output-Calculation-sheet'!P58</f>
        <v>#DIV/0!</v>
      </c>
      <c r="Q71" s="2" t="e">
        <f>Q5/'Output-Calculation-sheet'!Q4*'Output-Calculation-sheet'!Q58</f>
        <v>#DIV/0!</v>
      </c>
      <c r="R71" s="2" t="e">
        <f>R5/'Output-Calculation-sheet'!R4*'Output-Calculation-sheet'!R58</f>
        <v>#DIV/0!</v>
      </c>
      <c r="S71" s="2" t="e">
        <f>S5/'Output-Calculation-sheet'!S4*'Output-Calculation-sheet'!S58</f>
        <v>#DIV/0!</v>
      </c>
      <c r="T71" s="2" t="e">
        <f>T5/'Output-Calculation-sheet'!T4*'Output-Calculation-sheet'!T58</f>
        <v>#DIV/0!</v>
      </c>
      <c r="U71" s="2" t="e">
        <f>U5/'Output-Calculation-sheet'!U4*'Output-Calculation-sheet'!U58</f>
        <v>#DIV/0!</v>
      </c>
      <c r="V71" s="2" t="e">
        <f>V5/'Output-Calculation-sheet'!V4*'Output-Calculation-sheet'!V58</f>
        <v>#DIV/0!</v>
      </c>
      <c r="W71" s="2" t="e">
        <f>W5/'Output-Calculation-sheet'!W4*'Output-Calculation-sheet'!W58</f>
        <v>#DIV/0!</v>
      </c>
      <c r="X71" s="2" t="e">
        <f>X5/'Output-Calculation-sheet'!X4*'Output-Calculation-sheet'!X58</f>
        <v>#DIV/0!</v>
      </c>
      <c r="Y71" s="2" t="e">
        <f>Y5/'Output-Calculation-sheet'!Y4*'Output-Calculation-sheet'!Y58</f>
        <v>#DIV/0!</v>
      </c>
      <c r="AA71" s="2" t="e">
        <f>SUM(B71:Y71)/1000</f>
        <v>#DIV/0!</v>
      </c>
    </row>
    <row r="72" spans="1:27" x14ac:dyDescent="0.25">
      <c r="A72" s="2">
        <v>2029</v>
      </c>
      <c r="B72" s="2" t="e">
        <f>B6/'Output-Calculation-sheet'!B5*'Output-Calculation-sheet'!B59</f>
        <v>#DIV/0!</v>
      </c>
      <c r="C72" s="2" t="e">
        <f>C6/'Output-Calculation-sheet'!C5*'Output-Calculation-sheet'!C59</f>
        <v>#DIV/0!</v>
      </c>
      <c r="D72" s="2" t="e">
        <f>D6/'Output-Calculation-sheet'!D5*'Output-Calculation-sheet'!D59</f>
        <v>#DIV/0!</v>
      </c>
      <c r="E72" s="2" t="e">
        <f>E6/'Output-Calculation-sheet'!E5*'Output-Calculation-sheet'!E59</f>
        <v>#DIV/0!</v>
      </c>
      <c r="F72" s="2" t="e">
        <f>F6/'Output-Calculation-sheet'!F5*'Output-Calculation-sheet'!F59</f>
        <v>#DIV/0!</v>
      </c>
      <c r="G72" s="2" t="e">
        <f>G6/'Output-Calculation-sheet'!G5*'Output-Calculation-sheet'!G59</f>
        <v>#DIV/0!</v>
      </c>
      <c r="H72" s="2" t="e">
        <f>H6/'Output-Calculation-sheet'!H5*'Output-Calculation-sheet'!H59</f>
        <v>#DIV/0!</v>
      </c>
      <c r="I72" s="2" t="e">
        <f>I6/'Output-Calculation-sheet'!I5*'Output-Calculation-sheet'!I59</f>
        <v>#DIV/0!</v>
      </c>
      <c r="J72" s="2" t="e">
        <f>J6/'Output-Calculation-sheet'!J5*'Output-Calculation-sheet'!J59</f>
        <v>#DIV/0!</v>
      </c>
      <c r="K72" s="2" t="e">
        <f>K6/'Output-Calculation-sheet'!K5*'Output-Calculation-sheet'!K59</f>
        <v>#DIV/0!</v>
      </c>
      <c r="L72" s="2" t="e">
        <f>L6/'Output-Calculation-sheet'!L5*'Output-Calculation-sheet'!L59</f>
        <v>#DIV/0!</v>
      </c>
      <c r="M72" s="2" t="e">
        <f>M6/'Output-Calculation-sheet'!M5*'Output-Calculation-sheet'!M59</f>
        <v>#DIV/0!</v>
      </c>
      <c r="N72" s="2" t="e">
        <f>N6/'Output-Calculation-sheet'!N5*'Output-Calculation-sheet'!N59</f>
        <v>#DIV/0!</v>
      </c>
      <c r="O72" s="2" t="e">
        <f>O6/'Output-Calculation-sheet'!O5*'Output-Calculation-sheet'!O59</f>
        <v>#DIV/0!</v>
      </c>
      <c r="P72" s="2" t="e">
        <f>P6/'Output-Calculation-sheet'!P5*'Output-Calculation-sheet'!P59</f>
        <v>#DIV/0!</v>
      </c>
      <c r="Q72" s="2" t="e">
        <f>Q6/'Output-Calculation-sheet'!Q5*'Output-Calculation-sheet'!Q59</f>
        <v>#DIV/0!</v>
      </c>
      <c r="R72" s="2" t="e">
        <f>R6/'Output-Calculation-sheet'!R5*'Output-Calculation-sheet'!R59</f>
        <v>#DIV/0!</v>
      </c>
      <c r="S72" s="2" t="e">
        <f>S6/'Output-Calculation-sheet'!S5*'Output-Calculation-sheet'!S59</f>
        <v>#DIV/0!</v>
      </c>
      <c r="T72" s="2" t="e">
        <f>T6/'Output-Calculation-sheet'!T5*'Output-Calculation-sheet'!T59</f>
        <v>#DIV/0!</v>
      </c>
      <c r="U72" s="2" t="e">
        <f>U6/'Output-Calculation-sheet'!U5*'Output-Calculation-sheet'!U59</f>
        <v>#DIV/0!</v>
      </c>
      <c r="V72" s="2" t="e">
        <f>V6/'Output-Calculation-sheet'!V5*'Output-Calculation-sheet'!V59</f>
        <v>#DIV/0!</v>
      </c>
      <c r="W72" s="2" t="e">
        <f>W6/'Output-Calculation-sheet'!W5*'Output-Calculation-sheet'!W59</f>
        <v>#DIV/0!</v>
      </c>
      <c r="X72" s="2" t="e">
        <f>X6/'Output-Calculation-sheet'!X5*'Output-Calculation-sheet'!X59</f>
        <v>#DIV/0!</v>
      </c>
      <c r="Y72" s="2" t="e">
        <f>Y6/'Output-Calculation-sheet'!Y5*'Output-Calculation-sheet'!Y59</f>
        <v>#DIV/0!</v>
      </c>
      <c r="AA72" s="2" t="e">
        <f t="shared" ref="AA72:AA78" si="5">SUM(B72:Y72)/1000</f>
        <v>#DIV/0!</v>
      </c>
    </row>
    <row r="73" spans="1:27" x14ac:dyDescent="0.25">
      <c r="A73" s="2">
        <v>2030</v>
      </c>
      <c r="B73" s="2" t="e">
        <f>B7/'Output-Calculation-sheet'!B6*'Output-Calculation-sheet'!B60</f>
        <v>#DIV/0!</v>
      </c>
      <c r="C73" s="2" t="e">
        <f>C7/'Output-Calculation-sheet'!C6*'Output-Calculation-sheet'!C60</f>
        <v>#DIV/0!</v>
      </c>
      <c r="D73" s="2" t="e">
        <f>D7/'Output-Calculation-sheet'!D6*'Output-Calculation-sheet'!D60</f>
        <v>#DIV/0!</v>
      </c>
      <c r="E73" s="2" t="e">
        <f>E7/'Output-Calculation-sheet'!E6*'Output-Calculation-sheet'!E60</f>
        <v>#DIV/0!</v>
      </c>
      <c r="F73" s="2" t="e">
        <f>F7/'Output-Calculation-sheet'!F6*'Output-Calculation-sheet'!F60</f>
        <v>#DIV/0!</v>
      </c>
      <c r="G73" s="2" t="e">
        <f>G7/'Output-Calculation-sheet'!G6*'Output-Calculation-sheet'!G60</f>
        <v>#DIV/0!</v>
      </c>
      <c r="H73" s="2" t="e">
        <f>H7/'Output-Calculation-sheet'!H6*'Output-Calculation-sheet'!H60</f>
        <v>#DIV/0!</v>
      </c>
      <c r="I73" s="2" t="e">
        <f>I7/'Output-Calculation-sheet'!I6*'Output-Calculation-sheet'!I60</f>
        <v>#DIV/0!</v>
      </c>
      <c r="J73" s="2" t="e">
        <f>J7/'Output-Calculation-sheet'!J6*'Output-Calculation-sheet'!J60</f>
        <v>#DIV/0!</v>
      </c>
      <c r="K73" s="2" t="e">
        <f>K7/'Output-Calculation-sheet'!K6*'Output-Calculation-sheet'!K60</f>
        <v>#DIV/0!</v>
      </c>
      <c r="L73" s="2" t="e">
        <f>L7/'Output-Calculation-sheet'!L6*'Output-Calculation-sheet'!L60</f>
        <v>#DIV/0!</v>
      </c>
      <c r="M73" s="2" t="e">
        <f>M7/'Output-Calculation-sheet'!M6*'Output-Calculation-sheet'!M60</f>
        <v>#DIV/0!</v>
      </c>
      <c r="N73" s="2" t="e">
        <f>N7/'Output-Calculation-sheet'!N6*'Output-Calculation-sheet'!N60</f>
        <v>#DIV/0!</v>
      </c>
      <c r="O73" s="2" t="e">
        <f>O7/'Output-Calculation-sheet'!O6*'Output-Calculation-sheet'!O60</f>
        <v>#DIV/0!</v>
      </c>
      <c r="P73" s="2" t="e">
        <f>P7/'Output-Calculation-sheet'!P6*'Output-Calculation-sheet'!P60</f>
        <v>#DIV/0!</v>
      </c>
      <c r="Q73" s="2" t="e">
        <f>Q7/'Output-Calculation-sheet'!Q6*'Output-Calculation-sheet'!Q60</f>
        <v>#DIV/0!</v>
      </c>
      <c r="R73" s="2" t="e">
        <f>R7/'Output-Calculation-sheet'!R6*'Output-Calculation-sheet'!R60</f>
        <v>#DIV/0!</v>
      </c>
      <c r="S73" s="2" t="e">
        <f>S7/'Output-Calculation-sheet'!S6*'Output-Calculation-sheet'!S60</f>
        <v>#DIV/0!</v>
      </c>
      <c r="T73" s="2" t="e">
        <f>T7/'Output-Calculation-sheet'!T6*'Output-Calculation-sheet'!T60</f>
        <v>#DIV/0!</v>
      </c>
      <c r="U73" s="2" t="e">
        <f>U7/'Output-Calculation-sheet'!U6*'Output-Calculation-sheet'!U60</f>
        <v>#DIV/0!</v>
      </c>
      <c r="V73" s="2" t="e">
        <f>V7/'Output-Calculation-sheet'!V6*'Output-Calculation-sheet'!V60</f>
        <v>#DIV/0!</v>
      </c>
      <c r="W73" s="2" t="e">
        <f>W7/'Output-Calculation-sheet'!W6*'Output-Calculation-sheet'!W60</f>
        <v>#DIV/0!</v>
      </c>
      <c r="X73" s="2" t="e">
        <f>X7/'Output-Calculation-sheet'!X6*'Output-Calculation-sheet'!X60</f>
        <v>#DIV/0!</v>
      </c>
      <c r="Y73" s="2" t="e">
        <f>Y7/'Output-Calculation-sheet'!Y6*'Output-Calculation-sheet'!Y60</f>
        <v>#DIV/0!</v>
      </c>
      <c r="AA73" s="2" t="e">
        <f t="shared" si="5"/>
        <v>#DIV/0!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 t="e">
        <f>B5/'Output-Calculation-sheet'!B4*'Output-Calculation-sheet'!B67</f>
        <v>#DIV/0!</v>
      </c>
      <c r="C82" s="2" t="e">
        <f>C5/'Output-Calculation-sheet'!C4*'Output-Calculation-sheet'!C67</f>
        <v>#DIV/0!</v>
      </c>
      <c r="D82" s="2" t="e">
        <f>D5/'Output-Calculation-sheet'!D4*'Output-Calculation-sheet'!D67</f>
        <v>#DIV/0!</v>
      </c>
      <c r="E82" s="2" t="e">
        <f>E5/'Output-Calculation-sheet'!E4*'Output-Calculation-sheet'!E67</f>
        <v>#DIV/0!</v>
      </c>
      <c r="F82" s="2" t="e">
        <f>F5/'Output-Calculation-sheet'!F4*'Output-Calculation-sheet'!F67</f>
        <v>#DIV/0!</v>
      </c>
      <c r="G82" s="2" t="e">
        <f>G5/'Output-Calculation-sheet'!G4*'Output-Calculation-sheet'!G67</f>
        <v>#DIV/0!</v>
      </c>
      <c r="H82" s="2" t="e">
        <f>H5/'Output-Calculation-sheet'!H4*'Output-Calculation-sheet'!H67</f>
        <v>#DIV/0!</v>
      </c>
      <c r="I82" s="2" t="e">
        <f>I5/'Output-Calculation-sheet'!I4*'Output-Calculation-sheet'!I67</f>
        <v>#DIV/0!</v>
      </c>
      <c r="J82" s="2" t="e">
        <f>J5/'Output-Calculation-sheet'!J4*'Output-Calculation-sheet'!J67</f>
        <v>#DIV/0!</v>
      </c>
      <c r="K82" s="2" t="e">
        <f>K5/'Output-Calculation-sheet'!K4*'Output-Calculation-sheet'!K67</f>
        <v>#DIV/0!</v>
      </c>
      <c r="L82" s="2" t="e">
        <f>L5/'Output-Calculation-sheet'!L4*'Output-Calculation-sheet'!L67</f>
        <v>#DIV/0!</v>
      </c>
      <c r="M82" s="2" t="e">
        <f>M5/'Output-Calculation-sheet'!M4*'Output-Calculation-sheet'!M67</f>
        <v>#DIV/0!</v>
      </c>
      <c r="N82" s="2" t="e">
        <f>N5/'Output-Calculation-sheet'!N4*'Output-Calculation-sheet'!N67</f>
        <v>#DIV/0!</v>
      </c>
      <c r="O82" s="2" t="e">
        <f>O5/'Output-Calculation-sheet'!O4*'Output-Calculation-sheet'!O67</f>
        <v>#DIV/0!</v>
      </c>
      <c r="P82" s="2" t="e">
        <f>P5/'Output-Calculation-sheet'!P4*'Output-Calculation-sheet'!P67</f>
        <v>#DIV/0!</v>
      </c>
      <c r="Q82" s="2" t="e">
        <f>Q5/'Output-Calculation-sheet'!Q4*'Output-Calculation-sheet'!Q67</f>
        <v>#DIV/0!</v>
      </c>
      <c r="R82" s="2" t="e">
        <f>R5/'Output-Calculation-sheet'!R4*'Output-Calculation-sheet'!R67</f>
        <v>#DIV/0!</v>
      </c>
      <c r="S82" s="2" t="e">
        <f>S5/'Output-Calculation-sheet'!S4*'Output-Calculation-sheet'!S67</f>
        <v>#DIV/0!</v>
      </c>
      <c r="T82" s="2" t="e">
        <f>T5/'Output-Calculation-sheet'!T4*'Output-Calculation-sheet'!T67</f>
        <v>#DIV/0!</v>
      </c>
      <c r="U82" s="2" t="e">
        <f>U5/'Output-Calculation-sheet'!U4*'Output-Calculation-sheet'!U67</f>
        <v>#DIV/0!</v>
      </c>
      <c r="V82" s="2" t="e">
        <f>V5/'Output-Calculation-sheet'!V4*'Output-Calculation-sheet'!V67</f>
        <v>#DIV/0!</v>
      </c>
      <c r="W82" s="2" t="e">
        <f>W5/'Output-Calculation-sheet'!W4*'Output-Calculation-sheet'!W67</f>
        <v>#DIV/0!</v>
      </c>
      <c r="X82" s="2" t="e">
        <f>X5/'Output-Calculation-sheet'!X4*'Output-Calculation-sheet'!X67</f>
        <v>#DIV/0!</v>
      </c>
      <c r="Y82" s="2" t="e">
        <f>Y5/'Output-Calculation-sheet'!Y4*'Output-Calculation-sheet'!Y67</f>
        <v>#DIV/0!</v>
      </c>
      <c r="AA82" s="2" t="e">
        <f>SUM(B82:Y82)/1000</f>
        <v>#DIV/0!</v>
      </c>
    </row>
    <row r="83" spans="1:27" x14ac:dyDescent="0.25">
      <c r="A83" s="2">
        <v>2029</v>
      </c>
      <c r="B83" s="2" t="e">
        <f>B6/'Output-Calculation-sheet'!B5*'Output-Calculation-sheet'!B68</f>
        <v>#DIV/0!</v>
      </c>
      <c r="C83" s="2" t="e">
        <f>C6/'Output-Calculation-sheet'!C5*'Output-Calculation-sheet'!C68</f>
        <v>#DIV/0!</v>
      </c>
      <c r="D83" s="2" t="e">
        <f>D6/'Output-Calculation-sheet'!D5*'Output-Calculation-sheet'!D68</f>
        <v>#DIV/0!</v>
      </c>
      <c r="E83" s="2" t="e">
        <f>E6/'Output-Calculation-sheet'!E5*'Output-Calculation-sheet'!E68</f>
        <v>#DIV/0!</v>
      </c>
      <c r="F83" s="2" t="e">
        <f>F6/'Output-Calculation-sheet'!F5*'Output-Calculation-sheet'!F68</f>
        <v>#DIV/0!</v>
      </c>
      <c r="G83" s="2" t="e">
        <f>G6/'Output-Calculation-sheet'!G5*'Output-Calculation-sheet'!G68</f>
        <v>#DIV/0!</v>
      </c>
      <c r="H83" s="2" t="e">
        <f>H6/'Output-Calculation-sheet'!H5*'Output-Calculation-sheet'!H68</f>
        <v>#DIV/0!</v>
      </c>
      <c r="I83" s="2" t="e">
        <f>I6/'Output-Calculation-sheet'!I5*'Output-Calculation-sheet'!I68</f>
        <v>#DIV/0!</v>
      </c>
      <c r="J83" s="2" t="e">
        <f>J6/'Output-Calculation-sheet'!J5*'Output-Calculation-sheet'!J68</f>
        <v>#DIV/0!</v>
      </c>
      <c r="K83" s="2" t="e">
        <f>K6/'Output-Calculation-sheet'!K5*'Output-Calculation-sheet'!K68</f>
        <v>#DIV/0!</v>
      </c>
      <c r="L83" s="2" t="e">
        <f>L6/'Output-Calculation-sheet'!L5*'Output-Calculation-sheet'!L68</f>
        <v>#DIV/0!</v>
      </c>
      <c r="M83" s="2" t="e">
        <f>M6/'Output-Calculation-sheet'!M5*'Output-Calculation-sheet'!M68</f>
        <v>#DIV/0!</v>
      </c>
      <c r="N83" s="2" t="e">
        <f>N6/'Output-Calculation-sheet'!N5*'Output-Calculation-sheet'!N68</f>
        <v>#DIV/0!</v>
      </c>
      <c r="O83" s="2" t="e">
        <f>O6/'Output-Calculation-sheet'!O5*'Output-Calculation-sheet'!O68</f>
        <v>#DIV/0!</v>
      </c>
      <c r="P83" s="2" t="e">
        <f>P6/'Output-Calculation-sheet'!P5*'Output-Calculation-sheet'!P68</f>
        <v>#DIV/0!</v>
      </c>
      <c r="Q83" s="2" t="e">
        <f>Q6/'Output-Calculation-sheet'!Q5*'Output-Calculation-sheet'!Q68</f>
        <v>#DIV/0!</v>
      </c>
      <c r="R83" s="2" t="e">
        <f>R6/'Output-Calculation-sheet'!R5*'Output-Calculation-sheet'!R68</f>
        <v>#DIV/0!</v>
      </c>
      <c r="S83" s="2" t="e">
        <f>S6/'Output-Calculation-sheet'!S5*'Output-Calculation-sheet'!S68</f>
        <v>#DIV/0!</v>
      </c>
      <c r="T83" s="2" t="e">
        <f>T6/'Output-Calculation-sheet'!T5*'Output-Calculation-sheet'!T68</f>
        <v>#DIV/0!</v>
      </c>
      <c r="U83" s="2" t="e">
        <f>U6/'Output-Calculation-sheet'!U5*'Output-Calculation-sheet'!U68</f>
        <v>#DIV/0!</v>
      </c>
      <c r="V83" s="2" t="e">
        <f>V6/'Output-Calculation-sheet'!V5*'Output-Calculation-sheet'!V68</f>
        <v>#DIV/0!</v>
      </c>
      <c r="W83" s="2" t="e">
        <f>W6/'Output-Calculation-sheet'!W5*'Output-Calculation-sheet'!W68</f>
        <v>#DIV/0!</v>
      </c>
      <c r="X83" s="2" t="e">
        <f>X6/'Output-Calculation-sheet'!X5*'Output-Calculation-sheet'!X68</f>
        <v>#DIV/0!</v>
      </c>
      <c r="Y83" s="2" t="e">
        <f>Y6/'Output-Calculation-sheet'!Y5*'Output-Calculation-sheet'!Y68</f>
        <v>#DIV/0!</v>
      </c>
      <c r="AA83" s="2" t="e">
        <f t="shared" ref="AA83:AA89" si="6">SUM(B83:Y83)/1000</f>
        <v>#DIV/0!</v>
      </c>
    </row>
    <row r="84" spans="1:27" x14ac:dyDescent="0.25">
      <c r="A84" s="2">
        <v>2030</v>
      </c>
      <c r="B84" s="2" t="e">
        <f>B7/'Output-Calculation-sheet'!B6*'Output-Calculation-sheet'!B69</f>
        <v>#DIV/0!</v>
      </c>
      <c r="C84" s="2" t="e">
        <f>C7/'Output-Calculation-sheet'!C6*'Output-Calculation-sheet'!C69</f>
        <v>#DIV/0!</v>
      </c>
      <c r="D84" s="2" t="e">
        <f>D7/'Output-Calculation-sheet'!D6*'Output-Calculation-sheet'!D69</f>
        <v>#DIV/0!</v>
      </c>
      <c r="E84" s="2" t="e">
        <f>E7/'Output-Calculation-sheet'!E6*'Output-Calculation-sheet'!E69</f>
        <v>#DIV/0!</v>
      </c>
      <c r="F84" s="2" t="e">
        <f>F7/'Output-Calculation-sheet'!F6*'Output-Calculation-sheet'!F69</f>
        <v>#DIV/0!</v>
      </c>
      <c r="G84" s="2" t="e">
        <f>G7/'Output-Calculation-sheet'!G6*'Output-Calculation-sheet'!G69</f>
        <v>#DIV/0!</v>
      </c>
      <c r="H84" s="2" t="e">
        <f>H7/'Output-Calculation-sheet'!H6*'Output-Calculation-sheet'!H69</f>
        <v>#DIV/0!</v>
      </c>
      <c r="I84" s="2" t="e">
        <f>I7/'Output-Calculation-sheet'!I6*'Output-Calculation-sheet'!I69</f>
        <v>#DIV/0!</v>
      </c>
      <c r="J84" s="2" t="e">
        <f>J7/'Output-Calculation-sheet'!J6*'Output-Calculation-sheet'!J69</f>
        <v>#DIV/0!</v>
      </c>
      <c r="K84" s="2" t="e">
        <f>K7/'Output-Calculation-sheet'!K6*'Output-Calculation-sheet'!K69</f>
        <v>#DIV/0!</v>
      </c>
      <c r="L84" s="2" t="e">
        <f>L7/'Output-Calculation-sheet'!L6*'Output-Calculation-sheet'!L69</f>
        <v>#DIV/0!</v>
      </c>
      <c r="M84" s="2" t="e">
        <f>M7/'Output-Calculation-sheet'!M6*'Output-Calculation-sheet'!M69</f>
        <v>#DIV/0!</v>
      </c>
      <c r="N84" s="2" t="e">
        <f>N7/'Output-Calculation-sheet'!N6*'Output-Calculation-sheet'!N69</f>
        <v>#DIV/0!</v>
      </c>
      <c r="O84" s="2" t="e">
        <f>O7/'Output-Calculation-sheet'!O6*'Output-Calculation-sheet'!O69</f>
        <v>#DIV/0!</v>
      </c>
      <c r="P84" s="2" t="e">
        <f>P7/'Output-Calculation-sheet'!P6*'Output-Calculation-sheet'!P69</f>
        <v>#DIV/0!</v>
      </c>
      <c r="Q84" s="2" t="e">
        <f>Q7/'Output-Calculation-sheet'!Q6*'Output-Calculation-sheet'!Q69</f>
        <v>#DIV/0!</v>
      </c>
      <c r="R84" s="2" t="e">
        <f>R7/'Output-Calculation-sheet'!R6*'Output-Calculation-sheet'!R69</f>
        <v>#DIV/0!</v>
      </c>
      <c r="S84" s="2" t="e">
        <f>S7/'Output-Calculation-sheet'!S6*'Output-Calculation-sheet'!S69</f>
        <v>#DIV/0!</v>
      </c>
      <c r="T84" s="2" t="e">
        <f>T7/'Output-Calculation-sheet'!T6*'Output-Calculation-sheet'!T69</f>
        <v>#DIV/0!</v>
      </c>
      <c r="U84" s="2" t="e">
        <f>U7/'Output-Calculation-sheet'!U6*'Output-Calculation-sheet'!U69</f>
        <v>#DIV/0!</v>
      </c>
      <c r="V84" s="2" t="e">
        <f>V7/'Output-Calculation-sheet'!V6*'Output-Calculation-sheet'!V69</f>
        <v>#DIV/0!</v>
      </c>
      <c r="W84" s="2" t="e">
        <f>W7/'Output-Calculation-sheet'!W6*'Output-Calculation-sheet'!W69</f>
        <v>#DIV/0!</v>
      </c>
      <c r="X84" s="2" t="e">
        <f>X7/'Output-Calculation-sheet'!X6*'Output-Calculation-sheet'!X69</f>
        <v>#DIV/0!</v>
      </c>
      <c r="Y84" s="2" t="e">
        <f>Y7/'Output-Calculation-sheet'!Y6*'Output-Calculation-sheet'!Y69</f>
        <v>#DIV/0!</v>
      </c>
      <c r="AA84" s="2" t="e">
        <f t="shared" si="6"/>
        <v>#DIV/0!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 t="e">
        <f>B5/'Output-Calculation-sheet'!B4*'Output-Calculation-sheet'!B76</f>
        <v>#DIV/0!</v>
      </c>
      <c r="C93" s="2" t="e">
        <f>C5/'Output-Calculation-sheet'!C4*'Output-Calculation-sheet'!C76</f>
        <v>#DIV/0!</v>
      </c>
      <c r="D93" s="2" t="e">
        <f>D5/'Output-Calculation-sheet'!D4*'Output-Calculation-sheet'!D76</f>
        <v>#DIV/0!</v>
      </c>
      <c r="E93" s="2" t="e">
        <f>E5/'Output-Calculation-sheet'!E4*'Output-Calculation-sheet'!E76</f>
        <v>#DIV/0!</v>
      </c>
      <c r="F93" s="2" t="e">
        <f>F5/'Output-Calculation-sheet'!F4*'Output-Calculation-sheet'!F76</f>
        <v>#DIV/0!</v>
      </c>
      <c r="G93" s="2" t="e">
        <f>G5/'Output-Calculation-sheet'!G4*'Output-Calculation-sheet'!G76</f>
        <v>#DIV/0!</v>
      </c>
      <c r="H93" s="2" t="e">
        <f>H5/'Output-Calculation-sheet'!H4*'Output-Calculation-sheet'!H76</f>
        <v>#DIV/0!</v>
      </c>
      <c r="I93" s="2" t="e">
        <f>I5/'Output-Calculation-sheet'!I4*'Output-Calculation-sheet'!I76</f>
        <v>#DIV/0!</v>
      </c>
      <c r="J93" s="2" t="e">
        <f>J5/'Output-Calculation-sheet'!J4*'Output-Calculation-sheet'!J76</f>
        <v>#DIV/0!</v>
      </c>
      <c r="K93" s="2" t="e">
        <f>K5/'Output-Calculation-sheet'!K4*'Output-Calculation-sheet'!K76</f>
        <v>#DIV/0!</v>
      </c>
      <c r="L93" s="2" t="e">
        <f>L5/'Output-Calculation-sheet'!L4*'Output-Calculation-sheet'!L76</f>
        <v>#DIV/0!</v>
      </c>
      <c r="M93" s="2" t="e">
        <f>M5/'Output-Calculation-sheet'!M4*'Output-Calculation-sheet'!M76</f>
        <v>#DIV/0!</v>
      </c>
      <c r="N93" s="2" t="e">
        <f>N5/'Output-Calculation-sheet'!N4*'Output-Calculation-sheet'!N76</f>
        <v>#DIV/0!</v>
      </c>
      <c r="O93" s="2" t="e">
        <f>O5/'Output-Calculation-sheet'!O4*'Output-Calculation-sheet'!O76</f>
        <v>#DIV/0!</v>
      </c>
      <c r="P93" s="2" t="e">
        <f>P5/'Output-Calculation-sheet'!P4*'Output-Calculation-sheet'!P76</f>
        <v>#DIV/0!</v>
      </c>
      <c r="Q93" s="2" t="e">
        <f>Q5/'Output-Calculation-sheet'!Q4*'Output-Calculation-sheet'!Q76</f>
        <v>#DIV/0!</v>
      </c>
      <c r="R93" s="2" t="e">
        <f>R5/'Output-Calculation-sheet'!R4*'Output-Calculation-sheet'!R76</f>
        <v>#DIV/0!</v>
      </c>
      <c r="S93" s="2" t="e">
        <f>S5/'Output-Calculation-sheet'!S4*'Output-Calculation-sheet'!S76</f>
        <v>#DIV/0!</v>
      </c>
      <c r="T93" s="2" t="e">
        <f>T5/'Output-Calculation-sheet'!T4*'Output-Calculation-sheet'!T76</f>
        <v>#DIV/0!</v>
      </c>
      <c r="U93" s="2" t="e">
        <f>U5/'Output-Calculation-sheet'!U4*'Output-Calculation-sheet'!U76</f>
        <v>#DIV/0!</v>
      </c>
      <c r="V93" s="2" t="e">
        <f>V5/'Output-Calculation-sheet'!V4*'Output-Calculation-sheet'!V76</f>
        <v>#DIV/0!</v>
      </c>
      <c r="W93" s="2" t="e">
        <f>W5/'Output-Calculation-sheet'!W4*'Output-Calculation-sheet'!W76</f>
        <v>#DIV/0!</v>
      </c>
      <c r="X93" s="2" t="e">
        <f>X5/'Output-Calculation-sheet'!X4*'Output-Calculation-sheet'!X76</f>
        <v>#DIV/0!</v>
      </c>
      <c r="Y93" s="2" t="e">
        <f>Y5/'Output-Calculation-sheet'!Y4*'Output-Calculation-sheet'!Y76</f>
        <v>#DIV/0!</v>
      </c>
      <c r="AA93" s="2" t="e">
        <f>SUM(B93:Y93)/10^9</f>
        <v>#DIV/0!</v>
      </c>
    </row>
    <row r="94" spans="1:27" x14ac:dyDescent="0.25">
      <c r="A94" s="2">
        <v>2029</v>
      </c>
      <c r="B94" s="2" t="e">
        <f>B6/'Output-Calculation-sheet'!B5*'Output-Calculation-sheet'!B77</f>
        <v>#DIV/0!</v>
      </c>
      <c r="C94" s="2" t="e">
        <f>C6/'Output-Calculation-sheet'!C5*'Output-Calculation-sheet'!C77</f>
        <v>#DIV/0!</v>
      </c>
      <c r="D94" s="2" t="e">
        <f>D6/'Output-Calculation-sheet'!D5*'Output-Calculation-sheet'!D77</f>
        <v>#DIV/0!</v>
      </c>
      <c r="E94" s="2" t="e">
        <f>E6/'Output-Calculation-sheet'!E5*'Output-Calculation-sheet'!E77</f>
        <v>#DIV/0!</v>
      </c>
      <c r="F94" s="2" t="e">
        <f>F6/'Output-Calculation-sheet'!F5*'Output-Calculation-sheet'!F77</f>
        <v>#DIV/0!</v>
      </c>
      <c r="G94" s="2" t="e">
        <f>G6/'Output-Calculation-sheet'!G5*'Output-Calculation-sheet'!G77</f>
        <v>#DIV/0!</v>
      </c>
      <c r="H94" s="2" t="e">
        <f>H6/'Output-Calculation-sheet'!H5*'Output-Calculation-sheet'!H77</f>
        <v>#DIV/0!</v>
      </c>
      <c r="I94" s="2" t="e">
        <f>I6/'Output-Calculation-sheet'!I5*'Output-Calculation-sheet'!I77</f>
        <v>#DIV/0!</v>
      </c>
      <c r="J94" s="2" t="e">
        <f>J6/'Output-Calculation-sheet'!J5*'Output-Calculation-sheet'!J77</f>
        <v>#DIV/0!</v>
      </c>
      <c r="K94" s="2" t="e">
        <f>K6/'Output-Calculation-sheet'!K5*'Output-Calculation-sheet'!K77</f>
        <v>#DIV/0!</v>
      </c>
      <c r="L94" s="2" t="e">
        <f>L6/'Output-Calculation-sheet'!L5*'Output-Calculation-sheet'!L77</f>
        <v>#DIV/0!</v>
      </c>
      <c r="M94" s="2" t="e">
        <f>M6/'Output-Calculation-sheet'!M5*'Output-Calculation-sheet'!M77</f>
        <v>#DIV/0!</v>
      </c>
      <c r="N94" s="2" t="e">
        <f>N6/'Output-Calculation-sheet'!N5*'Output-Calculation-sheet'!N77</f>
        <v>#DIV/0!</v>
      </c>
      <c r="O94" s="2" t="e">
        <f>O6/'Output-Calculation-sheet'!O5*'Output-Calculation-sheet'!O77</f>
        <v>#DIV/0!</v>
      </c>
      <c r="P94" s="2" t="e">
        <f>P6/'Output-Calculation-sheet'!P5*'Output-Calculation-sheet'!P77</f>
        <v>#DIV/0!</v>
      </c>
      <c r="Q94" s="2" t="e">
        <f>Q6/'Output-Calculation-sheet'!Q5*'Output-Calculation-sheet'!Q77</f>
        <v>#DIV/0!</v>
      </c>
      <c r="R94" s="2" t="e">
        <f>R6/'Output-Calculation-sheet'!R5*'Output-Calculation-sheet'!R77</f>
        <v>#DIV/0!</v>
      </c>
      <c r="S94" s="2" t="e">
        <f>S6/'Output-Calculation-sheet'!S5*'Output-Calculation-sheet'!S77</f>
        <v>#DIV/0!</v>
      </c>
      <c r="T94" s="2" t="e">
        <f>T6/'Output-Calculation-sheet'!T5*'Output-Calculation-sheet'!T77</f>
        <v>#DIV/0!</v>
      </c>
      <c r="U94" s="2" t="e">
        <f>U6/'Output-Calculation-sheet'!U5*'Output-Calculation-sheet'!U77</f>
        <v>#DIV/0!</v>
      </c>
      <c r="V94" s="2" t="e">
        <f>V6/'Output-Calculation-sheet'!V5*'Output-Calculation-sheet'!V77</f>
        <v>#DIV/0!</v>
      </c>
      <c r="W94" s="2" t="e">
        <f>W6/'Output-Calculation-sheet'!W5*'Output-Calculation-sheet'!W77</f>
        <v>#DIV/0!</v>
      </c>
      <c r="X94" s="2" t="e">
        <f>X6/'Output-Calculation-sheet'!X5*'Output-Calculation-sheet'!X77</f>
        <v>#DIV/0!</v>
      </c>
      <c r="Y94" s="2" t="e">
        <f>Y6/'Output-Calculation-sheet'!Y5*'Output-Calculation-sheet'!Y77</f>
        <v>#DIV/0!</v>
      </c>
      <c r="AA94" s="2" t="e">
        <f t="shared" ref="AA94:AA100" si="7">SUM(B94:Y94)/10^9</f>
        <v>#DIV/0!</v>
      </c>
    </row>
    <row r="95" spans="1:27" x14ac:dyDescent="0.25">
      <c r="A95" s="2">
        <v>2030</v>
      </c>
      <c r="B95" s="2" t="e">
        <f>B7/'Output-Calculation-sheet'!B6*'Output-Calculation-sheet'!B78</f>
        <v>#DIV/0!</v>
      </c>
      <c r="C95" s="2" t="e">
        <f>C7/'Output-Calculation-sheet'!C6*'Output-Calculation-sheet'!C78</f>
        <v>#DIV/0!</v>
      </c>
      <c r="D95" s="2" t="e">
        <f>D7/'Output-Calculation-sheet'!D6*'Output-Calculation-sheet'!D78</f>
        <v>#DIV/0!</v>
      </c>
      <c r="E95" s="2" t="e">
        <f>E7/'Output-Calculation-sheet'!E6*'Output-Calculation-sheet'!E78</f>
        <v>#DIV/0!</v>
      </c>
      <c r="F95" s="2" t="e">
        <f>F7/'Output-Calculation-sheet'!F6*'Output-Calculation-sheet'!F78</f>
        <v>#DIV/0!</v>
      </c>
      <c r="G95" s="2" t="e">
        <f>G7/'Output-Calculation-sheet'!G6*'Output-Calculation-sheet'!G78</f>
        <v>#DIV/0!</v>
      </c>
      <c r="H95" s="2" t="e">
        <f>H7/'Output-Calculation-sheet'!H6*'Output-Calculation-sheet'!H78</f>
        <v>#DIV/0!</v>
      </c>
      <c r="I95" s="2" t="e">
        <f>I7/'Output-Calculation-sheet'!I6*'Output-Calculation-sheet'!I78</f>
        <v>#DIV/0!</v>
      </c>
      <c r="J95" s="2" t="e">
        <f>J7/'Output-Calculation-sheet'!J6*'Output-Calculation-sheet'!J78</f>
        <v>#DIV/0!</v>
      </c>
      <c r="K95" s="2" t="e">
        <f>K7/'Output-Calculation-sheet'!K6*'Output-Calculation-sheet'!K78</f>
        <v>#DIV/0!</v>
      </c>
      <c r="L95" s="2" t="e">
        <f>L7/'Output-Calculation-sheet'!L6*'Output-Calculation-sheet'!L78</f>
        <v>#DIV/0!</v>
      </c>
      <c r="M95" s="2" t="e">
        <f>M7/'Output-Calculation-sheet'!M6*'Output-Calculation-sheet'!M78</f>
        <v>#DIV/0!</v>
      </c>
      <c r="N95" s="2" t="e">
        <f>N7/'Output-Calculation-sheet'!N6*'Output-Calculation-sheet'!N78</f>
        <v>#DIV/0!</v>
      </c>
      <c r="O95" s="2" t="e">
        <f>O7/'Output-Calculation-sheet'!O6*'Output-Calculation-sheet'!O78</f>
        <v>#DIV/0!</v>
      </c>
      <c r="P95" s="2" t="e">
        <f>P7/'Output-Calculation-sheet'!P6*'Output-Calculation-sheet'!P78</f>
        <v>#DIV/0!</v>
      </c>
      <c r="Q95" s="2" t="e">
        <f>Q7/'Output-Calculation-sheet'!Q6*'Output-Calculation-sheet'!Q78</f>
        <v>#DIV/0!</v>
      </c>
      <c r="R95" s="2" t="e">
        <f>R7/'Output-Calculation-sheet'!R6*'Output-Calculation-sheet'!R78</f>
        <v>#DIV/0!</v>
      </c>
      <c r="S95" s="2" t="e">
        <f>S7/'Output-Calculation-sheet'!S6*'Output-Calculation-sheet'!S78</f>
        <v>#DIV/0!</v>
      </c>
      <c r="T95" s="2" t="e">
        <f>T7/'Output-Calculation-sheet'!T6*'Output-Calculation-sheet'!T78</f>
        <v>#DIV/0!</v>
      </c>
      <c r="U95" s="2" t="e">
        <f>U7/'Output-Calculation-sheet'!U6*'Output-Calculation-sheet'!U78</f>
        <v>#DIV/0!</v>
      </c>
      <c r="V95" s="2" t="e">
        <f>V7/'Output-Calculation-sheet'!V6*'Output-Calculation-sheet'!V78</f>
        <v>#DIV/0!</v>
      </c>
      <c r="W95" s="2" t="e">
        <f>W7/'Output-Calculation-sheet'!W6*'Output-Calculation-sheet'!W78</f>
        <v>#DIV/0!</v>
      </c>
      <c r="X95" s="2" t="e">
        <f>X7/'Output-Calculation-sheet'!X6*'Output-Calculation-sheet'!X78</f>
        <v>#DIV/0!</v>
      </c>
      <c r="Y95" s="2" t="e">
        <f>Y7/'Output-Calculation-sheet'!Y6*'Output-Calculation-sheet'!Y78</f>
        <v>#DIV/0!</v>
      </c>
      <c r="AA95" s="2" t="e">
        <f t="shared" si="7"/>
        <v>#DIV/0!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 t="e">
        <f>B5/'Output-Calculation-sheet'!B4*'Output-Calculation-sheet'!B85</f>
        <v>#DIV/0!</v>
      </c>
      <c r="C104" s="2" t="e">
        <f>C5/'Output-Calculation-sheet'!C4*'Output-Calculation-sheet'!C85</f>
        <v>#DIV/0!</v>
      </c>
      <c r="D104" s="2" t="e">
        <f>D5/'Output-Calculation-sheet'!D4*'Output-Calculation-sheet'!D85</f>
        <v>#DIV/0!</v>
      </c>
      <c r="E104" s="2" t="e">
        <f>E5/'Output-Calculation-sheet'!E4*'Output-Calculation-sheet'!E85</f>
        <v>#DIV/0!</v>
      </c>
      <c r="F104" s="2" t="e">
        <f>F5/'Output-Calculation-sheet'!F4*'Output-Calculation-sheet'!F85</f>
        <v>#DIV/0!</v>
      </c>
      <c r="G104" s="2" t="e">
        <f>G5/'Output-Calculation-sheet'!G4*'Output-Calculation-sheet'!G85</f>
        <v>#DIV/0!</v>
      </c>
      <c r="H104" s="2" t="e">
        <f>H5/'Output-Calculation-sheet'!H4*'Output-Calculation-sheet'!H85</f>
        <v>#DIV/0!</v>
      </c>
      <c r="I104" s="2" t="e">
        <f>I5/'Output-Calculation-sheet'!I4*'Output-Calculation-sheet'!I85</f>
        <v>#DIV/0!</v>
      </c>
      <c r="J104" s="2" t="e">
        <f>J5/'Output-Calculation-sheet'!J4*'Output-Calculation-sheet'!J85</f>
        <v>#DIV/0!</v>
      </c>
      <c r="K104" s="2" t="e">
        <f>K5/'Output-Calculation-sheet'!K4*'Output-Calculation-sheet'!K85</f>
        <v>#DIV/0!</v>
      </c>
      <c r="L104" s="2" t="e">
        <f>L5/'Output-Calculation-sheet'!L4*'Output-Calculation-sheet'!L85</f>
        <v>#DIV/0!</v>
      </c>
      <c r="M104" s="2" t="e">
        <f>M5/'Output-Calculation-sheet'!M4*'Output-Calculation-sheet'!M85</f>
        <v>#DIV/0!</v>
      </c>
      <c r="N104" s="2" t="e">
        <f>N5/'Output-Calculation-sheet'!N4*'Output-Calculation-sheet'!N85</f>
        <v>#DIV/0!</v>
      </c>
      <c r="O104" s="2" t="e">
        <f>O5/'Output-Calculation-sheet'!O4*'Output-Calculation-sheet'!O85</f>
        <v>#DIV/0!</v>
      </c>
      <c r="P104" s="2" t="e">
        <f>P5/'Output-Calculation-sheet'!P4*'Output-Calculation-sheet'!P85</f>
        <v>#DIV/0!</v>
      </c>
      <c r="Q104" s="2" t="e">
        <f>Q5/'Output-Calculation-sheet'!Q4*'Output-Calculation-sheet'!Q85</f>
        <v>#DIV/0!</v>
      </c>
      <c r="R104" s="2" t="e">
        <f>R5/'Output-Calculation-sheet'!R4*'Output-Calculation-sheet'!R85</f>
        <v>#DIV/0!</v>
      </c>
      <c r="S104" s="2" t="e">
        <f>S5/'Output-Calculation-sheet'!S4*'Output-Calculation-sheet'!S85</f>
        <v>#DIV/0!</v>
      </c>
      <c r="T104" s="2" t="e">
        <f>T5/'Output-Calculation-sheet'!T4*'Output-Calculation-sheet'!T85</f>
        <v>#DIV/0!</v>
      </c>
      <c r="U104" s="2" t="e">
        <f>U5/'Output-Calculation-sheet'!U4*'Output-Calculation-sheet'!U85</f>
        <v>#DIV/0!</v>
      </c>
      <c r="V104" s="2" t="e">
        <f>V5/'Output-Calculation-sheet'!V4*'Output-Calculation-sheet'!V85</f>
        <v>#DIV/0!</v>
      </c>
      <c r="W104" s="2" t="e">
        <f>W5/'Output-Calculation-sheet'!W4*'Output-Calculation-sheet'!W85</f>
        <v>#DIV/0!</v>
      </c>
      <c r="X104" s="2" t="e">
        <f>X5/'Output-Calculation-sheet'!X4*'Output-Calculation-sheet'!X85</f>
        <v>#DIV/0!</v>
      </c>
      <c r="Y104" s="2" t="e">
        <f>Y5/'Output-Calculation-sheet'!Y4*'Output-Calculation-sheet'!Y85</f>
        <v>#DIV/0!</v>
      </c>
      <c r="AA104" s="2" t="e">
        <f>SUM(B104:Y104)/1000</f>
        <v>#DIV/0!</v>
      </c>
    </row>
    <row r="105" spans="1:27" x14ac:dyDescent="0.25">
      <c r="A105" s="2">
        <v>2029</v>
      </c>
      <c r="B105" s="2" t="e">
        <f>B6/'Output-Calculation-sheet'!B5*'Output-Calculation-sheet'!B86</f>
        <v>#DIV/0!</v>
      </c>
      <c r="C105" s="2" t="e">
        <f>C6/'Output-Calculation-sheet'!C5*'Output-Calculation-sheet'!C86</f>
        <v>#DIV/0!</v>
      </c>
      <c r="D105" s="2" t="e">
        <f>D6/'Output-Calculation-sheet'!D5*'Output-Calculation-sheet'!D86</f>
        <v>#DIV/0!</v>
      </c>
      <c r="E105" s="2" t="e">
        <f>E6/'Output-Calculation-sheet'!E5*'Output-Calculation-sheet'!E86</f>
        <v>#DIV/0!</v>
      </c>
      <c r="F105" s="2" t="e">
        <f>F6/'Output-Calculation-sheet'!F5*'Output-Calculation-sheet'!F86</f>
        <v>#DIV/0!</v>
      </c>
      <c r="G105" s="2" t="e">
        <f>G6/'Output-Calculation-sheet'!G5*'Output-Calculation-sheet'!G86</f>
        <v>#DIV/0!</v>
      </c>
      <c r="H105" s="2" t="e">
        <f>H6/'Output-Calculation-sheet'!H5*'Output-Calculation-sheet'!H86</f>
        <v>#DIV/0!</v>
      </c>
      <c r="I105" s="2" t="e">
        <f>I6/'Output-Calculation-sheet'!I5*'Output-Calculation-sheet'!I86</f>
        <v>#DIV/0!</v>
      </c>
      <c r="J105" s="2" t="e">
        <f>J6/'Output-Calculation-sheet'!J5*'Output-Calculation-sheet'!J86</f>
        <v>#DIV/0!</v>
      </c>
      <c r="K105" s="2" t="e">
        <f>K6/'Output-Calculation-sheet'!K5*'Output-Calculation-sheet'!K86</f>
        <v>#DIV/0!</v>
      </c>
      <c r="L105" s="2" t="e">
        <f>L6/'Output-Calculation-sheet'!L5*'Output-Calculation-sheet'!L86</f>
        <v>#DIV/0!</v>
      </c>
      <c r="M105" s="2" t="e">
        <f>M6/'Output-Calculation-sheet'!M5*'Output-Calculation-sheet'!M86</f>
        <v>#DIV/0!</v>
      </c>
      <c r="N105" s="2" t="e">
        <f>N6/'Output-Calculation-sheet'!N5*'Output-Calculation-sheet'!N86</f>
        <v>#DIV/0!</v>
      </c>
      <c r="O105" s="2" t="e">
        <f>O6/'Output-Calculation-sheet'!O5*'Output-Calculation-sheet'!O86</f>
        <v>#DIV/0!</v>
      </c>
      <c r="P105" s="2" t="e">
        <f>P6/'Output-Calculation-sheet'!P5*'Output-Calculation-sheet'!P86</f>
        <v>#DIV/0!</v>
      </c>
      <c r="Q105" s="2" t="e">
        <f>Q6/'Output-Calculation-sheet'!Q5*'Output-Calculation-sheet'!Q86</f>
        <v>#DIV/0!</v>
      </c>
      <c r="R105" s="2" t="e">
        <f>R6/'Output-Calculation-sheet'!R5*'Output-Calculation-sheet'!R86</f>
        <v>#DIV/0!</v>
      </c>
      <c r="S105" s="2" t="e">
        <f>S6/'Output-Calculation-sheet'!S5*'Output-Calculation-sheet'!S86</f>
        <v>#DIV/0!</v>
      </c>
      <c r="T105" s="2" t="e">
        <f>T6/'Output-Calculation-sheet'!T5*'Output-Calculation-sheet'!T86</f>
        <v>#DIV/0!</v>
      </c>
      <c r="U105" s="2" t="e">
        <f>U6/'Output-Calculation-sheet'!U5*'Output-Calculation-sheet'!U86</f>
        <v>#DIV/0!</v>
      </c>
      <c r="V105" s="2" t="e">
        <f>V6/'Output-Calculation-sheet'!V5*'Output-Calculation-sheet'!V86</f>
        <v>#DIV/0!</v>
      </c>
      <c r="W105" s="2" t="e">
        <f>W6/'Output-Calculation-sheet'!W5*'Output-Calculation-sheet'!W86</f>
        <v>#DIV/0!</v>
      </c>
      <c r="X105" s="2" t="e">
        <f>X6/'Output-Calculation-sheet'!X5*'Output-Calculation-sheet'!X86</f>
        <v>#DIV/0!</v>
      </c>
      <c r="Y105" s="2" t="e">
        <f>Y6/'Output-Calculation-sheet'!Y5*'Output-Calculation-sheet'!Y86</f>
        <v>#DIV/0!</v>
      </c>
      <c r="AA105" s="2" t="e">
        <f t="shared" ref="AA105:AA111" si="8">SUM(B105:Y105)/1000</f>
        <v>#DIV/0!</v>
      </c>
    </row>
    <row r="106" spans="1:27" x14ac:dyDescent="0.25">
      <c r="A106" s="2">
        <v>2030</v>
      </c>
      <c r="B106" s="2" t="e">
        <f>B7/'Output-Calculation-sheet'!B6*'Output-Calculation-sheet'!B87</f>
        <v>#DIV/0!</v>
      </c>
      <c r="C106" s="2" t="e">
        <f>C7/'Output-Calculation-sheet'!C6*'Output-Calculation-sheet'!C87</f>
        <v>#DIV/0!</v>
      </c>
      <c r="D106" s="2" t="e">
        <f>D7/'Output-Calculation-sheet'!D6*'Output-Calculation-sheet'!D87</f>
        <v>#DIV/0!</v>
      </c>
      <c r="E106" s="2" t="e">
        <f>E7/'Output-Calculation-sheet'!E6*'Output-Calculation-sheet'!E87</f>
        <v>#DIV/0!</v>
      </c>
      <c r="F106" s="2" t="e">
        <f>F7/'Output-Calculation-sheet'!F6*'Output-Calculation-sheet'!F87</f>
        <v>#DIV/0!</v>
      </c>
      <c r="G106" s="2" t="e">
        <f>G7/'Output-Calculation-sheet'!G6*'Output-Calculation-sheet'!G87</f>
        <v>#DIV/0!</v>
      </c>
      <c r="H106" s="2" t="e">
        <f>H7/'Output-Calculation-sheet'!H6*'Output-Calculation-sheet'!H87</f>
        <v>#DIV/0!</v>
      </c>
      <c r="I106" s="2" t="e">
        <f>I7/'Output-Calculation-sheet'!I6*'Output-Calculation-sheet'!I87</f>
        <v>#DIV/0!</v>
      </c>
      <c r="J106" s="2" t="e">
        <f>J7/'Output-Calculation-sheet'!J6*'Output-Calculation-sheet'!J87</f>
        <v>#DIV/0!</v>
      </c>
      <c r="K106" s="2" t="e">
        <f>K7/'Output-Calculation-sheet'!K6*'Output-Calculation-sheet'!K87</f>
        <v>#DIV/0!</v>
      </c>
      <c r="L106" s="2" t="e">
        <f>L7/'Output-Calculation-sheet'!L6*'Output-Calculation-sheet'!L87</f>
        <v>#DIV/0!</v>
      </c>
      <c r="M106" s="2" t="e">
        <f>M7/'Output-Calculation-sheet'!M6*'Output-Calculation-sheet'!M87</f>
        <v>#DIV/0!</v>
      </c>
      <c r="N106" s="2" t="e">
        <f>N7/'Output-Calculation-sheet'!N6*'Output-Calculation-sheet'!N87</f>
        <v>#DIV/0!</v>
      </c>
      <c r="O106" s="2" t="e">
        <f>O7/'Output-Calculation-sheet'!O6*'Output-Calculation-sheet'!O87</f>
        <v>#DIV/0!</v>
      </c>
      <c r="P106" s="2" t="e">
        <f>P7/'Output-Calculation-sheet'!P6*'Output-Calculation-sheet'!P87</f>
        <v>#DIV/0!</v>
      </c>
      <c r="Q106" s="2" t="e">
        <f>Q7/'Output-Calculation-sheet'!Q6*'Output-Calculation-sheet'!Q87</f>
        <v>#DIV/0!</v>
      </c>
      <c r="R106" s="2" t="e">
        <f>R7/'Output-Calculation-sheet'!R6*'Output-Calculation-sheet'!R87</f>
        <v>#DIV/0!</v>
      </c>
      <c r="S106" s="2" t="e">
        <f>S7/'Output-Calculation-sheet'!S6*'Output-Calculation-sheet'!S87</f>
        <v>#DIV/0!</v>
      </c>
      <c r="T106" s="2" t="e">
        <f>T7/'Output-Calculation-sheet'!T6*'Output-Calculation-sheet'!T87</f>
        <v>#DIV/0!</v>
      </c>
      <c r="U106" s="2" t="e">
        <f>U7/'Output-Calculation-sheet'!U6*'Output-Calculation-sheet'!U87</f>
        <v>#DIV/0!</v>
      </c>
      <c r="V106" s="2" t="e">
        <f>V7/'Output-Calculation-sheet'!V6*'Output-Calculation-sheet'!V87</f>
        <v>#DIV/0!</v>
      </c>
      <c r="W106" s="2" t="e">
        <f>W7/'Output-Calculation-sheet'!W6*'Output-Calculation-sheet'!W87</f>
        <v>#DIV/0!</v>
      </c>
      <c r="X106" s="2" t="e">
        <f>X7/'Output-Calculation-sheet'!X6*'Output-Calculation-sheet'!X87</f>
        <v>#DIV/0!</v>
      </c>
      <c r="Y106" s="2" t="e">
        <f>Y7/'Output-Calculation-sheet'!Y6*'Output-Calculation-sheet'!Y87</f>
        <v>#DIV/0!</v>
      </c>
      <c r="AA106" s="2" t="e">
        <f t="shared" si="8"/>
        <v>#DIV/0!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 t="e">
        <f>B5/'Output-Calculation-sheet'!B4*'Output-Calculation-sheet'!B94</f>
        <v>#DIV/0!</v>
      </c>
      <c r="C115" s="2" t="e">
        <f>C5/'Output-Calculation-sheet'!C4*'Output-Calculation-sheet'!C94</f>
        <v>#DIV/0!</v>
      </c>
      <c r="D115" s="2" t="e">
        <f>D5/'Output-Calculation-sheet'!D4*'Output-Calculation-sheet'!D94</f>
        <v>#DIV/0!</v>
      </c>
      <c r="E115" s="2" t="e">
        <f>E5/'Output-Calculation-sheet'!E4*'Output-Calculation-sheet'!E94</f>
        <v>#DIV/0!</v>
      </c>
      <c r="F115" s="2" t="e">
        <f>F5/'Output-Calculation-sheet'!F4*'Output-Calculation-sheet'!F94</f>
        <v>#DIV/0!</v>
      </c>
      <c r="G115" s="2" t="e">
        <f>G5/'Output-Calculation-sheet'!G4*'Output-Calculation-sheet'!G94</f>
        <v>#DIV/0!</v>
      </c>
      <c r="H115" s="2" t="e">
        <f>H5/'Output-Calculation-sheet'!H4*'Output-Calculation-sheet'!H94</f>
        <v>#DIV/0!</v>
      </c>
      <c r="I115" s="2" t="e">
        <f>I5/'Output-Calculation-sheet'!I4*'Output-Calculation-sheet'!I94</f>
        <v>#DIV/0!</v>
      </c>
      <c r="J115" s="2" t="e">
        <f>J5/'Output-Calculation-sheet'!J4*'Output-Calculation-sheet'!J94</f>
        <v>#DIV/0!</v>
      </c>
      <c r="K115" s="2" t="e">
        <f>K5/'Output-Calculation-sheet'!K4*'Output-Calculation-sheet'!K94</f>
        <v>#DIV/0!</v>
      </c>
      <c r="L115" s="2" t="e">
        <f>L5/'Output-Calculation-sheet'!L4*'Output-Calculation-sheet'!L94</f>
        <v>#DIV/0!</v>
      </c>
      <c r="M115" s="2" t="e">
        <f>M5/'Output-Calculation-sheet'!M4*'Output-Calculation-sheet'!M94</f>
        <v>#DIV/0!</v>
      </c>
      <c r="N115" s="2" t="e">
        <f>N5/'Output-Calculation-sheet'!N4*'Output-Calculation-sheet'!N94</f>
        <v>#DIV/0!</v>
      </c>
      <c r="O115" s="2" t="e">
        <f>O5/'Output-Calculation-sheet'!O4*'Output-Calculation-sheet'!O94</f>
        <v>#DIV/0!</v>
      </c>
      <c r="P115" s="2" t="e">
        <f>P5/'Output-Calculation-sheet'!P4*'Output-Calculation-sheet'!P94</f>
        <v>#DIV/0!</v>
      </c>
      <c r="Q115" s="2" t="e">
        <f>Q5/'Output-Calculation-sheet'!Q4*'Output-Calculation-sheet'!Q94</f>
        <v>#DIV/0!</v>
      </c>
      <c r="R115" s="2" t="e">
        <f>R5/'Output-Calculation-sheet'!R4*'Output-Calculation-sheet'!R94</f>
        <v>#DIV/0!</v>
      </c>
      <c r="S115" s="2" t="e">
        <f>S5/'Output-Calculation-sheet'!S4*'Output-Calculation-sheet'!S94</f>
        <v>#DIV/0!</v>
      </c>
      <c r="T115" s="2" t="e">
        <f>T5/'Output-Calculation-sheet'!T4*'Output-Calculation-sheet'!T94</f>
        <v>#DIV/0!</v>
      </c>
      <c r="U115" s="2" t="e">
        <f>U5/'Output-Calculation-sheet'!U4*'Output-Calculation-sheet'!U94</f>
        <v>#DIV/0!</v>
      </c>
      <c r="V115" s="2" t="e">
        <f>V5/'Output-Calculation-sheet'!V4*'Output-Calculation-sheet'!V94</f>
        <v>#DIV/0!</v>
      </c>
      <c r="W115" s="2" t="e">
        <f>W5/'Output-Calculation-sheet'!W4*'Output-Calculation-sheet'!W94</f>
        <v>#DIV/0!</v>
      </c>
      <c r="X115" s="2" t="e">
        <f>X5/'Output-Calculation-sheet'!X4*'Output-Calculation-sheet'!X94</f>
        <v>#DIV/0!</v>
      </c>
      <c r="Y115" s="2" t="e">
        <f>Y5/'Output-Calculation-sheet'!Y4*'Output-Calculation-sheet'!Y94</f>
        <v>#DIV/0!</v>
      </c>
      <c r="AA115" s="2" t="e">
        <f>SUM(B115:Y115)/10^6</f>
        <v>#DIV/0!</v>
      </c>
    </row>
    <row r="116" spans="1:27" x14ac:dyDescent="0.25">
      <c r="A116" s="2">
        <v>2029</v>
      </c>
      <c r="B116" s="2" t="e">
        <f>B6/'Output-Calculation-sheet'!B5*'Output-Calculation-sheet'!B95</f>
        <v>#DIV/0!</v>
      </c>
      <c r="C116" s="2" t="e">
        <f>C6/'Output-Calculation-sheet'!C5*'Output-Calculation-sheet'!C95</f>
        <v>#DIV/0!</v>
      </c>
      <c r="D116" s="2" t="e">
        <f>D6/'Output-Calculation-sheet'!D5*'Output-Calculation-sheet'!D95</f>
        <v>#DIV/0!</v>
      </c>
      <c r="E116" s="2" t="e">
        <f>E6/'Output-Calculation-sheet'!E5*'Output-Calculation-sheet'!E95</f>
        <v>#DIV/0!</v>
      </c>
      <c r="F116" s="2" t="e">
        <f>F6/'Output-Calculation-sheet'!F5*'Output-Calculation-sheet'!F95</f>
        <v>#DIV/0!</v>
      </c>
      <c r="G116" s="2" t="e">
        <f>G6/'Output-Calculation-sheet'!G5*'Output-Calculation-sheet'!G95</f>
        <v>#DIV/0!</v>
      </c>
      <c r="H116" s="2" t="e">
        <f>H6/'Output-Calculation-sheet'!H5*'Output-Calculation-sheet'!H95</f>
        <v>#DIV/0!</v>
      </c>
      <c r="I116" s="2" t="e">
        <f>I6/'Output-Calculation-sheet'!I5*'Output-Calculation-sheet'!I95</f>
        <v>#DIV/0!</v>
      </c>
      <c r="J116" s="2" t="e">
        <f>J6/'Output-Calculation-sheet'!J5*'Output-Calculation-sheet'!J95</f>
        <v>#DIV/0!</v>
      </c>
      <c r="K116" s="2" t="e">
        <f>K6/'Output-Calculation-sheet'!K5*'Output-Calculation-sheet'!K95</f>
        <v>#DIV/0!</v>
      </c>
      <c r="L116" s="2" t="e">
        <f>L6/'Output-Calculation-sheet'!L5*'Output-Calculation-sheet'!L95</f>
        <v>#DIV/0!</v>
      </c>
      <c r="M116" s="2" t="e">
        <f>M6/'Output-Calculation-sheet'!M5*'Output-Calculation-sheet'!M95</f>
        <v>#DIV/0!</v>
      </c>
      <c r="N116" s="2" t="e">
        <f>N6/'Output-Calculation-sheet'!N5*'Output-Calculation-sheet'!N95</f>
        <v>#DIV/0!</v>
      </c>
      <c r="O116" s="2" t="e">
        <f>O6/'Output-Calculation-sheet'!O5*'Output-Calculation-sheet'!O95</f>
        <v>#DIV/0!</v>
      </c>
      <c r="P116" s="2" t="e">
        <f>P6/'Output-Calculation-sheet'!P5*'Output-Calculation-sheet'!P95</f>
        <v>#DIV/0!</v>
      </c>
      <c r="Q116" s="2" t="e">
        <f>Q6/'Output-Calculation-sheet'!Q5*'Output-Calculation-sheet'!Q95</f>
        <v>#DIV/0!</v>
      </c>
      <c r="R116" s="2" t="e">
        <f>R6/'Output-Calculation-sheet'!R5*'Output-Calculation-sheet'!R95</f>
        <v>#DIV/0!</v>
      </c>
      <c r="S116" s="2" t="e">
        <f>S6/'Output-Calculation-sheet'!S5*'Output-Calculation-sheet'!S95</f>
        <v>#DIV/0!</v>
      </c>
      <c r="T116" s="2" t="e">
        <f>T6/'Output-Calculation-sheet'!T5*'Output-Calculation-sheet'!T95</f>
        <v>#DIV/0!</v>
      </c>
      <c r="U116" s="2" t="e">
        <f>U6/'Output-Calculation-sheet'!U5*'Output-Calculation-sheet'!U95</f>
        <v>#DIV/0!</v>
      </c>
      <c r="V116" s="2" t="e">
        <f>V6/'Output-Calculation-sheet'!V5*'Output-Calculation-sheet'!V95</f>
        <v>#DIV/0!</v>
      </c>
      <c r="W116" s="2" t="e">
        <f>W6/'Output-Calculation-sheet'!W5*'Output-Calculation-sheet'!W95</f>
        <v>#DIV/0!</v>
      </c>
      <c r="X116" s="2" t="e">
        <f>X6/'Output-Calculation-sheet'!X5*'Output-Calculation-sheet'!X95</f>
        <v>#DIV/0!</v>
      </c>
      <c r="Y116" s="2" t="e">
        <f>Y6/'Output-Calculation-sheet'!Y5*'Output-Calculation-sheet'!Y95</f>
        <v>#DIV/0!</v>
      </c>
      <c r="AA116" s="2" t="e">
        <f t="shared" ref="AA116:AA122" si="9">SUM(B116:Y116)/10^6</f>
        <v>#DIV/0!</v>
      </c>
    </row>
    <row r="117" spans="1:27" x14ac:dyDescent="0.25">
      <c r="A117" s="2">
        <v>2030</v>
      </c>
      <c r="B117" s="2" t="e">
        <f>B7/'Output-Calculation-sheet'!B6*'Output-Calculation-sheet'!B96</f>
        <v>#DIV/0!</v>
      </c>
      <c r="C117" s="2" t="e">
        <f>C7/'Output-Calculation-sheet'!C6*'Output-Calculation-sheet'!C96</f>
        <v>#DIV/0!</v>
      </c>
      <c r="D117" s="2" t="e">
        <f>D7/'Output-Calculation-sheet'!D6*'Output-Calculation-sheet'!D96</f>
        <v>#DIV/0!</v>
      </c>
      <c r="E117" s="2" t="e">
        <f>E7/'Output-Calculation-sheet'!E6*'Output-Calculation-sheet'!E96</f>
        <v>#DIV/0!</v>
      </c>
      <c r="F117" s="2" t="e">
        <f>F7/'Output-Calculation-sheet'!F6*'Output-Calculation-sheet'!F96</f>
        <v>#DIV/0!</v>
      </c>
      <c r="G117" s="2" t="e">
        <f>G7/'Output-Calculation-sheet'!G6*'Output-Calculation-sheet'!G96</f>
        <v>#DIV/0!</v>
      </c>
      <c r="H117" s="2" t="e">
        <f>H7/'Output-Calculation-sheet'!H6*'Output-Calculation-sheet'!H96</f>
        <v>#DIV/0!</v>
      </c>
      <c r="I117" s="2" t="e">
        <f>I7/'Output-Calculation-sheet'!I6*'Output-Calculation-sheet'!I96</f>
        <v>#DIV/0!</v>
      </c>
      <c r="J117" s="2" t="e">
        <f>J7/'Output-Calculation-sheet'!J6*'Output-Calculation-sheet'!J96</f>
        <v>#DIV/0!</v>
      </c>
      <c r="K117" s="2" t="e">
        <f>K7/'Output-Calculation-sheet'!K6*'Output-Calculation-sheet'!K96</f>
        <v>#DIV/0!</v>
      </c>
      <c r="L117" s="2" t="e">
        <f>L7/'Output-Calculation-sheet'!L6*'Output-Calculation-sheet'!L96</f>
        <v>#DIV/0!</v>
      </c>
      <c r="M117" s="2" t="e">
        <f>M7/'Output-Calculation-sheet'!M6*'Output-Calculation-sheet'!M96</f>
        <v>#DIV/0!</v>
      </c>
      <c r="N117" s="2" t="e">
        <f>N7/'Output-Calculation-sheet'!N6*'Output-Calculation-sheet'!N96</f>
        <v>#DIV/0!</v>
      </c>
      <c r="O117" s="2" t="e">
        <f>O7/'Output-Calculation-sheet'!O6*'Output-Calculation-sheet'!O96</f>
        <v>#DIV/0!</v>
      </c>
      <c r="P117" s="2" t="e">
        <f>P7/'Output-Calculation-sheet'!P6*'Output-Calculation-sheet'!P96</f>
        <v>#DIV/0!</v>
      </c>
      <c r="Q117" s="2" t="e">
        <f>Q7/'Output-Calculation-sheet'!Q6*'Output-Calculation-sheet'!Q96</f>
        <v>#DIV/0!</v>
      </c>
      <c r="R117" s="2" t="e">
        <f>R7/'Output-Calculation-sheet'!R6*'Output-Calculation-sheet'!R96</f>
        <v>#DIV/0!</v>
      </c>
      <c r="S117" s="2" t="e">
        <f>S7/'Output-Calculation-sheet'!S6*'Output-Calculation-sheet'!S96</f>
        <v>#DIV/0!</v>
      </c>
      <c r="T117" s="2" t="e">
        <f>T7/'Output-Calculation-sheet'!T6*'Output-Calculation-sheet'!T96</f>
        <v>#DIV/0!</v>
      </c>
      <c r="U117" s="2" t="e">
        <f>U7/'Output-Calculation-sheet'!U6*'Output-Calculation-sheet'!U96</f>
        <v>#DIV/0!</v>
      </c>
      <c r="V117" s="2" t="e">
        <f>V7/'Output-Calculation-sheet'!V6*'Output-Calculation-sheet'!V96</f>
        <v>#DIV/0!</v>
      </c>
      <c r="W117" s="2" t="e">
        <f>W7/'Output-Calculation-sheet'!W6*'Output-Calculation-sheet'!W96</f>
        <v>#DIV/0!</v>
      </c>
      <c r="X117" s="2" t="e">
        <f>X7/'Output-Calculation-sheet'!X6*'Output-Calculation-sheet'!X96</f>
        <v>#DIV/0!</v>
      </c>
      <c r="Y117" s="2" t="e">
        <f>Y7/'Output-Calculation-sheet'!Y6*'Output-Calculation-sheet'!Y96</f>
        <v>#DIV/0!</v>
      </c>
      <c r="AA117" s="2" t="e">
        <f t="shared" si="9"/>
        <v>#DIV/0!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 t="e">
        <f>B5/'Output-Calculation-sheet'!B4*'Output-Calculation-sheet'!B103</f>
        <v>#DIV/0!</v>
      </c>
      <c r="C126" s="2" t="e">
        <f>C5/'Output-Calculation-sheet'!C4*'Output-Calculation-sheet'!C103</f>
        <v>#DIV/0!</v>
      </c>
      <c r="D126" s="2" t="e">
        <f>D5/'Output-Calculation-sheet'!D4*'Output-Calculation-sheet'!D103</f>
        <v>#DIV/0!</v>
      </c>
      <c r="E126" s="2" t="e">
        <f>E5/'Output-Calculation-sheet'!E4*'Output-Calculation-sheet'!E103</f>
        <v>#DIV/0!</v>
      </c>
      <c r="F126" s="2" t="e">
        <f>F5/'Output-Calculation-sheet'!F4*'Output-Calculation-sheet'!F103</f>
        <v>#DIV/0!</v>
      </c>
      <c r="G126" s="2" t="e">
        <f>G5/'Output-Calculation-sheet'!G4*'Output-Calculation-sheet'!G103</f>
        <v>#DIV/0!</v>
      </c>
      <c r="H126" s="2" t="e">
        <f>H5/'Output-Calculation-sheet'!H4*'Output-Calculation-sheet'!H103</f>
        <v>#DIV/0!</v>
      </c>
      <c r="I126" s="2" t="e">
        <f>I5/'Output-Calculation-sheet'!I4*'Output-Calculation-sheet'!I103</f>
        <v>#DIV/0!</v>
      </c>
      <c r="J126" s="2" t="e">
        <f>J5/'Output-Calculation-sheet'!J4*'Output-Calculation-sheet'!J103</f>
        <v>#DIV/0!</v>
      </c>
      <c r="K126" s="2" t="e">
        <f>K5/'Output-Calculation-sheet'!K4*'Output-Calculation-sheet'!K103</f>
        <v>#DIV/0!</v>
      </c>
      <c r="L126" s="2" t="e">
        <f>L5/'Output-Calculation-sheet'!L4*'Output-Calculation-sheet'!L103</f>
        <v>#DIV/0!</v>
      </c>
      <c r="M126" s="2" t="e">
        <f>M5/'Output-Calculation-sheet'!M4*'Output-Calculation-sheet'!M103</f>
        <v>#DIV/0!</v>
      </c>
      <c r="N126" s="2" t="e">
        <f>N5/'Output-Calculation-sheet'!N4*'Output-Calculation-sheet'!N103</f>
        <v>#DIV/0!</v>
      </c>
      <c r="O126" s="2" t="e">
        <f>O5/'Output-Calculation-sheet'!O4*'Output-Calculation-sheet'!O103</f>
        <v>#DIV/0!</v>
      </c>
      <c r="P126" s="2" t="e">
        <f>P5/'Output-Calculation-sheet'!P4*'Output-Calculation-sheet'!P103</f>
        <v>#DIV/0!</v>
      </c>
      <c r="Q126" s="2" t="e">
        <f>Q5/'Output-Calculation-sheet'!Q4*'Output-Calculation-sheet'!Q103</f>
        <v>#DIV/0!</v>
      </c>
      <c r="R126" s="2" t="e">
        <f>R5/'Output-Calculation-sheet'!R4*'Output-Calculation-sheet'!R103</f>
        <v>#DIV/0!</v>
      </c>
      <c r="S126" s="2" t="e">
        <f>S5/'Output-Calculation-sheet'!S4*'Output-Calculation-sheet'!S103</f>
        <v>#DIV/0!</v>
      </c>
      <c r="T126" s="2" t="e">
        <f>T5/'Output-Calculation-sheet'!T4*'Output-Calculation-sheet'!T103</f>
        <v>#DIV/0!</v>
      </c>
      <c r="U126" s="2" t="e">
        <f>U5/'Output-Calculation-sheet'!U4*'Output-Calculation-sheet'!U103</f>
        <v>#DIV/0!</v>
      </c>
      <c r="V126" s="2" t="e">
        <f>V5/'Output-Calculation-sheet'!V4*'Output-Calculation-sheet'!V103</f>
        <v>#DIV/0!</v>
      </c>
      <c r="W126" s="2" t="e">
        <f>W5/'Output-Calculation-sheet'!W4*'Output-Calculation-sheet'!W103</f>
        <v>#DIV/0!</v>
      </c>
      <c r="X126" s="2" t="e">
        <f>X5/'Output-Calculation-sheet'!X4*'Output-Calculation-sheet'!X103</f>
        <v>#DIV/0!</v>
      </c>
      <c r="Y126" s="2" t="e">
        <f>Y5/'Output-Calculation-sheet'!Y4*'Output-Calculation-sheet'!Y103</f>
        <v>#DIV/0!</v>
      </c>
      <c r="AA126" s="2" t="e">
        <f>SUM(B126:Y126)/10^6</f>
        <v>#DIV/0!</v>
      </c>
    </row>
    <row r="127" spans="1:27" x14ac:dyDescent="0.25">
      <c r="A127" s="2">
        <v>2029</v>
      </c>
      <c r="B127" s="2" t="e">
        <f>B6/'Output-Calculation-sheet'!B5*'Output-Calculation-sheet'!B104</f>
        <v>#DIV/0!</v>
      </c>
      <c r="C127" s="2" t="e">
        <f>C6/'Output-Calculation-sheet'!C5*'Output-Calculation-sheet'!C104</f>
        <v>#DIV/0!</v>
      </c>
      <c r="D127" s="2" t="e">
        <f>D6/'Output-Calculation-sheet'!D5*'Output-Calculation-sheet'!D104</f>
        <v>#DIV/0!</v>
      </c>
      <c r="E127" s="2" t="e">
        <f>E6/'Output-Calculation-sheet'!E5*'Output-Calculation-sheet'!E104</f>
        <v>#DIV/0!</v>
      </c>
      <c r="F127" s="2" t="e">
        <f>F6/'Output-Calculation-sheet'!F5*'Output-Calculation-sheet'!F104</f>
        <v>#DIV/0!</v>
      </c>
      <c r="G127" s="2" t="e">
        <f>G6/'Output-Calculation-sheet'!G5*'Output-Calculation-sheet'!G104</f>
        <v>#DIV/0!</v>
      </c>
      <c r="H127" s="2" t="e">
        <f>H6/'Output-Calculation-sheet'!H5*'Output-Calculation-sheet'!H104</f>
        <v>#DIV/0!</v>
      </c>
      <c r="I127" s="2" t="e">
        <f>I6/'Output-Calculation-sheet'!I5*'Output-Calculation-sheet'!I104</f>
        <v>#DIV/0!</v>
      </c>
      <c r="J127" s="2" t="e">
        <f>J6/'Output-Calculation-sheet'!J5*'Output-Calculation-sheet'!J104</f>
        <v>#DIV/0!</v>
      </c>
      <c r="K127" s="2" t="e">
        <f>K6/'Output-Calculation-sheet'!K5*'Output-Calculation-sheet'!K104</f>
        <v>#DIV/0!</v>
      </c>
      <c r="L127" s="2" t="e">
        <f>L6/'Output-Calculation-sheet'!L5*'Output-Calculation-sheet'!L104</f>
        <v>#DIV/0!</v>
      </c>
      <c r="M127" s="2" t="e">
        <f>M6/'Output-Calculation-sheet'!M5*'Output-Calculation-sheet'!M104</f>
        <v>#DIV/0!</v>
      </c>
      <c r="N127" s="2" t="e">
        <f>N6/'Output-Calculation-sheet'!N5*'Output-Calculation-sheet'!N104</f>
        <v>#DIV/0!</v>
      </c>
      <c r="O127" s="2" t="e">
        <f>O6/'Output-Calculation-sheet'!O5*'Output-Calculation-sheet'!O104</f>
        <v>#DIV/0!</v>
      </c>
      <c r="P127" s="2" t="e">
        <f>P6/'Output-Calculation-sheet'!P5*'Output-Calculation-sheet'!P104</f>
        <v>#DIV/0!</v>
      </c>
      <c r="Q127" s="2" t="e">
        <f>Q6/'Output-Calculation-sheet'!Q5*'Output-Calculation-sheet'!Q104</f>
        <v>#DIV/0!</v>
      </c>
      <c r="R127" s="2" t="e">
        <f>R6/'Output-Calculation-sheet'!R5*'Output-Calculation-sheet'!R104</f>
        <v>#DIV/0!</v>
      </c>
      <c r="S127" s="2" t="e">
        <f>S6/'Output-Calculation-sheet'!S5*'Output-Calculation-sheet'!S104</f>
        <v>#DIV/0!</v>
      </c>
      <c r="T127" s="2" t="e">
        <f>T6/'Output-Calculation-sheet'!T5*'Output-Calculation-sheet'!T104</f>
        <v>#DIV/0!</v>
      </c>
      <c r="U127" s="2" t="e">
        <f>U6/'Output-Calculation-sheet'!U5*'Output-Calculation-sheet'!U104</f>
        <v>#DIV/0!</v>
      </c>
      <c r="V127" s="2" t="e">
        <f>V6/'Output-Calculation-sheet'!V5*'Output-Calculation-sheet'!V104</f>
        <v>#DIV/0!</v>
      </c>
      <c r="W127" s="2" t="e">
        <f>W6/'Output-Calculation-sheet'!W5*'Output-Calculation-sheet'!W104</f>
        <v>#DIV/0!</v>
      </c>
      <c r="X127" s="2" t="e">
        <f>X6/'Output-Calculation-sheet'!X5*'Output-Calculation-sheet'!X104</f>
        <v>#DIV/0!</v>
      </c>
      <c r="Y127" s="2" t="e">
        <f>Y6/'Output-Calculation-sheet'!Y5*'Output-Calculation-sheet'!Y104</f>
        <v>#DIV/0!</v>
      </c>
      <c r="AA127" s="2" t="e">
        <f t="shared" ref="AA127:AA133" si="10">SUM(B127:Y127)/10^6</f>
        <v>#DIV/0!</v>
      </c>
    </row>
    <row r="128" spans="1:27" x14ac:dyDescent="0.25">
      <c r="A128" s="2">
        <v>2030</v>
      </c>
      <c r="B128" s="2" t="e">
        <f>B7/'Output-Calculation-sheet'!B6*'Output-Calculation-sheet'!B105</f>
        <v>#DIV/0!</v>
      </c>
      <c r="C128" s="2" t="e">
        <f>C7/'Output-Calculation-sheet'!C6*'Output-Calculation-sheet'!C105</f>
        <v>#DIV/0!</v>
      </c>
      <c r="D128" s="2" t="e">
        <f>D7/'Output-Calculation-sheet'!D6*'Output-Calculation-sheet'!D105</f>
        <v>#DIV/0!</v>
      </c>
      <c r="E128" s="2" t="e">
        <f>E7/'Output-Calculation-sheet'!E6*'Output-Calculation-sheet'!E105</f>
        <v>#DIV/0!</v>
      </c>
      <c r="F128" s="2" t="e">
        <f>F7/'Output-Calculation-sheet'!F6*'Output-Calculation-sheet'!F105</f>
        <v>#DIV/0!</v>
      </c>
      <c r="G128" s="2" t="e">
        <f>G7/'Output-Calculation-sheet'!G6*'Output-Calculation-sheet'!G105</f>
        <v>#DIV/0!</v>
      </c>
      <c r="H128" s="2" t="e">
        <f>H7/'Output-Calculation-sheet'!H6*'Output-Calculation-sheet'!H105</f>
        <v>#DIV/0!</v>
      </c>
      <c r="I128" s="2" t="e">
        <f>I7/'Output-Calculation-sheet'!I6*'Output-Calculation-sheet'!I105</f>
        <v>#DIV/0!</v>
      </c>
      <c r="J128" s="2" t="e">
        <f>J7/'Output-Calculation-sheet'!J6*'Output-Calculation-sheet'!J105</f>
        <v>#DIV/0!</v>
      </c>
      <c r="K128" s="2" t="e">
        <f>K7/'Output-Calculation-sheet'!K6*'Output-Calculation-sheet'!K105</f>
        <v>#DIV/0!</v>
      </c>
      <c r="L128" s="2" t="e">
        <f>L7/'Output-Calculation-sheet'!L6*'Output-Calculation-sheet'!L105</f>
        <v>#DIV/0!</v>
      </c>
      <c r="M128" s="2" t="e">
        <f>M7/'Output-Calculation-sheet'!M6*'Output-Calculation-sheet'!M105</f>
        <v>#DIV/0!</v>
      </c>
      <c r="N128" s="2" t="e">
        <f>N7/'Output-Calculation-sheet'!N6*'Output-Calculation-sheet'!N105</f>
        <v>#DIV/0!</v>
      </c>
      <c r="O128" s="2" t="e">
        <f>O7/'Output-Calculation-sheet'!O6*'Output-Calculation-sheet'!O105</f>
        <v>#DIV/0!</v>
      </c>
      <c r="P128" s="2" t="e">
        <f>P7/'Output-Calculation-sheet'!P6*'Output-Calculation-sheet'!P105</f>
        <v>#DIV/0!</v>
      </c>
      <c r="Q128" s="2" t="e">
        <f>Q7/'Output-Calculation-sheet'!Q6*'Output-Calculation-sheet'!Q105</f>
        <v>#DIV/0!</v>
      </c>
      <c r="R128" s="2" t="e">
        <f>R7/'Output-Calculation-sheet'!R6*'Output-Calculation-sheet'!R105</f>
        <v>#DIV/0!</v>
      </c>
      <c r="S128" s="2" t="e">
        <f>S7/'Output-Calculation-sheet'!S6*'Output-Calculation-sheet'!S105</f>
        <v>#DIV/0!</v>
      </c>
      <c r="T128" s="2" t="e">
        <f>T7/'Output-Calculation-sheet'!T6*'Output-Calculation-sheet'!T105</f>
        <v>#DIV/0!</v>
      </c>
      <c r="U128" s="2" t="e">
        <f>U7/'Output-Calculation-sheet'!U6*'Output-Calculation-sheet'!U105</f>
        <v>#DIV/0!</v>
      </c>
      <c r="V128" s="2" t="e">
        <f>V7/'Output-Calculation-sheet'!V6*'Output-Calculation-sheet'!V105</f>
        <v>#DIV/0!</v>
      </c>
      <c r="W128" s="2" t="e">
        <f>W7/'Output-Calculation-sheet'!W6*'Output-Calculation-sheet'!W105</f>
        <v>#DIV/0!</v>
      </c>
      <c r="X128" s="2" t="e">
        <f>X7/'Output-Calculation-sheet'!X6*'Output-Calculation-sheet'!X105</f>
        <v>#DIV/0!</v>
      </c>
      <c r="Y128" s="2" t="e">
        <f>Y7/'Output-Calculation-sheet'!Y6*'Output-Calculation-sheet'!Y105</f>
        <v>#DIV/0!</v>
      </c>
      <c r="AA128" s="2" t="e">
        <f t="shared" si="10"/>
        <v>#DIV/0!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 t="e">
        <f>B5/'Output-Calculation-sheet'!B4*'Output-Calculation-sheet'!B112</f>
        <v>#DIV/0!</v>
      </c>
      <c r="C137" s="2" t="e">
        <f>C5/'Output-Calculation-sheet'!C4*'Output-Calculation-sheet'!C112</f>
        <v>#DIV/0!</v>
      </c>
      <c r="D137" s="2" t="e">
        <f>D5/'Output-Calculation-sheet'!D4*'Output-Calculation-sheet'!D112</f>
        <v>#DIV/0!</v>
      </c>
      <c r="E137" s="2" t="e">
        <f>E5/'Output-Calculation-sheet'!E4*'Output-Calculation-sheet'!E112</f>
        <v>#DIV/0!</v>
      </c>
      <c r="F137" s="2" t="e">
        <f>F5/'Output-Calculation-sheet'!F4*'Output-Calculation-sheet'!F112</f>
        <v>#DIV/0!</v>
      </c>
      <c r="G137" s="2" t="e">
        <f>G5/'Output-Calculation-sheet'!G4*'Output-Calculation-sheet'!G112</f>
        <v>#DIV/0!</v>
      </c>
      <c r="H137" s="2" t="e">
        <f>H5/'Output-Calculation-sheet'!H4*'Output-Calculation-sheet'!H112</f>
        <v>#DIV/0!</v>
      </c>
      <c r="I137" s="2" t="e">
        <f>I5/'Output-Calculation-sheet'!I4*'Output-Calculation-sheet'!I112</f>
        <v>#DIV/0!</v>
      </c>
      <c r="J137" s="2" t="e">
        <f>J5/'Output-Calculation-sheet'!J4*'Output-Calculation-sheet'!J112</f>
        <v>#DIV/0!</v>
      </c>
      <c r="K137" s="2" t="e">
        <f>K5/'Output-Calculation-sheet'!K4*'Output-Calculation-sheet'!K112</f>
        <v>#DIV/0!</v>
      </c>
      <c r="L137" s="2" t="e">
        <f>L5/'Output-Calculation-sheet'!L4*'Output-Calculation-sheet'!L112</f>
        <v>#DIV/0!</v>
      </c>
      <c r="M137" s="2" t="e">
        <f>M5/'Output-Calculation-sheet'!M4*'Output-Calculation-sheet'!M112</f>
        <v>#DIV/0!</v>
      </c>
      <c r="N137" s="2" t="e">
        <f>N5/'Output-Calculation-sheet'!N4*'Output-Calculation-sheet'!N112</f>
        <v>#DIV/0!</v>
      </c>
      <c r="O137" s="2" t="e">
        <f>O5/'Output-Calculation-sheet'!O4*'Output-Calculation-sheet'!O112</f>
        <v>#DIV/0!</v>
      </c>
      <c r="P137" s="2" t="e">
        <f>P5/'Output-Calculation-sheet'!P4*'Output-Calculation-sheet'!P112</f>
        <v>#DIV/0!</v>
      </c>
      <c r="Q137" s="2" t="e">
        <f>Q5/'Output-Calculation-sheet'!Q4*'Output-Calculation-sheet'!Q112</f>
        <v>#DIV/0!</v>
      </c>
      <c r="R137" s="2" t="e">
        <f>R5/'Output-Calculation-sheet'!R4*'Output-Calculation-sheet'!R112</f>
        <v>#DIV/0!</v>
      </c>
      <c r="S137" s="2" t="e">
        <f>S5/'Output-Calculation-sheet'!S4*'Output-Calculation-sheet'!S112</f>
        <v>#DIV/0!</v>
      </c>
      <c r="T137" s="2" t="e">
        <f>T5/'Output-Calculation-sheet'!T4*'Output-Calculation-sheet'!T112</f>
        <v>#DIV/0!</v>
      </c>
      <c r="U137" s="2" t="e">
        <f>U5/'Output-Calculation-sheet'!U4*'Output-Calculation-sheet'!U112</f>
        <v>#DIV/0!</v>
      </c>
      <c r="V137" s="2" t="e">
        <f>V5/'Output-Calculation-sheet'!V4*'Output-Calculation-sheet'!V112</f>
        <v>#DIV/0!</v>
      </c>
      <c r="W137" s="2" t="e">
        <f>W5/'Output-Calculation-sheet'!W4*'Output-Calculation-sheet'!W112</f>
        <v>#DIV/0!</v>
      </c>
      <c r="X137" s="2" t="e">
        <f>X5/'Output-Calculation-sheet'!X4*'Output-Calculation-sheet'!X112</f>
        <v>#DIV/0!</v>
      </c>
      <c r="Y137" s="2" t="e">
        <f>Y5/'Output-Calculation-sheet'!Y4*'Output-Calculation-sheet'!Y112</f>
        <v>#DIV/0!</v>
      </c>
      <c r="AA137" s="2" t="e">
        <f>SUM(B137:Y137)/10^6</f>
        <v>#DIV/0!</v>
      </c>
    </row>
    <row r="138" spans="1:27" x14ac:dyDescent="0.25">
      <c r="A138" s="2">
        <v>2029</v>
      </c>
      <c r="B138" s="2" t="e">
        <f>B6/'Output-Calculation-sheet'!B5*'Output-Calculation-sheet'!B113</f>
        <v>#DIV/0!</v>
      </c>
      <c r="C138" s="2" t="e">
        <f>C6/'Output-Calculation-sheet'!C5*'Output-Calculation-sheet'!C113</f>
        <v>#DIV/0!</v>
      </c>
      <c r="D138" s="2" t="e">
        <f>D6/'Output-Calculation-sheet'!D5*'Output-Calculation-sheet'!D113</f>
        <v>#DIV/0!</v>
      </c>
      <c r="E138" s="2" t="e">
        <f>E6/'Output-Calculation-sheet'!E5*'Output-Calculation-sheet'!E113</f>
        <v>#DIV/0!</v>
      </c>
      <c r="F138" s="2" t="e">
        <f>F6/'Output-Calculation-sheet'!F5*'Output-Calculation-sheet'!F113</f>
        <v>#DIV/0!</v>
      </c>
      <c r="G138" s="2" t="e">
        <f>G6/'Output-Calculation-sheet'!G5*'Output-Calculation-sheet'!G113</f>
        <v>#DIV/0!</v>
      </c>
      <c r="H138" s="2" t="e">
        <f>H6/'Output-Calculation-sheet'!H5*'Output-Calculation-sheet'!H113</f>
        <v>#DIV/0!</v>
      </c>
      <c r="I138" s="2" t="e">
        <f>I6/'Output-Calculation-sheet'!I5*'Output-Calculation-sheet'!I113</f>
        <v>#DIV/0!</v>
      </c>
      <c r="J138" s="2" t="e">
        <f>J6/'Output-Calculation-sheet'!J5*'Output-Calculation-sheet'!J113</f>
        <v>#DIV/0!</v>
      </c>
      <c r="K138" s="2" t="e">
        <f>K6/'Output-Calculation-sheet'!K5*'Output-Calculation-sheet'!K113</f>
        <v>#DIV/0!</v>
      </c>
      <c r="L138" s="2" t="e">
        <f>L6/'Output-Calculation-sheet'!L5*'Output-Calculation-sheet'!L113</f>
        <v>#DIV/0!</v>
      </c>
      <c r="M138" s="2" t="e">
        <f>M6/'Output-Calculation-sheet'!M5*'Output-Calculation-sheet'!M113</f>
        <v>#DIV/0!</v>
      </c>
      <c r="N138" s="2" t="e">
        <f>N6/'Output-Calculation-sheet'!N5*'Output-Calculation-sheet'!N113</f>
        <v>#DIV/0!</v>
      </c>
      <c r="O138" s="2" t="e">
        <f>O6/'Output-Calculation-sheet'!O5*'Output-Calculation-sheet'!O113</f>
        <v>#DIV/0!</v>
      </c>
      <c r="P138" s="2" t="e">
        <f>P6/'Output-Calculation-sheet'!P5*'Output-Calculation-sheet'!P113</f>
        <v>#DIV/0!</v>
      </c>
      <c r="Q138" s="2" t="e">
        <f>Q6/'Output-Calculation-sheet'!Q5*'Output-Calculation-sheet'!Q113</f>
        <v>#DIV/0!</v>
      </c>
      <c r="R138" s="2" t="e">
        <f>R6/'Output-Calculation-sheet'!R5*'Output-Calculation-sheet'!R113</f>
        <v>#DIV/0!</v>
      </c>
      <c r="S138" s="2" t="e">
        <f>S6/'Output-Calculation-sheet'!S5*'Output-Calculation-sheet'!S113</f>
        <v>#DIV/0!</v>
      </c>
      <c r="T138" s="2" t="e">
        <f>T6/'Output-Calculation-sheet'!T5*'Output-Calculation-sheet'!T113</f>
        <v>#DIV/0!</v>
      </c>
      <c r="U138" s="2" t="e">
        <f>U6/'Output-Calculation-sheet'!U5*'Output-Calculation-sheet'!U113</f>
        <v>#DIV/0!</v>
      </c>
      <c r="V138" s="2" t="e">
        <f>V6/'Output-Calculation-sheet'!V5*'Output-Calculation-sheet'!V113</f>
        <v>#DIV/0!</v>
      </c>
      <c r="W138" s="2" t="e">
        <f>W6/'Output-Calculation-sheet'!W5*'Output-Calculation-sheet'!W113</f>
        <v>#DIV/0!</v>
      </c>
      <c r="X138" s="2" t="e">
        <f>X6/'Output-Calculation-sheet'!X5*'Output-Calculation-sheet'!X113</f>
        <v>#DIV/0!</v>
      </c>
      <c r="Y138" s="2" t="e">
        <f>Y6/'Output-Calculation-sheet'!Y5*'Output-Calculation-sheet'!Y113</f>
        <v>#DIV/0!</v>
      </c>
      <c r="AA138" s="2" t="e">
        <f t="shared" ref="AA138:AA144" si="11">SUM(B138:Y138)/10^6</f>
        <v>#DIV/0!</v>
      </c>
    </row>
    <row r="139" spans="1:27" x14ac:dyDescent="0.25">
      <c r="A139" s="2">
        <v>2030</v>
      </c>
      <c r="B139" s="2" t="e">
        <f>B7/'Output-Calculation-sheet'!B6*'Output-Calculation-sheet'!B114</f>
        <v>#DIV/0!</v>
      </c>
      <c r="C139" s="2" t="e">
        <f>C7/'Output-Calculation-sheet'!C6*'Output-Calculation-sheet'!C114</f>
        <v>#DIV/0!</v>
      </c>
      <c r="D139" s="2" t="e">
        <f>D7/'Output-Calculation-sheet'!D6*'Output-Calculation-sheet'!D114</f>
        <v>#DIV/0!</v>
      </c>
      <c r="E139" s="2" t="e">
        <f>E7/'Output-Calculation-sheet'!E6*'Output-Calculation-sheet'!E114</f>
        <v>#DIV/0!</v>
      </c>
      <c r="F139" s="2" t="e">
        <f>F7/'Output-Calculation-sheet'!F6*'Output-Calculation-sheet'!F114</f>
        <v>#DIV/0!</v>
      </c>
      <c r="G139" s="2" t="e">
        <f>G7/'Output-Calculation-sheet'!G6*'Output-Calculation-sheet'!G114</f>
        <v>#DIV/0!</v>
      </c>
      <c r="H139" s="2" t="e">
        <f>H7/'Output-Calculation-sheet'!H6*'Output-Calculation-sheet'!H114</f>
        <v>#DIV/0!</v>
      </c>
      <c r="I139" s="2" t="e">
        <f>I7/'Output-Calculation-sheet'!I6*'Output-Calculation-sheet'!I114</f>
        <v>#DIV/0!</v>
      </c>
      <c r="J139" s="2" t="e">
        <f>J7/'Output-Calculation-sheet'!J6*'Output-Calculation-sheet'!J114</f>
        <v>#DIV/0!</v>
      </c>
      <c r="K139" s="2" t="e">
        <f>K7/'Output-Calculation-sheet'!K6*'Output-Calculation-sheet'!K114</f>
        <v>#DIV/0!</v>
      </c>
      <c r="L139" s="2" t="e">
        <f>L7/'Output-Calculation-sheet'!L6*'Output-Calculation-sheet'!L114</f>
        <v>#DIV/0!</v>
      </c>
      <c r="M139" s="2" t="e">
        <f>M7/'Output-Calculation-sheet'!M6*'Output-Calculation-sheet'!M114</f>
        <v>#DIV/0!</v>
      </c>
      <c r="N139" s="2" t="e">
        <f>N7/'Output-Calculation-sheet'!N6*'Output-Calculation-sheet'!N114</f>
        <v>#DIV/0!</v>
      </c>
      <c r="O139" s="2" t="e">
        <f>O7/'Output-Calculation-sheet'!O6*'Output-Calculation-sheet'!O114</f>
        <v>#DIV/0!</v>
      </c>
      <c r="P139" s="2" t="e">
        <f>P7/'Output-Calculation-sheet'!P6*'Output-Calculation-sheet'!P114</f>
        <v>#DIV/0!</v>
      </c>
      <c r="Q139" s="2" t="e">
        <f>Q7/'Output-Calculation-sheet'!Q6*'Output-Calculation-sheet'!Q114</f>
        <v>#DIV/0!</v>
      </c>
      <c r="R139" s="2" t="e">
        <f>R7/'Output-Calculation-sheet'!R6*'Output-Calculation-sheet'!R114</f>
        <v>#DIV/0!</v>
      </c>
      <c r="S139" s="2" t="e">
        <f>S7/'Output-Calculation-sheet'!S6*'Output-Calculation-sheet'!S114</f>
        <v>#DIV/0!</v>
      </c>
      <c r="T139" s="2" t="e">
        <f>T7/'Output-Calculation-sheet'!T6*'Output-Calculation-sheet'!T114</f>
        <v>#DIV/0!</v>
      </c>
      <c r="U139" s="2" t="e">
        <f>U7/'Output-Calculation-sheet'!U6*'Output-Calculation-sheet'!U114</f>
        <v>#DIV/0!</v>
      </c>
      <c r="V139" s="2" t="e">
        <f>V7/'Output-Calculation-sheet'!V6*'Output-Calculation-sheet'!V114</f>
        <v>#DIV/0!</v>
      </c>
      <c r="W139" s="2" t="e">
        <f>W7/'Output-Calculation-sheet'!W6*'Output-Calculation-sheet'!W114</f>
        <v>#DIV/0!</v>
      </c>
      <c r="X139" s="2" t="e">
        <f>X7/'Output-Calculation-sheet'!X6*'Output-Calculation-sheet'!X114</f>
        <v>#DIV/0!</v>
      </c>
      <c r="Y139" s="2" t="e">
        <f>Y7/'Output-Calculation-sheet'!Y6*'Output-Calculation-sheet'!Y114</f>
        <v>#DIV/0!</v>
      </c>
      <c r="AA139" s="2" t="e">
        <f t="shared" si="11"/>
        <v>#DIV/0!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 t="e">
        <f>B5/'Output-Calculation-sheet'!B4*'Output-Calculation-sheet'!B121</f>
        <v>#DIV/0!</v>
      </c>
      <c r="C148" s="2" t="e">
        <f>C5/'Output-Calculation-sheet'!C4*'Output-Calculation-sheet'!C121</f>
        <v>#DIV/0!</v>
      </c>
      <c r="D148" s="2" t="e">
        <f>D5/'Output-Calculation-sheet'!D4*'Output-Calculation-sheet'!D121</f>
        <v>#DIV/0!</v>
      </c>
      <c r="E148" s="2" t="e">
        <f>E5/'Output-Calculation-sheet'!E4*'Output-Calculation-sheet'!E121</f>
        <v>#DIV/0!</v>
      </c>
      <c r="F148" s="2" t="e">
        <f>F5/'Output-Calculation-sheet'!F4*'Output-Calculation-sheet'!F121</f>
        <v>#DIV/0!</v>
      </c>
      <c r="G148" s="2" t="e">
        <f>G5/'Output-Calculation-sheet'!G4*'Output-Calculation-sheet'!G121</f>
        <v>#DIV/0!</v>
      </c>
      <c r="H148" s="2" t="e">
        <f>H5/'Output-Calculation-sheet'!H4*'Output-Calculation-sheet'!H121</f>
        <v>#DIV/0!</v>
      </c>
      <c r="I148" s="2" t="e">
        <f>I5/'Output-Calculation-sheet'!I4*'Output-Calculation-sheet'!I121</f>
        <v>#DIV/0!</v>
      </c>
      <c r="J148" s="2" t="e">
        <f>J5/'Output-Calculation-sheet'!J4*'Output-Calculation-sheet'!J121</f>
        <v>#DIV/0!</v>
      </c>
      <c r="K148" s="2" t="e">
        <f>K5/'Output-Calculation-sheet'!K4*'Output-Calculation-sheet'!K121</f>
        <v>#DIV/0!</v>
      </c>
      <c r="L148" s="2" t="e">
        <f>L5/'Output-Calculation-sheet'!L4*'Output-Calculation-sheet'!L121</f>
        <v>#DIV/0!</v>
      </c>
      <c r="M148" s="2" t="e">
        <f>M5/'Output-Calculation-sheet'!M4*'Output-Calculation-sheet'!M121</f>
        <v>#DIV/0!</v>
      </c>
      <c r="N148" s="2" t="e">
        <f>N5/'Output-Calculation-sheet'!N4*'Output-Calculation-sheet'!N121</f>
        <v>#DIV/0!</v>
      </c>
      <c r="O148" s="2" t="e">
        <f>O5/'Output-Calculation-sheet'!O4*'Output-Calculation-sheet'!O121</f>
        <v>#DIV/0!</v>
      </c>
      <c r="P148" s="2" t="e">
        <f>P5/'Output-Calculation-sheet'!P4*'Output-Calculation-sheet'!P121</f>
        <v>#DIV/0!</v>
      </c>
      <c r="Q148" s="2" t="e">
        <f>Q5/'Output-Calculation-sheet'!Q4*'Output-Calculation-sheet'!Q121</f>
        <v>#DIV/0!</v>
      </c>
      <c r="R148" s="2" t="e">
        <f>R5/'Output-Calculation-sheet'!R4*'Output-Calculation-sheet'!R121</f>
        <v>#DIV/0!</v>
      </c>
      <c r="S148" s="2" t="e">
        <f>S5/'Output-Calculation-sheet'!S4*'Output-Calculation-sheet'!S121</f>
        <v>#DIV/0!</v>
      </c>
      <c r="T148" s="2" t="e">
        <f>T5/'Output-Calculation-sheet'!T4*'Output-Calculation-sheet'!T121</f>
        <v>#DIV/0!</v>
      </c>
      <c r="U148" s="2" t="e">
        <f>U5/'Output-Calculation-sheet'!U4*'Output-Calculation-sheet'!U121</f>
        <v>#DIV/0!</v>
      </c>
      <c r="V148" s="2" t="e">
        <f>V5/'Output-Calculation-sheet'!V4*'Output-Calculation-sheet'!V121</f>
        <v>#DIV/0!</v>
      </c>
      <c r="W148" s="2" t="e">
        <f>W5/'Output-Calculation-sheet'!W4*'Output-Calculation-sheet'!W121</f>
        <v>#DIV/0!</v>
      </c>
      <c r="X148" s="2" t="e">
        <f>X5/'Output-Calculation-sheet'!X4*'Output-Calculation-sheet'!X121</f>
        <v>#DIV/0!</v>
      </c>
      <c r="Y148" s="2" t="e">
        <f>Y5/'Output-Calculation-sheet'!Y4*'Output-Calculation-sheet'!Y121</f>
        <v>#DIV/0!</v>
      </c>
      <c r="AA148" s="2" t="e">
        <f>SUM(B148:Y148)/10^6</f>
        <v>#DIV/0!</v>
      </c>
    </row>
    <row r="149" spans="1:27" x14ac:dyDescent="0.25">
      <c r="A149" s="2">
        <v>2029</v>
      </c>
      <c r="B149" s="2" t="e">
        <f>B6/'Output-Calculation-sheet'!B5*'Output-Calculation-sheet'!B122</f>
        <v>#DIV/0!</v>
      </c>
      <c r="C149" s="2" t="e">
        <f>C6/'Output-Calculation-sheet'!C5*'Output-Calculation-sheet'!C122</f>
        <v>#DIV/0!</v>
      </c>
      <c r="D149" s="2" t="e">
        <f>D6/'Output-Calculation-sheet'!D5*'Output-Calculation-sheet'!D122</f>
        <v>#DIV/0!</v>
      </c>
      <c r="E149" s="2" t="e">
        <f>E6/'Output-Calculation-sheet'!E5*'Output-Calculation-sheet'!E122</f>
        <v>#DIV/0!</v>
      </c>
      <c r="F149" s="2" t="e">
        <f>F6/'Output-Calculation-sheet'!F5*'Output-Calculation-sheet'!F122</f>
        <v>#DIV/0!</v>
      </c>
      <c r="G149" s="2" t="e">
        <f>G6/'Output-Calculation-sheet'!G5*'Output-Calculation-sheet'!G122</f>
        <v>#DIV/0!</v>
      </c>
      <c r="H149" s="2" t="e">
        <f>H6/'Output-Calculation-sheet'!H5*'Output-Calculation-sheet'!H122</f>
        <v>#DIV/0!</v>
      </c>
      <c r="I149" s="2" t="e">
        <f>I6/'Output-Calculation-sheet'!I5*'Output-Calculation-sheet'!I122</f>
        <v>#DIV/0!</v>
      </c>
      <c r="J149" s="2" t="e">
        <f>J6/'Output-Calculation-sheet'!J5*'Output-Calculation-sheet'!J122</f>
        <v>#DIV/0!</v>
      </c>
      <c r="K149" s="2" t="e">
        <f>K6/'Output-Calculation-sheet'!K5*'Output-Calculation-sheet'!K122</f>
        <v>#DIV/0!</v>
      </c>
      <c r="L149" s="2" t="e">
        <f>L6/'Output-Calculation-sheet'!L5*'Output-Calculation-sheet'!L122</f>
        <v>#DIV/0!</v>
      </c>
      <c r="M149" s="2" t="e">
        <f>M6/'Output-Calculation-sheet'!M5*'Output-Calculation-sheet'!M122</f>
        <v>#DIV/0!</v>
      </c>
      <c r="N149" s="2" t="e">
        <f>N6/'Output-Calculation-sheet'!N5*'Output-Calculation-sheet'!N122</f>
        <v>#DIV/0!</v>
      </c>
      <c r="O149" s="2" t="e">
        <f>O6/'Output-Calculation-sheet'!O5*'Output-Calculation-sheet'!O122</f>
        <v>#DIV/0!</v>
      </c>
      <c r="P149" s="2" t="e">
        <f>P6/'Output-Calculation-sheet'!P5*'Output-Calculation-sheet'!P122</f>
        <v>#DIV/0!</v>
      </c>
      <c r="Q149" s="2" t="e">
        <f>Q6/'Output-Calculation-sheet'!Q5*'Output-Calculation-sheet'!Q122</f>
        <v>#DIV/0!</v>
      </c>
      <c r="R149" s="2" t="e">
        <f>R6/'Output-Calculation-sheet'!R5*'Output-Calculation-sheet'!R122</f>
        <v>#DIV/0!</v>
      </c>
      <c r="S149" s="2" t="e">
        <f>S6/'Output-Calculation-sheet'!S5*'Output-Calculation-sheet'!S122</f>
        <v>#DIV/0!</v>
      </c>
      <c r="T149" s="2" t="e">
        <f>T6/'Output-Calculation-sheet'!T5*'Output-Calculation-sheet'!T122</f>
        <v>#DIV/0!</v>
      </c>
      <c r="U149" s="2" t="e">
        <f>U6/'Output-Calculation-sheet'!U5*'Output-Calculation-sheet'!U122</f>
        <v>#DIV/0!</v>
      </c>
      <c r="V149" s="2" t="e">
        <f>V6/'Output-Calculation-sheet'!V5*'Output-Calculation-sheet'!V122</f>
        <v>#DIV/0!</v>
      </c>
      <c r="W149" s="2" t="e">
        <f>W6/'Output-Calculation-sheet'!W5*'Output-Calculation-sheet'!W122</f>
        <v>#DIV/0!</v>
      </c>
      <c r="X149" s="2" t="e">
        <f>X6/'Output-Calculation-sheet'!X5*'Output-Calculation-sheet'!X122</f>
        <v>#DIV/0!</v>
      </c>
      <c r="Y149" s="2" t="e">
        <f>Y6/'Output-Calculation-sheet'!Y5*'Output-Calculation-sheet'!Y122</f>
        <v>#DIV/0!</v>
      </c>
      <c r="AA149" s="2" t="e">
        <f t="shared" ref="AA149:AA155" si="12">SUM(B149:Y149)/10^6</f>
        <v>#DIV/0!</v>
      </c>
    </row>
    <row r="150" spans="1:27" x14ac:dyDescent="0.25">
      <c r="A150" s="2">
        <v>2030</v>
      </c>
      <c r="B150" s="2" t="e">
        <f>B7/'Output-Calculation-sheet'!B6*'Output-Calculation-sheet'!B123</f>
        <v>#DIV/0!</v>
      </c>
      <c r="C150" s="2" t="e">
        <f>C7/'Output-Calculation-sheet'!C6*'Output-Calculation-sheet'!C123</f>
        <v>#DIV/0!</v>
      </c>
      <c r="D150" s="2" t="e">
        <f>D7/'Output-Calculation-sheet'!D6*'Output-Calculation-sheet'!D123</f>
        <v>#DIV/0!</v>
      </c>
      <c r="E150" s="2" t="e">
        <f>E7/'Output-Calculation-sheet'!E6*'Output-Calculation-sheet'!E123</f>
        <v>#DIV/0!</v>
      </c>
      <c r="F150" s="2" t="e">
        <f>F7/'Output-Calculation-sheet'!F6*'Output-Calculation-sheet'!F123</f>
        <v>#DIV/0!</v>
      </c>
      <c r="G150" s="2" t="e">
        <f>G7/'Output-Calculation-sheet'!G6*'Output-Calculation-sheet'!G123</f>
        <v>#DIV/0!</v>
      </c>
      <c r="H150" s="2" t="e">
        <f>H7/'Output-Calculation-sheet'!H6*'Output-Calculation-sheet'!H123</f>
        <v>#DIV/0!</v>
      </c>
      <c r="I150" s="2" t="e">
        <f>I7/'Output-Calculation-sheet'!I6*'Output-Calculation-sheet'!I123</f>
        <v>#DIV/0!</v>
      </c>
      <c r="J150" s="2" t="e">
        <f>J7/'Output-Calculation-sheet'!J6*'Output-Calculation-sheet'!J123</f>
        <v>#DIV/0!</v>
      </c>
      <c r="K150" s="2" t="e">
        <f>K7/'Output-Calculation-sheet'!K6*'Output-Calculation-sheet'!K123</f>
        <v>#DIV/0!</v>
      </c>
      <c r="L150" s="2" t="e">
        <f>L7/'Output-Calculation-sheet'!L6*'Output-Calculation-sheet'!L123</f>
        <v>#DIV/0!</v>
      </c>
      <c r="M150" s="2" t="e">
        <f>M7/'Output-Calculation-sheet'!M6*'Output-Calculation-sheet'!M123</f>
        <v>#DIV/0!</v>
      </c>
      <c r="N150" s="2" t="e">
        <f>N7/'Output-Calculation-sheet'!N6*'Output-Calculation-sheet'!N123</f>
        <v>#DIV/0!</v>
      </c>
      <c r="O150" s="2" t="e">
        <f>O7/'Output-Calculation-sheet'!O6*'Output-Calculation-sheet'!O123</f>
        <v>#DIV/0!</v>
      </c>
      <c r="P150" s="2" t="e">
        <f>P7/'Output-Calculation-sheet'!P6*'Output-Calculation-sheet'!P123</f>
        <v>#DIV/0!</v>
      </c>
      <c r="Q150" s="2" t="e">
        <f>Q7/'Output-Calculation-sheet'!Q6*'Output-Calculation-sheet'!Q123</f>
        <v>#DIV/0!</v>
      </c>
      <c r="R150" s="2" t="e">
        <f>R7/'Output-Calculation-sheet'!R6*'Output-Calculation-sheet'!R123</f>
        <v>#DIV/0!</v>
      </c>
      <c r="S150" s="2" t="e">
        <f>S7/'Output-Calculation-sheet'!S6*'Output-Calculation-sheet'!S123</f>
        <v>#DIV/0!</v>
      </c>
      <c r="T150" s="2" t="e">
        <f>T7/'Output-Calculation-sheet'!T6*'Output-Calculation-sheet'!T123</f>
        <v>#DIV/0!</v>
      </c>
      <c r="U150" s="2" t="e">
        <f>U7/'Output-Calculation-sheet'!U6*'Output-Calculation-sheet'!U123</f>
        <v>#DIV/0!</v>
      </c>
      <c r="V150" s="2" t="e">
        <f>V7/'Output-Calculation-sheet'!V6*'Output-Calculation-sheet'!V123</f>
        <v>#DIV/0!</v>
      </c>
      <c r="W150" s="2" t="e">
        <f>W7/'Output-Calculation-sheet'!W6*'Output-Calculation-sheet'!W123</f>
        <v>#DIV/0!</v>
      </c>
      <c r="X150" s="2" t="e">
        <f>X7/'Output-Calculation-sheet'!X6*'Output-Calculation-sheet'!X123</f>
        <v>#DIV/0!</v>
      </c>
      <c r="Y150" s="2" t="e">
        <f>Y7/'Output-Calculation-sheet'!Y6*'Output-Calculation-sheet'!Y123</f>
        <v>#DIV/0!</v>
      </c>
      <c r="AA150" s="2" t="e">
        <f t="shared" si="12"/>
        <v>#DIV/0!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2026-03-02T20:48:12Z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