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 Nuclear-CC\With Nuclear-NCC\SSP2-45\FOAK\"/>
    </mc:Choice>
  </mc:AlternateContent>
  <xr:revisionPtr revIDLastSave="0" documentId="13_ncr:1_{50C0C0B4-AE34-4D3B-9E3F-08A64DED2181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<sst xmlns="http://schemas.openxmlformats.org/spreadsheetml/2006/main" count="1079" uniqueCount="55">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</sst>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-4.194856891003929E-11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166.83929134037018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2.6189433920045656E-12</v>
      </c>
      <c r="Y16" s="2">
        <f>Y5/'Output-Calculation-sheet'!Y4*'Output-Calculation-sheet'!Y22</f>
        <v>0</v>
      </c>
      <c r="AA16" s="2">
        <f>SUM(B16:Y16)/1000</f>
        <v>0.16683929134033085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1198.2869570625605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815.6137377066799</v>
      </c>
      <c r="N17" s="2">
        <f>N6/'Output-Calculation-sheet'!N5*'Output-Calculation-sheet'!N23</f>
        <v>334.49074651807086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75.181683356766953</v>
      </c>
      <c r="Y17" s="2">
        <f>Y6/'Output-Calculation-sheet'!Y5*'Output-Calculation-sheet'!Y23</f>
        <v>0</v>
      </c>
      <c r="AA17" s="2">
        <f t="shared" ref="AA17:AA23" si="0">SUM(B17:Y17)/1000</f>
        <v>2.4235731246440784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1470.7765724522401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999.65205418056678</v>
      </c>
      <c r="N18" s="2">
        <f>N7/'Output-Calculation-sheet'!N6*'Output-Calculation-sheet'!N24</f>
        <v>553.36483867057564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98.308450374399342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93.84897659574041</v>
      </c>
      <c r="Y18" s="2">
        <f>Y7/'Output-Calculation-sheet'!Y6*'Output-Calculation-sheet'!Y24</f>
        <v>0</v>
      </c>
      <c r="AA18" s="2">
        <f t="shared" si="0"/>
        <v>3.2159508922735225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1.804355921494222E-10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1633.9999996564391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1119.0375130985415</v>
      </c>
      <c r="N19" s="2">
        <f>N8/'Output-Calculation-sheet'!N7*'Output-Calculation-sheet'!N25</f>
        <v>752.71479896958601</v>
      </c>
      <c r="O19" s="2">
        <f>O8/'Output-Calculation-sheet'!O7*'Output-Calculation-sheet'!O25</f>
        <v>9.9305191227375898E-12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199.65357813109054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106.20028514509963</v>
      </c>
      <c r="Y19" s="2">
        <f>Y8/'Output-Calculation-sheet'!Y7*'Output-Calculation-sheet'!Y25</f>
        <v>0</v>
      </c>
      <c r="AA19" s="2">
        <f t="shared" si="0"/>
        <v>3.8116061750009473</v>
      </c>
    </row>
    <row r="20" spans="1:27" x14ac:dyDescent="0.25">
      <c r="A20" s="2">
        <v>2032</v>
      </c>
      <c r="B20" s="2">
        <f>B9/'Output-Calculation-sheet'!B8*'Output-Calculation-sheet'!B26</f>
        <v>1.6306759908708841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1692.966785729637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1157.7653428841124</v>
      </c>
      <c r="N20" s="2">
        <f>N9/'Output-Calculation-sheet'!N8*'Output-Calculation-sheet'!N26</f>
        <v>843.17572795661135</v>
      </c>
      <c r="O20" s="2">
        <f>O9/'Output-Calculation-sheet'!O8*'Output-Calculation-sheet'!O26</f>
        <v>8.5365230883637122E-11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290.09482301055488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111.43927256386128</v>
      </c>
      <c r="Y20" s="2">
        <f>Y9/'Output-Calculation-sheet'!Y8*'Output-Calculation-sheet'!Y26</f>
        <v>0</v>
      </c>
      <c r="AA20" s="2">
        <f t="shared" si="0"/>
        <v>4.0970726281357335</v>
      </c>
    </row>
    <row r="21" spans="1:27" x14ac:dyDescent="0.25">
      <c r="A21" s="2">
        <v>2033</v>
      </c>
      <c r="B21" s="2">
        <f>B10/'Output-Calculation-sheet'!B9*'Output-Calculation-sheet'!B27</f>
        <v>2488.34027769471</v>
      </c>
      <c r="C21" s="2">
        <f>C10/'Output-Calculation-sheet'!C9*'Output-Calculation-sheet'!C27</f>
        <v>3882.9713449526321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1742.146208459824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1192.5911871252731</v>
      </c>
      <c r="N21" s="2">
        <f>N10/'Output-Calculation-sheet'!N9*'Output-Calculation-sheet'!N27</f>
        <v>931.80529528505372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355.47454344359494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114.79306718070615</v>
      </c>
      <c r="Y21" s="2">
        <f>Y10/'Output-Calculation-sheet'!Y9*'Output-Calculation-sheet'!Y27</f>
        <v>0</v>
      </c>
      <c r="AA21" s="2">
        <f t="shared" si="0"/>
        <v>10.708121924141794</v>
      </c>
    </row>
    <row r="22" spans="1:27" x14ac:dyDescent="0.25">
      <c r="A22" s="2">
        <v>2034</v>
      </c>
      <c r="B22" s="2">
        <f>B11/'Output-Calculation-sheet'!B10*'Output-Calculation-sheet'!B28</f>
        <v>4249.1799580353036</v>
      </c>
      <c r="C22" s="2">
        <f>C11/'Output-Calculation-sheet'!C10*'Output-Calculation-sheet'!C28</f>
        <v>4116.8076647094367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1798.6432967459309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1231.3666097700279</v>
      </c>
      <c r="N22" s="2">
        <f>N11/'Output-Calculation-sheet'!N10*'Output-Calculation-sheet'!N28</f>
        <v>987.40155437068938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402.79194995756478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119.30278625610119</v>
      </c>
      <c r="Y22" s="2">
        <f>Y11/'Output-Calculation-sheet'!Y10*'Output-Calculation-sheet'!Y28</f>
        <v>0</v>
      </c>
      <c r="AA22" s="2">
        <f t="shared" si="0"/>
        <v>12.905493819845056</v>
      </c>
    </row>
    <row r="23" spans="1:27" x14ac:dyDescent="0.25">
      <c r="A23" s="2">
        <v>2035</v>
      </c>
      <c r="B23" s="2">
        <f>B12/'Output-Calculation-sheet'!B11*'Output-Calculation-sheet'!B29</f>
        <v>5293.0128931581967</v>
      </c>
      <c r="C23" s="2">
        <f>C12/'Output-Calculation-sheet'!C11*'Output-Calculation-sheet'!C29</f>
        <v>4337.2188067531588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1850.4360004574596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1264.8534885809981</v>
      </c>
      <c r="N23" s="2">
        <f>N12/'Output-Calculation-sheet'!N11*'Output-Calculation-sheet'!N29</f>
        <v>1033.9035729575319</v>
      </c>
      <c r="O23" s="2">
        <f>O12/'Output-Calculation-sheet'!O11*'Output-Calculation-sheet'!O29</f>
        <v>737.42663560086135</v>
      </c>
      <c r="P23" s="2">
        <f>P12/'Output-Calculation-sheet'!P11*'Output-Calculation-sheet'!P29</f>
        <v>0</v>
      </c>
      <c r="Q23" s="2">
        <f>Q12/'Output-Calculation-sheet'!Q11*'Output-Calculation-sheet'!Q29</f>
        <v>14.114160862951639</v>
      </c>
      <c r="R23" s="2">
        <f>R12/'Output-Calculation-sheet'!R11*'Output-Calculation-sheet'!R29</f>
        <v>0</v>
      </c>
      <c r="S23" s="2">
        <f>S12/'Output-Calculation-sheet'!S11*'Output-Calculation-sheet'!S29</f>
        <v>454.04757371062846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123.98888600964025</v>
      </c>
      <c r="Y23" s="2">
        <f>Y12/'Output-Calculation-sheet'!Y11*'Output-Calculation-sheet'!Y29</f>
        <v>0</v>
      </c>
      <c r="AA23" s="2">
        <f t="shared" si="0"/>
        <v>15.109002018091426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7767.3524482403018</v>
      </c>
      <c r="C27" s="2">
        <f>C5/'Output-Calculation-sheet'!C4*'Output-Calculation-sheet'!C13</f>
        <v>0</v>
      </c>
      <c r="D27" s="2">
        <f>D5/'Output-Calculation-sheet'!D4*'Output-Calculation-sheet'!D13</f>
        <v>2508.4440930495589</v>
      </c>
      <c r="E27" s="2">
        <f>E5/'Output-Calculation-sheet'!E4*'Output-Calculation-sheet'!E13</f>
        <v>2559.0040049067302</v>
      </c>
      <c r="F27" s="2">
        <f>F5/'Output-Calculation-sheet'!F4*'Output-Calculation-sheet'!F13</f>
        <v>1453.6721457266285</v>
      </c>
      <c r="G27" s="2">
        <f>G5/'Output-Calculation-sheet'!G4*'Output-Calculation-sheet'!G13</f>
        <v>881.57385553298104</v>
      </c>
      <c r="H27" s="2">
        <f>H5/'Output-Calculation-sheet'!H4*'Output-Calculation-sheet'!H13</f>
        <v>0</v>
      </c>
      <c r="I27" s="2">
        <f>I5/'Output-Calculation-sheet'!I4*'Output-Calculation-sheet'!I13</f>
        <v>880.92221667640217</v>
      </c>
      <c r="J27" s="2">
        <f>J5/'Output-Calculation-sheet'!J4*'Output-Calculation-sheet'!J13</f>
        <v>809.85999384997717</v>
      </c>
      <c r="K27" s="2">
        <f>K5/'Output-Calculation-sheet'!K4*'Output-Calculation-sheet'!K13</f>
        <v>987.23652079089163</v>
      </c>
      <c r="L27" s="2">
        <f>L5/'Output-Calculation-sheet'!L4*'Output-Calculation-sheet'!L13</f>
        <v>818.59324025197543</v>
      </c>
      <c r="M27" s="2">
        <f>M5/'Output-Calculation-sheet'!M4*'Output-Calculation-sheet'!M13</f>
        <v>0</v>
      </c>
      <c r="N27" s="2">
        <f>N5/'Output-Calculation-sheet'!N4*'Output-Calculation-sheet'!N13</f>
        <v>531.7424221506368</v>
      </c>
      <c r="O27" s="2">
        <f>O5/'Output-Calculation-sheet'!O4*'Output-Calculation-sheet'!O13</f>
        <v>0</v>
      </c>
      <c r="P27" s="2">
        <f>P5/'Output-Calculation-sheet'!P4*'Output-Calculation-sheet'!P13</f>
        <v>639.73661476328834</v>
      </c>
      <c r="Q27" s="2">
        <f>Q5/'Output-Calculation-sheet'!Q4*'Output-Calculation-sheet'!Q13</f>
        <v>690.16247815688143</v>
      </c>
      <c r="R27" s="2">
        <f>R5/'Output-Calculation-sheet'!R4*'Output-Calculation-sheet'!R13</f>
        <v>622.85910497459372</v>
      </c>
      <c r="S27" s="2">
        <f>S5/'Output-Calculation-sheet'!S4*'Output-Calculation-sheet'!S13</f>
        <v>373.90881084994254</v>
      </c>
      <c r="T27" s="2">
        <f>T5/'Output-Calculation-sheet'!T4*'Output-Calculation-sheet'!T13</f>
        <v>228.96088798507736</v>
      </c>
      <c r="U27" s="2">
        <f>U5/'Output-Calculation-sheet'!U4*'Output-Calculation-sheet'!U13</f>
        <v>174.84506419519056</v>
      </c>
      <c r="V27" s="2">
        <f>V5/'Output-Calculation-sheet'!V4*'Output-Calculation-sheet'!V13</f>
        <v>167.49514752833585</v>
      </c>
      <c r="W27" s="2">
        <f>W5/'Output-Calculation-sheet'!W4*'Output-Calculation-sheet'!W13</f>
        <v>117.22389748869278</v>
      </c>
      <c r="X27" s="2">
        <f>X5/'Output-Calculation-sheet'!X4*'Output-Calculation-sheet'!X13</f>
        <v>0</v>
      </c>
      <c r="Y27" s="2">
        <f>Y5/'Output-Calculation-sheet'!Y4*'Output-Calculation-sheet'!Y13</f>
        <v>76.946460461310934</v>
      </c>
      <c r="AA27" s="2">
        <f>SUM(B27:Y27)/1000</f>
        <v>22.290539407579395</v>
      </c>
    </row>
    <row r="28" spans="1:27" x14ac:dyDescent="0.25">
      <c r="A28" s="2">
        <v>2029</v>
      </c>
      <c r="B28" s="2">
        <f>B6/'Output-Calculation-sheet'!B5*'Output-Calculation-sheet'!B14</f>
        <v>9986.1168010163328</v>
      </c>
      <c r="C28" s="2">
        <f>C6/'Output-Calculation-sheet'!C5*'Output-Calculation-sheet'!C14</f>
        <v>0</v>
      </c>
      <c r="D28" s="2">
        <f>D6/'Output-Calculation-sheet'!D5*'Output-Calculation-sheet'!D14</f>
        <v>3176.6483318236401</v>
      </c>
      <c r="E28" s="2">
        <f>E6/'Output-Calculation-sheet'!E5*'Output-Calculation-sheet'!E14</f>
        <v>3262.0763007555647</v>
      </c>
      <c r="F28" s="2">
        <f>F6/'Output-Calculation-sheet'!F5*'Output-Calculation-sheet'!F14</f>
        <v>1839.4775331131684</v>
      </c>
      <c r="G28" s="2">
        <f>G6/'Output-Calculation-sheet'!G5*'Output-Calculation-sheet'!G14</f>
        <v>1114.4757636676652</v>
      </c>
      <c r="H28" s="2">
        <f>H6/'Output-Calculation-sheet'!H5*'Output-Calculation-sheet'!H14</f>
        <v>0</v>
      </c>
      <c r="I28" s="2">
        <f>I6/'Output-Calculation-sheet'!I5*'Output-Calculation-sheet'!I14</f>
        <v>1119.3702930951426</v>
      </c>
      <c r="J28" s="2">
        <f>J6/'Output-Calculation-sheet'!J5*'Output-Calculation-sheet'!J14</f>
        <v>1025.7885415410747</v>
      </c>
      <c r="K28" s="2">
        <f>K6/'Output-Calculation-sheet'!K5*'Output-Calculation-sheet'!K14</f>
        <v>1258.1189405912507</v>
      </c>
      <c r="L28" s="2">
        <f>L6/'Output-Calculation-sheet'!L5*'Output-Calculation-sheet'!L14</f>
        <v>1040.512020743447</v>
      </c>
      <c r="M28" s="2">
        <f>M6/'Output-Calculation-sheet'!M5*'Output-Calculation-sheet'!M14</f>
        <v>0</v>
      </c>
      <c r="N28" s="2">
        <f>N6/'Output-Calculation-sheet'!N5*'Output-Calculation-sheet'!N14</f>
        <v>659.645636085109</v>
      </c>
      <c r="O28" s="2">
        <f>O6/'Output-Calculation-sheet'!O5*'Output-Calculation-sheet'!O14</f>
        <v>0</v>
      </c>
      <c r="P28" s="2">
        <f>P6/'Output-Calculation-sheet'!P5*'Output-Calculation-sheet'!P14</f>
        <v>823.82951210825001</v>
      </c>
      <c r="Q28" s="2">
        <f>Q6/'Output-Calculation-sheet'!Q5*'Output-Calculation-sheet'!Q14</f>
        <v>894.28105681467332</v>
      </c>
      <c r="R28" s="2">
        <f>R6/'Output-Calculation-sheet'!R5*'Output-Calculation-sheet'!R14</f>
        <v>795.14817601668403</v>
      </c>
      <c r="S28" s="2">
        <f>S6/'Output-Calculation-sheet'!S5*'Output-Calculation-sheet'!S14</f>
        <v>487.40003429656247</v>
      </c>
      <c r="T28" s="2">
        <f>T6/'Output-Calculation-sheet'!T5*'Output-Calculation-sheet'!T14</f>
        <v>290.72442837629222</v>
      </c>
      <c r="U28" s="2">
        <f>U6/'Output-Calculation-sheet'!U5*'Output-Calculation-sheet'!U14</f>
        <v>223.02662421677257</v>
      </c>
      <c r="V28" s="2">
        <f>V6/'Output-Calculation-sheet'!V5*'Output-Calculation-sheet'!V14</f>
        <v>213.32080505191783</v>
      </c>
      <c r="W28" s="2">
        <f>W6/'Output-Calculation-sheet'!W5*'Output-Calculation-sheet'!W14</f>
        <v>148.86047311330856</v>
      </c>
      <c r="X28" s="2">
        <f>X6/'Output-Calculation-sheet'!X5*'Output-Calculation-sheet'!X14</f>
        <v>0</v>
      </c>
      <c r="Y28" s="2">
        <f>Y6/'Output-Calculation-sheet'!Y5*'Output-Calculation-sheet'!Y14</f>
        <v>97.882575211919558</v>
      </c>
      <c r="AA28" s="2">
        <f t="shared" ref="AA28:AA34" si="1">SUM(B28:Y28)/1000</f>
        <v>28.456703847638774</v>
      </c>
    </row>
    <row r="29" spans="1:27" x14ac:dyDescent="0.25">
      <c r="A29" s="2">
        <v>2030</v>
      </c>
      <c r="B29" s="2">
        <f>B7/'Output-Calculation-sheet'!B6*'Output-Calculation-sheet'!B15</f>
        <v>11830.709434223494</v>
      </c>
      <c r="C29" s="2">
        <f>C7/'Output-Calculation-sheet'!C6*'Output-Calculation-sheet'!C15</f>
        <v>0</v>
      </c>
      <c r="D29" s="2">
        <f>D7/'Output-Calculation-sheet'!D6*'Output-Calculation-sheet'!D15</f>
        <v>3718.9357180861302</v>
      </c>
      <c r="E29" s="2">
        <f>E7/'Output-Calculation-sheet'!E6*'Output-Calculation-sheet'!E15</f>
        <v>3833.7398823455878</v>
      </c>
      <c r="F29" s="2">
        <f>F7/'Output-Calculation-sheet'!F6*'Output-Calculation-sheet'!F15</f>
        <v>2150.4038298534542</v>
      </c>
      <c r="G29" s="2">
        <f>G7/'Output-Calculation-sheet'!G6*'Output-Calculation-sheet'!G15</f>
        <v>1300.6886889959335</v>
      </c>
      <c r="H29" s="2">
        <f>H7/'Output-Calculation-sheet'!H6*'Output-Calculation-sheet'!H15</f>
        <v>0</v>
      </c>
      <c r="I29" s="2">
        <f>I7/'Output-Calculation-sheet'!I6*'Output-Calculation-sheet'!I15</f>
        <v>1310.5779120784298</v>
      </c>
      <c r="J29" s="2">
        <f>J7/'Output-Calculation-sheet'!J6*'Output-Calculation-sheet'!J15</f>
        <v>1198.8514490088405</v>
      </c>
      <c r="K29" s="2">
        <f>K7/'Output-Calculation-sheet'!K6*'Output-Calculation-sheet'!K15</f>
        <v>1476.111119461493</v>
      </c>
      <c r="L29" s="2">
        <f>L7/'Output-Calculation-sheet'!L6*'Output-Calculation-sheet'!L15</f>
        <v>1223.8014033400248</v>
      </c>
      <c r="M29" s="2">
        <f>M7/'Output-Calculation-sheet'!M6*'Output-Calculation-sheet'!M15</f>
        <v>0</v>
      </c>
      <c r="N29" s="2">
        <f>N7/'Output-Calculation-sheet'!N6*'Output-Calculation-sheet'!N15</f>
        <v>693.97524996341235</v>
      </c>
      <c r="O29" s="2">
        <f>O7/'Output-Calculation-sheet'!O6*'Output-Calculation-sheet'!O15</f>
        <v>0</v>
      </c>
      <c r="P29" s="2">
        <f>P7/'Output-Calculation-sheet'!P6*'Output-Calculation-sheet'!P15</f>
        <v>972.84668675131184</v>
      </c>
      <c r="Q29" s="2">
        <f>Q7/'Output-Calculation-sheet'!Q6*'Output-Calculation-sheet'!Q15</f>
        <v>1062.695977937911</v>
      </c>
      <c r="R29" s="2">
        <f>R7/'Output-Calculation-sheet'!R6*'Output-Calculation-sheet'!R15</f>
        <v>935.73718189972612</v>
      </c>
      <c r="S29" s="2">
        <f>S7/'Output-Calculation-sheet'!S6*'Output-Calculation-sheet'!S15</f>
        <v>535.02660145774632</v>
      </c>
      <c r="T29" s="2">
        <f>T7/'Output-Calculation-sheet'!T6*'Output-Calculation-sheet'!T15</f>
        <v>341.16965035132546</v>
      </c>
      <c r="U29" s="2">
        <f>U7/'Output-Calculation-sheet'!U6*'Output-Calculation-sheet'!U15</f>
        <v>262.14500162767894</v>
      </c>
      <c r="V29" s="2">
        <f>V7/'Output-Calculation-sheet'!V6*'Output-Calculation-sheet'!V15</f>
        <v>250.91898135313869</v>
      </c>
      <c r="W29" s="2">
        <f>W7/'Output-Calculation-sheet'!W6*'Output-Calculation-sheet'!W15</f>
        <v>174.72698871886533</v>
      </c>
      <c r="X29" s="2">
        <f>X7/'Output-Calculation-sheet'!X6*'Output-Calculation-sheet'!X15</f>
        <v>0</v>
      </c>
      <c r="Y29" s="2">
        <f>Y7/'Output-Calculation-sheet'!Y6*'Output-Calculation-sheet'!Y15</f>
        <v>115.09028179345307</v>
      </c>
      <c r="AA29" s="2">
        <f t="shared" si="1"/>
        <v>33.388152039247963</v>
      </c>
    </row>
    <row r="30" spans="1:27" x14ac:dyDescent="0.25">
      <c r="A30" s="2">
        <v>2031</v>
      </c>
      <c r="B30" s="2">
        <f>B8/'Output-Calculation-sheet'!B7*'Output-Calculation-sheet'!B16</f>
        <v>12842.994462564191</v>
      </c>
      <c r="C30" s="2">
        <f>C8/'Output-Calculation-sheet'!C7*'Output-Calculation-sheet'!C16</f>
        <v>0</v>
      </c>
      <c r="D30" s="2">
        <f>D8/'Output-Calculation-sheet'!D7*'Output-Calculation-sheet'!D16</f>
        <v>4009.1222163138164</v>
      </c>
      <c r="E30" s="2">
        <f>E8/'Output-Calculation-sheet'!E7*'Output-Calculation-sheet'!E16</f>
        <v>4146.7584415844885</v>
      </c>
      <c r="F30" s="2">
        <f>F8/'Output-Calculation-sheet'!F7*'Output-Calculation-sheet'!F16</f>
        <v>2323.1889923373096</v>
      </c>
      <c r="G30" s="2">
        <f>G8/'Output-Calculation-sheet'!G7*'Output-Calculation-sheet'!G16</f>
        <v>1401.1383531394779</v>
      </c>
      <c r="H30" s="2">
        <f>H8/'Output-Calculation-sheet'!H7*'Output-Calculation-sheet'!H16</f>
        <v>0</v>
      </c>
      <c r="I30" s="2">
        <f>I8/'Output-Calculation-sheet'!I7*'Output-Calculation-sheet'!I16</f>
        <v>1418.1026522075429</v>
      </c>
      <c r="J30" s="2">
        <f>J8/'Output-Calculation-sheet'!J7*'Output-Calculation-sheet'!J16</f>
        <v>1294.3716784509377</v>
      </c>
      <c r="K30" s="2">
        <f>K8/'Output-Calculation-sheet'!K7*'Output-Calculation-sheet'!K16</f>
        <v>1600.7979804339238</v>
      </c>
      <c r="L30" s="2">
        <f>L8/'Output-Calculation-sheet'!L7*'Output-Calculation-sheet'!L16</f>
        <v>1321.0778346366694</v>
      </c>
      <c r="M30" s="2">
        <f>M8/'Output-Calculation-sheet'!M7*'Output-Calculation-sheet'!M16</f>
        <v>0</v>
      </c>
      <c r="N30" s="2">
        <f>N8/'Output-Calculation-sheet'!N7*'Output-Calculation-sheet'!N16</f>
        <v>648.19175483083018</v>
      </c>
      <c r="O30" s="2">
        <f>O8/'Output-Calculation-sheet'!O7*'Output-Calculation-sheet'!O16</f>
        <v>0</v>
      </c>
      <c r="P30" s="2">
        <f>P8/'Output-Calculation-sheet'!P7*'Output-Calculation-sheet'!P16</f>
        <v>1052.9678023492161</v>
      </c>
      <c r="Q30" s="2">
        <f>Q8/'Output-Calculation-sheet'!Q7*'Output-Calculation-sheet'!Q16</f>
        <v>1154.9149094824518</v>
      </c>
      <c r="R30" s="2">
        <f>R8/'Output-Calculation-sheet'!R7*'Output-Calculation-sheet'!R16</f>
        <v>1011.865914617283</v>
      </c>
      <c r="S30" s="2">
        <f>S8/'Output-Calculation-sheet'!S7*'Output-Calculation-sheet'!S16</f>
        <v>540.37153968572954</v>
      </c>
      <c r="T30" s="2">
        <f>T8/'Output-Calculation-sheet'!T7*'Output-Calculation-sheet'!T16</f>
        <v>369.14485534145376</v>
      </c>
      <c r="U30" s="2">
        <f>U8/'Output-Calculation-sheet'!U7*'Output-Calculation-sheet'!U16</f>
        <v>283.71351367174879</v>
      </c>
      <c r="V30" s="2">
        <f>V8/'Output-Calculation-sheet'!V7*'Output-Calculation-sheet'!V16</f>
        <v>271.67940365216924</v>
      </c>
      <c r="W30" s="2">
        <f>W8/'Output-Calculation-sheet'!W7*'Output-Calculation-sheet'!W16</f>
        <v>188.61319516521385</v>
      </c>
      <c r="X30" s="2">
        <f>X8/'Output-Calculation-sheet'!X7*'Output-Calculation-sheet'!X16</f>
        <v>0</v>
      </c>
      <c r="Y30" s="2">
        <f>Y8/'Output-Calculation-sheet'!Y7*'Output-Calculation-sheet'!Y16</f>
        <v>124.69187382896931</v>
      </c>
      <c r="AA30" s="2">
        <f t="shared" si="1"/>
        <v>36.003707374293406</v>
      </c>
    </row>
    <row r="31" spans="1:27" x14ac:dyDescent="0.25">
      <c r="A31" s="2">
        <v>2032</v>
      </c>
      <c r="B31" s="2">
        <f>B9/'Output-Calculation-sheet'!B8*'Output-Calculation-sheet'!B17</f>
        <v>13040.574137422705</v>
      </c>
      <c r="C31" s="2">
        <f>C9/'Output-Calculation-sheet'!C8*'Output-Calculation-sheet'!C17</f>
        <v>0</v>
      </c>
      <c r="D31" s="2">
        <f>D9/'Output-Calculation-sheet'!D8*'Output-Calculation-sheet'!D17</f>
        <v>4042.8312117808141</v>
      </c>
      <c r="E31" s="2">
        <f>E9/'Output-Calculation-sheet'!E8*'Output-Calculation-sheet'!E17</f>
        <v>4186.8172200472391</v>
      </c>
      <c r="F31" s="2">
        <f>F9/'Output-Calculation-sheet'!F8*'Output-Calculation-sheet'!F17</f>
        <v>2339.0156534433509</v>
      </c>
      <c r="G31" s="2">
        <f>G9/'Output-Calculation-sheet'!G8*'Output-Calculation-sheet'!G17</f>
        <v>1410.0507904936919</v>
      </c>
      <c r="H31" s="2">
        <f>H9/'Output-Calculation-sheet'!H8*'Output-Calculation-sheet'!H17</f>
        <v>0</v>
      </c>
      <c r="I31" s="2">
        <f>I9/'Output-Calculation-sheet'!I8*'Output-Calculation-sheet'!I17</f>
        <v>1429.6130215980756</v>
      </c>
      <c r="J31" s="2">
        <f>J9/'Output-Calculation-sheet'!J8*'Output-Calculation-sheet'!J17</f>
        <v>1303.9036225385273</v>
      </c>
      <c r="K31" s="2">
        <f>K9/'Output-Calculation-sheet'!K8*'Output-Calculation-sheet'!K17</f>
        <v>1615.1211661969865</v>
      </c>
      <c r="L31" s="2">
        <f>L9/'Output-Calculation-sheet'!L8*'Output-Calculation-sheet'!L17</f>
        <v>1333.2582220282463</v>
      </c>
      <c r="M31" s="2">
        <f>M9/'Output-Calculation-sheet'!M8*'Output-Calculation-sheet'!M17</f>
        <v>0</v>
      </c>
      <c r="N31" s="2">
        <f>N9/'Output-Calculation-sheet'!N8*'Output-Calculation-sheet'!N17</f>
        <v>589.76265479881704</v>
      </c>
      <c r="O31" s="2">
        <f>O9/'Output-Calculation-sheet'!O8*'Output-Calculation-sheet'!O17</f>
        <v>0</v>
      </c>
      <c r="P31" s="2">
        <f>P9/'Output-Calculation-sheet'!P8*'Output-Calculation-sheet'!P17</f>
        <v>1072.5763369844856</v>
      </c>
      <c r="Q31" s="2">
        <f>Q9/'Output-Calculation-sheet'!Q8*'Output-Calculation-sheet'!Q17</f>
        <v>1175.4404249661111</v>
      </c>
      <c r="R31" s="2">
        <f>R9/'Output-Calculation-sheet'!R8*'Output-Calculation-sheet'!R17</f>
        <v>1020.5797554482231</v>
      </c>
      <c r="S31" s="2">
        <f>S9/'Output-Calculation-sheet'!S8*'Output-Calculation-sheet'!S17</f>
        <v>509.21691983887001</v>
      </c>
      <c r="T31" s="2">
        <f>T9/'Output-Calculation-sheet'!T8*'Output-Calculation-sheet'!T17</f>
        <v>371.90770439988614</v>
      </c>
      <c r="U31" s="2">
        <f>U9/'Output-Calculation-sheet'!U8*'Output-Calculation-sheet'!U17</f>
        <v>286.83377668232515</v>
      </c>
      <c r="V31" s="2">
        <f>V9/'Output-Calculation-sheet'!V8*'Output-Calculation-sheet'!V17</f>
        <v>274.87091275783536</v>
      </c>
      <c r="W31" s="2">
        <f>W9/'Output-Calculation-sheet'!W8*'Output-Calculation-sheet'!W17</f>
        <v>190.3380871299116</v>
      </c>
      <c r="X31" s="2">
        <f>X9/'Output-Calculation-sheet'!X8*'Output-Calculation-sheet'!X17</f>
        <v>0</v>
      </c>
      <c r="Y31" s="2">
        <f>Y9/'Output-Calculation-sheet'!Y8*'Output-Calculation-sheet'!Y17</f>
        <v>125.83193797954492</v>
      </c>
      <c r="AA31" s="2">
        <f t="shared" si="1"/>
        <v>36.318543556535644</v>
      </c>
    </row>
    <row r="32" spans="1:27" x14ac:dyDescent="0.25">
      <c r="A32" s="2">
        <v>2033</v>
      </c>
      <c r="B32" s="2">
        <f>B10/'Output-Calculation-sheet'!B9*'Output-Calculation-sheet'!B18</f>
        <v>12143.513472078777</v>
      </c>
      <c r="C32" s="2">
        <f>C10/'Output-Calculation-sheet'!C9*'Output-Calculation-sheet'!C18</f>
        <v>0</v>
      </c>
      <c r="D32" s="2">
        <f>D10/'Output-Calculation-sheet'!D9*'Output-Calculation-sheet'!D18</f>
        <v>4054.0195656777491</v>
      </c>
      <c r="E32" s="2">
        <f>E10/'Output-Calculation-sheet'!E9*'Output-Calculation-sheet'!E18</f>
        <v>4198.0568668550268</v>
      </c>
      <c r="F32" s="2">
        <f>F10/'Output-Calculation-sheet'!F9*'Output-Calculation-sheet'!F18</f>
        <v>2344.8798766010932</v>
      </c>
      <c r="G32" s="2">
        <f>G10/'Output-Calculation-sheet'!G9*'Output-Calculation-sheet'!G18</f>
        <v>1414.2351107580273</v>
      </c>
      <c r="H32" s="2">
        <f>H10/'Output-Calculation-sheet'!H9*'Output-Calculation-sheet'!H18</f>
        <v>0</v>
      </c>
      <c r="I32" s="2">
        <f>I10/'Output-Calculation-sheet'!I9*'Output-Calculation-sheet'!I18</f>
        <v>1433.7065609859596</v>
      </c>
      <c r="J32" s="2">
        <f>J10/'Output-Calculation-sheet'!J9*'Output-Calculation-sheet'!J18</f>
        <v>1307.6051115209093</v>
      </c>
      <c r="K32" s="2">
        <f>K10/'Output-Calculation-sheet'!K9*'Output-Calculation-sheet'!K18</f>
        <v>1623.4124147959651</v>
      </c>
      <c r="L32" s="2">
        <f>L10/'Output-Calculation-sheet'!L9*'Output-Calculation-sheet'!L18</f>
        <v>1337.9123643293408</v>
      </c>
      <c r="M32" s="2">
        <f>M10/'Output-Calculation-sheet'!M9*'Output-Calculation-sheet'!M18</f>
        <v>0</v>
      </c>
      <c r="N32" s="2">
        <f>N10/'Output-Calculation-sheet'!N9*'Output-Calculation-sheet'!N18</f>
        <v>529.56621634336432</v>
      </c>
      <c r="O32" s="2">
        <f>O10/'Output-Calculation-sheet'!O9*'Output-Calculation-sheet'!O18</f>
        <v>0</v>
      </c>
      <c r="P32" s="2">
        <f>P10/'Output-Calculation-sheet'!P9*'Output-Calculation-sheet'!P18</f>
        <v>1083.5088424516136</v>
      </c>
      <c r="Q32" s="2">
        <f>Q10/'Output-Calculation-sheet'!Q9*'Output-Calculation-sheet'!Q18</f>
        <v>1188.3211375160884</v>
      </c>
      <c r="R32" s="2">
        <f>R10/'Output-Calculation-sheet'!R9*'Output-Calculation-sheet'!R18</f>
        <v>1026.4172354100911</v>
      </c>
      <c r="S32" s="2">
        <f>S10/'Output-Calculation-sheet'!S9*'Output-Calculation-sheet'!S18</f>
        <v>477.76059752401267</v>
      </c>
      <c r="T32" s="2">
        <f>T10/'Output-Calculation-sheet'!T9*'Output-Calculation-sheet'!T18</f>
        <v>373.35241358650586</v>
      </c>
      <c r="U32" s="2">
        <f>U10/'Output-Calculation-sheet'!U9*'Output-Calculation-sheet'!U18</f>
        <v>287.94009273791994</v>
      </c>
      <c r="V32" s="2">
        <f>V10/'Output-Calculation-sheet'!V9*'Output-Calculation-sheet'!V18</f>
        <v>276.22772023627221</v>
      </c>
      <c r="W32" s="2">
        <f>W10/'Output-Calculation-sheet'!W9*'Output-Calculation-sheet'!W18</f>
        <v>190.60698306467586</v>
      </c>
      <c r="X32" s="2">
        <f>X10/'Output-Calculation-sheet'!X9*'Output-Calculation-sheet'!X18</f>
        <v>0</v>
      </c>
      <c r="Y32" s="2">
        <f>Y10/'Output-Calculation-sheet'!Y9*'Output-Calculation-sheet'!Y18</f>
        <v>126.38115380688269</v>
      </c>
      <c r="AA32" s="2">
        <f t="shared" si="1"/>
        <v>35.417423736280284</v>
      </c>
    </row>
    <row r="33" spans="1:27" x14ac:dyDescent="0.25">
      <c r="A33" s="2">
        <v>2034</v>
      </c>
      <c r="B33" s="2">
        <f>B11/'Output-Calculation-sheet'!B10*'Output-Calculation-sheet'!B19</f>
        <v>11497.657665795257</v>
      </c>
      <c r="C33" s="2">
        <f>C11/'Output-Calculation-sheet'!C10*'Output-Calculation-sheet'!C19</f>
        <v>0</v>
      </c>
      <c r="D33" s="2">
        <f>D11/'Output-Calculation-sheet'!D10*'Output-Calculation-sheet'!D19</f>
        <v>4065.3331760042724</v>
      </c>
      <c r="E33" s="2">
        <f>E11/'Output-Calculation-sheet'!E10*'Output-Calculation-sheet'!E19</f>
        <v>4219.7120500031297</v>
      </c>
      <c r="F33" s="2">
        <f>F11/'Output-Calculation-sheet'!F10*'Output-Calculation-sheet'!F19</f>
        <v>2352.6223848386803</v>
      </c>
      <c r="G33" s="2">
        <f>G11/'Output-Calculation-sheet'!G10*'Output-Calculation-sheet'!G19</f>
        <v>1416.6817326735525</v>
      </c>
      <c r="H33" s="2">
        <f>H11/'Output-Calculation-sheet'!H10*'Output-Calculation-sheet'!H19</f>
        <v>0</v>
      </c>
      <c r="I33" s="2">
        <f>I11/'Output-Calculation-sheet'!I10*'Output-Calculation-sheet'!I19</f>
        <v>1442.9009261558151</v>
      </c>
      <c r="J33" s="2">
        <f>J11/'Output-Calculation-sheet'!J10*'Output-Calculation-sheet'!J19</f>
        <v>1311.3367045734578</v>
      </c>
      <c r="K33" s="2">
        <f>K11/'Output-Calculation-sheet'!K10*'Output-Calculation-sheet'!K19</f>
        <v>1633.3667689343263</v>
      </c>
      <c r="L33" s="2">
        <f>L11/'Output-Calculation-sheet'!L10*'Output-Calculation-sheet'!L19</f>
        <v>1343.4254770663715</v>
      </c>
      <c r="M33" s="2">
        <f>M11/'Output-Calculation-sheet'!M10*'Output-Calculation-sheet'!M19</f>
        <v>0</v>
      </c>
      <c r="N33" s="2">
        <f>N11/'Output-Calculation-sheet'!N10*'Output-Calculation-sheet'!N19</f>
        <v>497.85022234568743</v>
      </c>
      <c r="O33" s="2">
        <f>O11/'Output-Calculation-sheet'!O10*'Output-Calculation-sheet'!O19</f>
        <v>0</v>
      </c>
      <c r="P33" s="2">
        <f>P11/'Output-Calculation-sheet'!P10*'Output-Calculation-sheet'!P19</f>
        <v>1095.0259641731504</v>
      </c>
      <c r="Q33" s="2">
        <f>Q11/'Output-Calculation-sheet'!Q10*'Output-Calculation-sheet'!Q19</f>
        <v>1202.9951144624406</v>
      </c>
      <c r="R33" s="2">
        <f>R11/'Output-Calculation-sheet'!R10*'Output-Calculation-sheet'!R19</f>
        <v>1032.3570407566126</v>
      </c>
      <c r="S33" s="2">
        <f>S11/'Output-Calculation-sheet'!S10*'Output-Calculation-sheet'!S19</f>
        <v>476.14080831426816</v>
      </c>
      <c r="T33" s="2">
        <f>T11/'Output-Calculation-sheet'!T10*'Output-Calculation-sheet'!T19</f>
        <v>375.1673146034795</v>
      </c>
      <c r="U33" s="2">
        <f>U11/'Output-Calculation-sheet'!U10*'Output-Calculation-sheet'!U19</f>
        <v>290.31550571180622</v>
      </c>
      <c r="V33" s="2">
        <f>V11/'Output-Calculation-sheet'!V10*'Output-Calculation-sheet'!V19</f>
        <v>278.31408022292948</v>
      </c>
      <c r="W33" s="2">
        <f>W11/'Output-Calculation-sheet'!W10*'Output-Calculation-sheet'!W19</f>
        <v>191.21446778577143</v>
      </c>
      <c r="X33" s="2">
        <f>X11/'Output-Calculation-sheet'!X10*'Output-Calculation-sheet'!X19</f>
        <v>0</v>
      </c>
      <c r="Y33" s="2">
        <f>Y11/'Output-Calculation-sheet'!Y10*'Output-Calculation-sheet'!Y19</f>
        <v>126.95890992229776</v>
      </c>
      <c r="AA33" s="2">
        <f t="shared" si="1"/>
        <v>34.849376314343317</v>
      </c>
    </row>
    <row r="34" spans="1:27" x14ac:dyDescent="0.25">
      <c r="A34" s="2">
        <v>2035</v>
      </c>
      <c r="B34" s="2">
        <f>B12/'Output-Calculation-sheet'!B11*'Output-Calculation-sheet'!B20</f>
        <v>11063.68684566101</v>
      </c>
      <c r="C34" s="2">
        <f>C12/'Output-Calculation-sheet'!C11*'Output-Calculation-sheet'!C20</f>
        <v>0</v>
      </c>
      <c r="D34" s="2">
        <f>D12/'Output-Calculation-sheet'!D11*'Output-Calculation-sheet'!D20</f>
        <v>4091.6736386486605</v>
      </c>
      <c r="E34" s="2">
        <f>E12/'Output-Calculation-sheet'!E11*'Output-Calculation-sheet'!E20</f>
        <v>4245.288595284218</v>
      </c>
      <c r="F34" s="2">
        <f>F12/'Output-Calculation-sheet'!F11*'Output-Calculation-sheet'!F20</f>
        <v>2363.4461629729794</v>
      </c>
      <c r="G34" s="2">
        <f>G12/'Output-Calculation-sheet'!G11*'Output-Calculation-sheet'!G20</f>
        <v>1420.0648231692276</v>
      </c>
      <c r="H34" s="2">
        <f>H12/'Output-Calculation-sheet'!H11*'Output-Calculation-sheet'!H20</f>
        <v>0</v>
      </c>
      <c r="I34" s="2">
        <f>I12/'Output-Calculation-sheet'!I11*'Output-Calculation-sheet'!I20</f>
        <v>1450.42815337861</v>
      </c>
      <c r="J34" s="2">
        <f>J12/'Output-Calculation-sheet'!J11*'Output-Calculation-sheet'!J20</f>
        <v>1313.6083598719877</v>
      </c>
      <c r="K34" s="2">
        <f>K12/'Output-Calculation-sheet'!K11*'Output-Calculation-sheet'!K20</f>
        <v>1643.2532488582449</v>
      </c>
      <c r="L34" s="2">
        <f>L12/'Output-Calculation-sheet'!L11*'Output-Calculation-sheet'!L20</f>
        <v>1349.2161381574526</v>
      </c>
      <c r="M34" s="2">
        <f>M12/'Output-Calculation-sheet'!M11*'Output-Calculation-sheet'!M20</f>
        <v>0</v>
      </c>
      <c r="N34" s="2">
        <f>N12/'Output-Calculation-sheet'!N11*'Output-Calculation-sheet'!N20</f>
        <v>474.66682366517983</v>
      </c>
      <c r="O34" s="2">
        <f>O12/'Output-Calculation-sheet'!O11*'Output-Calculation-sheet'!O20</f>
        <v>0</v>
      </c>
      <c r="P34" s="2">
        <f>P12/'Output-Calculation-sheet'!P11*'Output-Calculation-sheet'!P20</f>
        <v>1107.9114890539884</v>
      </c>
      <c r="Q34" s="2">
        <f>Q12/'Output-Calculation-sheet'!Q11*'Output-Calculation-sheet'!Q20</f>
        <v>1214.8758936375059</v>
      </c>
      <c r="R34" s="2">
        <f>R12/'Output-Calculation-sheet'!R11*'Output-Calculation-sheet'!R20</f>
        <v>1041.7584781909027</v>
      </c>
      <c r="S34" s="2">
        <f>S12/'Output-Calculation-sheet'!S11*'Output-Calculation-sheet'!S20</f>
        <v>448.00642609768641</v>
      </c>
      <c r="T34" s="2">
        <f>T12/'Output-Calculation-sheet'!T11*'Output-Calculation-sheet'!T20</f>
        <v>377.07663234069844</v>
      </c>
      <c r="U34" s="2">
        <f>U12/'Output-Calculation-sheet'!U11*'Output-Calculation-sheet'!U20</f>
        <v>292.49177486042441</v>
      </c>
      <c r="V34" s="2">
        <f>V12/'Output-Calculation-sheet'!V11*'Output-Calculation-sheet'!V20</f>
        <v>280.89851730943326</v>
      </c>
      <c r="W34" s="2">
        <f>W12/'Output-Calculation-sheet'!W11*'Output-Calculation-sheet'!W20</f>
        <v>191.95103676003913</v>
      </c>
      <c r="X34" s="2">
        <f>X12/'Output-Calculation-sheet'!X11*'Output-Calculation-sheet'!X20</f>
        <v>0</v>
      </c>
      <c r="Y34" s="2">
        <f>Y12/'Output-Calculation-sheet'!Y11*'Output-Calculation-sheet'!Y20</f>
        <v>127.78104421133337</v>
      </c>
      <c r="AA34" s="2">
        <f t="shared" si="1"/>
        <v>34.49808408212958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2.6030023518575942</v>
      </c>
      <c r="C60" s="2">
        <f>C5*'Output-Calculation-sheet'!C49/10^9</f>
        <v>1.2306846727733693</v>
      </c>
      <c r="D60" s="2">
        <f>D5*'Output-Calculation-sheet'!D49/10^9</f>
        <v>0.57413446174174321</v>
      </c>
      <c r="E60" s="2">
        <f>E5*'Output-Calculation-sheet'!E49/10^9</f>
        <v>0.63760524886632308</v>
      </c>
      <c r="F60" s="2">
        <f>F5*'Output-Calculation-sheet'!F49/10^9</f>
        <v>0.29600388595547339</v>
      </c>
      <c r="G60" s="2">
        <f>G5*'Output-Calculation-sheet'!G49/10^9</f>
        <v>0.20388500721213013</v>
      </c>
      <c r="H60" s="2">
        <f>H5*'Output-Calculation-sheet'!H49/10^9</f>
        <v>0.38396412176655587</v>
      </c>
      <c r="I60" s="2">
        <f>I5*'Output-Calculation-sheet'!I49/10^9</f>
        <v>0.20128181925521768</v>
      </c>
      <c r="J60" s="2">
        <f>J5*'Output-Calculation-sheet'!J49/10^9</f>
        <v>0.18176482149555434</v>
      </c>
      <c r="K60" s="2">
        <f>K5*'Output-Calculation-sheet'!K49/10^9</f>
        <v>0.23430051995925716</v>
      </c>
      <c r="L60" s="2">
        <f>L5*'Output-Calculation-sheet'!L49/10^9</f>
        <v>0.19356083197796428</v>
      </c>
      <c r="M60" s="2">
        <f>M5*'Output-Calculation-sheet'!M49/10^9</f>
        <v>0.26490173858261379</v>
      </c>
      <c r="N60" s="2">
        <f>N5*'Output-Calculation-sheet'!N49/10^9</f>
        <v>0.27687088309935232</v>
      </c>
      <c r="O60" s="2">
        <f>O5*'Output-Calculation-sheet'!O49/10^9</f>
        <v>0.23912308331137666</v>
      </c>
      <c r="P60" s="2">
        <f>P5*'Output-Calculation-sheet'!P49/10^9</f>
        <v>0.20416855719057561</v>
      </c>
      <c r="Q60" s="2">
        <f>Q5*'Output-Calculation-sheet'!Q49/10^9</f>
        <v>0.21076152346728094</v>
      </c>
      <c r="R60" s="2">
        <f>R5*'Output-Calculation-sheet'!R49/10^9</f>
        <v>0.16891230147137304</v>
      </c>
      <c r="S60" s="2">
        <f>S5*'Output-Calculation-sheet'!S49/10^9</f>
        <v>0.15495041768362749</v>
      </c>
      <c r="T60" s="2">
        <f>T5*'Output-Calculation-sheet'!T49/10^9</f>
        <v>5.2994219549718377E-2</v>
      </c>
      <c r="U60" s="2">
        <f>U5*'Output-Calculation-sheet'!U49/10^9</f>
        <v>5.2958039129158536E-2</v>
      </c>
      <c r="V60" s="2">
        <f>V5*'Output-Calculation-sheet'!V49/10^9</f>
        <v>3.9655571055001067E-2</v>
      </c>
      <c r="W60" s="2">
        <f>W5*'Output-Calculation-sheet'!W49/10^9</f>
        <v>2.4864186676647852E-2</v>
      </c>
      <c r="X60" s="2">
        <f>X5*'Output-Calculation-sheet'!X49/10^9</f>
        <v>3.1297877934006936E-2</v>
      </c>
      <c r="Y60" s="2">
        <f>Y5*'Output-Calculation-sheet'!Y49/10^9</f>
        <v>2.0687647661177526E-2</v>
      </c>
      <c r="AA60" s="2">
        <f>SUM(B60:Y60)</f>
        <v>8.4823337896730919</v>
      </c>
    </row>
    <row r="61" spans="1:27" x14ac:dyDescent="0.25">
      <c r="A61" s="2">
        <v>2029</v>
      </c>
      <c r="B61" s="2">
        <f>B6*'Output-Calculation-sheet'!B50/10^9</f>
        <v>3.2488502266690045</v>
      </c>
      <c r="C61" s="2">
        <f>C6*'Output-Calculation-sheet'!C50/10^9</f>
        <v>1.546717378976479</v>
      </c>
      <c r="D61" s="2">
        <f>D6*'Output-Calculation-sheet'!D50/10^9</f>
        <v>0.71432311627095724</v>
      </c>
      <c r="E61" s="2">
        <f>E6*'Output-Calculation-sheet'!E50/10^9</f>
        <v>0.79392046787055015</v>
      </c>
      <c r="F61" s="2">
        <f>F6*'Output-Calculation-sheet'!F50/10^9</f>
        <v>0.36781979543001769</v>
      </c>
      <c r="G61" s="2">
        <f>G6*'Output-Calculation-sheet'!G50/10^9</f>
        <v>0.25369837858027039</v>
      </c>
      <c r="H61" s="2">
        <f>H6*'Output-Calculation-sheet'!H50/10^9</f>
        <v>0.4794524114103636</v>
      </c>
      <c r="I61" s="2">
        <f>I6*'Output-Calculation-sheet'!I50/10^9</f>
        <v>0.25042211292656791</v>
      </c>
      <c r="J61" s="2">
        <f>J6*'Output-Calculation-sheet'!J50/10^9</f>
        <v>0.22610099217323909</v>
      </c>
      <c r="K61" s="2">
        <f>K6*'Output-Calculation-sheet'!K50/10^9</f>
        <v>0.29160800309743679</v>
      </c>
      <c r="L61" s="2">
        <f>L6*'Output-Calculation-sheet'!L50/10^9</f>
        <v>0.24090027427131411</v>
      </c>
      <c r="M61" s="2">
        <f>M6*'Output-Calculation-sheet'!M50/10^9</f>
        <v>0.33121769295146108</v>
      </c>
      <c r="N61" s="2">
        <f>N6*'Output-Calculation-sheet'!N50/10^9</f>
        <v>0.34553774099942219</v>
      </c>
      <c r="O61" s="2">
        <f>O6*'Output-Calculation-sheet'!O50/10^9</f>
        <v>0.30052850811790005</v>
      </c>
      <c r="P61" s="2">
        <f>P6*'Output-Calculation-sheet'!P50/10^9</f>
        <v>0.25473466952973672</v>
      </c>
      <c r="Q61" s="2">
        <f>Q6*'Output-Calculation-sheet'!Q50/10^9</f>
        <v>0.2628676884646739</v>
      </c>
      <c r="R61" s="2">
        <f>R6*'Output-Calculation-sheet'!R50/10^9</f>
        <v>0.21048186134820526</v>
      </c>
      <c r="S61" s="2">
        <f>S6*'Output-Calculation-sheet'!S50/10^9</f>
        <v>0.19364604232150351</v>
      </c>
      <c r="T61" s="2">
        <f>T6*'Output-Calculation-sheet'!T50/10^9</f>
        <v>6.594051048316249E-2</v>
      </c>
      <c r="U61" s="2">
        <f>U6*'Output-Calculation-sheet'!U50/10^9</f>
        <v>6.6050567023226758E-2</v>
      </c>
      <c r="V61" s="2">
        <f>V6*'Output-Calculation-sheet'!V50/10^9</f>
        <v>4.9354350979073425E-2</v>
      </c>
      <c r="W61" s="2">
        <f>W6*'Output-Calculation-sheet'!W50/10^9</f>
        <v>3.0909941080926359E-2</v>
      </c>
      <c r="X61" s="2">
        <f>X6*'Output-Calculation-sheet'!X50/10^9</f>
        <v>3.9308253709684722E-2</v>
      </c>
      <c r="Y61" s="2">
        <f>Y6*'Output-Calculation-sheet'!Y50/10^9</f>
        <v>2.5777386996943121E-2</v>
      </c>
      <c r="AA61" s="2">
        <f t="shared" ref="AA61:AA67" si="4">SUM(B61:Y61)</f>
        <v>10.59016837168212</v>
      </c>
    </row>
    <row r="62" spans="1:27" x14ac:dyDescent="0.25">
      <c r="A62" s="2">
        <v>2030</v>
      </c>
      <c r="B62" s="2">
        <f>B7*'Output-Calculation-sheet'!B51/10^9</f>
        <v>3.7404346673749691</v>
      </c>
      <c r="C62" s="2">
        <f>C7*'Output-Calculation-sheet'!C51/10^9</f>
        <v>1.7935017116018583</v>
      </c>
      <c r="D62" s="2">
        <f>D7*'Output-Calculation-sheet'!D51/10^9</f>
        <v>0.81982951616511912</v>
      </c>
      <c r="E62" s="2">
        <f>E7*'Output-Calculation-sheet'!E51/10^9</f>
        <v>0.91187467305970749</v>
      </c>
      <c r="F62" s="2">
        <f>F7*'Output-Calculation-sheet'!F51/10^9</f>
        <v>0.42160533642298503</v>
      </c>
      <c r="G62" s="2">
        <f>G7*'Output-Calculation-sheet'!G51/10^9</f>
        <v>0.29120878918573884</v>
      </c>
      <c r="H62" s="2">
        <f>H7*'Output-Calculation-sheet'!H51/10^9</f>
        <v>0.55129485924653587</v>
      </c>
      <c r="I62" s="2">
        <f>I7*'Output-Calculation-sheet'!I51/10^9</f>
        <v>0.2873925439154249</v>
      </c>
      <c r="J62" s="2">
        <f>J7*'Output-Calculation-sheet'!J51/10^9</f>
        <v>0.25944196497399941</v>
      </c>
      <c r="K62" s="2">
        <f>K7*'Output-Calculation-sheet'!K51/10^9</f>
        <v>0.3347773398065505</v>
      </c>
      <c r="L62" s="2">
        <f>L7*'Output-Calculation-sheet'!L51/10^9</f>
        <v>0.27655737855649193</v>
      </c>
      <c r="M62" s="2">
        <f>M7*'Output-Calculation-sheet'!M51/10^9</f>
        <v>0.38085388630818751</v>
      </c>
      <c r="N62" s="2">
        <f>N7*'Output-Calculation-sheet'!N51/10^9</f>
        <v>0.39738602034525933</v>
      </c>
      <c r="O62" s="2">
        <f>O7*'Output-Calculation-sheet'!O51/10^9</f>
        <v>0.34847891477839488</v>
      </c>
      <c r="P62" s="2">
        <f>P7*'Output-Calculation-sheet'!P51/10^9</f>
        <v>0.29317486345406502</v>
      </c>
      <c r="Q62" s="2">
        <f>Q7*'Output-Calculation-sheet'!Q51/10^9</f>
        <v>0.30240709729572812</v>
      </c>
      <c r="R62" s="2">
        <f>R7*'Output-Calculation-sheet'!R51/10^9</f>
        <v>0.24194044310961177</v>
      </c>
      <c r="S62" s="2">
        <f>S7*'Output-Calculation-sheet'!S51/10^9</f>
        <v>0.22312911213951095</v>
      </c>
      <c r="T62" s="2">
        <f>T7*'Output-Calculation-sheet'!T51/10^9</f>
        <v>7.5685582147283409E-2</v>
      </c>
      <c r="U62" s="2">
        <f>U7*'Output-Calculation-sheet'!U51/10^9</f>
        <v>7.5993096827623882E-2</v>
      </c>
      <c r="V62" s="2">
        <f>V7*'Output-Calculation-sheet'!V51/10^9</f>
        <v>5.6658399910069913E-2</v>
      </c>
      <c r="W62" s="2">
        <f>W7*'Output-Calculation-sheet'!W51/10^9</f>
        <v>3.5443871213578323E-2</v>
      </c>
      <c r="X62" s="2">
        <f>X7*'Output-Calculation-sheet'!X51/10^9</f>
        <v>4.524551320939222E-2</v>
      </c>
      <c r="Y62" s="2">
        <f>Y7*'Output-Calculation-sheet'!Y51/10^9</f>
        <v>2.9628796001244406E-2</v>
      </c>
      <c r="AA62" s="2">
        <f t="shared" si="4"/>
        <v>12.193944377049331</v>
      </c>
    </row>
    <row r="63" spans="1:27" x14ac:dyDescent="0.25">
      <c r="A63" s="2">
        <v>2031</v>
      </c>
      <c r="B63" s="2">
        <f>B8*'Output-Calculation-sheet'!B52/10^9</f>
        <v>4.0050952517098048</v>
      </c>
      <c r="C63" s="2">
        <f>C8*'Output-Calculation-sheet'!C52/10^9</f>
        <v>1.9271638751834832</v>
      </c>
      <c r="D63" s="2">
        <f>D8*'Output-Calculation-sheet'!D52/10^9</f>
        <v>0.87651283452378881</v>
      </c>
      <c r="E63" s="2">
        <f>E8*'Output-Calculation-sheet'!E52/10^9</f>
        <v>0.97526897345084251</v>
      </c>
      <c r="F63" s="2">
        <f>F8*'Output-Calculation-sheet'!F52/10^9</f>
        <v>0.45046783120674144</v>
      </c>
      <c r="G63" s="2">
        <f>G8*'Output-Calculation-sheet'!G52/10^9</f>
        <v>0.31136641544212695</v>
      </c>
      <c r="H63" s="2">
        <f>H8*'Output-Calculation-sheet'!H52/10^9</f>
        <v>0.58712987857770349</v>
      </c>
      <c r="I63" s="2">
        <f>I8*'Output-Calculation-sheet'!I52/10^9</f>
        <v>0.30725069646585301</v>
      </c>
      <c r="J63" s="2">
        <f>J8*'Output-Calculation-sheet'!J52/10^9</f>
        <v>0.27735038135072954</v>
      </c>
      <c r="K63" s="2">
        <f>K8*'Output-Calculation-sheet'!K52/10^9</f>
        <v>0.35796828220093457</v>
      </c>
      <c r="L63" s="2">
        <f>L8*'Output-Calculation-sheet'!L52/10^9</f>
        <v>0.29571427339746303</v>
      </c>
      <c r="M63" s="2">
        <f>M8*'Output-Calculation-sheet'!M52/10^9</f>
        <v>0.40563746726542871</v>
      </c>
      <c r="N63" s="2">
        <f>N8*'Output-Calculation-sheet'!N52/10^9</f>
        <v>0.42397187798765668</v>
      </c>
      <c r="O63" s="2">
        <f>O8*'Output-Calculation-sheet'!O52/10^9</f>
        <v>0.37445233265642264</v>
      </c>
      <c r="P63" s="2">
        <f>P8*'Output-Calculation-sheet'!P52/10^9</f>
        <v>0.31386606554166196</v>
      </c>
      <c r="Q63" s="2">
        <f>Q8*'Output-Calculation-sheet'!Q52/10^9</f>
        <v>0.3236774148801857</v>
      </c>
      <c r="R63" s="2">
        <f>R8*'Output-Calculation-sheet'!R52/10^9</f>
        <v>0.2588583560096725</v>
      </c>
      <c r="S63" s="2">
        <f>S8*'Output-Calculation-sheet'!S52/10^9</f>
        <v>0.2386220670920198</v>
      </c>
      <c r="T63" s="2">
        <f>T8*'Output-Calculation-sheet'!T52/10^9</f>
        <v>8.0919969439877809E-2</v>
      </c>
      <c r="U63" s="2">
        <f>U8*'Output-Calculation-sheet'!U52/10^9</f>
        <v>8.1344596919383644E-2</v>
      </c>
      <c r="V63" s="2">
        <f>V8*'Output-Calculation-sheet'!V52/10^9</f>
        <v>6.0582201785313795E-2</v>
      </c>
      <c r="W63" s="2">
        <f>W8*'Output-Calculation-sheet'!W52/10^9</f>
        <v>3.7877449030245064E-2</v>
      </c>
      <c r="X63" s="2">
        <f>X8*'Output-Calculation-sheet'!X52/10^9</f>
        <v>4.8237562199653673E-2</v>
      </c>
      <c r="Y63" s="2">
        <f>Y8*'Output-Calculation-sheet'!Y52/10^9</f>
        <v>3.1699776198300715E-2</v>
      </c>
      <c r="AA63" s="2">
        <f t="shared" si="4"/>
        <v>13.051035830515294</v>
      </c>
    </row>
    <row r="64" spans="1:27" x14ac:dyDescent="0.25">
      <c r="A64" s="2">
        <v>2032</v>
      </c>
      <c r="B64" s="2">
        <f>B9*'Output-Calculation-sheet'!B53/10^9</f>
        <v>4.0027883386852405</v>
      </c>
      <c r="C64" s="2">
        <f>C9*'Output-Calculation-sheet'!C53/10^9</f>
        <v>1.9329423213579118</v>
      </c>
      <c r="D64" s="2">
        <f>D9*'Output-Calculation-sheet'!D53/10^9</f>
        <v>0.87468402583052363</v>
      </c>
      <c r="E64" s="2">
        <f>E9*'Output-Calculation-sheet'!E53/10^9</f>
        <v>0.97358288611596178</v>
      </c>
      <c r="F64" s="2">
        <f>F9*'Output-Calculation-sheet'!F53/10^9</f>
        <v>0.44923914600132275</v>
      </c>
      <c r="G64" s="2">
        <f>G9*'Output-Calculation-sheet'!G53/10^9</f>
        <v>0.31074500896261714</v>
      </c>
      <c r="H64" s="2">
        <f>H9*'Output-Calculation-sheet'!H53/10^9</f>
        <v>0.58344408257500024</v>
      </c>
      <c r="I64" s="2">
        <f>I9*'Output-Calculation-sheet'!I53/10^9</f>
        <v>0.3065962951693133</v>
      </c>
      <c r="J64" s="2">
        <f>J9*'Output-Calculation-sheet'!J53/10^9</f>
        <v>0.27674366025401725</v>
      </c>
      <c r="K64" s="2">
        <f>K9*'Output-Calculation-sheet'!K53/10^9</f>
        <v>0.35726357486156074</v>
      </c>
      <c r="L64" s="2">
        <f>L9*'Output-Calculation-sheet'!L53/10^9</f>
        <v>0.29513284522719962</v>
      </c>
      <c r="M64" s="2">
        <f>M9*'Output-Calculation-sheet'!M53/10^9</f>
        <v>0.40311064535142999</v>
      </c>
      <c r="N64" s="2">
        <f>N9*'Output-Calculation-sheet'!N53/10^9</f>
        <v>0.42187262687211974</v>
      </c>
      <c r="O64" s="2">
        <f>O9*'Output-Calculation-sheet'!O53/10^9</f>
        <v>0.37557509791629873</v>
      </c>
      <c r="P64" s="2">
        <f>P9*'Output-Calculation-sheet'!P53/10^9</f>
        <v>0.31363015175278725</v>
      </c>
      <c r="Q64" s="2">
        <f>Q9*'Output-Calculation-sheet'!Q53/10^9</f>
        <v>0.32335806756367202</v>
      </c>
      <c r="R64" s="2">
        <f>R9*'Output-Calculation-sheet'!R53/10^9</f>
        <v>0.25851030658412177</v>
      </c>
      <c r="S64" s="2">
        <f>S9*'Output-Calculation-sheet'!S53/10^9</f>
        <v>0.23790242381029164</v>
      </c>
      <c r="T64" s="2">
        <f>T9*'Output-Calculation-sheet'!T53/10^9</f>
        <v>8.0752730319839414E-2</v>
      </c>
      <c r="U64" s="2">
        <f>U9*'Output-Calculation-sheet'!U53/10^9</f>
        <v>8.1273089283803751E-2</v>
      </c>
      <c r="V64" s="2">
        <f>V9*'Output-Calculation-sheet'!V53/10^9</f>
        <v>6.0461613788110651E-2</v>
      </c>
      <c r="W64" s="2">
        <f>W9*'Output-Calculation-sheet'!W53/10^9</f>
        <v>3.7781509323959309E-2</v>
      </c>
      <c r="X64" s="2">
        <f>X9*'Output-Calculation-sheet'!X53/10^9</f>
        <v>4.7983323808289798E-2</v>
      </c>
      <c r="Y64" s="2">
        <f>Y9*'Output-Calculation-sheet'!Y53/10^9</f>
        <v>3.1656199867998114E-2</v>
      </c>
      <c r="AA64" s="2">
        <f t="shared" si="4"/>
        <v>13.037029971283388</v>
      </c>
    </row>
    <row r="65" spans="1:27" x14ac:dyDescent="0.25">
      <c r="A65" s="2">
        <v>2033</v>
      </c>
      <c r="B65" s="2">
        <f>B10*'Output-Calculation-sheet'!B54/10^9</f>
        <v>3.9758607146617262</v>
      </c>
      <c r="C65" s="2">
        <f>C10*'Output-Calculation-sheet'!C54/10^9</f>
        <v>1.924673854534261</v>
      </c>
      <c r="D65" s="2">
        <f>D10*'Output-Calculation-sheet'!D54/10^9</f>
        <v>0.86838287078016663</v>
      </c>
      <c r="E65" s="2">
        <f>E10*'Output-Calculation-sheet'!E54/10^9</f>
        <v>0.96691676881408462</v>
      </c>
      <c r="F65" s="2">
        <f>F10*'Output-Calculation-sheet'!F54/10^9</f>
        <v>0.44571323248971784</v>
      </c>
      <c r="G65" s="2">
        <f>G10*'Output-Calculation-sheet'!G54/10^9</f>
        <v>0.30853593250797129</v>
      </c>
      <c r="H65" s="2">
        <f>H10*'Output-Calculation-sheet'!H54/10^9</f>
        <v>0.57661607967633988</v>
      </c>
      <c r="I65" s="2">
        <f>I10*'Output-Calculation-sheet'!I54/10^9</f>
        <v>0.30437463845290608</v>
      </c>
      <c r="J65" s="2">
        <f>J10*'Output-Calculation-sheet'!J54/10^9</f>
        <v>0.27472239047946895</v>
      </c>
      <c r="K65" s="2">
        <f>K10*'Output-Calculation-sheet'!K54/10^9</f>
        <v>0.35472824038506112</v>
      </c>
      <c r="L65" s="2">
        <f>L10*'Output-Calculation-sheet'!L54/10^9</f>
        <v>0.29304065805368829</v>
      </c>
      <c r="M65" s="2">
        <f>M10*'Output-Calculation-sheet'!M54/10^9</f>
        <v>0.39841029658695332</v>
      </c>
      <c r="N65" s="2">
        <f>N10*'Output-Calculation-sheet'!N54/10^9</f>
        <v>0.41739513424086849</v>
      </c>
      <c r="O65" s="2">
        <f>O10*'Output-Calculation-sheet'!O54/10^9</f>
        <v>0.37478806246138019</v>
      </c>
      <c r="P65" s="2">
        <f>P10*'Output-Calculation-sheet'!P54/10^9</f>
        <v>0.31178383287391681</v>
      </c>
      <c r="Q65" s="2">
        <f>Q10*'Output-Calculation-sheet'!Q54/10^9</f>
        <v>0.321376279976961</v>
      </c>
      <c r="R65" s="2">
        <f>R10*'Output-Calculation-sheet'!R54/10^9</f>
        <v>0.25683862119036793</v>
      </c>
      <c r="S65" s="2">
        <f>S10*'Output-Calculation-sheet'!S54/10^9</f>
        <v>0.23575910489566293</v>
      </c>
      <c r="T65" s="2">
        <f>T10*'Output-Calculation-sheet'!T54/10^9</f>
        <v>8.0172079250048836E-2</v>
      </c>
      <c r="U65" s="2">
        <f>U10*'Output-Calculation-sheet'!U54/10^9</f>
        <v>8.0785515817155207E-2</v>
      </c>
      <c r="V65" s="2">
        <f>V10*'Output-Calculation-sheet'!V54/10^9</f>
        <v>6.0030844880555143E-2</v>
      </c>
      <c r="W65" s="2">
        <f>W10*'Output-Calculation-sheet'!W54/10^9</f>
        <v>3.7492153215645474E-2</v>
      </c>
      <c r="X65" s="2">
        <f>X10*'Output-Calculation-sheet'!X54/10^9</f>
        <v>4.7467878733073392E-2</v>
      </c>
      <c r="Y65" s="2">
        <f>Y10*'Output-Calculation-sheet'!Y54/10^9</f>
        <v>3.1450717614200756E-2</v>
      </c>
      <c r="AA65" s="2">
        <f t="shared" si="4"/>
        <v>12.947315902572184</v>
      </c>
    </row>
    <row r="66" spans="1:27" x14ac:dyDescent="0.25">
      <c r="A66" s="2">
        <v>2034</v>
      </c>
      <c r="B66" s="2">
        <f>B11*'Output-Calculation-sheet'!B55/10^9</f>
        <v>3.9477736053359305</v>
      </c>
      <c r="C66" s="2">
        <f>C11*'Output-Calculation-sheet'!C55/10^9</f>
        <v>1.9073507631303823</v>
      </c>
      <c r="D66" s="2">
        <f>D11*'Output-Calculation-sheet'!D55/10^9</f>
        <v>0.8631956341807272</v>
      </c>
      <c r="E66" s="2">
        <f>E11*'Output-Calculation-sheet'!E55/10^9</f>
        <v>0.96148507725376287</v>
      </c>
      <c r="F66" s="2">
        <f>F11*'Output-Calculation-sheet'!F55/10^9</f>
        <v>0.4427579183259655</v>
      </c>
      <c r="G66" s="2">
        <f>G11*'Output-Calculation-sheet'!G55/10^9</f>
        <v>0.30672230455997146</v>
      </c>
      <c r="H66" s="2">
        <f>H11*'Output-Calculation-sheet'!H55/10^9</f>
        <v>0.57036929054205576</v>
      </c>
      <c r="I66" s="2">
        <f>I11*'Output-Calculation-sheet'!I55/10^9</f>
        <v>0.30254012153811116</v>
      </c>
      <c r="J66" s="2">
        <f>J11*'Output-Calculation-sheet'!J55/10^9</f>
        <v>0.27305394412372347</v>
      </c>
      <c r="K66" s="2">
        <f>K11*'Output-Calculation-sheet'!K55/10^9</f>
        <v>0.3526420860281746</v>
      </c>
      <c r="L66" s="2">
        <f>L11*'Output-Calculation-sheet'!L55/10^9</f>
        <v>0.2913218129658327</v>
      </c>
      <c r="M66" s="2">
        <f>M11*'Output-Calculation-sheet'!M55/10^9</f>
        <v>0.39411133972692247</v>
      </c>
      <c r="N66" s="2">
        <f>N11*'Output-Calculation-sheet'!N55/10^9</f>
        <v>0.41325880528726522</v>
      </c>
      <c r="O66" s="2">
        <f>O11*'Output-Calculation-sheet'!O55/10^9</f>
        <v>0.37448398207860945</v>
      </c>
      <c r="P66" s="2">
        <f>P11*'Output-Calculation-sheet'!P55/10^9</f>
        <v>0.31032907344663485</v>
      </c>
      <c r="Q66" s="2">
        <f>Q11*'Output-Calculation-sheet'!Q55/10^9</f>
        <v>0.31979547194125191</v>
      </c>
      <c r="R66" s="2">
        <f>R11*'Output-Calculation-sheet'!R55/10^9</f>
        <v>0.25549319249095942</v>
      </c>
      <c r="S66" s="2">
        <f>S11*'Output-Calculation-sheet'!S55/10^9</f>
        <v>0.23374481646433168</v>
      </c>
      <c r="T66" s="2">
        <f>T11*'Output-Calculation-sheet'!T55/10^9</f>
        <v>7.9693633069917641E-2</v>
      </c>
      <c r="U66" s="2">
        <f>U11*'Output-Calculation-sheet'!U55/10^9</f>
        <v>8.0400670701441815E-2</v>
      </c>
      <c r="V66" s="2">
        <f>V11*'Output-Calculation-sheet'!V55/10^9</f>
        <v>5.9676057159523711E-2</v>
      </c>
      <c r="W66" s="2">
        <f>W11*'Output-Calculation-sheet'!W55/10^9</f>
        <v>3.7250982312673223E-2</v>
      </c>
      <c r="X66" s="2">
        <f>X11*'Output-Calculation-sheet'!X55/10^9</f>
        <v>4.7000321814781892E-2</v>
      </c>
      <c r="Y66" s="2">
        <f>Y11*'Output-Calculation-sheet'!Y55/10^9</f>
        <v>3.1285339830379739E-2</v>
      </c>
      <c r="AA66" s="2">
        <f t="shared" si="4"/>
        <v>12.855736244309332</v>
      </c>
    </row>
    <row r="67" spans="1:27" x14ac:dyDescent="0.25">
      <c r="A67" s="2">
        <v>2035</v>
      </c>
      <c r="B67" s="2">
        <f>B12*'Output-Calculation-sheet'!B56/10^9</f>
        <v>3.9182144942751567</v>
      </c>
      <c r="C67" s="2">
        <f>C12*'Output-Calculation-sheet'!C56/10^9</f>
        <v>1.8904499157821173</v>
      </c>
      <c r="D67" s="2">
        <f>D12*'Output-Calculation-sheet'!D56/10^9</f>
        <v>0.85856922080683784</v>
      </c>
      <c r="E67" s="2">
        <f>E12*'Output-Calculation-sheet'!E56/10^9</f>
        <v>0.95667300025661295</v>
      </c>
      <c r="F67" s="2">
        <f>F12*'Output-Calculation-sheet'!F56/10^9</f>
        <v>0.44008960693231858</v>
      </c>
      <c r="G67" s="2">
        <f>G12*'Output-Calculation-sheet'!G56/10^9</f>
        <v>0.30511256260058039</v>
      </c>
      <c r="H67" s="2">
        <f>H12*'Output-Calculation-sheet'!H56/10^9</f>
        <v>0.56433486522538867</v>
      </c>
      <c r="I67" s="2">
        <f>I12*'Output-Calculation-sheet'!I56/10^9</f>
        <v>0.30090049815996744</v>
      </c>
      <c r="J67" s="2">
        <f>J12*'Output-Calculation-sheet'!J56/10^9</f>
        <v>0.27156570975775951</v>
      </c>
      <c r="K67" s="2">
        <f>K12*'Output-Calculation-sheet'!K56/10^9</f>
        <v>0.3507832472463655</v>
      </c>
      <c r="L67" s="2">
        <f>L12*'Output-Calculation-sheet'!L56/10^9</f>
        <v>0.28979353203439712</v>
      </c>
      <c r="M67" s="2">
        <f>M12*'Output-Calculation-sheet'!M56/10^9</f>
        <v>0.38995866289936831</v>
      </c>
      <c r="N67" s="2">
        <f>N12*'Output-Calculation-sheet'!N56/10^9</f>
        <v>0.40926605762857315</v>
      </c>
      <c r="O67" s="2">
        <f>O12*'Output-Calculation-sheet'!O56/10^9</f>
        <v>0.37225930568213628</v>
      </c>
      <c r="P67" s="2">
        <f>P12*'Output-Calculation-sheet'!P56/10^9</f>
        <v>0.30906873076661107</v>
      </c>
      <c r="Q67" s="2">
        <f>Q12*'Output-Calculation-sheet'!Q56/10^9</f>
        <v>0.31840575764700513</v>
      </c>
      <c r="R67" s="2">
        <f>R12*'Output-Calculation-sheet'!R56/10^9</f>
        <v>0.25431091409580536</v>
      </c>
      <c r="S67" s="2">
        <f>S12*'Output-Calculation-sheet'!S56/10^9</f>
        <v>0.23174944781646165</v>
      </c>
      <c r="T67" s="2">
        <f>T12*'Output-Calculation-sheet'!T56/10^9</f>
        <v>7.9267009435485133E-2</v>
      </c>
      <c r="U67" s="2">
        <f>U12*'Output-Calculation-sheet'!U56/10^9</f>
        <v>8.0067373390247984E-2</v>
      </c>
      <c r="V67" s="2">
        <f>V12*'Output-Calculation-sheet'!V56/10^9</f>
        <v>5.9358676081625185E-2</v>
      </c>
      <c r="W67" s="2">
        <f>W12*'Output-Calculation-sheet'!W56/10^9</f>
        <v>3.7034111703164938E-2</v>
      </c>
      <c r="X67" s="2">
        <f>X12*'Output-Calculation-sheet'!X56/10^9</f>
        <v>4.6547119687815157E-2</v>
      </c>
      <c r="Y67" s="2">
        <f>Y12*'Output-Calculation-sheet'!Y56/10^9</f>
        <v>3.1140170918329838E-2</v>
      </c>
      <c r="AA67" s="2">
        <f t="shared" si="4"/>
        <v>12.764919990830132</v>
      </c>
    </row>
    <row r="68" spans="1:27" x14ac:dyDescent="0.25">
      <c r="B68" s="2">
        <f>SUM(B60:B67)</f>
        <v>29.442019650569428</v>
      </c>
      <c r="C68" s="2">
        <f t="shared" ref="C68:Y68" si="5">SUM(C60:C67)</f>
        <v>14.153484493339862</v>
      </c>
      <c r="D68" s="2">
        <f t="shared" si="5"/>
        <v>6.4496316802998637</v>
      </c>
      <c r="E68" s="2">
        <f t="shared" si="5"/>
        <v>7.1773270956878452</v>
      </c>
      <c r="F68" s="2">
        <f t="shared" si="5"/>
        <v>3.313696752764542</v>
      </c>
      <c r="G68" s="2">
        <f t="shared" si="5"/>
        <v>2.2912743990514066</v>
      </c>
      <c r="H68" s="2">
        <f t="shared" si="5"/>
        <v>4.2966055890199435</v>
      </c>
      <c r="I68" s="2">
        <f t="shared" si="5"/>
        <v>2.2607587258833615</v>
      </c>
      <c r="J68" s="2">
        <f t="shared" si="5"/>
        <v>2.0407438646084914</v>
      </c>
      <c r="K68" s="2">
        <f t="shared" si="5"/>
        <v>2.634071293585341</v>
      </c>
      <c r="L68" s="2">
        <f t="shared" si="5"/>
        <v>2.1760216064843512</v>
      </c>
      <c r="M68" s="2">
        <f t="shared" si="5"/>
        <v>2.9682017296723648</v>
      </c>
      <c r="N68" s="2">
        <f t="shared" si="5"/>
        <v>3.105559146460517</v>
      </c>
      <c r="O68" s="2">
        <f t="shared" si="5"/>
        <v>2.7596892870025185</v>
      </c>
      <c r="P68" s="2">
        <f t="shared" si="5"/>
        <v>2.3107559445559893</v>
      </c>
      <c r="Q68" s="2">
        <f t="shared" si="5"/>
        <v>2.3826493012367589</v>
      </c>
      <c r="R68" s="2">
        <f t="shared" si="5"/>
        <v>1.9053459963001169</v>
      </c>
      <c r="S68" s="2">
        <f t="shared" si="5"/>
        <v>1.7495034322234095</v>
      </c>
      <c r="T68" s="2">
        <f t="shared" si="5"/>
        <v>0.59542573369533314</v>
      </c>
      <c r="U68" s="2">
        <f t="shared" si="5"/>
        <v>0.59887294909204158</v>
      </c>
      <c r="V68" s="2">
        <f t="shared" si="5"/>
        <v>0.44577771563927293</v>
      </c>
      <c r="W68" s="2">
        <f t="shared" si="5"/>
        <v>0.27865420455684053</v>
      </c>
      <c r="X68" s="2">
        <f t="shared" si="5"/>
        <v>0.35308785109669777</v>
      </c>
      <c r="Y68" s="2">
        <f t="shared" si="5"/>
        <v>0.23332603508857419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5166698868.2872877</v>
      </c>
      <c r="C93" s="2">
        <f>C5/'Output-Calculation-sheet'!C4*'Output-Calculation-sheet'!C76</f>
        <v>0</v>
      </c>
      <c r="D93" s="2">
        <f>D5/'Output-Calculation-sheet'!D4*'Output-Calculation-sheet'!D76</f>
        <v>3382261267.11344</v>
      </c>
      <c r="E93" s="2">
        <f>E5/'Output-Calculation-sheet'!E4*'Output-Calculation-sheet'!E76</f>
        <v>4938653478.229394</v>
      </c>
      <c r="F93" s="2">
        <f>F5/'Output-Calculation-sheet'!F4*'Output-Calculation-sheet'!F76</f>
        <v>2473677707.3452468</v>
      </c>
      <c r="G93" s="2">
        <f>G5/'Output-Calculation-sheet'!G4*'Output-Calculation-sheet'!G76</f>
        <v>1890216482.605041</v>
      </c>
      <c r="H93" s="2">
        <f>H5/'Output-Calculation-sheet'!H4*'Output-Calculation-sheet'!H76</f>
        <v>0</v>
      </c>
      <c r="I93" s="2">
        <f>I5/'Output-Calculation-sheet'!I4*'Output-Calculation-sheet'!I76</f>
        <v>1284121374.0559783</v>
      </c>
      <c r="J93" s="2">
        <f>J5/'Output-Calculation-sheet'!J4*'Output-Calculation-sheet'!J76</f>
        <v>921319254.4987607</v>
      </c>
      <c r="K93" s="2">
        <f>K5/'Output-Calculation-sheet'!K4*'Output-Calculation-sheet'!K76</f>
        <v>1159907931.8636699</v>
      </c>
      <c r="L93" s="2">
        <f>L5/'Output-Calculation-sheet'!L4*'Output-Calculation-sheet'!L76</f>
        <v>764893260.31702852</v>
      </c>
      <c r="M93" s="2">
        <f>M5/'Output-Calculation-sheet'!M4*'Output-Calculation-sheet'!M76</f>
        <v>0</v>
      </c>
      <c r="N93" s="2">
        <f>N5/'Output-Calculation-sheet'!N4*'Output-Calculation-sheet'!N76</f>
        <v>362084769.57252681</v>
      </c>
      <c r="O93" s="2">
        <f>O5/'Output-Calculation-sheet'!O4*'Output-Calculation-sheet'!O76</f>
        <v>0</v>
      </c>
      <c r="P93" s="2">
        <f>P5/'Output-Calculation-sheet'!P4*'Output-Calculation-sheet'!P76</f>
        <v>953182509.43389416</v>
      </c>
      <c r="Q93" s="2">
        <f>Q5/'Output-Calculation-sheet'!Q4*'Output-Calculation-sheet'!Q76</f>
        <v>428514733.1689766</v>
      </c>
      <c r="R93" s="2">
        <f>R5/'Output-Calculation-sheet'!R4*'Output-Calculation-sheet'!R76</f>
        <v>683864041.83713698</v>
      </c>
      <c r="S93" s="2">
        <f>S5/'Output-Calculation-sheet'!S4*'Output-Calculation-sheet'!S76</f>
        <v>226578952.45081681</v>
      </c>
      <c r="T93" s="2">
        <f>T5/'Output-Calculation-sheet'!T4*'Output-Calculation-sheet'!T76</f>
        <v>367470389.11232895</v>
      </c>
      <c r="U93" s="2">
        <f>U5/'Output-Calculation-sheet'!U4*'Output-Calculation-sheet'!U76</f>
        <v>191645742.72473788</v>
      </c>
      <c r="V93" s="2">
        <f>V5/'Output-Calculation-sheet'!V4*'Output-Calculation-sheet'!V76</f>
        <v>114658172.92489965</v>
      </c>
      <c r="W93" s="2">
        <f>W5/'Output-Calculation-sheet'!W4*'Output-Calculation-sheet'!W76</f>
        <v>382093897.66213459</v>
      </c>
      <c r="X93" s="2">
        <f>X5/'Output-Calculation-sheet'!X4*'Output-Calculation-sheet'!X76</f>
        <v>0</v>
      </c>
      <c r="Y93" s="2">
        <f>Y5/'Output-Calculation-sheet'!Y4*'Output-Calculation-sheet'!Y76</f>
        <v>160223995.02543083</v>
      </c>
      <c r="AA93" s="2">
        <f>SUM(B93:Y93)/10^9</f>
        <v>25.852066828228729</v>
      </c>
    </row>
    <row r="94" spans="1:27" x14ac:dyDescent="0.25">
      <c r="A94" s="2">
        <v>2029</v>
      </c>
      <c r="B94" s="2">
        <f>B6/'Output-Calculation-sheet'!B5*'Output-Calculation-sheet'!B77</f>
        <v>6483803951.3405371</v>
      </c>
      <c r="C94" s="2">
        <f>C6/'Output-Calculation-sheet'!C5*'Output-Calculation-sheet'!C77</f>
        <v>0</v>
      </c>
      <c r="D94" s="2">
        <f>D6/'Output-Calculation-sheet'!D5*'Output-Calculation-sheet'!D77</f>
        <v>4183755034.5319667</v>
      </c>
      <c r="E94" s="2">
        <f>E6/'Output-Calculation-sheet'!E5*'Output-Calculation-sheet'!E77</f>
        <v>6236078697.1118441</v>
      </c>
      <c r="F94" s="2">
        <f>F6/'Output-Calculation-sheet'!F5*'Output-Calculation-sheet'!F77</f>
        <v>3056980394.0820041</v>
      </c>
      <c r="G94" s="2">
        <f>G6/'Output-Calculation-sheet'!G5*'Output-Calculation-sheet'!G77</f>
        <v>2366144131.6700892</v>
      </c>
      <c r="H94" s="2">
        <f>H6/'Output-Calculation-sheet'!H5*'Output-Calculation-sheet'!H77</f>
        <v>578691509.33443701</v>
      </c>
      <c r="I94" s="2">
        <f>I6/'Output-Calculation-sheet'!I5*'Output-Calculation-sheet'!I77</f>
        <v>1585282021.8689518</v>
      </c>
      <c r="J94" s="2">
        <f>J6/'Output-Calculation-sheet'!J5*'Output-Calculation-sheet'!J77</f>
        <v>1149313602.3131347</v>
      </c>
      <c r="K94" s="2">
        <f>K6/'Output-Calculation-sheet'!K5*'Output-Calculation-sheet'!K77</f>
        <v>1433019638.7929976</v>
      </c>
      <c r="L94" s="2">
        <f>L6/'Output-Calculation-sheet'!L5*'Output-Calculation-sheet'!L77</f>
        <v>955745090.06310523</v>
      </c>
      <c r="M94" s="2">
        <f>M6/'Output-Calculation-sheet'!M5*'Output-Calculation-sheet'!M77</f>
        <v>420914126.90367013</v>
      </c>
      <c r="N94" s="2">
        <f>N6/'Output-Calculation-sheet'!N5*'Output-Calculation-sheet'!N77</f>
        <v>496197688.83224708</v>
      </c>
      <c r="O94" s="2">
        <f>O6/'Output-Calculation-sheet'!O5*'Output-Calculation-sheet'!O77</f>
        <v>0</v>
      </c>
      <c r="P94" s="2">
        <f>P6/'Output-Calculation-sheet'!P5*'Output-Calculation-sheet'!P77</f>
        <v>1200699051.8224945</v>
      </c>
      <c r="Q94" s="2">
        <f>Q6/'Output-Calculation-sheet'!Q5*'Output-Calculation-sheet'!Q77</f>
        <v>546946457.78205466</v>
      </c>
      <c r="R94" s="2">
        <f>R6/'Output-Calculation-sheet'!R5*'Output-Calculation-sheet'!R77</f>
        <v>853146813.48067367</v>
      </c>
      <c r="S94" s="2">
        <f>S6/'Output-Calculation-sheet'!S5*'Output-Calculation-sheet'!S77</f>
        <v>288028925.55036956</v>
      </c>
      <c r="T94" s="2">
        <f>T6/'Output-Calculation-sheet'!T5*'Output-Calculation-sheet'!T77</f>
        <v>456482423.23705053</v>
      </c>
      <c r="U94" s="2">
        <f>U6/'Output-Calculation-sheet'!U5*'Output-Calculation-sheet'!U77</f>
        <v>233134100.97975045</v>
      </c>
      <c r="V94" s="2">
        <f>V6/'Output-Calculation-sheet'!V5*'Output-Calculation-sheet'!V77</f>
        <v>139524099.20560518</v>
      </c>
      <c r="W94" s="2">
        <f>W6/'Output-Calculation-sheet'!W5*'Output-Calculation-sheet'!W77</f>
        <v>479951691.62245387</v>
      </c>
      <c r="X94" s="2">
        <f>X6/'Output-Calculation-sheet'!X5*'Output-Calculation-sheet'!X77</f>
        <v>39253853.524414994</v>
      </c>
      <c r="Y94" s="2">
        <f>Y6/'Output-Calculation-sheet'!Y5*'Output-Calculation-sheet'!Y77</f>
        <v>202431471.96919379</v>
      </c>
      <c r="AA94" s="2">
        <f t="shared" ref="AA94:AA100" si="8">SUM(B94:Y94)/10^9</f>
        <v>33.385524776019054</v>
      </c>
    </row>
    <row r="95" spans="1:27" x14ac:dyDescent="0.25">
      <c r="A95" s="2">
        <v>2030</v>
      </c>
      <c r="B95" s="2">
        <f>B7/'Output-Calculation-sheet'!B6*'Output-Calculation-sheet'!B78</f>
        <v>7490231198.1634388</v>
      </c>
      <c r="C95" s="2">
        <f>C7/'Output-Calculation-sheet'!C6*'Output-Calculation-sheet'!C78</f>
        <v>0</v>
      </c>
      <c r="D95" s="2">
        <f>D7/'Output-Calculation-sheet'!D6*'Output-Calculation-sheet'!D78</f>
        <v>4777398542.612875</v>
      </c>
      <c r="E95" s="2">
        <f>E7/'Output-Calculation-sheet'!E6*'Output-Calculation-sheet'!E78</f>
        <v>7261089434.371089</v>
      </c>
      <c r="F95" s="2">
        <f>F7/'Output-Calculation-sheet'!F6*'Output-Calculation-sheet'!F78</f>
        <v>3484805674.115046</v>
      </c>
      <c r="G95" s="2">
        <f>G7/'Output-Calculation-sheet'!G6*'Output-Calculation-sheet'!G78</f>
        <v>2732821526.6813569</v>
      </c>
      <c r="H95" s="2">
        <f>H7/'Output-Calculation-sheet'!H6*'Output-Calculation-sheet'!H78</f>
        <v>698972468.57457602</v>
      </c>
      <c r="I95" s="2">
        <f>I7/'Output-Calculation-sheet'!I6*'Output-Calculation-sheet'!I78</f>
        <v>1803579586.4029312</v>
      </c>
      <c r="J95" s="2">
        <f>J7/'Output-Calculation-sheet'!J6*'Output-Calculation-sheet'!J78</f>
        <v>1322717893.5691361</v>
      </c>
      <c r="K95" s="2">
        <f>K7/'Output-Calculation-sheet'!K6*'Output-Calculation-sheet'!K78</f>
        <v>1630463658.1772506</v>
      </c>
      <c r="L95" s="2">
        <f>L7/'Output-Calculation-sheet'!L6*'Output-Calculation-sheet'!L78</f>
        <v>1102919596.586875</v>
      </c>
      <c r="M95" s="2">
        <f>M7/'Output-Calculation-sheet'!M6*'Output-Calculation-sheet'!M78</f>
        <v>512802693.68533051</v>
      </c>
      <c r="N95" s="2">
        <f>N7/'Output-Calculation-sheet'!N6*'Output-Calculation-sheet'!N78</f>
        <v>598410626.64983177</v>
      </c>
      <c r="O95" s="2">
        <f>O7/'Output-Calculation-sheet'!O6*'Output-Calculation-sheet'!O78</f>
        <v>0</v>
      </c>
      <c r="P95" s="2">
        <f>P7/'Output-Calculation-sheet'!P6*'Output-Calculation-sheet'!P78</f>
        <v>1387863981.0433834</v>
      </c>
      <c r="Q95" s="2">
        <f>Q7/'Output-Calculation-sheet'!Q6*'Output-Calculation-sheet'!Q78</f>
        <v>640734673.92309952</v>
      </c>
      <c r="R95" s="2">
        <f>R7/'Output-Calculation-sheet'!R6*'Output-Calculation-sheet'!R78</f>
        <v>980608309.26141131</v>
      </c>
      <c r="S95" s="2">
        <f>S7/'Output-Calculation-sheet'!S6*'Output-Calculation-sheet'!S78</f>
        <v>347427940.09338623</v>
      </c>
      <c r="T95" s="2">
        <f>T7/'Output-Calculation-sheet'!T6*'Output-Calculation-sheet'!T78</f>
        <v>523255521.03963649</v>
      </c>
      <c r="U95" s="2">
        <f>U7/'Output-Calculation-sheet'!U6*'Output-Calculation-sheet'!U78</f>
        <v>260974448.24190748</v>
      </c>
      <c r="V95" s="2">
        <f>V7/'Output-Calculation-sheet'!V6*'Output-Calculation-sheet'!V78</f>
        <v>156411948.37681869</v>
      </c>
      <c r="W95" s="2">
        <f>W7/'Output-Calculation-sheet'!W6*'Output-Calculation-sheet'!W78</f>
        <v>556497573.44567442</v>
      </c>
      <c r="X95" s="2">
        <f>X7/'Output-Calculation-sheet'!X6*'Output-Calculation-sheet'!X78</f>
        <v>48527266.120741032</v>
      </c>
      <c r="Y95" s="2">
        <f>Y7/'Output-Calculation-sheet'!Y6*'Output-Calculation-sheet'!Y78</f>
        <v>236160450.29105684</v>
      </c>
      <c r="AA95" s="2">
        <f t="shared" si="8"/>
        <v>38.554675011426852</v>
      </c>
    </row>
    <row r="96" spans="1:27" x14ac:dyDescent="0.25">
      <c r="A96" s="2">
        <v>2031</v>
      </c>
      <c r="B96" s="2">
        <f>B8/'Output-Calculation-sheet'!B7*'Output-Calculation-sheet'!B79</f>
        <v>8102659094.6929684</v>
      </c>
      <c r="C96" s="2">
        <f>C8/'Output-Calculation-sheet'!C7*'Output-Calculation-sheet'!C79</f>
        <v>0</v>
      </c>
      <c r="D96" s="2">
        <f>D8/'Output-Calculation-sheet'!D7*'Output-Calculation-sheet'!D79</f>
        <v>4932005057.0686579</v>
      </c>
      <c r="E96" s="2">
        <f>E8/'Output-Calculation-sheet'!E7*'Output-Calculation-sheet'!E79</f>
        <v>7725286360.1413422</v>
      </c>
      <c r="F96" s="2">
        <f>F8/'Output-Calculation-sheet'!F7*'Output-Calculation-sheet'!F79</f>
        <v>3697916511.0574474</v>
      </c>
      <c r="G96" s="2">
        <f>G8/'Output-Calculation-sheet'!G7*'Output-Calculation-sheet'!G79</f>
        <v>2819116835.2060118</v>
      </c>
      <c r="H96" s="2">
        <f>H8/'Output-Calculation-sheet'!H7*'Output-Calculation-sheet'!H79</f>
        <v>761907858.09565413</v>
      </c>
      <c r="I96" s="2">
        <f>I8/'Output-Calculation-sheet'!I7*'Output-Calculation-sheet'!I79</f>
        <v>1933302585.784014</v>
      </c>
      <c r="J96" s="2">
        <f>J8/'Output-Calculation-sheet'!J7*'Output-Calculation-sheet'!J79</f>
        <v>1376168670.6619215</v>
      </c>
      <c r="K96" s="2">
        <f>K8/'Output-Calculation-sheet'!K7*'Output-Calculation-sheet'!K79</f>
        <v>1715155208.485086</v>
      </c>
      <c r="L96" s="2">
        <f>L8/'Output-Calculation-sheet'!L7*'Output-Calculation-sheet'!L79</f>
        <v>1193508744.4476418</v>
      </c>
      <c r="M96" s="2">
        <f>M8/'Output-Calculation-sheet'!M7*'Output-Calculation-sheet'!M79</f>
        <v>564822047.8391515</v>
      </c>
      <c r="N96" s="2">
        <f>N8/'Output-Calculation-sheet'!N7*'Output-Calculation-sheet'!N79</f>
        <v>629496267.18680847</v>
      </c>
      <c r="O96" s="2">
        <f>O8/'Output-Calculation-sheet'!O7*'Output-Calculation-sheet'!O79</f>
        <v>0</v>
      </c>
      <c r="P96" s="2">
        <f>P8/'Output-Calculation-sheet'!P7*'Output-Calculation-sheet'!P79</f>
        <v>1455880647.2597167</v>
      </c>
      <c r="Q96" s="2">
        <f>Q8/'Output-Calculation-sheet'!Q7*'Output-Calculation-sheet'!Q79</f>
        <v>675892997.15924132</v>
      </c>
      <c r="R96" s="2">
        <f>R8/'Output-Calculation-sheet'!R7*'Output-Calculation-sheet'!R79</f>
        <v>1042814754.1269842</v>
      </c>
      <c r="S96" s="2">
        <f>S8/'Output-Calculation-sheet'!S7*'Output-Calculation-sheet'!S79</f>
        <v>381968135.49401766</v>
      </c>
      <c r="T96" s="2">
        <f>T8/'Output-Calculation-sheet'!T7*'Output-Calculation-sheet'!T79</f>
        <v>546597400.83098447</v>
      </c>
      <c r="U96" s="2">
        <f>U8/'Output-Calculation-sheet'!U7*'Output-Calculation-sheet'!U79</f>
        <v>277526988.0943557</v>
      </c>
      <c r="V96" s="2">
        <f>V8/'Output-Calculation-sheet'!V7*'Output-Calculation-sheet'!V79</f>
        <v>168238720.26425251</v>
      </c>
      <c r="W96" s="2">
        <f>W8/'Output-Calculation-sheet'!W7*'Output-Calculation-sheet'!W79</f>
        <v>585887457.04428148</v>
      </c>
      <c r="X96" s="2">
        <f>X8/'Output-Calculation-sheet'!X7*'Output-Calculation-sheet'!X79</f>
        <v>54623774.459167331</v>
      </c>
      <c r="Y96" s="2">
        <f>Y8/'Output-Calculation-sheet'!Y7*'Output-Calculation-sheet'!Y79</f>
        <v>249220293.10959813</v>
      </c>
      <c r="AA96" s="2">
        <f t="shared" si="8"/>
        <v>40.889996408509305</v>
      </c>
    </row>
    <row r="97" spans="1:27" x14ac:dyDescent="0.25">
      <c r="A97" s="2">
        <v>2032</v>
      </c>
      <c r="B97" s="2">
        <f>B9/'Output-Calculation-sheet'!B8*'Output-Calculation-sheet'!B80</f>
        <v>8199861499.8977718</v>
      </c>
      <c r="C97" s="2">
        <f>C9/'Output-Calculation-sheet'!C8*'Output-Calculation-sheet'!C80</f>
        <v>0</v>
      </c>
      <c r="D97" s="2">
        <f>D9/'Output-Calculation-sheet'!D8*'Output-Calculation-sheet'!D80</f>
        <v>4760263318.0172405</v>
      </c>
      <c r="E97" s="2">
        <f>E9/'Output-Calculation-sheet'!E8*'Output-Calculation-sheet'!E80</f>
        <v>7679862909.9132881</v>
      </c>
      <c r="F97" s="2">
        <f>F9/'Output-Calculation-sheet'!F8*'Output-Calculation-sheet'!F80</f>
        <v>3663415534.0584636</v>
      </c>
      <c r="G97" s="2">
        <f>G9/'Output-Calculation-sheet'!G8*'Output-Calculation-sheet'!G80</f>
        <v>2712675288.2395129</v>
      </c>
      <c r="H97" s="2">
        <f>H9/'Output-Calculation-sheet'!H8*'Output-Calculation-sheet'!H80</f>
        <v>774689960.1904459</v>
      </c>
      <c r="I97" s="2">
        <f>I9/'Output-Calculation-sheet'!I8*'Output-Calculation-sheet'!I80</f>
        <v>1934340559.5595663</v>
      </c>
      <c r="J97" s="2">
        <f>J9/'Output-Calculation-sheet'!J8*'Output-Calculation-sheet'!J80</f>
        <v>1337770754.0908356</v>
      </c>
      <c r="K97" s="2">
        <f>K9/'Output-Calculation-sheet'!K8*'Output-Calculation-sheet'!K80</f>
        <v>1682802554.2807412</v>
      </c>
      <c r="L97" s="2">
        <f>L9/'Output-Calculation-sheet'!L8*'Output-Calculation-sheet'!L80</f>
        <v>1208228508.6540296</v>
      </c>
      <c r="M97" s="2">
        <f>M9/'Output-Calculation-sheet'!M8*'Output-Calculation-sheet'!M80</f>
        <v>575314538.18742561</v>
      </c>
      <c r="N97" s="2">
        <f>N9/'Output-Calculation-sheet'!N8*'Output-Calculation-sheet'!N80</f>
        <v>612360895.05446005</v>
      </c>
      <c r="O97" s="2">
        <f>O9/'Output-Calculation-sheet'!O8*'Output-Calculation-sheet'!O80</f>
        <v>0</v>
      </c>
      <c r="P97" s="2">
        <f>P9/'Output-Calculation-sheet'!P8*'Output-Calculation-sheet'!P80</f>
        <v>1433033604.5330544</v>
      </c>
      <c r="Q97" s="2">
        <f>Q9/'Output-Calculation-sheet'!Q8*'Output-Calculation-sheet'!Q80</f>
        <v>668149926.41365683</v>
      </c>
      <c r="R97" s="2">
        <f>R9/'Output-Calculation-sheet'!R8*'Output-Calculation-sheet'!R80</f>
        <v>1035581213.4453998</v>
      </c>
      <c r="S97" s="2">
        <f>S9/'Output-Calculation-sheet'!S8*'Output-Calculation-sheet'!S80</f>
        <v>390197431.87522894</v>
      </c>
      <c r="T97" s="2">
        <f>T9/'Output-Calculation-sheet'!T8*'Output-Calculation-sheet'!T80</f>
        <v>532528165.41095817</v>
      </c>
      <c r="U97" s="2">
        <f>U9/'Output-Calculation-sheet'!U8*'Output-Calculation-sheet'!U80</f>
        <v>275722189.61300808</v>
      </c>
      <c r="V97" s="2">
        <f>V9/'Output-Calculation-sheet'!V8*'Output-Calculation-sheet'!V80</f>
        <v>169027220.21625963</v>
      </c>
      <c r="W97" s="2">
        <f>W9/'Output-Calculation-sheet'!W8*'Output-Calculation-sheet'!W80</f>
        <v>575454029.81526577</v>
      </c>
      <c r="X97" s="2">
        <f>X9/'Output-Calculation-sheet'!X8*'Output-Calculation-sheet'!X80</f>
        <v>56971922.070752107</v>
      </c>
      <c r="Y97" s="2">
        <f>Y9/'Output-Calculation-sheet'!Y8*'Output-Calculation-sheet'!Y80</f>
        <v>245030005.85626617</v>
      </c>
      <c r="AA97" s="2">
        <f t="shared" si="8"/>
        <v>40.523282029393641</v>
      </c>
    </row>
    <row r="98" spans="1:27" x14ac:dyDescent="0.25">
      <c r="A98" s="2">
        <v>2033</v>
      </c>
      <c r="B98" s="2">
        <f>B10/'Output-Calculation-sheet'!B9*'Output-Calculation-sheet'!B81</f>
        <v>8577615472.0961218</v>
      </c>
      <c r="C98" s="2">
        <f>C10/'Output-Calculation-sheet'!C9*'Output-Calculation-sheet'!C81</f>
        <v>1123414271.4796822</v>
      </c>
      <c r="D98" s="2">
        <f>D10/'Output-Calculation-sheet'!D9*'Output-Calculation-sheet'!D81</f>
        <v>4573006248.4562683</v>
      </c>
      <c r="E98" s="2">
        <f>E10/'Output-Calculation-sheet'!E9*'Output-Calculation-sheet'!E81</f>
        <v>7592789460.7649879</v>
      </c>
      <c r="F98" s="2">
        <f>F10/'Output-Calculation-sheet'!F9*'Output-Calculation-sheet'!F81</f>
        <v>3614851143.6301837</v>
      </c>
      <c r="G98" s="2">
        <f>G10/'Output-Calculation-sheet'!G9*'Output-Calculation-sheet'!G81</f>
        <v>2595742301.9003806</v>
      </c>
      <c r="H98" s="2">
        <f>H10/'Output-Calculation-sheet'!H9*'Output-Calculation-sheet'!H81</f>
        <v>782290886.92904019</v>
      </c>
      <c r="I98" s="2">
        <f>I10/'Output-Calculation-sheet'!I9*'Output-Calculation-sheet'!I81</f>
        <v>1926628063.6140289</v>
      </c>
      <c r="J98" s="2">
        <f>J10/'Output-Calculation-sheet'!J9*'Output-Calculation-sheet'!J81</f>
        <v>1295516593.3499792</v>
      </c>
      <c r="K98" s="2">
        <f>K10/'Output-Calculation-sheet'!K9*'Output-Calculation-sheet'!K81</f>
        <v>1645263761.7878315</v>
      </c>
      <c r="L98" s="2">
        <f>L10/'Output-Calculation-sheet'!L9*'Output-Calculation-sheet'!L81</f>
        <v>1216416992.1877012</v>
      </c>
      <c r="M98" s="2">
        <f>M10/'Output-Calculation-sheet'!M9*'Output-Calculation-sheet'!M81</f>
        <v>583278976.0694586</v>
      </c>
      <c r="N98" s="2">
        <f>N10/'Output-Calculation-sheet'!N9*'Output-Calculation-sheet'!N81</f>
        <v>593546477.07751667</v>
      </c>
      <c r="O98" s="2">
        <f>O10/'Output-Calculation-sheet'!O9*'Output-Calculation-sheet'!O81</f>
        <v>0</v>
      </c>
      <c r="P98" s="2">
        <f>P10/'Output-Calculation-sheet'!P9*'Output-Calculation-sheet'!P81</f>
        <v>1399718149.0079167</v>
      </c>
      <c r="Q98" s="2">
        <f>Q10/'Output-Calculation-sheet'!Q9*'Output-Calculation-sheet'!Q81</f>
        <v>657007495.60343802</v>
      </c>
      <c r="R98" s="2">
        <f>R10/'Output-Calculation-sheet'!R9*'Output-Calculation-sheet'!R81</f>
        <v>1025232880.4851118</v>
      </c>
      <c r="S98" s="2">
        <f>S10/'Output-Calculation-sheet'!S9*'Output-Calculation-sheet'!S81</f>
        <v>389297749.44805759</v>
      </c>
      <c r="T98" s="2">
        <f>T10/'Output-Calculation-sheet'!T9*'Output-Calculation-sheet'!T81</f>
        <v>516718760.23933786</v>
      </c>
      <c r="U98" s="2">
        <f>U10/'Output-Calculation-sheet'!U9*'Output-Calculation-sheet'!U81</f>
        <v>272363496.21191704</v>
      </c>
      <c r="V98" s="2">
        <f>V10/'Output-Calculation-sheet'!V9*'Output-Calculation-sheet'!V81</f>
        <v>168781786.6388202</v>
      </c>
      <c r="W98" s="2">
        <f>W10/'Output-Calculation-sheet'!W9*'Output-Calculation-sheet'!W81</f>
        <v>561143915.17900276</v>
      </c>
      <c r="X98" s="2">
        <f>X10/'Output-Calculation-sheet'!X9*'Output-Calculation-sheet'!X81</f>
        <v>58373478.647204846</v>
      </c>
      <c r="Y98" s="2">
        <f>Y10/'Output-Calculation-sheet'!Y9*'Output-Calculation-sheet'!Y81</f>
        <v>239554302.18248057</v>
      </c>
      <c r="AA98" s="2">
        <f t="shared" si="8"/>
        <v>41.408552662986452</v>
      </c>
    </row>
    <row r="99" spans="1:27" x14ac:dyDescent="0.25">
      <c r="A99" s="2">
        <v>2034</v>
      </c>
      <c r="B99" s="2">
        <f>B11/'Output-Calculation-sheet'!B10*'Output-Calculation-sheet'!B82</f>
        <v>8818125415.7611237</v>
      </c>
      <c r="C99" s="2">
        <f>C11/'Output-Calculation-sheet'!C10*'Output-Calculation-sheet'!C82</f>
        <v>1195956663.2376919</v>
      </c>
      <c r="D99" s="2">
        <f>D11/'Output-Calculation-sheet'!D10*'Output-Calculation-sheet'!D82</f>
        <v>4399827250.16082</v>
      </c>
      <c r="E99" s="2">
        <f>E11/'Output-Calculation-sheet'!E10*'Output-Calculation-sheet'!E82</f>
        <v>7524455056.7228756</v>
      </c>
      <c r="F99" s="2">
        <f>F11/'Output-Calculation-sheet'!F10*'Output-Calculation-sheet'!F82</f>
        <v>3573425210.5558758</v>
      </c>
      <c r="G99" s="2">
        <f>G11/'Output-Calculation-sheet'!G10*'Output-Calculation-sheet'!G82</f>
        <v>2482305117.6417365</v>
      </c>
      <c r="H99" s="2">
        <f>H11/'Output-Calculation-sheet'!H10*'Output-Calculation-sheet'!H82</f>
        <v>792087104.87887406</v>
      </c>
      <c r="I99" s="2">
        <f>I11/'Output-Calculation-sheet'!I10*'Output-Calculation-sheet'!I82</f>
        <v>1924230911.0906298</v>
      </c>
      <c r="J99" s="2">
        <f>J11/'Output-Calculation-sheet'!J10*'Output-Calculation-sheet'!J82</f>
        <v>1257164249.3045831</v>
      </c>
      <c r="K99" s="2">
        <f>K11/'Output-Calculation-sheet'!K10*'Output-Calculation-sheet'!K82</f>
        <v>1611909609.1821711</v>
      </c>
      <c r="L99" s="2">
        <f>L11/'Output-Calculation-sheet'!L10*'Output-Calculation-sheet'!L82</f>
        <v>1225701586.7377307</v>
      </c>
      <c r="M99" s="2">
        <f>M11/'Output-Calculation-sheet'!M10*'Output-Calculation-sheet'!M82</f>
        <v>592505715.00976706</v>
      </c>
      <c r="N99" s="2">
        <f>N11/'Output-Calculation-sheet'!N10*'Output-Calculation-sheet'!N82</f>
        <v>578259017.69327116</v>
      </c>
      <c r="O99" s="2">
        <f>O11/'Output-Calculation-sheet'!O10*'Output-Calculation-sheet'!O82</f>
        <v>0</v>
      </c>
      <c r="P99" s="2">
        <f>P11/'Output-Calculation-sheet'!P10*'Output-Calculation-sheet'!P82</f>
        <v>1367722161.0503538</v>
      </c>
      <c r="Q99" s="2">
        <f>Q11/'Output-Calculation-sheet'!Q10*'Output-Calculation-sheet'!Q82</f>
        <v>647625454.07551372</v>
      </c>
      <c r="R99" s="2">
        <f>R11/'Output-Calculation-sheet'!R10*'Output-Calculation-sheet'!R82</f>
        <v>1016340404.1741973</v>
      </c>
      <c r="S99" s="2">
        <f>S11/'Output-Calculation-sheet'!S10*'Output-Calculation-sheet'!S82</f>
        <v>396000251.95455164</v>
      </c>
      <c r="T99" s="2">
        <f>T11/'Output-Calculation-sheet'!T10*'Output-Calculation-sheet'!T82</f>
        <v>502149393.95860595</v>
      </c>
      <c r="U99" s="2">
        <f>U11/'Output-Calculation-sheet'!U10*'Output-Calculation-sheet'!U82</f>
        <v>269919036.98834783</v>
      </c>
      <c r="V99" s="2">
        <f>V11/'Output-Calculation-sheet'!V10*'Output-Calculation-sheet'!V82</f>
        <v>168854482.85311523</v>
      </c>
      <c r="W99" s="2">
        <f>W11/'Output-Calculation-sheet'!W10*'Output-Calculation-sheet'!W82</f>
        <v>547360368.38150644</v>
      </c>
      <c r="X99" s="2">
        <f>X11/'Output-Calculation-sheet'!X10*'Output-Calculation-sheet'!X82</f>
        <v>60228164.983590662</v>
      </c>
      <c r="Y99" s="2">
        <f>Y11/'Output-Calculation-sheet'!Y10*'Output-Calculation-sheet'!Y82</f>
        <v>234200723.14011008</v>
      </c>
      <c r="AA99" s="2">
        <f t="shared" si="8"/>
        <v>41.186353349537043</v>
      </c>
    </row>
    <row r="100" spans="1:27" x14ac:dyDescent="0.25">
      <c r="A100" s="2">
        <v>2035</v>
      </c>
      <c r="B100" s="2">
        <f>B12/'Output-Calculation-sheet'!B11*'Output-Calculation-sheet'!B83</f>
        <v>8923229686.5451393</v>
      </c>
      <c r="C100" s="2">
        <f>C12/'Output-Calculation-sheet'!C11*'Output-Calculation-sheet'!C83</f>
        <v>1262506789.5834024</v>
      </c>
      <c r="D100" s="2">
        <f>D12/'Output-Calculation-sheet'!D11*'Output-Calculation-sheet'!D83</f>
        <v>4243924117.3247595</v>
      </c>
      <c r="E100" s="2">
        <f>E12/'Output-Calculation-sheet'!E11*'Output-Calculation-sheet'!E83</f>
        <v>7466412368.9723577</v>
      </c>
      <c r="F100" s="2">
        <f>F12/'Output-Calculation-sheet'!F11*'Output-Calculation-sheet'!F83</f>
        <v>3538383004.8484731</v>
      </c>
      <c r="G100" s="2">
        <f>G12/'Output-Calculation-sheet'!G11*'Output-Calculation-sheet'!G83</f>
        <v>2373106181.718709</v>
      </c>
      <c r="H100" s="2">
        <f>H12/'Output-Calculation-sheet'!H11*'Output-Calculation-sheet'!H83</f>
        <v>799639150.22112179</v>
      </c>
      <c r="I100" s="2">
        <f>I12/'Output-Calculation-sheet'!I11*'Output-Calculation-sheet'!I83</f>
        <v>1922763743.5832782</v>
      </c>
      <c r="J100" s="2">
        <f>J12/'Output-Calculation-sheet'!J11*'Output-Calculation-sheet'!J83</f>
        <v>1221564887.7566371</v>
      </c>
      <c r="K100" s="2">
        <f>K12/'Output-Calculation-sheet'!K11*'Output-Calculation-sheet'!K83</f>
        <v>1581211194.7690377</v>
      </c>
      <c r="L100" s="2">
        <f>L12/'Output-Calculation-sheet'!L11*'Output-Calculation-sheet'!L83</f>
        <v>1235458973.6314163</v>
      </c>
      <c r="M100" s="2">
        <f>M12/'Output-Calculation-sheet'!M11*'Output-Calculation-sheet'!M83</f>
        <v>599368188.81550634</v>
      </c>
      <c r="N100" s="2">
        <f>N12/'Output-Calculation-sheet'!N11*'Output-Calculation-sheet'!N83</f>
        <v>564622344.24577916</v>
      </c>
      <c r="O100" s="2">
        <f>O12/'Output-Calculation-sheet'!O11*'Output-Calculation-sheet'!O83</f>
        <v>152327910.76767007</v>
      </c>
      <c r="P100" s="2">
        <f>P12/'Output-Calculation-sheet'!P11*'Output-Calculation-sheet'!P83</f>
        <v>1337497027.5310247</v>
      </c>
      <c r="Q100" s="2">
        <f>Q12/'Output-Calculation-sheet'!Q11*'Output-Calculation-sheet'!Q83</f>
        <v>641432189.7625742</v>
      </c>
      <c r="R100" s="2">
        <f>R12/'Output-Calculation-sheet'!R11*'Output-Calculation-sheet'!R83</f>
        <v>1010384572.3297617</v>
      </c>
      <c r="S100" s="2">
        <f>S12/'Output-Calculation-sheet'!S11*'Output-Calculation-sheet'!S83</f>
        <v>391879125.00278693</v>
      </c>
      <c r="T100" s="2">
        <f>T12/'Output-Calculation-sheet'!T11*'Output-Calculation-sheet'!T83</f>
        <v>488453118.90227646</v>
      </c>
      <c r="U100" s="2">
        <f>U12/'Output-Calculation-sheet'!U11*'Output-Calculation-sheet'!U83</f>
        <v>267572259.86491385</v>
      </c>
      <c r="V100" s="2">
        <f>V12/'Output-Calculation-sheet'!V11*'Output-Calculation-sheet'!V83</f>
        <v>169117134.5752708</v>
      </c>
      <c r="W100" s="2">
        <f>W12/'Output-Calculation-sheet'!W11*'Output-Calculation-sheet'!W83</f>
        <v>533654119.55589533</v>
      </c>
      <c r="X100" s="2">
        <f>X12/'Output-Calculation-sheet'!X11*'Output-Calculation-sheet'!X83</f>
        <v>62097041.557396442</v>
      </c>
      <c r="Y100" s="2">
        <f>Y12/'Output-Calculation-sheet'!Y11*'Output-Calculation-sheet'!Y83</f>
        <v>229124340.6739946</v>
      </c>
      <c r="AA100" s="2">
        <f t="shared" si="8"/>
        <v>41.015729472539178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-6.83076550818945E-5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270542436.4494977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4.2643373355919367E-6</v>
      </c>
      <c r="Y115" s="2">
        <f>Y5/'Output-Calculation-sheet'!Y4*'Output-Calculation-sheet'!Y94</f>
        <v>0</v>
      </c>
      <c r="AA115" s="2">
        <f>SUM(B115:Y115)/10^6</f>
        <v>270.54243644943369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1949492944.9111283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1327288493.6781285</v>
      </c>
      <c r="N116" s="2">
        <f>N6/'Output-Calculation-sheet'!N5*'Output-Calculation-sheet'!N95</f>
        <v>540233118.75887311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122421894.67853384</v>
      </c>
      <c r="Y116" s="2">
        <f>Y6/'Output-Calculation-sheet'!Y5*'Output-Calculation-sheet'!Y95</f>
        <v>0</v>
      </c>
      <c r="AA116" s="2">
        <f t="shared" ref="AA116:AA122" si="10">SUM(B116:Y116)/10^6</f>
        <v>3939.4364520266636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2386330399.8434811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1623402069.2278638</v>
      </c>
      <c r="N117" s="2">
        <f>N7/'Output-Calculation-sheet'!N6*'Output-Calculation-sheet'!N96</f>
        <v>869844382.62604833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155236756.0083915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152611487.49309394</v>
      </c>
      <c r="Y117" s="2">
        <f>Y7/'Output-Calculation-sheet'!Y6*'Output-Calculation-sheet'!Y96</f>
        <v>0</v>
      </c>
      <c r="AA117" s="2">
        <f t="shared" si="10"/>
        <v>5187.4250951988779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2.9379647328517443E-4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2644241046.0087066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1811698578.8713017</v>
      </c>
      <c r="N118" s="2">
        <f>N8/'Output-Calculation-sheet'!N7*'Output-Calculation-sheet'!N97</f>
        <v>1197645746.8464811</v>
      </c>
      <c r="O118" s="2">
        <f>O8/'Output-Calculation-sheet'!O7*'Output-Calculation-sheet'!O97</f>
        <v>1.6164615887801767E-5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296897154.27215707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172185163.86697254</v>
      </c>
      <c r="Y118" s="2">
        <f>Y8/'Output-Calculation-sheet'!Y7*'Output-Calculation-sheet'!Y97</f>
        <v>0</v>
      </c>
      <c r="AA118" s="2">
        <f t="shared" si="10"/>
        <v>6122.6676898659298</v>
      </c>
    </row>
    <row r="119" spans="1:27" x14ac:dyDescent="0.25">
      <c r="A119" s="2">
        <v>2032</v>
      </c>
      <c r="B119" s="2">
        <f>B9/'Output-Calculation-sheet'!B8*'Output-Calculation-sheet'!B98</f>
        <v>2541974.7840101025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2729710752.2296181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1868036394.0702307</v>
      </c>
      <c r="N119" s="2">
        <f>N9/'Output-Calculation-sheet'!N8*'Output-Calculation-sheet'!N98</f>
        <v>1362895404.3765519</v>
      </c>
      <c r="O119" s="2">
        <f>O9/'Output-Calculation-sheet'!O8*'Output-Calculation-sheet'!O98</f>
        <v>1.3900601001502953E-4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428822039.15358973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179910906.06578174</v>
      </c>
      <c r="Y119" s="2">
        <f>Y9/'Output-Calculation-sheet'!Y8*'Output-Calculation-sheet'!Y98</f>
        <v>0</v>
      </c>
      <c r="AA119" s="2">
        <f t="shared" si="10"/>
        <v>6571.9174706799213</v>
      </c>
    </row>
    <row r="120" spans="1:27" x14ac:dyDescent="0.25">
      <c r="A120" s="2">
        <v>2033</v>
      </c>
      <c r="B120" s="2">
        <f>B10/'Output-Calculation-sheet'!B9*'Output-Calculation-sheet'!B99</f>
        <v>3396485826.4865961</v>
      </c>
      <c r="C120" s="2">
        <f>C10/'Output-Calculation-sheet'!C9*'Output-Calculation-sheet'!C99</f>
        <v>6321794020.6036978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2796421041.990942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1915531299.2364914</v>
      </c>
      <c r="N120" s="2">
        <f>N10/'Output-Calculation-sheet'!N9*'Output-Calculation-sheet'!N99</f>
        <v>1514092982.9678452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529634118.15658599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184585867.57308042</v>
      </c>
      <c r="Y120" s="2">
        <f>Y10/'Output-Calculation-sheet'!Y9*'Output-Calculation-sheet'!Y99</f>
        <v>0</v>
      </c>
      <c r="AA120" s="2">
        <f t="shared" si="10"/>
        <v>16658.54515701524</v>
      </c>
    </row>
    <row r="121" spans="1:27" x14ac:dyDescent="0.25">
      <c r="A121" s="2">
        <v>2034</v>
      </c>
      <c r="B121" s="2">
        <f>B11/'Output-Calculation-sheet'!B10*'Output-Calculation-sheet'!B100</f>
        <v>5774014911.7305384</v>
      </c>
      <c r="C121" s="2">
        <f>C11/'Output-Calculation-sheet'!C10*'Output-Calculation-sheet'!C100</f>
        <v>6689537706.4057913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2870211373.1402621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1966393540.7736926</v>
      </c>
      <c r="N121" s="2">
        <f>N11/'Output-Calculation-sheet'!N10*'Output-Calculation-sheet'!N100</f>
        <v>1605440450.4065957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616308512.65551722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190627309.08760366</v>
      </c>
      <c r="Y121" s="2">
        <f>Y11/'Output-Calculation-sheet'!Y10*'Output-Calculation-sheet'!Y100</f>
        <v>0</v>
      </c>
      <c r="AA121" s="2">
        <f t="shared" si="10"/>
        <v>19712.533804200004</v>
      </c>
    </row>
    <row r="122" spans="1:27" x14ac:dyDescent="0.25">
      <c r="A122" s="2">
        <v>2035</v>
      </c>
      <c r="B122" s="2">
        <f>B12/'Output-Calculation-sheet'!B11*'Output-Calculation-sheet'!B101</f>
        <v>7182210101.7974796</v>
      </c>
      <c r="C122" s="2">
        <f>C12/'Output-Calculation-sheet'!C11*'Output-Calculation-sheet'!C101</f>
        <v>7019970038.6496077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2935016570.2434912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2008517216.0339148</v>
      </c>
      <c r="N122" s="2">
        <f>N12/'Output-Calculation-sheet'!N11*'Output-Calculation-sheet'!N101</f>
        <v>1678719943.8457413</v>
      </c>
      <c r="O122" s="2">
        <f>O12/'Output-Calculation-sheet'!O11*'Output-Calculation-sheet'!O101</f>
        <v>1199772115.2783234</v>
      </c>
      <c r="P122" s="2">
        <f>P12/'Output-Calculation-sheet'!P11*'Output-Calculation-sheet'!P101</f>
        <v>0</v>
      </c>
      <c r="Q122" s="2">
        <f>Q12/'Output-Calculation-sheet'!Q11*'Output-Calculation-sheet'!Q101</f>
        <v>21901371.409901559</v>
      </c>
      <c r="R122" s="2">
        <f>R12/'Output-Calculation-sheet'!R11*'Output-Calculation-sheet'!R101</f>
        <v>0</v>
      </c>
      <c r="S122" s="2">
        <f>S12/'Output-Calculation-sheet'!S11*'Output-Calculation-sheet'!S101</f>
        <v>706792072.7031213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196647199.09041685</v>
      </c>
      <c r="Y122" s="2">
        <f>Y12/'Output-Calculation-sheet'!Y11*'Output-Calculation-sheet'!Y101</f>
        <v>0</v>
      </c>
      <c r="AA122" s="2">
        <f t="shared" si="10"/>
        <v>22949.546629051998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20279185202.594757</v>
      </c>
      <c r="C126" s="2">
        <f>C5/'Output-Calculation-sheet'!C4*'Output-Calculation-sheet'!C103</f>
        <v>0</v>
      </c>
      <c r="D126" s="2">
        <f>D5/'Output-Calculation-sheet'!D4*'Output-Calculation-sheet'!D103</f>
        <v>15204748236.894531</v>
      </c>
      <c r="E126" s="2">
        <f>E5/'Output-Calculation-sheet'!E4*'Output-Calculation-sheet'!E103</f>
        <v>10526793063.337292</v>
      </c>
      <c r="F126" s="2">
        <f>F5/'Output-Calculation-sheet'!F4*'Output-Calculation-sheet'!F103</f>
        <v>7899421036.9167747</v>
      </c>
      <c r="G126" s="2">
        <f>G5/'Output-Calculation-sheet'!G4*'Output-Calculation-sheet'!G103</f>
        <v>5453141622.7891159</v>
      </c>
      <c r="H126" s="2">
        <f>H5/'Output-Calculation-sheet'!H4*'Output-Calculation-sheet'!H103</f>
        <v>0</v>
      </c>
      <c r="I126" s="2">
        <f>I5/'Output-Calculation-sheet'!I4*'Output-Calculation-sheet'!I103</f>
        <v>4862591545.8223839</v>
      </c>
      <c r="J126" s="2">
        <f>J5/'Output-Calculation-sheet'!J4*'Output-Calculation-sheet'!J103</f>
        <v>5004098456.321146</v>
      </c>
      <c r="K126" s="2">
        <f>K5/'Output-Calculation-sheet'!K4*'Output-Calculation-sheet'!K103</f>
        <v>4269128395.4843168</v>
      </c>
      <c r="L126" s="2">
        <f>L5/'Output-Calculation-sheet'!L4*'Output-Calculation-sheet'!L103</f>
        <v>3383377539.3426661</v>
      </c>
      <c r="M126" s="2">
        <f>M5/'Output-Calculation-sheet'!M4*'Output-Calculation-sheet'!M103</f>
        <v>0</v>
      </c>
      <c r="N126" s="2">
        <f>N5/'Output-Calculation-sheet'!N4*'Output-Calculation-sheet'!N103</f>
        <v>1208063936.3693681</v>
      </c>
      <c r="O126" s="2">
        <f>O5/'Output-Calculation-sheet'!O4*'Output-Calculation-sheet'!O103</f>
        <v>0</v>
      </c>
      <c r="P126" s="2">
        <f>P5/'Output-Calculation-sheet'!P4*'Output-Calculation-sheet'!P103</f>
        <v>2045091671.9292624</v>
      </c>
      <c r="Q126" s="2">
        <f>Q5/'Output-Calculation-sheet'!Q4*'Output-Calculation-sheet'!Q103</f>
        <v>1970254537.7347987</v>
      </c>
      <c r="R126" s="2">
        <f>R5/'Output-Calculation-sheet'!R4*'Output-Calculation-sheet'!R103</f>
        <v>2417517014.9953465</v>
      </c>
      <c r="S126" s="2">
        <f>S5/'Output-Calculation-sheet'!S4*'Output-Calculation-sheet'!S103</f>
        <v>903645512.62824452</v>
      </c>
      <c r="T126" s="2">
        <f>T5/'Output-Calculation-sheet'!T4*'Output-Calculation-sheet'!T103</f>
        <v>1054058033.7658777</v>
      </c>
      <c r="U126" s="2">
        <f>U5/'Output-Calculation-sheet'!U4*'Output-Calculation-sheet'!U103</f>
        <v>738533096.97672474</v>
      </c>
      <c r="V126" s="2">
        <f>V5/'Output-Calculation-sheet'!V4*'Output-Calculation-sheet'!V103</f>
        <v>663782272.60110843</v>
      </c>
      <c r="W126" s="2">
        <f>W5/'Output-Calculation-sheet'!W4*'Output-Calculation-sheet'!W103</f>
        <v>683696765.02752376</v>
      </c>
      <c r="X126" s="2">
        <f>X5/'Output-Calculation-sheet'!X4*'Output-Calculation-sheet'!X103</f>
        <v>0</v>
      </c>
      <c r="Y126" s="2">
        <f>Y5/'Output-Calculation-sheet'!Y4*'Output-Calculation-sheet'!Y103</f>
        <v>306000796.82892603</v>
      </c>
      <c r="AA126" s="2">
        <f>SUM(B126:Y126)/10^6</f>
        <v>88873.128738360188</v>
      </c>
    </row>
    <row r="127" spans="1:27" x14ac:dyDescent="0.25">
      <c r="A127" s="2">
        <v>2029</v>
      </c>
      <c r="B127" s="2">
        <f>B6/'Output-Calculation-sheet'!B5*'Output-Calculation-sheet'!B104</f>
        <v>25949235863.646397</v>
      </c>
      <c r="C127" s="2">
        <f>C6/'Output-Calculation-sheet'!C5*'Output-Calculation-sheet'!C104</f>
        <v>0</v>
      </c>
      <c r="D127" s="2">
        <f>D6/'Output-Calculation-sheet'!D5*'Output-Calculation-sheet'!D104</f>
        <v>19163355278.150005</v>
      </c>
      <c r="E127" s="2">
        <f>E6/'Output-Calculation-sheet'!E5*'Output-Calculation-sheet'!E104</f>
        <v>13324833105.956066</v>
      </c>
      <c r="F127" s="2">
        <f>F6/'Output-Calculation-sheet'!F5*'Output-Calculation-sheet'!F104</f>
        <v>9958956777.5774956</v>
      </c>
      <c r="G127" s="2">
        <f>G6/'Output-Calculation-sheet'!G5*'Output-Calculation-sheet'!G104</f>
        <v>6868125794.8314037</v>
      </c>
      <c r="H127" s="2">
        <f>H6/'Output-Calculation-sheet'!H5*'Output-Calculation-sheet'!H104</f>
        <v>0</v>
      </c>
      <c r="I127" s="2">
        <f>I6/'Output-Calculation-sheet'!I5*'Output-Calculation-sheet'!I104</f>
        <v>6138823416.3308878</v>
      </c>
      <c r="J127" s="2">
        <f>J6/'Output-Calculation-sheet'!J5*'Output-Calculation-sheet'!J104</f>
        <v>6305591797.8516884</v>
      </c>
      <c r="K127" s="2">
        <f>K6/'Output-Calculation-sheet'!K5*'Output-Calculation-sheet'!K104</f>
        <v>5404485799.8154316</v>
      </c>
      <c r="L127" s="2">
        <f>L6/'Output-Calculation-sheet'!L5*'Output-Calculation-sheet'!L104</f>
        <v>4278519474.8286486</v>
      </c>
      <c r="M127" s="2">
        <f>M6/'Output-Calculation-sheet'!M5*'Output-Calculation-sheet'!M104</f>
        <v>0</v>
      </c>
      <c r="N127" s="2">
        <f>N6/'Output-Calculation-sheet'!N5*'Output-Calculation-sheet'!N104</f>
        <v>1489800166.3239734</v>
      </c>
      <c r="O127" s="2">
        <f>O6/'Output-Calculation-sheet'!O5*'Output-Calculation-sheet'!O104</f>
        <v>0</v>
      </c>
      <c r="P127" s="2">
        <f>P6/'Output-Calculation-sheet'!P5*'Output-Calculation-sheet'!P104</f>
        <v>2614857650.7158608</v>
      </c>
      <c r="Q127" s="2">
        <f>Q6/'Output-Calculation-sheet'!Q5*'Output-Calculation-sheet'!Q104</f>
        <v>2536744754.477663</v>
      </c>
      <c r="R127" s="2">
        <f>R6/'Output-Calculation-sheet'!R5*'Output-Calculation-sheet'!R104</f>
        <v>3066099928.4234834</v>
      </c>
      <c r="S127" s="2">
        <f>S6/'Output-Calculation-sheet'!S5*'Output-Calculation-sheet'!S104</f>
        <v>1171748298.5844417</v>
      </c>
      <c r="T127" s="2">
        <f>T6/'Output-Calculation-sheet'!T5*'Output-Calculation-sheet'!T104</f>
        <v>1331414345.1980751</v>
      </c>
      <c r="U127" s="2">
        <f>U6/'Output-Calculation-sheet'!U5*'Output-Calculation-sheet'!U104</f>
        <v>935581016.93524826</v>
      </c>
      <c r="V127" s="2">
        <f>V6/'Output-Calculation-sheet'!V5*'Output-Calculation-sheet'!V104</f>
        <v>840567197.01827693</v>
      </c>
      <c r="W127" s="2">
        <f>W6/'Output-Calculation-sheet'!W5*'Output-Calculation-sheet'!W104</f>
        <v>862727661.75345457</v>
      </c>
      <c r="X127" s="2">
        <f>X6/'Output-Calculation-sheet'!X5*'Output-Calculation-sheet'!X104</f>
        <v>0</v>
      </c>
      <c r="Y127" s="2">
        <f>Y6/'Output-Calculation-sheet'!Y5*'Output-Calculation-sheet'!Y104</f>
        <v>387229920.21720761</v>
      </c>
      <c r="AA127" s="2">
        <f t="shared" ref="AA127:AA133" si="11">SUM(B127:Y127)/10^6</f>
        <v>112628.6982486357</v>
      </c>
    </row>
    <row r="128" spans="1:27" x14ac:dyDescent="0.25">
      <c r="A128" s="2">
        <v>2030</v>
      </c>
      <c r="B128" s="2">
        <f>B7/'Output-Calculation-sheet'!B6*'Output-Calculation-sheet'!B105</f>
        <v>30598260611.718452</v>
      </c>
      <c r="C128" s="2">
        <f>C7/'Output-Calculation-sheet'!C6*'Output-Calculation-sheet'!C105</f>
        <v>0</v>
      </c>
      <c r="D128" s="2">
        <f>D7/'Output-Calculation-sheet'!D6*'Output-Calculation-sheet'!D105</f>
        <v>22299176361.458462</v>
      </c>
      <c r="E128" s="2">
        <f>E7/'Output-Calculation-sheet'!E6*'Output-Calculation-sheet'!E105</f>
        <v>15554587523.207302</v>
      </c>
      <c r="F128" s="2">
        <f>F7/'Output-Calculation-sheet'!F6*'Output-Calculation-sheet'!F105</f>
        <v>11590286857.907625</v>
      </c>
      <c r="G128" s="2">
        <f>G7/'Output-Calculation-sheet'!G6*'Output-Calculation-sheet'!G105</f>
        <v>7982551765.3848867</v>
      </c>
      <c r="H128" s="2">
        <f>H7/'Output-Calculation-sheet'!H6*'Output-Calculation-sheet'!H105</f>
        <v>0</v>
      </c>
      <c r="I128" s="2">
        <f>I7/'Output-Calculation-sheet'!I6*'Output-Calculation-sheet'!I105</f>
        <v>7146151654.4842205</v>
      </c>
      <c r="J128" s="2">
        <f>J7/'Output-Calculation-sheet'!J6*'Output-Calculation-sheet'!J105</f>
        <v>7330707648.0708513</v>
      </c>
      <c r="K128" s="2">
        <f>K7/'Output-Calculation-sheet'!K6*'Output-Calculation-sheet'!K105</f>
        <v>6304927986.6428747</v>
      </c>
      <c r="L128" s="2">
        <f>L7/'Output-Calculation-sheet'!L6*'Output-Calculation-sheet'!L105</f>
        <v>4999308432.76231</v>
      </c>
      <c r="M128" s="2">
        <f>M7/'Output-Calculation-sheet'!M6*'Output-Calculation-sheet'!M105</f>
        <v>0</v>
      </c>
      <c r="N128" s="2">
        <f>N7/'Output-Calculation-sheet'!N6*'Output-Calculation-sheet'!N105</f>
        <v>1583096500.3954744</v>
      </c>
      <c r="O128" s="2">
        <f>O7/'Output-Calculation-sheet'!O6*'Output-Calculation-sheet'!O105</f>
        <v>0</v>
      </c>
      <c r="P128" s="2">
        <f>P7/'Output-Calculation-sheet'!P6*'Output-Calculation-sheet'!P105</f>
        <v>3070858413.9453225</v>
      </c>
      <c r="Q128" s="2">
        <f>Q7/'Output-Calculation-sheet'!Q6*'Output-Calculation-sheet'!Q105</f>
        <v>2998354125.8473873</v>
      </c>
      <c r="R128" s="2">
        <f>R7/'Output-Calculation-sheet'!R6*'Output-Calculation-sheet'!R105</f>
        <v>3585620505.7696939</v>
      </c>
      <c r="S128" s="2">
        <f>S7/'Output-Calculation-sheet'!S6*'Output-Calculation-sheet'!S105</f>
        <v>1287827692.0928602</v>
      </c>
      <c r="T128" s="2">
        <f>T7/'Output-Calculation-sheet'!T6*'Output-Calculation-sheet'!T105</f>
        <v>1552810201.5098646</v>
      </c>
      <c r="U128" s="2">
        <f>U7/'Output-Calculation-sheet'!U6*'Output-Calculation-sheet'!U105</f>
        <v>1092665875.4519787</v>
      </c>
      <c r="V128" s="2">
        <f>V7/'Output-Calculation-sheet'!V6*'Output-Calculation-sheet'!V105</f>
        <v>982563018.17605937</v>
      </c>
      <c r="W128" s="2">
        <f>W7/'Output-Calculation-sheet'!W6*'Output-Calculation-sheet'!W105</f>
        <v>1005058769.8264818</v>
      </c>
      <c r="X128" s="2">
        <f>X7/'Output-Calculation-sheet'!X6*'Output-Calculation-sheet'!X105</f>
        <v>0</v>
      </c>
      <c r="Y128" s="2">
        <f>Y7/'Output-Calculation-sheet'!Y6*'Output-Calculation-sheet'!Y105</f>
        <v>452525205.33071613</v>
      </c>
      <c r="AA128" s="2">
        <f t="shared" si="11"/>
        <v>131417.33914998281</v>
      </c>
    </row>
    <row r="129" spans="1:27" x14ac:dyDescent="0.25">
      <c r="A129" s="2">
        <v>2031</v>
      </c>
      <c r="B129" s="2">
        <f>B8/'Output-Calculation-sheet'!B7*'Output-Calculation-sheet'!B106</f>
        <v>33139365457.020535</v>
      </c>
      <c r="C129" s="2">
        <f>C8/'Output-Calculation-sheet'!C7*'Output-Calculation-sheet'!C106</f>
        <v>0</v>
      </c>
      <c r="D129" s="2">
        <f>D8/'Output-Calculation-sheet'!D7*'Output-Calculation-sheet'!D106</f>
        <v>23989467211.847099</v>
      </c>
      <c r="E129" s="2">
        <f>E8/'Output-Calculation-sheet'!E7*'Output-Calculation-sheet'!E106</f>
        <v>16768411022.746157</v>
      </c>
      <c r="F129" s="2">
        <f>F8/'Output-Calculation-sheet'!F7*'Output-Calculation-sheet'!F106</f>
        <v>12484098712.860107</v>
      </c>
      <c r="G129" s="2">
        <f>G8/'Output-Calculation-sheet'!G7*'Output-Calculation-sheet'!G106</f>
        <v>8585123779.7346897</v>
      </c>
      <c r="H129" s="2">
        <f>H8/'Output-Calculation-sheet'!H7*'Output-Calculation-sheet'!H106</f>
        <v>0</v>
      </c>
      <c r="I129" s="2">
        <f>I8/'Output-Calculation-sheet'!I7*'Output-Calculation-sheet'!I106</f>
        <v>7700195675.510006</v>
      </c>
      <c r="J129" s="2">
        <f>J8/'Output-Calculation-sheet'!J7*'Output-Calculation-sheet'!J106</f>
        <v>7889374757.4759798</v>
      </c>
      <c r="K129" s="2">
        <f>K8/'Output-Calculation-sheet'!K7*'Output-Calculation-sheet'!K106</f>
        <v>6806779255.8941364</v>
      </c>
      <c r="L129" s="2">
        <f>L8/'Output-Calculation-sheet'!L7*'Output-Calculation-sheet'!L106</f>
        <v>5385120405.2207355</v>
      </c>
      <c r="M129" s="2">
        <f>M8/'Output-Calculation-sheet'!M7*'Output-Calculation-sheet'!M106</f>
        <v>0</v>
      </c>
      <c r="N129" s="2">
        <f>N8/'Output-Calculation-sheet'!N7*'Output-Calculation-sheet'!N106</f>
        <v>1465758072.9289303</v>
      </c>
      <c r="O129" s="2">
        <f>O8/'Output-Calculation-sheet'!O7*'Output-Calculation-sheet'!O106</f>
        <v>0</v>
      </c>
      <c r="P129" s="2">
        <f>P8/'Output-Calculation-sheet'!P7*'Output-Calculation-sheet'!P106</f>
        <v>3316321174.9088755</v>
      </c>
      <c r="Q129" s="2">
        <f>Q8/'Output-Calculation-sheet'!Q7*'Output-Calculation-sheet'!Q106</f>
        <v>3250173398.6234975</v>
      </c>
      <c r="R129" s="2">
        <f>R8/'Output-Calculation-sheet'!R7*'Output-Calculation-sheet'!R106</f>
        <v>3866782329.4760075</v>
      </c>
      <c r="S129" s="2">
        <f>S8/'Output-Calculation-sheet'!S7*'Output-Calculation-sheet'!S106</f>
        <v>1318690794.2576647</v>
      </c>
      <c r="T129" s="2">
        <f>T8/'Output-Calculation-sheet'!T7*'Output-Calculation-sheet'!T106</f>
        <v>1674094888.8637481</v>
      </c>
      <c r="U129" s="2">
        <f>U8/'Output-Calculation-sheet'!U7*'Output-Calculation-sheet'!U106</f>
        <v>1178524802.6900363</v>
      </c>
      <c r="V129" s="2">
        <f>V8/'Output-Calculation-sheet'!V7*'Output-Calculation-sheet'!V106</f>
        <v>1060273767.8385447</v>
      </c>
      <c r="W129" s="2">
        <f>W8/'Output-Calculation-sheet'!W7*'Output-Calculation-sheet'!W106</f>
        <v>1081850303.8535058</v>
      </c>
      <c r="X129" s="2">
        <f>X8/'Output-Calculation-sheet'!X7*'Output-Calculation-sheet'!X106</f>
        <v>0</v>
      </c>
      <c r="Y129" s="2">
        <f>Y8/'Output-Calculation-sheet'!Y7*'Output-Calculation-sheet'!Y106</f>
        <v>488483454.2338053</v>
      </c>
      <c r="AA129" s="2">
        <f t="shared" si="11"/>
        <v>141448.88926598403</v>
      </c>
    </row>
    <row r="130" spans="1:27" x14ac:dyDescent="0.25">
      <c r="A130" s="2">
        <v>2032</v>
      </c>
      <c r="B130" s="2">
        <f>B9/'Output-Calculation-sheet'!B8*'Output-Calculation-sheet'!B107</f>
        <v>33553196857.157028</v>
      </c>
      <c r="C130" s="2">
        <f>C9/'Output-Calculation-sheet'!C8*'Output-Calculation-sheet'!C107</f>
        <v>0</v>
      </c>
      <c r="D130" s="2">
        <f>D9/'Output-Calculation-sheet'!D8*'Output-Calculation-sheet'!D107</f>
        <v>24108275047.813099</v>
      </c>
      <c r="E130" s="2">
        <f>E9/'Output-Calculation-sheet'!E8*'Output-Calculation-sheet'!E107</f>
        <v>16873368249.429758</v>
      </c>
      <c r="F130" s="2">
        <f>F9/'Output-Calculation-sheet'!F8*'Output-Calculation-sheet'!F107</f>
        <v>12542584777.491699</v>
      </c>
      <c r="G130" s="2">
        <f>G9/'Output-Calculation-sheet'!G8*'Output-Calculation-sheet'!G107</f>
        <v>8621033554.6209793</v>
      </c>
      <c r="H130" s="2">
        <f>H9/'Output-Calculation-sheet'!H8*'Output-Calculation-sheet'!H107</f>
        <v>0</v>
      </c>
      <c r="I130" s="2">
        <f>I9/'Output-Calculation-sheet'!I8*'Output-Calculation-sheet'!I107</f>
        <v>7738960052.2965031</v>
      </c>
      <c r="J130" s="2">
        <f>J9/'Output-Calculation-sheet'!J8*'Output-Calculation-sheet'!J107</f>
        <v>7924231499.2483931</v>
      </c>
      <c r="K130" s="2">
        <f>K9/'Output-Calculation-sheet'!K8*'Output-Calculation-sheet'!K107</f>
        <v>6847732112.9973297</v>
      </c>
      <c r="L130" s="2">
        <f>L9/'Output-Calculation-sheet'!L8*'Output-Calculation-sheet'!L107</f>
        <v>5419009241.822279</v>
      </c>
      <c r="M130" s="2">
        <f>M9/'Output-Calculation-sheet'!M8*'Output-Calculation-sheet'!M107</f>
        <v>0</v>
      </c>
      <c r="N130" s="2">
        <f>N9/'Output-Calculation-sheet'!N8*'Output-Calculation-sheet'!N107</f>
        <v>1308123256.9106677</v>
      </c>
      <c r="O130" s="2">
        <f>O9/'Output-Calculation-sheet'!O8*'Output-Calculation-sheet'!O107</f>
        <v>0</v>
      </c>
      <c r="P130" s="2">
        <f>P9/'Output-Calculation-sheet'!P8*'Output-Calculation-sheet'!P107</f>
        <v>3361804931.7254181</v>
      </c>
      <c r="Q130" s="2">
        <f>Q9/'Output-Calculation-sheet'!Q8*'Output-Calculation-sheet'!Q107</f>
        <v>3296772830.0554776</v>
      </c>
      <c r="R130" s="2">
        <f>R9/'Output-Calculation-sheet'!R8*'Output-Calculation-sheet'!R107</f>
        <v>3890637475.058063</v>
      </c>
      <c r="S130" s="2">
        <f>S9/'Output-Calculation-sheet'!S8*'Output-Calculation-sheet'!S107</f>
        <v>1249941507.2452934</v>
      </c>
      <c r="T130" s="2">
        <f>T9/'Output-Calculation-sheet'!T8*'Output-Calculation-sheet'!T107</f>
        <v>1682688958.4167507</v>
      </c>
      <c r="U130" s="2">
        <f>U9/'Output-Calculation-sheet'!U8*'Output-Calculation-sheet'!U107</f>
        <v>1186955173.5581839</v>
      </c>
      <c r="V130" s="2">
        <f>V9/'Output-Calculation-sheet'!V8*'Output-Calculation-sheet'!V107</f>
        <v>1068583017.8361969</v>
      </c>
      <c r="W130" s="2">
        <f>W9/'Output-Calculation-sheet'!W8*'Output-Calculation-sheet'!W107</f>
        <v>1087595173.5155969</v>
      </c>
      <c r="X130" s="2">
        <f>X9/'Output-Calculation-sheet'!X8*'Output-Calculation-sheet'!X107</f>
        <v>0</v>
      </c>
      <c r="Y130" s="2">
        <f>Y9/'Output-Calculation-sheet'!Y8*'Output-Calculation-sheet'!Y107</f>
        <v>491602997.42996162</v>
      </c>
      <c r="AA130" s="2">
        <f t="shared" si="11"/>
        <v>142253.09671462871</v>
      </c>
    </row>
    <row r="131" spans="1:27" x14ac:dyDescent="0.25">
      <c r="A131" s="2">
        <v>2033</v>
      </c>
      <c r="B131" s="2">
        <f>B10/'Output-Calculation-sheet'!B9*'Output-Calculation-sheet'!B108</f>
        <v>31720657663.792664</v>
      </c>
      <c r="C131" s="2">
        <f>C10/'Output-Calculation-sheet'!C9*'Output-Calculation-sheet'!C108</f>
        <v>0</v>
      </c>
      <c r="D131" s="2">
        <f>D10/'Output-Calculation-sheet'!D9*'Output-Calculation-sheet'!D108</f>
        <v>24099815284.883625</v>
      </c>
      <c r="E131" s="2">
        <f>E10/'Output-Calculation-sheet'!E9*'Output-Calculation-sheet'!E108</f>
        <v>16877242210.842461</v>
      </c>
      <c r="F131" s="2">
        <f>F10/'Output-Calculation-sheet'!F9*'Output-Calculation-sheet'!F108</f>
        <v>12541629388.540794</v>
      </c>
      <c r="G131" s="2">
        <f>G10/'Output-Calculation-sheet'!G9*'Output-Calculation-sheet'!G108</f>
        <v>8618231041.3182888</v>
      </c>
      <c r="H131" s="2">
        <f>H10/'Output-Calculation-sheet'!H9*'Output-Calculation-sheet'!H108</f>
        <v>0</v>
      </c>
      <c r="I131" s="2">
        <f>I10/'Output-Calculation-sheet'!I9*'Output-Calculation-sheet'!I108</f>
        <v>7737893075.0721693</v>
      </c>
      <c r="J131" s="2">
        <f>J10/'Output-Calculation-sheet'!J9*'Output-Calculation-sheet'!J108</f>
        <v>7920245938.1616268</v>
      </c>
      <c r="K131" s="2">
        <f>K10/'Output-Calculation-sheet'!K9*'Output-Calculation-sheet'!K108</f>
        <v>6858350490.399334</v>
      </c>
      <c r="L131" s="2">
        <f>L10/'Output-Calculation-sheet'!L9*'Output-Calculation-sheet'!L108</f>
        <v>5423582308.1498041</v>
      </c>
      <c r="M131" s="2">
        <f>M10/'Output-Calculation-sheet'!M9*'Output-Calculation-sheet'!M108</f>
        <v>0</v>
      </c>
      <c r="N131" s="2">
        <f>N10/'Output-Calculation-sheet'!N9*'Output-Calculation-sheet'!N108</f>
        <v>1152655638.4996958</v>
      </c>
      <c r="O131" s="2">
        <f>O10/'Output-Calculation-sheet'!O9*'Output-Calculation-sheet'!O108</f>
        <v>0</v>
      </c>
      <c r="P131" s="2">
        <f>P10/'Output-Calculation-sheet'!P9*'Output-Calculation-sheet'!P108</f>
        <v>3382943302.3869576</v>
      </c>
      <c r="Q131" s="2">
        <f>Q10/'Output-Calculation-sheet'!Q9*'Output-Calculation-sheet'!Q108</f>
        <v>3322682178.1078677</v>
      </c>
      <c r="R131" s="2">
        <f>R10/'Output-Calculation-sheet'!R9*'Output-Calculation-sheet'!R108</f>
        <v>3899553140.6442456</v>
      </c>
      <c r="S131" s="2">
        <f>S10/'Output-Calculation-sheet'!S9*'Output-Calculation-sheet'!S108</f>
        <v>1172550591.0322669</v>
      </c>
      <c r="T131" s="2">
        <f>T10/'Output-Calculation-sheet'!T9*'Output-Calculation-sheet'!T108</f>
        <v>1683923800.0090668</v>
      </c>
      <c r="U131" s="2">
        <f>U10/'Output-Calculation-sheet'!U9*'Output-Calculation-sheet'!U108</f>
        <v>1188121815.4004612</v>
      </c>
      <c r="V131" s="2">
        <f>V10/'Output-Calculation-sheet'!V9*'Output-Calculation-sheet'!V108</f>
        <v>1070477977.3420048</v>
      </c>
      <c r="W131" s="2">
        <f>W10/'Output-Calculation-sheet'!W9*'Output-Calculation-sheet'!W108</f>
        <v>1086744163.5217762</v>
      </c>
      <c r="X131" s="2">
        <f>X10/'Output-Calculation-sheet'!X9*'Output-Calculation-sheet'!X108</f>
        <v>0</v>
      </c>
      <c r="Y131" s="2">
        <f>Y10/'Output-Calculation-sheet'!Y9*'Output-Calculation-sheet'!Y108</f>
        <v>492311352.29398155</v>
      </c>
      <c r="AA131" s="2">
        <f t="shared" si="11"/>
        <v>140249.61136039911</v>
      </c>
    </row>
    <row r="132" spans="1:27" x14ac:dyDescent="0.25">
      <c r="A132" s="2">
        <v>2034</v>
      </c>
      <c r="B132" s="2">
        <f>B11/'Output-Calculation-sheet'!B10*'Output-Calculation-sheet'!B109</f>
        <v>30340028278.605385</v>
      </c>
      <c r="C132" s="2">
        <f>C11/'Output-Calculation-sheet'!C10*'Output-Calculation-sheet'!C109</f>
        <v>0</v>
      </c>
      <c r="D132" s="2">
        <f>D11/'Output-Calculation-sheet'!D10*'Output-Calculation-sheet'!D109</f>
        <v>24111195055.830696</v>
      </c>
      <c r="E132" s="2">
        <f>E11/'Output-Calculation-sheet'!E10*'Output-Calculation-sheet'!E109</f>
        <v>16912213861.41156</v>
      </c>
      <c r="F132" s="2">
        <f>F11/'Output-Calculation-sheet'!F10*'Output-Calculation-sheet'!F109</f>
        <v>12553936500.925728</v>
      </c>
      <c r="G132" s="2">
        <f>G11/'Output-Calculation-sheet'!G10*'Output-Calculation-sheet'!G109</f>
        <v>8618857057.7991638</v>
      </c>
      <c r="H132" s="2">
        <f>H11/'Output-Calculation-sheet'!H10*'Output-Calculation-sheet'!H109</f>
        <v>0</v>
      </c>
      <c r="I132" s="2">
        <f>I11/'Output-Calculation-sheet'!I10*'Output-Calculation-sheet'!I109</f>
        <v>7753550180.1256275</v>
      </c>
      <c r="J132" s="2">
        <f>J11/'Output-Calculation-sheet'!J10*'Output-Calculation-sheet'!J109</f>
        <v>7923120390.0258417</v>
      </c>
      <c r="K132" s="2">
        <f>K11/'Output-Calculation-sheet'!K10*'Output-Calculation-sheet'!K109</f>
        <v>6876672274.968071</v>
      </c>
      <c r="L132" s="2">
        <f>L11/'Output-Calculation-sheet'!L10*'Output-Calculation-sheet'!L109</f>
        <v>5433175619.9727869</v>
      </c>
      <c r="M132" s="2">
        <f>M11/'Output-Calculation-sheet'!M10*'Output-Calculation-sheet'!M109</f>
        <v>0</v>
      </c>
      <c r="N132" s="2">
        <f>N11/'Output-Calculation-sheet'!N10*'Output-Calculation-sheet'!N109</f>
        <v>1068229489.9398103</v>
      </c>
      <c r="O132" s="2">
        <f>O11/'Output-Calculation-sheet'!O10*'Output-Calculation-sheet'!O109</f>
        <v>0</v>
      </c>
      <c r="P132" s="2">
        <f>P11/'Output-Calculation-sheet'!P10*'Output-Calculation-sheet'!P109</f>
        <v>3406446043.6661215</v>
      </c>
      <c r="Q132" s="2">
        <f>Q11/'Output-Calculation-sheet'!Q10*'Output-Calculation-sheet'!Q109</f>
        <v>3353118835.908205</v>
      </c>
      <c r="R132" s="2">
        <f>R11/'Output-Calculation-sheet'!R10*'Output-Calculation-sheet'!R109</f>
        <v>3910747045.1031542</v>
      </c>
      <c r="S132" s="2">
        <f>S11/'Output-Calculation-sheet'!S10*'Output-Calculation-sheet'!S109</f>
        <v>1141883442.8369298</v>
      </c>
      <c r="T132" s="2">
        <f>T11/'Output-Calculation-sheet'!T10*'Output-Calculation-sheet'!T109</f>
        <v>1687046802.3313551</v>
      </c>
      <c r="U132" s="2">
        <f>U11/'Output-Calculation-sheet'!U10*'Output-Calculation-sheet'!U109</f>
        <v>1192686270.4109225</v>
      </c>
      <c r="V132" s="2">
        <f>V11/'Output-Calculation-sheet'!V10*'Output-Calculation-sheet'!V109</f>
        <v>1074502962.2782667</v>
      </c>
      <c r="W132" s="2">
        <f>W11/'Output-Calculation-sheet'!W10*'Output-Calculation-sheet'!W109</f>
        <v>1087476134.7116156</v>
      </c>
      <c r="X132" s="2">
        <f>X11/'Output-Calculation-sheet'!X10*'Output-Calculation-sheet'!X109</f>
        <v>0</v>
      </c>
      <c r="Y132" s="2">
        <f>Y11/'Output-Calculation-sheet'!Y10*'Output-Calculation-sheet'!Y109</f>
        <v>493353084.28732574</v>
      </c>
      <c r="AA132" s="2">
        <f t="shared" si="11"/>
        <v>138938.23933113855</v>
      </c>
    </row>
    <row r="133" spans="1:27" x14ac:dyDescent="0.25">
      <c r="A133" s="2">
        <v>2035</v>
      </c>
      <c r="B133" s="2">
        <f>B12/'Output-Calculation-sheet'!B11*'Output-Calculation-sheet'!B110</f>
        <v>29371455832.882755</v>
      </c>
      <c r="C133" s="2">
        <f>C12/'Output-Calculation-sheet'!C11*'Output-Calculation-sheet'!C110</f>
        <v>0</v>
      </c>
      <c r="D133" s="2">
        <f>D12/'Output-Calculation-sheet'!D11*'Output-Calculation-sheet'!D110</f>
        <v>24164274099.676437</v>
      </c>
      <c r="E133" s="2">
        <f>E12/'Output-Calculation-sheet'!E11*'Output-Calculation-sheet'!E110</f>
        <v>16960207081.899193</v>
      </c>
      <c r="F133" s="2">
        <f>F12/'Output-Calculation-sheet'!F11*'Output-Calculation-sheet'!F110</f>
        <v>12577942423.642456</v>
      </c>
      <c r="G133" s="2">
        <f>G12/'Output-Calculation-sheet'!G11*'Output-Calculation-sheet'!G110</f>
        <v>8625157670.7277832</v>
      </c>
      <c r="H133" s="2">
        <f>H12/'Output-Calculation-sheet'!H11*'Output-Calculation-sheet'!H110</f>
        <v>0</v>
      </c>
      <c r="I133" s="2">
        <f>I12/'Output-Calculation-sheet'!I11*'Output-Calculation-sheet'!I110</f>
        <v>7768664412.6732845</v>
      </c>
      <c r="J133" s="2">
        <f>J12/'Output-Calculation-sheet'!J11*'Output-Calculation-sheet'!J110</f>
        <v>7926729216.2665396</v>
      </c>
      <c r="K133" s="2">
        <f>K12/'Output-Calculation-sheet'!K11*'Output-Calculation-sheet'!K110</f>
        <v>6896926743.3738117</v>
      </c>
      <c r="L133" s="2">
        <f>L12/'Output-Calculation-sheet'!L11*'Output-Calculation-sheet'!L110</f>
        <v>5444960327.7703075</v>
      </c>
      <c r="M133" s="2">
        <f>M12/'Output-Calculation-sheet'!M11*'Output-Calculation-sheet'!M110</f>
        <v>0</v>
      </c>
      <c r="N133" s="2">
        <f>N12/'Output-Calculation-sheet'!N11*'Output-Calculation-sheet'!N110</f>
        <v>1005216159.9381442</v>
      </c>
      <c r="O133" s="2">
        <f>O12/'Output-Calculation-sheet'!O11*'Output-Calculation-sheet'!O110</f>
        <v>0</v>
      </c>
      <c r="P133" s="2">
        <f>P12/'Output-Calculation-sheet'!P11*'Output-Calculation-sheet'!P110</f>
        <v>3433333006.9380689</v>
      </c>
      <c r="Q133" s="2">
        <f>Q12/'Output-Calculation-sheet'!Q11*'Output-Calculation-sheet'!Q110</f>
        <v>3374154643.5742874</v>
      </c>
      <c r="R133" s="2">
        <f>R12/'Output-Calculation-sheet'!R11*'Output-Calculation-sheet'!R110</f>
        <v>3930245132.6629329</v>
      </c>
      <c r="S133" s="2">
        <f>S12/'Output-Calculation-sheet'!S11*'Output-Calculation-sheet'!S110</f>
        <v>1058456253.1147442</v>
      </c>
      <c r="T133" s="2">
        <f>T12/'Output-Calculation-sheet'!T11*'Output-Calculation-sheet'!T110</f>
        <v>1690926236.4937074</v>
      </c>
      <c r="U133" s="2">
        <f>U12/'Output-Calculation-sheet'!U11*'Output-Calculation-sheet'!U110</f>
        <v>1197173529.415076</v>
      </c>
      <c r="V133" s="2">
        <f>V12/'Output-Calculation-sheet'!V11*'Output-Calculation-sheet'!V110</f>
        <v>1079860450.5166428</v>
      </c>
      <c r="W133" s="2">
        <f>W12/'Output-Calculation-sheet'!W11*'Output-Calculation-sheet'!W110</f>
        <v>1088925075.8105247</v>
      </c>
      <c r="X133" s="2">
        <f>X12/'Output-Calculation-sheet'!X11*'Output-Calculation-sheet'!X110</f>
        <v>0</v>
      </c>
      <c r="Y133" s="2">
        <f>Y12/'Output-Calculation-sheet'!Y11*'Output-Calculation-sheet'!Y110</f>
        <v>495047828.81663197</v>
      </c>
      <c r="AA133" s="2">
        <f t="shared" si="11"/>
        <v>138089.65612619329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27203188814.225452</v>
      </c>
      <c r="C148" s="2">
        <f>C5/'Output-Calculation-sheet'!C4*'Output-Calculation-sheet'!C121</f>
        <v>22376083984.886803</v>
      </c>
      <c r="D148" s="2">
        <f>D5/'Output-Calculation-sheet'!D4*'Output-Calculation-sheet'!D121</f>
        <v>4738391729.2502909</v>
      </c>
      <c r="E148" s="2">
        <f>E5/'Output-Calculation-sheet'!E4*'Output-Calculation-sheet'!E121</f>
        <v>5296064733.8034725</v>
      </c>
      <c r="F148" s="2">
        <f>F5/'Output-Calculation-sheet'!F4*'Output-Calculation-sheet'!F121</f>
        <v>2286320324.8581119</v>
      </c>
      <c r="G148" s="2">
        <f>G5/'Output-Calculation-sheet'!G4*'Output-Calculation-sheet'!G121</f>
        <v>1703639798.1204758</v>
      </c>
      <c r="H148" s="2">
        <f>H5/'Output-Calculation-sheet'!H4*'Output-Calculation-sheet'!H121</f>
        <v>6981165550.2798777</v>
      </c>
      <c r="I148" s="2">
        <f>I5/'Output-Calculation-sheet'!I4*'Output-Calculation-sheet'!I121</f>
        <v>1657799690.4290519</v>
      </c>
      <c r="J148" s="2">
        <f>J5/'Output-Calculation-sheet'!J4*'Output-Calculation-sheet'!J121</f>
        <v>1342401275.8604465</v>
      </c>
      <c r="K148" s="2">
        <f>K5/'Output-Calculation-sheet'!K4*'Output-Calculation-sheet'!K121</f>
        <v>2016527520.3471053</v>
      </c>
      <c r="L148" s="2">
        <f>L5/'Output-Calculation-sheet'!L4*'Output-Calculation-sheet'!L121</f>
        <v>1659058350.0251195</v>
      </c>
      <c r="M148" s="2">
        <f>M5/'Output-Calculation-sheet'!M4*'Output-Calculation-sheet'!M121</f>
        <v>4816395659.8444042</v>
      </c>
      <c r="N148" s="2">
        <f>N5/'Output-Calculation-sheet'!N4*'Output-Calculation-sheet'!N121</f>
        <v>3248672881.5005012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2258367390.164372</v>
      </c>
      <c r="Q148" s="2">
        <f>Q5/'Output-Calculation-sheet'!Q4*'Output-Calculation-sheet'!Q121</f>
        <v>2263652035.8326254</v>
      </c>
      <c r="R148" s="2">
        <f>R5/'Output-Calculation-sheet'!R4*'Output-Calculation-sheet'!R121</f>
        <v>1655696623.1380866</v>
      </c>
      <c r="S148" s="2">
        <f>S5/'Output-Calculation-sheet'!S4*'Output-Calculation-sheet'!S121</f>
        <v>1803620928.6633458</v>
      </c>
      <c r="T148" s="2">
        <f>T5/'Output-Calculation-sheet'!T4*'Output-Calculation-sheet'!T121</f>
        <v>443220275.20004147</v>
      </c>
      <c r="U148" s="2">
        <f>U5/'Output-Calculation-sheet'!U4*'Output-Calculation-sheet'!U121</f>
        <v>565544894.22537851</v>
      </c>
      <c r="V148" s="2">
        <f>V5/'Output-Calculation-sheet'!V4*'Output-Calculation-sheet'!V121</f>
        <v>340384059.34655988</v>
      </c>
      <c r="W148" s="2">
        <f>W5/'Output-Calculation-sheet'!W4*'Output-Calculation-sheet'!W121</f>
        <v>185688733.13933507</v>
      </c>
      <c r="X148" s="2">
        <f>X5/'Output-Calculation-sheet'!X4*'Output-Calculation-sheet'!X121</f>
        <v>521631298.90011555</v>
      </c>
      <c r="Y148" s="2">
        <f>Y5/'Output-Calculation-sheet'!Y4*'Output-Calculation-sheet'!Y121</f>
        <v>201280425.03844666</v>
      </c>
      <c r="AA148" s="2">
        <f>SUM(B148:Y148)/10^6</f>
        <v>99912.48952715208</v>
      </c>
    </row>
    <row r="149" spans="1:27" x14ac:dyDescent="0.25">
      <c r="A149" s="2">
        <v>2029</v>
      </c>
      <c r="B149" s="2">
        <f>B6/'Output-Calculation-sheet'!B5*'Output-Calculation-sheet'!B122</f>
        <v>33726337182.513855</v>
      </c>
      <c r="C149" s="2">
        <f>C6/'Output-Calculation-sheet'!C5*'Output-Calculation-sheet'!C122</f>
        <v>28122132938.300613</v>
      </c>
      <c r="D149" s="2">
        <f>D6/'Output-Calculation-sheet'!D5*'Output-Calculation-sheet'!D122</f>
        <v>5901067688.525671</v>
      </c>
      <c r="E149" s="2">
        <f>E6/'Output-Calculation-sheet'!E5*'Output-Calculation-sheet'!E122</f>
        <v>6561243060.7029943</v>
      </c>
      <c r="F149" s="2">
        <f>F6/'Output-Calculation-sheet'!F5*'Output-Calculation-sheet'!F122</f>
        <v>2842424055.8359966</v>
      </c>
      <c r="G149" s="2">
        <f>G6/'Output-Calculation-sheet'!G5*'Output-Calculation-sheet'!G122</f>
        <v>2126477460.2391438</v>
      </c>
      <c r="H149" s="2">
        <f>H6/'Output-Calculation-sheet'!H5*'Output-Calculation-sheet'!H122</f>
        <v>6824395542.5407782</v>
      </c>
      <c r="I149" s="2">
        <f>I6/'Output-Calculation-sheet'!I5*'Output-Calculation-sheet'!I122</f>
        <v>2055968158.5823333</v>
      </c>
      <c r="J149" s="2">
        <f>J6/'Output-Calculation-sheet'!J5*'Output-Calculation-sheet'!J122</f>
        <v>1670650795.9722404</v>
      </c>
      <c r="K149" s="2">
        <f>K6/'Output-Calculation-sheet'!K5*'Output-Calculation-sheet'!K122</f>
        <v>2495290201.5983028</v>
      </c>
      <c r="L149" s="2">
        <f>L6/'Output-Calculation-sheet'!L5*'Output-Calculation-sheet'!L122</f>
        <v>2058784787.5899189</v>
      </c>
      <c r="M149" s="2">
        <f>M6/'Output-Calculation-sheet'!M5*'Output-Calculation-sheet'!M122</f>
        <v>4725929715.5975399</v>
      </c>
      <c r="N149" s="2">
        <f>N6/'Output-Calculation-sheet'!N5*'Output-Calculation-sheet'!N122</f>
        <v>3911183020.2179437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2793703745.6586013</v>
      </c>
      <c r="Q149" s="2">
        <f>Q6/'Output-Calculation-sheet'!Q5*'Output-Calculation-sheet'!Q122</f>
        <v>2784405548.6220613</v>
      </c>
      <c r="R149" s="2">
        <f>R6/'Output-Calculation-sheet'!R5*'Output-Calculation-sheet'!R122</f>
        <v>2053090414.0206532</v>
      </c>
      <c r="S149" s="2">
        <f>S6/'Output-Calculation-sheet'!S5*'Output-Calculation-sheet'!S122</f>
        <v>2230728507.1347547</v>
      </c>
      <c r="T149" s="2">
        <f>T6/'Output-Calculation-sheet'!T5*'Output-Calculation-sheet'!T122</f>
        <v>550356373.87918127</v>
      </c>
      <c r="U149" s="2">
        <f>U6/'Output-Calculation-sheet'!U5*'Output-Calculation-sheet'!U122</f>
        <v>703376981.96610487</v>
      </c>
      <c r="V149" s="2">
        <f>V6/'Output-Calculation-sheet'!V5*'Output-Calculation-sheet'!V122</f>
        <v>421463241.29574388</v>
      </c>
      <c r="W149" s="2">
        <f>W6/'Output-Calculation-sheet'!W5*'Output-Calculation-sheet'!W122</f>
        <v>229911004.18078005</v>
      </c>
      <c r="X149" s="2">
        <f>X6/'Output-Calculation-sheet'!X5*'Output-Calculation-sheet'!X122</f>
        <v>533161253.4862709</v>
      </c>
      <c r="Y149" s="2">
        <f>Y6/'Output-Calculation-sheet'!Y5*'Output-Calculation-sheet'!Y122</f>
        <v>250318185.52342203</v>
      </c>
      <c r="AA149" s="2">
        <f t="shared" ref="AA149:AA155" si="13">SUM(B149:Y149)/10^6</f>
        <v>121036.5547156821</v>
      </c>
    </row>
    <row r="150" spans="1:27" x14ac:dyDescent="0.25">
      <c r="A150" s="2">
        <v>2030</v>
      </c>
      <c r="B150" s="2">
        <f>B7/'Output-Calculation-sheet'!B6*'Output-Calculation-sheet'!B123</f>
        <v>38598765201.707619</v>
      </c>
      <c r="C150" s="2">
        <f>C7/'Output-Calculation-sheet'!C6*'Output-Calculation-sheet'!C123</f>
        <v>32609120608.778099</v>
      </c>
      <c r="D150" s="2">
        <f>D7/'Output-Calculation-sheet'!D6*'Output-Calculation-sheet'!D123</f>
        <v>6764365628.8648796</v>
      </c>
      <c r="E150" s="2">
        <f>E7/'Output-Calculation-sheet'!E6*'Output-Calculation-sheet'!E123</f>
        <v>7504383770.92097</v>
      </c>
      <c r="F150" s="2">
        <f>F7/'Output-Calculation-sheet'!F6*'Output-Calculation-sheet'!F123</f>
        <v>3253600427.297225</v>
      </c>
      <c r="G150" s="2">
        <f>G7/'Output-Calculation-sheet'!G6*'Output-Calculation-sheet'!G123</f>
        <v>2447170820.6909285</v>
      </c>
      <c r="H150" s="2">
        <f>H7/'Output-Calculation-sheet'!H6*'Output-Calculation-sheet'!H123</f>
        <v>7787463619.3728304</v>
      </c>
      <c r="I150" s="2">
        <f>I7/'Output-Calculation-sheet'!I6*'Output-Calculation-sheet'!I123</f>
        <v>2356146620.0017419</v>
      </c>
      <c r="J150" s="2">
        <f>J7/'Output-Calculation-sheet'!J6*'Output-Calculation-sheet'!J123</f>
        <v>1918173200.2463043</v>
      </c>
      <c r="K150" s="2">
        <f>K7/'Output-Calculation-sheet'!K6*'Output-Calculation-sheet'!K123</f>
        <v>2855287549.961607</v>
      </c>
      <c r="L150" s="2">
        <f>L7/'Output-Calculation-sheet'!L6*'Output-Calculation-sheet'!L123</f>
        <v>2349135566.1735134</v>
      </c>
      <c r="M150" s="2">
        <f>M7/'Output-Calculation-sheet'!M6*'Output-Calculation-sheet'!M123</f>
        <v>5395628922.8591146</v>
      </c>
      <c r="N150" s="2">
        <f>N7/'Output-Calculation-sheet'!N6*'Output-Calculation-sheet'!N123</f>
        <v>4436218431.5544395</v>
      </c>
      <c r="O150" s="2">
        <f>O7/'Output-Calculation-sheet'!O6*'Output-Calculation-sheet'!O123</f>
        <v>6335980452.6548462</v>
      </c>
      <c r="P150" s="2">
        <f>P7/'Output-Calculation-sheet'!P6*'Output-Calculation-sheet'!P123</f>
        <v>3200658447.2154169</v>
      </c>
      <c r="Q150" s="2">
        <f>Q7/'Output-Calculation-sheet'!Q6*'Output-Calculation-sheet'!Q123</f>
        <v>3171803717.5451121</v>
      </c>
      <c r="R150" s="2">
        <f>R7/'Output-Calculation-sheet'!R6*'Output-Calculation-sheet'!R123</f>
        <v>2350356266.6148114</v>
      </c>
      <c r="S150" s="2">
        <f>S7/'Output-Calculation-sheet'!S6*'Output-Calculation-sheet'!S123</f>
        <v>2502289795.4653111</v>
      </c>
      <c r="T150" s="2">
        <f>T7/'Output-Calculation-sheet'!T6*'Output-Calculation-sheet'!T123</f>
        <v>629203818.23345542</v>
      </c>
      <c r="U150" s="2">
        <f>U7/'Output-Calculation-sheet'!U6*'Output-Calculation-sheet'!U123</f>
        <v>807793779.44521689</v>
      </c>
      <c r="V150" s="2">
        <f>V7/'Output-Calculation-sheet'!V6*'Output-Calculation-sheet'!V123</f>
        <v>480828925.28787971</v>
      </c>
      <c r="W150" s="2">
        <f>W7/'Output-Calculation-sheet'!W6*'Output-Calculation-sheet'!W123</f>
        <v>261914333.43831417</v>
      </c>
      <c r="X150" s="2">
        <f>X7/'Output-Calculation-sheet'!X6*'Output-Calculation-sheet'!X123</f>
        <v>607572374.46578419</v>
      </c>
      <c r="Y150" s="2">
        <f>Y7/'Output-Calculation-sheet'!Y6*'Output-Calculation-sheet'!Y123</f>
        <v>286745998.58567202</v>
      </c>
      <c r="AA150" s="2">
        <f t="shared" si="13"/>
        <v>138910.60827738114</v>
      </c>
    </row>
    <row r="151" spans="1:27" x14ac:dyDescent="0.25">
      <c r="A151" s="2">
        <v>2031</v>
      </c>
      <c r="B151" s="2">
        <f>B8/'Output-Calculation-sheet'!B7*'Output-Calculation-sheet'!B124</f>
        <v>41214944801.198624</v>
      </c>
      <c r="C151" s="2">
        <f>C8/'Output-Calculation-sheet'!C7*'Output-Calculation-sheet'!C124</f>
        <v>35039475455.75985</v>
      </c>
      <c r="D151" s="2">
        <f>D8/'Output-Calculation-sheet'!D7*'Output-Calculation-sheet'!D124</f>
        <v>7240107782.4947319</v>
      </c>
      <c r="E151" s="2">
        <f>E8/'Output-Calculation-sheet'!E7*'Output-Calculation-sheet'!E124</f>
        <v>8009111815.7701378</v>
      </c>
      <c r="F151" s="2">
        <f>F8/'Output-Calculation-sheet'!F7*'Output-Calculation-sheet'!F124</f>
        <v>3466077762.0748987</v>
      </c>
      <c r="G151" s="2">
        <f>G8/'Output-Calculation-sheet'!G7*'Output-Calculation-sheet'!G124</f>
        <v>2621934951.1779017</v>
      </c>
      <c r="H151" s="2">
        <f>H8/'Output-Calculation-sheet'!H7*'Output-Calculation-sheet'!H124</f>
        <v>8287826141.4773426</v>
      </c>
      <c r="I151" s="2">
        <f>I8/'Output-Calculation-sheet'!I7*'Output-Calculation-sheet'!I124</f>
        <v>2510293272.2396245</v>
      </c>
      <c r="J151" s="2">
        <f>J8/'Output-Calculation-sheet'!J7*'Output-Calculation-sheet'!J124</f>
        <v>2048780506.5370631</v>
      </c>
      <c r="K151" s="2">
        <f>K8/'Output-Calculation-sheet'!K7*'Output-Calculation-sheet'!K124</f>
        <v>3036112457.9336281</v>
      </c>
      <c r="L151" s="2">
        <f>L8/'Output-Calculation-sheet'!L7*'Output-Calculation-sheet'!L124</f>
        <v>2510994774.2143393</v>
      </c>
      <c r="M151" s="2">
        <f>M8/'Output-Calculation-sheet'!M7*'Output-Calculation-sheet'!M124</f>
        <v>5730468922.3794174</v>
      </c>
      <c r="N151" s="2">
        <f>N8/'Output-Calculation-sheet'!N7*'Output-Calculation-sheet'!N124</f>
        <v>4739199620.3903933</v>
      </c>
      <c r="O151" s="2">
        <f>O8/'Output-Calculation-sheet'!O7*'Output-Calculation-sheet'!O124</f>
        <v>6808200509.9889326</v>
      </c>
      <c r="P151" s="2">
        <f>P8/'Output-Calculation-sheet'!P7*'Output-Calculation-sheet'!P124</f>
        <v>3422641091.4632382</v>
      </c>
      <c r="Q151" s="2">
        <f>Q8/'Output-Calculation-sheet'!Q7*'Output-Calculation-sheet'!Q124</f>
        <v>3379863351.2673559</v>
      </c>
      <c r="R151" s="2">
        <f>R8/'Output-Calculation-sheet'!R7*'Output-Calculation-sheet'!R124</f>
        <v>2511630301.8144178</v>
      </c>
      <c r="S151" s="2">
        <f>S8/'Output-Calculation-sheet'!S7*'Output-Calculation-sheet'!S124</f>
        <v>2623821950.8653769</v>
      </c>
      <c r="T151" s="2">
        <f>T8/'Output-Calculation-sheet'!T7*'Output-Calculation-sheet'!T124</f>
        <v>670538677.69730008</v>
      </c>
      <c r="U151" s="2">
        <f>U8/'Output-Calculation-sheet'!U7*'Output-Calculation-sheet'!U124</f>
        <v>863574737.71269774</v>
      </c>
      <c r="V151" s="2">
        <f>V8/'Output-Calculation-sheet'!V7*'Output-Calculation-sheet'!V124</f>
        <v>512176917.21972823</v>
      </c>
      <c r="W151" s="2">
        <f>W8/'Output-Calculation-sheet'!W7*'Output-Calculation-sheet'!W124</f>
        <v>279554073.60887009</v>
      </c>
      <c r="X151" s="2">
        <f>X8/'Output-Calculation-sheet'!X7*'Output-Calculation-sheet'!X124</f>
        <v>644653212.30976188</v>
      </c>
      <c r="Y151" s="2">
        <f>Y8/'Output-Calculation-sheet'!Y7*'Output-Calculation-sheet'!Y124</f>
        <v>305884253.29547596</v>
      </c>
      <c r="AA151" s="2">
        <f t="shared" si="13"/>
        <v>148477.86734089113</v>
      </c>
    </row>
    <row r="152" spans="1:27" x14ac:dyDescent="0.25">
      <c r="A152" s="2">
        <v>2032</v>
      </c>
      <c r="B152" s="2">
        <f>B9/'Output-Calculation-sheet'!B8*'Output-Calculation-sheet'!B125</f>
        <v>41021518180.060944</v>
      </c>
      <c r="C152" s="2">
        <f>C9/'Output-Calculation-sheet'!C8*'Output-Calculation-sheet'!C125</f>
        <v>35144538510.079529</v>
      </c>
      <c r="D152" s="2">
        <f>D9/'Output-Calculation-sheet'!D8*'Output-Calculation-sheet'!D125</f>
        <v>7214939320.1590176</v>
      </c>
      <c r="E152" s="2">
        <f>E9/'Output-Calculation-sheet'!E8*'Output-Calculation-sheet'!E125</f>
        <v>7978450434.6990013</v>
      </c>
      <c r="F152" s="2">
        <f>F9/'Output-Calculation-sheet'!F8*'Output-Calculation-sheet'!F125</f>
        <v>3455417021.184535</v>
      </c>
      <c r="G152" s="2">
        <f>G9/'Output-Calculation-sheet'!G8*'Output-Calculation-sheet'!G125</f>
        <v>2619628642.2366529</v>
      </c>
      <c r="H152" s="2">
        <f>H9/'Output-Calculation-sheet'!H8*'Output-Calculation-sheet'!H125</f>
        <v>8235135361.1337719</v>
      </c>
      <c r="I152" s="2">
        <f>I9/'Output-Calculation-sheet'!I8*'Output-Calculation-sheet'!I125</f>
        <v>2502144226.9041457</v>
      </c>
      <c r="J152" s="2">
        <f>J9/'Output-Calculation-sheet'!J8*'Output-Calculation-sheet'!J125</f>
        <v>2043721548.2051094</v>
      </c>
      <c r="K152" s="2">
        <f>K9/'Output-Calculation-sheet'!K8*'Output-Calculation-sheet'!K125</f>
        <v>3024672721.4848294</v>
      </c>
      <c r="L152" s="2">
        <f>L9/'Output-Calculation-sheet'!L8*'Output-Calculation-sheet'!L125</f>
        <v>2500781805.1085544</v>
      </c>
      <c r="M152" s="2">
        <f>M9/'Output-Calculation-sheet'!M8*'Output-Calculation-sheet'!M125</f>
        <v>5696745690.9767694</v>
      </c>
      <c r="N152" s="2">
        <f>N9/'Output-Calculation-sheet'!N8*'Output-Calculation-sheet'!N125</f>
        <v>4753780891.0413685</v>
      </c>
      <c r="O152" s="2">
        <f>O9/'Output-Calculation-sheet'!O8*'Output-Calculation-sheet'!O125</f>
        <v>6828614352.6819639</v>
      </c>
      <c r="P152" s="2">
        <f>P9/'Output-Calculation-sheet'!P8*'Output-Calculation-sheet'!P125</f>
        <v>3397362907.5135679</v>
      </c>
      <c r="Q152" s="2">
        <f>Q9/'Output-Calculation-sheet'!Q8*'Output-Calculation-sheet'!Q125</f>
        <v>3353143552.7960548</v>
      </c>
      <c r="R152" s="2">
        <f>R9/'Output-Calculation-sheet'!R8*'Output-Calculation-sheet'!R125</f>
        <v>2506900314.472836</v>
      </c>
      <c r="S152" s="2">
        <f>S9/'Output-Calculation-sheet'!S8*'Output-Calculation-sheet'!S125</f>
        <v>2573358171.8871698</v>
      </c>
      <c r="T152" s="2">
        <f>T9/'Output-Calculation-sheet'!T8*'Output-Calculation-sheet'!T125</f>
        <v>668974803.6754595</v>
      </c>
      <c r="U152" s="2">
        <f>U9/'Output-Calculation-sheet'!U8*'Output-Calculation-sheet'!U125</f>
        <v>861267438.38454509</v>
      </c>
      <c r="V152" s="2">
        <f>V9/'Output-Calculation-sheet'!V8*'Output-Calculation-sheet'!V125</f>
        <v>508582534.37092584</v>
      </c>
      <c r="W152" s="2">
        <f>W9/'Output-Calculation-sheet'!W8*'Output-Calculation-sheet'!W125</f>
        <v>277891399.94606513</v>
      </c>
      <c r="X152" s="2">
        <f>X9/'Output-Calculation-sheet'!X8*'Output-Calculation-sheet'!X125</f>
        <v>639376614.12219119</v>
      </c>
      <c r="Y152" s="2">
        <f>Y9/'Output-Calculation-sheet'!Y8*'Output-Calculation-sheet'!Y125</f>
        <v>305146557.90155971</v>
      </c>
      <c r="AA152" s="2">
        <f t="shared" si="13"/>
        <v>148112.09300102654</v>
      </c>
    </row>
    <row r="153" spans="1:27" x14ac:dyDescent="0.25">
      <c r="A153" s="2">
        <v>2033</v>
      </c>
      <c r="B153" s="2">
        <f>B10/'Output-Calculation-sheet'!B9*'Output-Calculation-sheet'!B126</f>
        <v>39303836375.897453</v>
      </c>
      <c r="C153" s="2">
        <f>C10/'Output-Calculation-sheet'!C9*'Output-Calculation-sheet'!C126</f>
        <v>28749176742.128204</v>
      </c>
      <c r="D153" s="2">
        <f>D10/'Output-Calculation-sheet'!D9*'Output-Calculation-sheet'!D126</f>
        <v>7157759799.7430754</v>
      </c>
      <c r="E153" s="2">
        <f>E10/'Output-Calculation-sheet'!E9*'Output-Calculation-sheet'!E126</f>
        <v>7922498306.9431849</v>
      </c>
      <c r="F153" s="2">
        <f>F10/'Output-Calculation-sheet'!F9*'Output-Calculation-sheet'!F126</f>
        <v>3422847837.5712204</v>
      </c>
      <c r="G153" s="2">
        <f>G10/'Output-Calculation-sheet'!G9*'Output-Calculation-sheet'!G126</f>
        <v>2598875814.0516548</v>
      </c>
      <c r="H153" s="2">
        <f>H10/'Output-Calculation-sheet'!H9*'Output-Calculation-sheet'!H126</f>
        <v>8145447715.5870905</v>
      </c>
      <c r="I153" s="2">
        <f>I10/'Output-Calculation-sheet'!I9*'Output-Calculation-sheet'!I126</f>
        <v>2481749498.2746344</v>
      </c>
      <c r="J153" s="2">
        <f>J10/'Output-Calculation-sheet'!J9*'Output-Calculation-sheet'!J126</f>
        <v>2026819765.5454514</v>
      </c>
      <c r="K153" s="2">
        <f>K10/'Output-Calculation-sheet'!K9*'Output-Calculation-sheet'!K126</f>
        <v>2993366250.8808146</v>
      </c>
      <c r="L153" s="2">
        <f>L10/'Output-Calculation-sheet'!L9*'Output-Calculation-sheet'!L126</f>
        <v>2479612440.5065613</v>
      </c>
      <c r="M153" s="2">
        <f>M10/'Output-Calculation-sheet'!M9*'Output-Calculation-sheet'!M126</f>
        <v>5633398425.6761551</v>
      </c>
      <c r="N153" s="2">
        <f>N10/'Output-Calculation-sheet'!N9*'Output-Calculation-sheet'!N126</f>
        <v>4742491910.7722111</v>
      </c>
      <c r="O153" s="2">
        <f>O10/'Output-Calculation-sheet'!O9*'Output-Calculation-sheet'!O126</f>
        <v>6814304666.9936857</v>
      </c>
      <c r="P153" s="2">
        <f>P10/'Output-Calculation-sheet'!P9*'Output-Calculation-sheet'!P126</f>
        <v>3362060379.6309013</v>
      </c>
      <c r="Q153" s="2">
        <f>Q10/'Output-Calculation-sheet'!Q9*'Output-Calculation-sheet'!Q126</f>
        <v>3313298989.1380906</v>
      </c>
      <c r="R153" s="2">
        <f>R10/'Output-Calculation-sheet'!R9*'Output-Calculation-sheet'!R126</f>
        <v>2484578304.6096301</v>
      </c>
      <c r="S153" s="2">
        <f>S10/'Output-Calculation-sheet'!S9*'Output-Calculation-sheet'!S126</f>
        <v>2541026486.0899849</v>
      </c>
      <c r="T153" s="2">
        <f>T10/'Output-Calculation-sheet'!T9*'Output-Calculation-sheet'!T126</f>
        <v>662811938.98181927</v>
      </c>
      <c r="U153" s="2">
        <f>U10/'Output-Calculation-sheet'!U9*'Output-Calculation-sheet'!U126</f>
        <v>855808648.78244996</v>
      </c>
      <c r="V153" s="2">
        <f>V10/'Output-Calculation-sheet'!V9*'Output-Calculation-sheet'!V126</f>
        <v>503382549.54594755</v>
      </c>
      <c r="W153" s="2">
        <f>W10/'Output-Calculation-sheet'!W9*'Output-Calculation-sheet'!W126</f>
        <v>275880833.99354857</v>
      </c>
      <c r="X153" s="2">
        <f>X10/'Output-Calculation-sheet'!X9*'Output-Calculation-sheet'!X126</f>
        <v>632984876.82465088</v>
      </c>
      <c r="Y153" s="2">
        <f>Y10/'Output-Calculation-sheet'!Y9*'Output-Calculation-sheet'!Y126</f>
        <v>302768576.50421655</v>
      </c>
      <c r="AA153" s="2">
        <f t="shared" si="13"/>
        <v>139406.78713467266</v>
      </c>
    </row>
    <row r="154" spans="1:27" x14ac:dyDescent="0.25">
      <c r="A154" s="2">
        <v>2034</v>
      </c>
      <c r="B154" s="2">
        <f>B11/'Output-Calculation-sheet'!B10*'Output-Calculation-sheet'!B127</f>
        <v>38246553812.970634</v>
      </c>
      <c r="C154" s="2">
        <f>C11/'Output-Calculation-sheet'!C10*'Output-Calculation-sheet'!C127</f>
        <v>28352978590.237629</v>
      </c>
      <c r="D154" s="2">
        <f>D11/'Output-Calculation-sheet'!D10*'Output-Calculation-sheet'!D127</f>
        <v>7121016469.7039423</v>
      </c>
      <c r="E154" s="2">
        <f>E11/'Output-Calculation-sheet'!E10*'Output-Calculation-sheet'!E127</f>
        <v>7867405645.7428045</v>
      </c>
      <c r="F154" s="2">
        <f>F11/'Output-Calculation-sheet'!F10*'Output-Calculation-sheet'!F127</f>
        <v>3397588113.2120171</v>
      </c>
      <c r="G154" s="2">
        <f>G11/'Output-Calculation-sheet'!G10*'Output-Calculation-sheet'!G127</f>
        <v>2589148914.9979491</v>
      </c>
      <c r="H154" s="2">
        <f>H11/'Output-Calculation-sheet'!H10*'Output-Calculation-sheet'!H127</f>
        <v>8062779813.4228897</v>
      </c>
      <c r="I154" s="2">
        <f>I11/'Output-Calculation-sheet'!I10*'Output-Calculation-sheet'!I127</f>
        <v>2457801777.5381074</v>
      </c>
      <c r="J154" s="2">
        <f>J11/'Output-Calculation-sheet'!J10*'Output-Calculation-sheet'!J127</f>
        <v>2015874865.7412364</v>
      </c>
      <c r="K154" s="2">
        <f>K11/'Output-Calculation-sheet'!K10*'Output-Calculation-sheet'!K127</f>
        <v>2967052346.5168972</v>
      </c>
      <c r="L154" s="2">
        <f>L11/'Output-Calculation-sheet'!L10*'Output-Calculation-sheet'!L127</f>
        <v>2463606954.1108346</v>
      </c>
      <c r="M154" s="2">
        <f>M11/'Output-Calculation-sheet'!M10*'Output-Calculation-sheet'!M127</f>
        <v>5576411438.7957172</v>
      </c>
      <c r="N154" s="2">
        <f>N11/'Output-Calculation-sheet'!N10*'Output-Calculation-sheet'!N127</f>
        <v>4729559181.9186325</v>
      </c>
      <c r="O154" s="2">
        <f>O11/'Output-Calculation-sheet'!O10*'Output-Calculation-sheet'!O127</f>
        <v>6808775952.0238237</v>
      </c>
      <c r="P154" s="2">
        <f>P11/'Output-Calculation-sheet'!P10*'Output-Calculation-sheet'!P127</f>
        <v>3333085150.0127335</v>
      </c>
      <c r="Q154" s="2">
        <f>Q11/'Output-Calculation-sheet'!Q10*'Output-Calculation-sheet'!Q127</f>
        <v>3277478297.2782292</v>
      </c>
      <c r="R154" s="2">
        <f>R11/'Output-Calculation-sheet'!R10*'Output-Calculation-sheet'!R127</f>
        <v>2468204701.7345505</v>
      </c>
      <c r="S154" s="2">
        <f>S11/'Output-Calculation-sheet'!S10*'Output-Calculation-sheet'!S127</f>
        <v>2481576554.6699982</v>
      </c>
      <c r="T154" s="2">
        <f>T11/'Output-Calculation-sheet'!T10*'Output-Calculation-sheet'!T127</f>
        <v>657784937.11085856</v>
      </c>
      <c r="U154" s="2">
        <f>U11/'Output-Calculation-sheet'!U10*'Output-Calculation-sheet'!U127</f>
        <v>849585872.12261772</v>
      </c>
      <c r="V154" s="2">
        <f>V11/'Output-Calculation-sheet'!V10*'Output-Calculation-sheet'!V127</f>
        <v>498080629.29776353</v>
      </c>
      <c r="W154" s="2">
        <f>W11/'Output-Calculation-sheet'!W10*'Output-Calculation-sheet'!W127</f>
        <v>274043445.10557443</v>
      </c>
      <c r="X154" s="2">
        <f>X11/'Output-Calculation-sheet'!X10*'Output-Calculation-sheet'!X127</f>
        <v>626280107.81974304</v>
      </c>
      <c r="Y154" s="2">
        <f>Y11/'Output-Calculation-sheet'!Y10*'Output-Calculation-sheet'!Y127</f>
        <v>301081764.70898527</v>
      </c>
      <c r="AA154" s="2">
        <f t="shared" si="13"/>
        <v>137423.75533679419</v>
      </c>
    </row>
    <row r="155" spans="1:27" x14ac:dyDescent="0.25">
      <c r="A155" s="2">
        <v>2035</v>
      </c>
      <c r="B155" s="2">
        <f>B12/'Output-Calculation-sheet'!B11*'Output-Calculation-sheet'!B128</f>
        <v>37796456330.596344</v>
      </c>
      <c r="C155" s="2">
        <f>C12/'Output-Calculation-sheet'!C11*'Output-Calculation-sheet'!C128</f>
        <v>28017614838.436703</v>
      </c>
      <c r="D155" s="2">
        <f>D12/'Output-Calculation-sheet'!D11*'Output-Calculation-sheet'!D128</f>
        <v>7063542199.3867292</v>
      </c>
      <c r="E155" s="2">
        <f>E12/'Output-Calculation-sheet'!E11*'Output-Calculation-sheet'!E128</f>
        <v>7815922834.037077</v>
      </c>
      <c r="F155" s="2">
        <f>F12/'Output-Calculation-sheet'!F11*'Output-Calculation-sheet'!F128</f>
        <v>3371335816.2040033</v>
      </c>
      <c r="G155" s="2">
        <f>G12/'Output-Calculation-sheet'!G11*'Output-Calculation-sheet'!G128</f>
        <v>2581269934.0397577</v>
      </c>
      <c r="H155" s="2">
        <f>H12/'Output-Calculation-sheet'!H11*'Output-Calculation-sheet'!H128</f>
        <v>7996434977.2617989</v>
      </c>
      <c r="I155" s="2">
        <f>I12/'Output-Calculation-sheet'!I11*'Output-Calculation-sheet'!I128</f>
        <v>2441249530.814889</v>
      </c>
      <c r="J155" s="2">
        <f>J12/'Output-Calculation-sheet'!J11*'Output-Calculation-sheet'!J128</f>
        <v>2010866379.9718189</v>
      </c>
      <c r="K155" s="2">
        <f>K12/'Output-Calculation-sheet'!K11*'Output-Calculation-sheet'!K128</f>
        <v>2945410667.4514732</v>
      </c>
      <c r="L155" s="2">
        <f>L12/'Output-Calculation-sheet'!L11*'Output-Calculation-sheet'!L128</f>
        <v>2450710181.4927158</v>
      </c>
      <c r="M155" s="2">
        <f>M12/'Output-Calculation-sheet'!M11*'Output-Calculation-sheet'!M128</f>
        <v>5533225547.6282282</v>
      </c>
      <c r="N155" s="2">
        <f>N12/'Output-Calculation-sheet'!N11*'Output-Calculation-sheet'!N128</f>
        <v>4718250458.3513212</v>
      </c>
      <c r="O155" s="2">
        <f>O12/'Output-Calculation-sheet'!O11*'Output-Calculation-sheet'!O128</f>
        <v>5608030268.1608887</v>
      </c>
      <c r="P155" s="2">
        <f>P12/'Output-Calculation-sheet'!P11*'Output-Calculation-sheet'!P128</f>
        <v>3305249754.39361</v>
      </c>
      <c r="Q155" s="2">
        <f>Q12/'Output-Calculation-sheet'!Q11*'Output-Calculation-sheet'!Q128</f>
        <v>3233606779.6926117</v>
      </c>
      <c r="R155" s="2">
        <f>R12/'Output-Calculation-sheet'!R11*'Output-Calculation-sheet'!R128</f>
        <v>2447808297.9601092</v>
      </c>
      <c r="S155" s="2">
        <f>S12/'Output-Calculation-sheet'!S11*'Output-Calculation-sheet'!S128</f>
        <v>2473923118.7215362</v>
      </c>
      <c r="T155" s="2">
        <f>T12/'Output-Calculation-sheet'!T11*'Output-Calculation-sheet'!T128</f>
        <v>653575291.89568925</v>
      </c>
      <c r="U155" s="2">
        <f>U12/'Output-Calculation-sheet'!U11*'Output-Calculation-sheet'!U128</f>
        <v>844811010.03676701</v>
      </c>
      <c r="V155" s="2">
        <f>V12/'Output-Calculation-sheet'!V11*'Output-Calculation-sheet'!V128</f>
        <v>492501836.46925938</v>
      </c>
      <c r="W155" s="2">
        <f>W12/'Output-Calculation-sheet'!W11*'Output-Calculation-sheet'!W128</f>
        <v>272402634.08748537</v>
      </c>
      <c r="X155" s="2">
        <f>X12/'Output-Calculation-sheet'!X11*'Output-Calculation-sheet'!X128</f>
        <v>620145096.74449468</v>
      </c>
      <c r="Y155" s="2">
        <f>Y12/'Output-Calculation-sheet'!Y11*'Output-Calculation-sheet'!Y128</f>
        <v>299275143.85035896</v>
      </c>
      <c r="AA155" s="2">
        <f t="shared" si="13"/>
        <v>134993.61892768572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2.2861256446129521E-10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2070.2840598204571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1417.8246794346057</v>
      </c>
      <c r="N19" s="2">
        <f>N8/'Output-Calculation-sheet'!N7*'Output-Calculation-sheet'!N25</f>
        <v>953.69244199837522</v>
      </c>
      <c r="O19" s="2">
        <f>O8/'Output-Calculation-sheet'!O7*'Output-Calculation-sheet'!O25</f>
        <v>1.2582004559283075E-11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252.96182397663566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134.55615515943404</v>
      </c>
      <c r="Y19" s="2">
        <f>Y8/'Output-Calculation-sheet'!Y7*'Output-Calculation-sheet'!Y25</f>
        <v>0</v>
      </c>
      <c r="AA19" s="2">
        <f t="shared" si="0"/>
        <v>4.8293191603897494</v>
      </c>
    </row>
    <row r="20" spans="1:27" x14ac:dyDescent="0.25">
      <c r="A20" s="2">
        <v>2032</v>
      </c>
      <c r="B20" s="2">
        <f>B9/'Output-Calculation-sheet'!B8*'Output-Calculation-sheet'!B26</f>
        <v>2.1730178758693008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2256.0257888378896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1542.8232219237539</v>
      </c>
      <c r="N20" s="2">
        <f>N9/'Output-Calculation-sheet'!N8*'Output-Calculation-sheet'!N26</f>
        <v>1123.6051426563884</v>
      </c>
      <c r="O20" s="2">
        <f>O9/'Output-Calculation-sheet'!O8*'Output-Calculation-sheet'!O26</f>
        <v>1.1375660997423821E-10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386.57663424750211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148.50254293976172</v>
      </c>
      <c r="Y20" s="2">
        <f>Y9/'Output-Calculation-sheet'!Y8*'Output-Calculation-sheet'!Y26</f>
        <v>0</v>
      </c>
      <c r="AA20" s="2">
        <f t="shared" si="0"/>
        <v>5.4597063484812791</v>
      </c>
    </row>
    <row r="21" spans="1:27" x14ac:dyDescent="0.25">
      <c r="A21" s="2">
        <v>2033</v>
      </c>
      <c r="B21" s="2">
        <f>B10/'Output-Calculation-sheet'!B9*'Output-Calculation-sheet'!B27</f>
        <v>3345.5969353164965</v>
      </c>
      <c r="C21" s="2">
        <f>C10/'Output-Calculation-sheet'!C9*'Output-Calculation-sheet'!C27</f>
        <v>5220.6915380682995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2342.3319825438812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1603.4500813643515</v>
      </c>
      <c r="N21" s="2">
        <f>N10/'Output-Calculation-sheet'!N9*'Output-Calculation-sheet'!N27</f>
        <v>1252.8209940424524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477.93887105734171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154.34035979643045</v>
      </c>
      <c r="Y21" s="2">
        <f>Y10/'Output-Calculation-sheet'!Y9*'Output-Calculation-sheet'!Y27</f>
        <v>0</v>
      </c>
      <c r="AA21" s="2">
        <f t="shared" si="0"/>
        <v>14.397170762189255</v>
      </c>
    </row>
    <row r="22" spans="1:27" x14ac:dyDescent="0.25">
      <c r="A22" s="2">
        <v>2034</v>
      </c>
      <c r="B22" s="2">
        <f>B11/'Output-Calculation-sheet'!B10*'Output-Calculation-sheet'!B28</f>
        <v>5499.2246432546208</v>
      </c>
      <c r="C22" s="2">
        <f>C11/'Output-Calculation-sheet'!C10*'Output-Calculation-sheet'!C28</f>
        <v>5327.9104168083686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2327.7770392344905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1593.6161029195869</v>
      </c>
      <c r="N22" s="2">
        <f>N11/'Output-Calculation-sheet'!N10*'Output-Calculation-sheet'!N28</f>
        <v>1277.8802061124895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521.28726935241241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154.39986742567598</v>
      </c>
      <c r="Y22" s="2">
        <f>Y11/'Output-Calculation-sheet'!Y10*'Output-Calculation-sheet'!Y28</f>
        <v>0</v>
      </c>
      <c r="AA22" s="2">
        <f t="shared" si="0"/>
        <v>16.702095545107646</v>
      </c>
    </row>
    <row r="23" spans="1:27" x14ac:dyDescent="0.25">
      <c r="A23" s="2">
        <v>2035</v>
      </c>
      <c r="B23" s="2">
        <f>B12/'Output-Calculation-sheet'!B11*'Output-Calculation-sheet'!B29</f>
        <v>6269.7463613479849</v>
      </c>
      <c r="C23" s="2">
        <f>C12/'Output-Calculation-sheet'!C11*'Output-Calculation-sheet'!C29</f>
        <v>5137.5771003998443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2191.9017797542188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1498.2602003331265</v>
      </c>
      <c r="N23" s="2">
        <f>N12/'Output-Calculation-sheet'!N11*'Output-Calculation-sheet'!N29</f>
        <v>1224.6924946875288</v>
      </c>
      <c r="O23" s="2">
        <f>O12/'Output-Calculation-sheet'!O11*'Output-Calculation-sheet'!O29</f>
        <v>873.50589515773561</v>
      </c>
      <c r="P23" s="2">
        <f>P12/'Output-Calculation-sheet'!P11*'Output-Calculation-sheet'!P29</f>
        <v>0</v>
      </c>
      <c r="Q23" s="2">
        <f>Q12/'Output-Calculation-sheet'!Q11*'Output-Calculation-sheet'!Q29</f>
        <v>16.718683762957983</v>
      </c>
      <c r="R23" s="2">
        <f>R12/'Output-Calculation-sheet'!R11*'Output-Calculation-sheet'!R29</f>
        <v>0</v>
      </c>
      <c r="S23" s="2">
        <f>S12/'Output-Calculation-sheet'!S11*'Output-Calculation-sheet'!S29</f>
        <v>537.83415620068672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146.86887838708651</v>
      </c>
      <c r="Y23" s="2">
        <f>Y12/'Output-Calculation-sheet'!Y11*'Output-Calculation-sheet'!Y29</f>
        <v>0</v>
      </c>
      <c r="AA23" s="2">
        <f t="shared" si="0"/>
        <v>17.897105550031171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16272.121616768367</v>
      </c>
      <c r="C30" s="2">
        <f>C8/'Output-Calculation-sheet'!C7*'Output-Calculation-sheet'!C16</f>
        <v>0</v>
      </c>
      <c r="D30" s="2">
        <f>D8/'Output-Calculation-sheet'!D7*'Output-Calculation-sheet'!D16</f>
        <v>5079.5727172899014</v>
      </c>
      <c r="E30" s="2">
        <f>E8/'Output-Calculation-sheet'!E7*'Output-Calculation-sheet'!E16</f>
        <v>5253.9583251795229</v>
      </c>
      <c r="F30" s="2">
        <f>F8/'Output-Calculation-sheet'!F7*'Output-Calculation-sheet'!F16</f>
        <v>2943.4890696435432</v>
      </c>
      <c r="G30" s="2">
        <f>G8/'Output-Calculation-sheet'!G7*'Output-Calculation-sheet'!G16</f>
        <v>1775.2474900352836</v>
      </c>
      <c r="H30" s="2">
        <f>H8/'Output-Calculation-sheet'!H7*'Output-Calculation-sheet'!H16</f>
        <v>0</v>
      </c>
      <c r="I30" s="2">
        <f>I8/'Output-Calculation-sheet'!I7*'Output-Calculation-sheet'!I16</f>
        <v>1796.7413198725092</v>
      </c>
      <c r="J30" s="2">
        <f>J8/'Output-Calculation-sheet'!J7*'Output-Calculation-sheet'!J16</f>
        <v>1639.9737172236582</v>
      </c>
      <c r="K30" s="2">
        <f>K8/'Output-Calculation-sheet'!K7*'Output-Calculation-sheet'!K16</f>
        <v>2028.2169783243257</v>
      </c>
      <c r="L30" s="2">
        <f>L8/'Output-Calculation-sheet'!L7*'Output-Calculation-sheet'!L16</f>
        <v>1673.8105161600238</v>
      </c>
      <c r="M30" s="2">
        <f>M8/'Output-Calculation-sheet'!M7*'Output-Calculation-sheet'!M16</f>
        <v>0</v>
      </c>
      <c r="N30" s="2">
        <f>N8/'Output-Calculation-sheet'!N7*'Output-Calculation-sheet'!N16</f>
        <v>821.26135741460871</v>
      </c>
      <c r="O30" s="2">
        <f>O8/'Output-Calculation-sheet'!O7*'Output-Calculation-sheet'!O16</f>
        <v>0</v>
      </c>
      <c r="P30" s="2">
        <f>P8/'Output-Calculation-sheet'!P7*'Output-Calculation-sheet'!P16</f>
        <v>1334.1141108727716</v>
      </c>
      <c r="Q30" s="2">
        <f>Q8/'Output-Calculation-sheet'!Q7*'Output-Calculation-sheet'!Q16</f>
        <v>1463.2814737167882</v>
      </c>
      <c r="R30" s="2">
        <f>R8/'Output-Calculation-sheet'!R7*'Output-Calculation-sheet'!R16</f>
        <v>1282.0378666758056</v>
      </c>
      <c r="S30" s="2">
        <f>S8/'Output-Calculation-sheet'!S7*'Output-Calculation-sheet'!S16</f>
        <v>684.65274493710103</v>
      </c>
      <c r="T30" s="2">
        <f>T8/'Output-Calculation-sheet'!T7*'Output-Calculation-sheet'!T16</f>
        <v>467.70790081935519</v>
      </c>
      <c r="U30" s="2">
        <f>U8/'Output-Calculation-sheet'!U7*'Output-Calculation-sheet'!U16</f>
        <v>359.46607407207676</v>
      </c>
      <c r="V30" s="2">
        <f>V8/'Output-Calculation-sheet'!V7*'Output-Calculation-sheet'!V16</f>
        <v>344.21881204459834</v>
      </c>
      <c r="W30" s="2">
        <f>W8/'Output-Calculation-sheet'!W7*'Output-Calculation-sheet'!W16</f>
        <v>238.97361781178034</v>
      </c>
      <c r="X30" s="2">
        <f>X8/'Output-Calculation-sheet'!X7*'Output-Calculation-sheet'!X16</f>
        <v>0</v>
      </c>
      <c r="Y30" s="2">
        <f>Y8/'Output-Calculation-sheet'!Y7*'Output-Calculation-sheet'!Y16</f>
        <v>157.98506660436738</v>
      </c>
      <c r="AA30" s="2">
        <f t="shared" si="1"/>
        <v>45.616830775466376</v>
      </c>
    </row>
    <row r="31" spans="1:27" x14ac:dyDescent="0.25">
      <c r="A31" s="2">
        <v>2032</v>
      </c>
      <c r="B31" s="2">
        <f>B9/'Output-Calculation-sheet'!B8*'Output-Calculation-sheet'!B17</f>
        <v>17377.701561108079</v>
      </c>
      <c r="C31" s="2">
        <f>C9/'Output-Calculation-sheet'!C8*'Output-Calculation-sheet'!C17</f>
        <v>0</v>
      </c>
      <c r="D31" s="2">
        <f>D9/'Output-Calculation-sheet'!D8*'Output-Calculation-sheet'!D17</f>
        <v>5387.4249338951968</v>
      </c>
      <c r="E31" s="2">
        <f>E9/'Output-Calculation-sheet'!E8*'Output-Calculation-sheet'!E17</f>
        <v>5579.2988386988754</v>
      </c>
      <c r="F31" s="2">
        <f>F9/'Output-Calculation-sheet'!F8*'Output-Calculation-sheet'!F17</f>
        <v>3116.9422100561005</v>
      </c>
      <c r="G31" s="2">
        <f>G9/'Output-Calculation-sheet'!G8*'Output-Calculation-sheet'!G17</f>
        <v>1879.0155682552402</v>
      </c>
      <c r="H31" s="2">
        <f>H9/'Output-Calculation-sheet'!H8*'Output-Calculation-sheet'!H17</f>
        <v>0</v>
      </c>
      <c r="I31" s="2">
        <f>I9/'Output-Calculation-sheet'!I8*'Output-Calculation-sheet'!I17</f>
        <v>1905.0839461057105</v>
      </c>
      <c r="J31" s="2">
        <f>J9/'Output-Calculation-sheet'!J8*'Output-Calculation-sheet'!J17</f>
        <v>1737.5652159284807</v>
      </c>
      <c r="K31" s="2">
        <f>K9/'Output-Calculation-sheet'!K8*'Output-Calculation-sheet'!K17</f>
        <v>2152.2897163442808</v>
      </c>
      <c r="L31" s="2">
        <f>L9/'Output-Calculation-sheet'!L8*'Output-Calculation-sheet'!L17</f>
        <v>1776.6827780850658</v>
      </c>
      <c r="M31" s="2">
        <f>M9/'Output-Calculation-sheet'!M8*'Output-Calculation-sheet'!M17</f>
        <v>0</v>
      </c>
      <c r="N31" s="2">
        <f>N9/'Output-Calculation-sheet'!N8*'Output-Calculation-sheet'!N17</f>
        <v>785.91013700614349</v>
      </c>
      <c r="O31" s="2">
        <f>O9/'Output-Calculation-sheet'!O8*'Output-Calculation-sheet'!O17</f>
        <v>0</v>
      </c>
      <c r="P31" s="2">
        <f>P9/'Output-Calculation-sheet'!P8*'Output-Calculation-sheet'!P17</f>
        <v>1429.3014470992157</v>
      </c>
      <c r="Q31" s="2">
        <f>Q9/'Output-Calculation-sheet'!Q8*'Output-Calculation-sheet'!Q17</f>
        <v>1566.3768092315104</v>
      </c>
      <c r="R31" s="2">
        <f>R9/'Output-Calculation-sheet'!R8*'Output-Calculation-sheet'!R17</f>
        <v>1360.0114705527094</v>
      </c>
      <c r="S31" s="2">
        <f>S9/'Output-Calculation-sheet'!S8*'Output-Calculation-sheet'!S17</f>
        <v>678.57592538295023</v>
      </c>
      <c r="T31" s="2">
        <f>T9/'Output-Calculation-sheet'!T8*'Output-Calculation-sheet'!T17</f>
        <v>495.59942892325211</v>
      </c>
      <c r="U31" s="2">
        <f>U9/'Output-Calculation-sheet'!U8*'Output-Calculation-sheet'!U17</f>
        <v>382.23100580570696</v>
      </c>
      <c r="V31" s="2">
        <f>V9/'Output-Calculation-sheet'!V8*'Output-Calculation-sheet'!V17</f>
        <v>366.28944702883103</v>
      </c>
      <c r="W31" s="2">
        <f>W9/'Output-Calculation-sheet'!W8*'Output-Calculation-sheet'!W17</f>
        <v>253.64208960430798</v>
      </c>
      <c r="X31" s="2">
        <f>X9/'Output-Calculation-sheet'!X8*'Output-Calculation-sheet'!X17</f>
        <v>0</v>
      </c>
      <c r="Y31" s="2">
        <f>Y9/'Output-Calculation-sheet'!Y8*'Output-Calculation-sheet'!Y17</f>
        <v>167.6820239677391</v>
      </c>
      <c r="AA31" s="2">
        <f t="shared" si="1"/>
        <v>48.397624553079396</v>
      </c>
    </row>
    <row r="32" spans="1:27" x14ac:dyDescent="0.25">
      <c r="A32" s="2">
        <v>2033</v>
      </c>
      <c r="B32" s="2">
        <f>B10/'Output-Calculation-sheet'!B9*'Output-Calculation-sheet'!B18</f>
        <v>16327.068215043311</v>
      </c>
      <c r="C32" s="2">
        <f>C10/'Output-Calculation-sheet'!C9*'Output-Calculation-sheet'!C18</f>
        <v>0</v>
      </c>
      <c r="D32" s="2">
        <f>D10/'Output-Calculation-sheet'!D9*'Output-Calculation-sheet'!D18</f>
        <v>5450.6674815431434</v>
      </c>
      <c r="E32" s="2">
        <f>E10/'Output-Calculation-sheet'!E9*'Output-Calculation-sheet'!E18</f>
        <v>5644.3269893321676</v>
      </c>
      <c r="F32" s="2">
        <f>F10/'Output-Calculation-sheet'!F9*'Output-Calculation-sheet'!F18</f>
        <v>3152.7130751224504</v>
      </c>
      <c r="G32" s="2">
        <f>G10/'Output-Calculation-sheet'!G9*'Output-Calculation-sheet'!G18</f>
        <v>1901.452423843109</v>
      </c>
      <c r="H32" s="2">
        <f>H10/'Output-Calculation-sheet'!H9*'Output-Calculation-sheet'!H18</f>
        <v>0</v>
      </c>
      <c r="I32" s="2">
        <f>I10/'Output-Calculation-sheet'!I9*'Output-Calculation-sheet'!I18</f>
        <v>1927.6319720313859</v>
      </c>
      <c r="J32" s="2">
        <f>J10/'Output-Calculation-sheet'!J9*'Output-Calculation-sheet'!J18</f>
        <v>1758.0873857660019</v>
      </c>
      <c r="K32" s="2">
        <f>K10/'Output-Calculation-sheet'!K9*'Output-Calculation-sheet'!K18</f>
        <v>2182.6932788822096</v>
      </c>
      <c r="L32" s="2">
        <f>L10/'Output-Calculation-sheet'!L9*'Output-Calculation-sheet'!L18</f>
        <v>1798.8357725612705</v>
      </c>
      <c r="M32" s="2">
        <f>M10/'Output-Calculation-sheet'!M9*'Output-Calculation-sheet'!M18</f>
        <v>0</v>
      </c>
      <c r="N32" s="2">
        <f>N10/'Output-Calculation-sheet'!N9*'Output-Calculation-sheet'!N18</f>
        <v>712.00676464028231</v>
      </c>
      <c r="O32" s="2">
        <f>O10/'Output-Calculation-sheet'!O9*'Output-Calculation-sheet'!O18</f>
        <v>0</v>
      </c>
      <c r="P32" s="2">
        <f>P10/'Output-Calculation-sheet'!P9*'Output-Calculation-sheet'!P18</f>
        <v>1456.7878417548109</v>
      </c>
      <c r="Q32" s="2">
        <f>Q10/'Output-Calculation-sheet'!Q9*'Output-Calculation-sheet'!Q18</f>
        <v>1597.7089594550234</v>
      </c>
      <c r="R32" s="2">
        <f>R10/'Output-Calculation-sheet'!R9*'Output-Calculation-sheet'!R18</f>
        <v>1380.0276384729002</v>
      </c>
      <c r="S32" s="2">
        <f>S10/'Output-Calculation-sheet'!S9*'Output-Calculation-sheet'!S18</f>
        <v>642.35362229965028</v>
      </c>
      <c r="T32" s="2">
        <f>T10/'Output-Calculation-sheet'!T9*'Output-Calculation-sheet'!T18</f>
        <v>501.97583581504</v>
      </c>
      <c r="U32" s="2">
        <f>U10/'Output-Calculation-sheet'!U9*'Output-Calculation-sheet'!U18</f>
        <v>387.13816613184372</v>
      </c>
      <c r="V32" s="2">
        <f>V10/'Output-Calculation-sheet'!V9*'Output-Calculation-sheet'!V18</f>
        <v>371.39077101147052</v>
      </c>
      <c r="W32" s="2">
        <f>W10/'Output-Calculation-sheet'!W9*'Output-Calculation-sheet'!W18</f>
        <v>256.27288361939236</v>
      </c>
      <c r="X32" s="2">
        <f>X10/'Output-Calculation-sheet'!X9*'Output-Calculation-sheet'!X18</f>
        <v>0</v>
      </c>
      <c r="Y32" s="2">
        <f>Y10/'Output-Calculation-sheet'!Y9*'Output-Calculation-sheet'!Y18</f>
        <v>169.92065138686976</v>
      </c>
      <c r="AA32" s="2">
        <f t="shared" si="1"/>
        <v>47.619059728712337</v>
      </c>
    </row>
    <row r="33" spans="1:27" x14ac:dyDescent="0.25">
      <c r="A33" s="2">
        <v>2034</v>
      </c>
      <c r="B33" s="2">
        <f>B11/'Output-Calculation-sheet'!B10*'Output-Calculation-sheet'!B19</f>
        <v>14880.095218344566</v>
      </c>
      <c r="C33" s="2">
        <f>C11/'Output-Calculation-sheet'!C10*'Output-Calculation-sheet'!C19</f>
        <v>0</v>
      </c>
      <c r="D33" s="2">
        <f>D11/'Output-Calculation-sheet'!D10*'Output-Calculation-sheet'!D19</f>
        <v>5261.2929095288573</v>
      </c>
      <c r="E33" s="2">
        <f>E11/'Output-Calculation-sheet'!E10*'Output-Calculation-sheet'!E19</f>
        <v>5461.087720922289</v>
      </c>
      <c r="F33" s="2">
        <f>F11/'Output-Calculation-sheet'!F10*'Output-Calculation-sheet'!F19</f>
        <v>3044.7284235425254</v>
      </c>
      <c r="G33" s="2">
        <f>G11/'Output-Calculation-sheet'!G10*'Output-Calculation-sheet'!G19</f>
        <v>1833.448141266585</v>
      </c>
      <c r="H33" s="2">
        <f>H11/'Output-Calculation-sheet'!H10*'Output-Calculation-sheet'!H19</f>
        <v>0</v>
      </c>
      <c r="I33" s="2">
        <f>I11/'Output-Calculation-sheet'!I10*'Output-Calculation-sheet'!I19</f>
        <v>1867.3806262043581</v>
      </c>
      <c r="J33" s="2">
        <f>J11/'Output-Calculation-sheet'!J10*'Output-Calculation-sheet'!J19</f>
        <v>1697.112194026485</v>
      </c>
      <c r="K33" s="2">
        <f>K11/'Output-Calculation-sheet'!K10*'Output-Calculation-sheet'!K19</f>
        <v>2113.8786485639812</v>
      </c>
      <c r="L33" s="2">
        <f>L11/'Output-Calculation-sheet'!L10*'Output-Calculation-sheet'!L19</f>
        <v>1738.6409996331124</v>
      </c>
      <c r="M33" s="2">
        <f>M11/'Output-Calculation-sheet'!M10*'Output-Calculation-sheet'!M19</f>
        <v>0</v>
      </c>
      <c r="N33" s="2">
        <f>N11/'Output-Calculation-sheet'!N10*'Output-Calculation-sheet'!N19</f>
        <v>644.31025242787575</v>
      </c>
      <c r="O33" s="2">
        <f>O11/'Output-Calculation-sheet'!O10*'Output-Calculation-sheet'!O19</f>
        <v>0</v>
      </c>
      <c r="P33" s="2">
        <f>P11/'Output-Calculation-sheet'!P10*'Output-Calculation-sheet'!P19</f>
        <v>1417.1660947890146</v>
      </c>
      <c r="Q33" s="2">
        <f>Q11/'Output-Calculation-sheet'!Q10*'Output-Calculation-sheet'!Q19</f>
        <v>1556.8981414064654</v>
      </c>
      <c r="R33" s="2">
        <f>R11/'Output-Calculation-sheet'!R10*'Output-Calculation-sheet'!R19</f>
        <v>1336.0609188675389</v>
      </c>
      <c r="S33" s="2">
        <f>S11/'Output-Calculation-sheet'!S10*'Output-Calculation-sheet'!S19</f>
        <v>616.21425606828643</v>
      </c>
      <c r="T33" s="2">
        <f>T11/'Output-Calculation-sheet'!T10*'Output-Calculation-sheet'!T19</f>
        <v>485.53588273183982</v>
      </c>
      <c r="U33" s="2">
        <f>U11/'Output-Calculation-sheet'!U10*'Output-Calculation-sheet'!U19</f>
        <v>375.72195084612804</v>
      </c>
      <c r="V33" s="2">
        <f>V11/'Output-Calculation-sheet'!V10*'Output-Calculation-sheet'!V19</f>
        <v>360.18988690569387</v>
      </c>
      <c r="W33" s="2">
        <f>W11/'Output-Calculation-sheet'!W10*'Output-Calculation-sheet'!W19</f>
        <v>247.46688155813675</v>
      </c>
      <c r="X33" s="2">
        <f>X11/'Output-Calculation-sheet'!X10*'Output-Calculation-sheet'!X19</f>
        <v>0</v>
      </c>
      <c r="Y33" s="2">
        <f>Y11/'Output-Calculation-sheet'!Y10*'Output-Calculation-sheet'!Y19</f>
        <v>164.3083072547154</v>
      </c>
      <c r="AA33" s="2">
        <f t="shared" si="1"/>
        <v>45.101537454888444</v>
      </c>
    </row>
    <row r="34" spans="1:27" x14ac:dyDescent="0.25">
      <c r="A34" s="2">
        <v>2035</v>
      </c>
      <c r="B34" s="2">
        <f>B12/'Output-Calculation-sheet'!B11*'Output-Calculation-sheet'!B20</f>
        <v>13105.297822595625</v>
      </c>
      <c r="C34" s="2">
        <f>C12/'Output-Calculation-sheet'!C11*'Output-Calculation-sheet'!C20</f>
        <v>0</v>
      </c>
      <c r="D34" s="2">
        <f>D12/'Output-Calculation-sheet'!D11*'Output-Calculation-sheet'!D20</f>
        <v>4846.7208422827052</v>
      </c>
      <c r="E34" s="2">
        <f>E12/'Output-Calculation-sheet'!E11*'Output-Calculation-sheet'!E20</f>
        <v>5028.6827673442076</v>
      </c>
      <c r="F34" s="2">
        <f>F12/'Output-Calculation-sheet'!F11*'Output-Calculation-sheet'!F20</f>
        <v>2799.5790449888882</v>
      </c>
      <c r="G34" s="2">
        <f>G12/'Output-Calculation-sheet'!G11*'Output-Calculation-sheet'!G20</f>
        <v>1682.1130871327032</v>
      </c>
      <c r="H34" s="2">
        <f>H12/'Output-Calculation-sheet'!H11*'Output-Calculation-sheet'!H20</f>
        <v>0</v>
      </c>
      <c r="I34" s="2">
        <f>I12/'Output-Calculation-sheet'!I11*'Output-Calculation-sheet'!I20</f>
        <v>1718.0794418235746</v>
      </c>
      <c r="J34" s="2">
        <f>J12/'Output-Calculation-sheet'!J11*'Output-Calculation-sheet'!J20</f>
        <v>1556.0119351285953</v>
      </c>
      <c r="K34" s="2">
        <f>K12/'Output-Calculation-sheet'!K11*'Output-Calculation-sheet'!K20</f>
        <v>1946.4870548718516</v>
      </c>
      <c r="L34" s="2">
        <f>L12/'Output-Calculation-sheet'!L11*'Output-Calculation-sheet'!L20</f>
        <v>1598.1905095714344</v>
      </c>
      <c r="M34" s="2">
        <f>M12/'Output-Calculation-sheet'!M11*'Output-Calculation-sheet'!M20</f>
        <v>0</v>
      </c>
      <c r="N34" s="2">
        <f>N12/'Output-Calculation-sheet'!N11*'Output-Calculation-sheet'!N20</f>
        <v>562.25833010424515</v>
      </c>
      <c r="O34" s="2">
        <f>O12/'Output-Calculation-sheet'!O11*'Output-Calculation-sheet'!O20</f>
        <v>0</v>
      </c>
      <c r="P34" s="2">
        <f>P12/'Output-Calculation-sheet'!P11*'Output-Calculation-sheet'!P20</f>
        <v>1312.3572844817293</v>
      </c>
      <c r="Q34" s="2">
        <f>Q12/'Output-Calculation-sheet'!Q11*'Output-Calculation-sheet'!Q20</f>
        <v>1439.0601095018874</v>
      </c>
      <c r="R34" s="2">
        <f>R12/'Output-Calculation-sheet'!R11*'Output-Calculation-sheet'!R20</f>
        <v>1233.9968860615459</v>
      </c>
      <c r="S34" s="2">
        <f>S12/'Output-Calculation-sheet'!S11*'Output-Calculation-sheet'!S20</f>
        <v>530.67821986930755</v>
      </c>
      <c r="T34" s="2">
        <f>T12/'Output-Calculation-sheet'!T11*'Output-Calculation-sheet'!T20</f>
        <v>446.65956635461879</v>
      </c>
      <c r="U34" s="2">
        <f>U12/'Output-Calculation-sheet'!U11*'Output-Calculation-sheet'!U20</f>
        <v>346.46604460869781</v>
      </c>
      <c r="V34" s="2">
        <f>V12/'Output-Calculation-sheet'!V11*'Output-Calculation-sheet'!V20</f>
        <v>332.73345301791363</v>
      </c>
      <c r="W34" s="2">
        <f>W12/'Output-Calculation-sheet'!W11*'Output-Calculation-sheet'!W20</f>
        <v>227.37226199446164</v>
      </c>
      <c r="X34" s="2">
        <f>X12/'Output-Calculation-sheet'!X11*'Output-Calculation-sheet'!X20</f>
        <v>0</v>
      </c>
      <c r="Y34" s="2">
        <f>Y12/'Output-Calculation-sheet'!Y11*'Output-Calculation-sheet'!Y20</f>
        <v>151.36081342798815</v>
      </c>
      <c r="AA34" s="2">
        <f t="shared" si="1"/>
        <v>40.864105475161985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5.074470538201223</v>
      </c>
      <c r="C63" s="2">
        <f>C8*'Output-Calculation-sheet'!C52/10^9</f>
        <v>2.441723777413138</v>
      </c>
      <c r="D63" s="2">
        <f>D8*'Output-Calculation-sheet'!D52/10^9</f>
        <v>1.1105450121935041</v>
      </c>
      <c r="E63" s="2">
        <f>E8*'Output-Calculation-sheet'!E52/10^9</f>
        <v>1.2356694064854759</v>
      </c>
      <c r="F63" s="2">
        <f>F8*'Output-Calculation-sheet'!F52/10^9</f>
        <v>0.57074441285513733</v>
      </c>
      <c r="G63" s="2">
        <f>G8*'Output-Calculation-sheet'!G52/10^9</f>
        <v>0.39450240317552332</v>
      </c>
      <c r="H63" s="2">
        <f>H8*'Output-Calculation-sheet'!H52/10^9</f>
        <v>0.74389573373275009</v>
      </c>
      <c r="I63" s="2">
        <f>I8*'Output-Calculation-sheet'!I52/10^9</f>
        <v>0.38928777196801312</v>
      </c>
      <c r="J63" s="2">
        <f>J8*'Output-Calculation-sheet'!J52/10^9</f>
        <v>0.35140396182146205</v>
      </c>
      <c r="K63" s="2">
        <f>K8*'Output-Calculation-sheet'!K52/10^9</f>
        <v>0.45354714119811929</v>
      </c>
      <c r="L63" s="2">
        <f>L8*'Output-Calculation-sheet'!L52/10^9</f>
        <v>0.37467108115353664</v>
      </c>
      <c r="M63" s="2">
        <f>M8*'Output-Calculation-sheet'!M52/10^9</f>
        <v>0.51394417547254023</v>
      </c>
      <c r="N63" s="2">
        <f>N8*'Output-Calculation-sheet'!N52/10^9</f>
        <v>0.53717394185712442</v>
      </c>
      <c r="O63" s="2">
        <f>O8*'Output-Calculation-sheet'!O52/10^9</f>
        <v>0.4744324942620412</v>
      </c>
      <c r="P63" s="2">
        <f>P8*'Output-Calculation-sheet'!P52/10^9</f>
        <v>0.39766946912245371</v>
      </c>
      <c r="Q63" s="2">
        <f>Q8*'Output-Calculation-sheet'!Q52/10^9</f>
        <v>0.41010048512315528</v>
      </c>
      <c r="R63" s="2">
        <f>R8*'Output-Calculation-sheet'!R52/10^9</f>
        <v>0.32797449713025284</v>
      </c>
      <c r="S63" s="2">
        <f>S8*'Output-Calculation-sheet'!S52/10^9</f>
        <v>0.30233504401829053</v>
      </c>
      <c r="T63" s="2">
        <f>T8*'Output-Calculation-sheet'!T52/10^9</f>
        <v>0.10252590140009878</v>
      </c>
      <c r="U63" s="2">
        <f>U8*'Output-Calculation-sheet'!U52/10^9</f>
        <v>0.10306390599151098</v>
      </c>
      <c r="V63" s="2">
        <f>V8*'Output-Calculation-sheet'!V52/10^9</f>
        <v>7.6757874352100713E-2</v>
      </c>
      <c r="W63" s="2">
        <f>W8*'Output-Calculation-sheet'!W52/10^9</f>
        <v>4.7990868402977949E-2</v>
      </c>
      <c r="X63" s="2">
        <f>X8*'Output-Calculation-sheet'!X52/10^9</f>
        <v>6.1117170212691731E-2</v>
      </c>
      <c r="Y63" s="2">
        <f>Y8*'Output-Calculation-sheet'!Y52/10^9</f>
        <v>4.0163734012862044E-2</v>
      </c>
      <c r="AA63" s="2">
        <f t="shared" si="4"/>
        <v>16.535710801555982</v>
      </c>
    </row>
    <row r="64" spans="1:27" x14ac:dyDescent="0.25">
      <c r="A64" s="2">
        <v>2032</v>
      </c>
      <c r="B64" s="2">
        <f>B9*'Output-Calculation-sheet'!B53/10^9</f>
        <v>5.3340643156454757</v>
      </c>
      <c r="C64" s="2">
        <f>C9*'Output-Calculation-sheet'!C53/10^9</f>
        <v>2.5758141046105729</v>
      </c>
      <c r="D64" s="2">
        <f>D9*'Output-Calculation-sheet'!D53/10^9</f>
        <v>1.1655926956108289</v>
      </c>
      <c r="E64" s="2">
        <f>E9*'Output-Calculation-sheet'!E53/10^9</f>
        <v>1.2973840462571227</v>
      </c>
      <c r="F64" s="2">
        <f>F9*'Output-Calculation-sheet'!F53/10^9</f>
        <v>0.5986503145114549</v>
      </c>
      <c r="G64" s="2">
        <f>G9*'Output-Calculation-sheet'!G53/10^9</f>
        <v>0.41409480675085214</v>
      </c>
      <c r="H64" s="2">
        <f>H9*'Output-Calculation-sheet'!H53/10^9</f>
        <v>0.77749008883643189</v>
      </c>
      <c r="I64" s="2">
        <f>I9*'Output-Calculation-sheet'!I53/10^9</f>
        <v>0.40856628404911055</v>
      </c>
      <c r="J64" s="2">
        <f>J9*'Output-Calculation-sheet'!J53/10^9</f>
        <v>0.368785046282745</v>
      </c>
      <c r="K64" s="2">
        <f>K9*'Output-Calculation-sheet'!K53/10^9</f>
        <v>0.47608485003604362</v>
      </c>
      <c r="L64" s="2">
        <f>L9*'Output-Calculation-sheet'!L53/10^9</f>
        <v>0.39329023792909479</v>
      </c>
      <c r="M64" s="2">
        <f>M9*'Output-Calculation-sheet'!M53/10^9</f>
        <v>0.5371800671659156</v>
      </c>
      <c r="N64" s="2">
        <f>N9*'Output-Calculation-sheet'!N53/10^9</f>
        <v>0.5621820427020946</v>
      </c>
      <c r="O64" s="2">
        <f>O9*'Output-Calculation-sheet'!O53/10^9</f>
        <v>0.50048655040761014</v>
      </c>
      <c r="P64" s="2">
        <f>P9*'Output-Calculation-sheet'!P53/10^9</f>
        <v>0.41793951096712439</v>
      </c>
      <c r="Q64" s="2">
        <f>Q9*'Output-Calculation-sheet'!Q53/10^9</f>
        <v>0.43090280660055952</v>
      </c>
      <c r="R64" s="2">
        <f>R9*'Output-Calculation-sheet'!R53/10^9</f>
        <v>0.34448751342916462</v>
      </c>
      <c r="S64" s="2">
        <f>S9*'Output-Calculation-sheet'!S53/10^9</f>
        <v>0.31702571359765069</v>
      </c>
      <c r="T64" s="2">
        <f>T9*'Output-Calculation-sheet'!T53/10^9</f>
        <v>0.10761005098048206</v>
      </c>
      <c r="U64" s="2">
        <f>U9*'Output-Calculation-sheet'!U53/10^9</f>
        <v>0.10830347465072293</v>
      </c>
      <c r="V64" s="2">
        <f>V9*'Output-Calculation-sheet'!V53/10^9</f>
        <v>8.0570369773643846E-2</v>
      </c>
      <c r="W64" s="2">
        <f>W9*'Output-Calculation-sheet'!W53/10^9</f>
        <v>5.0347153939784027E-2</v>
      </c>
      <c r="X64" s="2">
        <f>X9*'Output-Calculation-sheet'!X53/10^9</f>
        <v>6.3941960857198082E-2</v>
      </c>
      <c r="Y64" s="2">
        <f>Y9*'Output-Calculation-sheet'!Y53/10^9</f>
        <v>4.2184645251637863E-2</v>
      </c>
      <c r="AA64" s="2">
        <f t="shared" si="4"/>
        <v>17.372978650843322</v>
      </c>
    </row>
    <row r="65" spans="1:27" x14ac:dyDescent="0.25">
      <c r="A65" s="2">
        <v>2033</v>
      </c>
      <c r="B65" s="2">
        <f>B10*'Output-Calculation-sheet'!B54/10^9</f>
        <v>5.3455821703535831</v>
      </c>
      <c r="C65" s="2">
        <f>C10*'Output-Calculation-sheet'!C54/10^9</f>
        <v>2.5877421214991969</v>
      </c>
      <c r="D65" s="2">
        <f>D10*'Output-Calculation-sheet'!D54/10^9</f>
        <v>1.1675489470656339</v>
      </c>
      <c r="E65" s="2">
        <f>E10*'Output-Calculation-sheet'!E54/10^9</f>
        <v>1.3000287008364766</v>
      </c>
      <c r="F65" s="2">
        <f>F10*'Output-Calculation-sheet'!F54/10^9</f>
        <v>0.59926563823059198</v>
      </c>
      <c r="G65" s="2">
        <f>G10*'Output-Calculation-sheet'!G54/10^9</f>
        <v>0.41482946664753928</v>
      </c>
      <c r="H65" s="2">
        <f>H10*'Output-Calculation-sheet'!H54/10^9</f>
        <v>0.77526574894595501</v>
      </c>
      <c r="I65" s="2">
        <f>I10*'Output-Calculation-sheet'!I54/10^9</f>
        <v>0.40923456760484289</v>
      </c>
      <c r="J65" s="2">
        <f>J10*'Output-Calculation-sheet'!J54/10^9</f>
        <v>0.36936684097820854</v>
      </c>
      <c r="K65" s="2">
        <f>K10*'Output-Calculation-sheet'!K54/10^9</f>
        <v>0.47693545956743044</v>
      </c>
      <c r="L65" s="2">
        <f>L10*'Output-Calculation-sheet'!L54/10^9</f>
        <v>0.39399592422939189</v>
      </c>
      <c r="M65" s="2">
        <f>M10*'Output-Calculation-sheet'!M54/10^9</f>
        <v>0.53566639547172945</v>
      </c>
      <c r="N65" s="2">
        <f>N10*'Output-Calculation-sheet'!N54/10^9</f>
        <v>0.561191688471955</v>
      </c>
      <c r="O65" s="2">
        <f>O10*'Output-Calculation-sheet'!O54/10^9</f>
        <v>0.50390607924638475</v>
      </c>
      <c r="P65" s="2">
        <f>P10*'Output-Calculation-sheet'!P54/10^9</f>
        <v>0.41919629927405899</v>
      </c>
      <c r="Q65" s="2">
        <f>Q10*'Output-Calculation-sheet'!Q54/10^9</f>
        <v>0.43209343473330664</v>
      </c>
      <c r="R65" s="2">
        <f>R10*'Output-Calculation-sheet'!R54/10^9</f>
        <v>0.34532194476290706</v>
      </c>
      <c r="S65" s="2">
        <f>S10*'Output-Calculation-sheet'!S54/10^9</f>
        <v>0.3169803366051776</v>
      </c>
      <c r="T65" s="2">
        <f>T10*'Output-Calculation-sheet'!T54/10^9</f>
        <v>0.10779211550817588</v>
      </c>
      <c r="U65" s="2">
        <f>U10*'Output-Calculation-sheet'!U54/10^9</f>
        <v>0.10861688674919906</v>
      </c>
      <c r="V65" s="2">
        <f>V10*'Output-Calculation-sheet'!V54/10^9</f>
        <v>8.0712036234413226E-2</v>
      </c>
      <c r="W65" s="2">
        <f>W10*'Output-Calculation-sheet'!W54/10^9</f>
        <v>5.0408553050825651E-2</v>
      </c>
      <c r="X65" s="2">
        <f>X10*'Output-Calculation-sheet'!X54/10^9</f>
        <v>6.3821009947430257E-2</v>
      </c>
      <c r="Y65" s="2">
        <f>Y10*'Output-Calculation-sheet'!Y54/10^9</f>
        <v>4.2285785994291586E-2</v>
      </c>
      <c r="AA65" s="2">
        <f t="shared" si="4"/>
        <v>17.407788152008706</v>
      </c>
    </row>
    <row r="66" spans="1:27" x14ac:dyDescent="0.25">
      <c r="A66" s="2">
        <v>2034</v>
      </c>
      <c r="B66" s="2">
        <f>B11*'Output-Calculation-sheet'!B55/10^9</f>
        <v>5.1091490854370445</v>
      </c>
      <c r="C66" s="2">
        <f>C11*'Output-Calculation-sheet'!C55/10^9</f>
        <v>2.4684646034118285</v>
      </c>
      <c r="D66" s="2">
        <f>D11*'Output-Calculation-sheet'!D55/10^9</f>
        <v>1.1171347766667163</v>
      </c>
      <c r="E66" s="2">
        <f>E11*'Output-Calculation-sheet'!E55/10^9</f>
        <v>1.244339492131139</v>
      </c>
      <c r="F66" s="2">
        <f>F11*'Output-Calculation-sheet'!F55/10^9</f>
        <v>0.5730106231085722</v>
      </c>
      <c r="G66" s="2">
        <f>G11*'Output-Calculation-sheet'!G55/10^9</f>
        <v>0.39695538257502772</v>
      </c>
      <c r="H66" s="2">
        <f>H11*'Output-Calculation-sheet'!H55/10^9</f>
        <v>0.73816333722773031</v>
      </c>
      <c r="I66" s="2">
        <f>I11*'Output-Calculation-sheet'!I55/10^9</f>
        <v>0.39154286435655972</v>
      </c>
      <c r="J66" s="2">
        <f>J11*'Output-Calculation-sheet'!J55/10^9</f>
        <v>0.35338229806518684</v>
      </c>
      <c r="K66" s="2">
        <f>K11*'Output-Calculation-sheet'!K55/10^9</f>
        <v>0.45638407148835131</v>
      </c>
      <c r="L66" s="2">
        <f>L11*'Output-Calculation-sheet'!L55/10^9</f>
        <v>0.37702429852372255</v>
      </c>
      <c r="M66" s="2">
        <f>M11*'Output-Calculation-sheet'!M55/10^9</f>
        <v>0.51005295445629584</v>
      </c>
      <c r="N66" s="2">
        <f>N11*'Output-Calculation-sheet'!N55/10^9</f>
        <v>0.53483331572722492</v>
      </c>
      <c r="O66" s="2">
        <f>O11*'Output-Calculation-sheet'!O55/10^9</f>
        <v>0.48465152407972012</v>
      </c>
      <c r="P66" s="2">
        <f>P11*'Output-Calculation-sheet'!P55/10^9</f>
        <v>0.40162320849436906</v>
      </c>
      <c r="Q66" s="2">
        <f>Q11*'Output-Calculation-sheet'!Q55/10^9</f>
        <v>0.41387447871558536</v>
      </c>
      <c r="R66" s="2">
        <f>R11*'Output-Calculation-sheet'!R55/10^9</f>
        <v>0.3306554380388535</v>
      </c>
      <c r="S66" s="2">
        <f>S11*'Output-Calculation-sheet'!S55/10^9</f>
        <v>0.30250901765243648</v>
      </c>
      <c r="T66" s="2">
        <f>T11*'Output-Calculation-sheet'!T55/10^9</f>
        <v>0.10313829849918096</v>
      </c>
      <c r="U66" s="2">
        <f>U11*'Output-Calculation-sheet'!U55/10^9</f>
        <v>0.1040533359429667</v>
      </c>
      <c r="V66" s="2">
        <f>V11*'Output-Calculation-sheet'!V55/10^9</f>
        <v>7.7231853530548331E-2</v>
      </c>
      <c r="W66" s="2">
        <f>W11*'Output-Calculation-sheet'!W55/10^9</f>
        <v>4.8209659732559772E-2</v>
      </c>
      <c r="X66" s="2">
        <f>X11*'Output-Calculation-sheet'!X55/10^9</f>
        <v>6.0827107940199611E-2</v>
      </c>
      <c r="Y66" s="2">
        <f>Y11*'Output-Calculation-sheet'!Y55/10^9</f>
        <v>4.0489015166909573E-2</v>
      </c>
      <c r="AA66" s="2">
        <f t="shared" si="4"/>
        <v>16.637700040968728</v>
      </c>
    </row>
    <row r="67" spans="1:27" x14ac:dyDescent="0.25">
      <c r="A67" s="2">
        <v>2035</v>
      </c>
      <c r="B67" s="2">
        <f>B12*'Output-Calculation-sheet'!B56/10^9</f>
        <v>4.6412528297856843</v>
      </c>
      <c r="C67" s="2">
        <f>C12*'Output-Calculation-sheet'!C56/10^9</f>
        <v>2.2392995671910008</v>
      </c>
      <c r="D67" s="2">
        <f>D12*'Output-Calculation-sheet'!D56/10^9</f>
        <v>1.0170032374334819</v>
      </c>
      <c r="E67" s="2">
        <f>E12*'Output-Calculation-sheet'!E56/10^9</f>
        <v>1.1332103630640993</v>
      </c>
      <c r="F67" s="2">
        <f>F12*'Output-Calculation-sheet'!F56/10^9</f>
        <v>0.52130048942401119</v>
      </c>
      <c r="G67" s="2">
        <f>G12*'Output-Calculation-sheet'!G56/10^9</f>
        <v>0.36141577921325002</v>
      </c>
      <c r="H67" s="2">
        <f>H12*'Output-Calculation-sheet'!H56/10^9</f>
        <v>0.66847304914035766</v>
      </c>
      <c r="I67" s="2">
        <f>I12*'Output-Calculation-sheet'!I56/10^9</f>
        <v>0.35642645154045466</v>
      </c>
      <c r="J67" s="2">
        <f>J12*'Output-Calculation-sheet'!J56/10^9</f>
        <v>0.32167843815786967</v>
      </c>
      <c r="K67" s="2">
        <f>K12*'Output-Calculation-sheet'!K56/10^9</f>
        <v>0.41551419436132431</v>
      </c>
      <c r="L67" s="2">
        <f>L12*'Output-Calculation-sheet'!L56/10^9</f>
        <v>0.34326988799959796</v>
      </c>
      <c r="M67" s="2">
        <f>M12*'Output-Calculation-sheet'!M56/10^9</f>
        <v>0.46191875159605184</v>
      </c>
      <c r="N67" s="2">
        <f>N12*'Output-Calculation-sheet'!N56/10^9</f>
        <v>0.48478899020949151</v>
      </c>
      <c r="O67" s="2">
        <f>O12*'Output-Calculation-sheet'!O56/10^9</f>
        <v>0.44095328584886251</v>
      </c>
      <c r="P67" s="2">
        <f>P12*'Output-Calculation-sheet'!P56/10^9</f>
        <v>0.36610198940478639</v>
      </c>
      <c r="Q67" s="2">
        <f>Q12*'Output-Calculation-sheet'!Q56/10^9</f>
        <v>0.37716200219727919</v>
      </c>
      <c r="R67" s="2">
        <f>R12*'Output-Calculation-sheet'!R56/10^9</f>
        <v>0.30123957006873681</v>
      </c>
      <c r="S67" s="2">
        <f>S12*'Output-Calculation-sheet'!S56/10^9</f>
        <v>0.27451477759856618</v>
      </c>
      <c r="T67" s="2">
        <f>T12*'Output-Calculation-sheet'!T56/10^9</f>
        <v>9.3894357337666046E-2</v>
      </c>
      <c r="U67" s="2">
        <f>U12*'Output-Calculation-sheet'!U56/10^9</f>
        <v>9.4842414539569903E-2</v>
      </c>
      <c r="V67" s="2">
        <f>V12*'Output-Calculation-sheet'!V56/10^9</f>
        <v>7.0312287328501713E-2</v>
      </c>
      <c r="W67" s="2">
        <f>W12*'Output-Calculation-sheet'!W56/10^9</f>
        <v>4.3868112884593621E-2</v>
      </c>
      <c r="X67" s="2">
        <f>X12*'Output-Calculation-sheet'!X56/10^9</f>
        <v>5.5136581033298056E-2</v>
      </c>
      <c r="Y67" s="2">
        <f>Y12*'Output-Calculation-sheet'!Y56/10^9</f>
        <v>3.6886547841083736E-2</v>
      </c>
      <c r="AA67" s="2">
        <f t="shared" si="4"/>
        <v>15.12046395519962</v>
      </c>
    </row>
    <row r="68" spans="1:27" x14ac:dyDescent="0.25">
      <c r="B68" s="2">
        <f>SUM(B60:B67)</f>
        <v>36.500604302908037</v>
      </c>
      <c r="C68" s="2">
        <f t="shared" ref="C68:Y68" si="5">SUM(C60:C67)</f>
        <v>17.554157463255805</v>
      </c>
      <c r="D68" s="2">
        <f t="shared" si="5"/>
        <v>7.9943890368752104</v>
      </c>
      <c r="E68" s="2">
        <f t="shared" si="5"/>
        <v>8.8967602503495105</v>
      </c>
      <c r="F68" s="2">
        <f t="shared" si="5"/>
        <v>4.107059151841943</v>
      </c>
      <c r="G68" s="2">
        <f t="shared" si="5"/>
        <v>2.8400834063389366</v>
      </c>
      <c r="H68" s="2">
        <f t="shared" si="5"/>
        <v>5.3250119222418917</v>
      </c>
      <c r="I68" s="2">
        <f t="shared" si="5"/>
        <v>2.8022250025042572</v>
      </c>
      <c r="J68" s="2">
        <f t="shared" si="5"/>
        <v>2.529493753991674</v>
      </c>
      <c r="K68" s="2">
        <f t="shared" si="5"/>
        <v>3.2650131897190922</v>
      </c>
      <c r="L68" s="2">
        <f t="shared" si="5"/>
        <v>2.6972445608776514</v>
      </c>
      <c r="M68" s="2">
        <f t="shared" si="5"/>
        <v>3.6787191266395012</v>
      </c>
      <c r="N68" s="2">
        <f t="shared" si="5"/>
        <v>3.8491830923161539</v>
      </c>
      <c r="O68" s="2">
        <f t="shared" si="5"/>
        <v>3.4227827234806059</v>
      </c>
      <c r="P68" s="2">
        <f t="shared" si="5"/>
        <v>2.8646619815913974</v>
      </c>
      <c r="Q68" s="2">
        <f t="shared" si="5"/>
        <v>2.953716798035281</v>
      </c>
      <c r="R68" s="2">
        <f t="shared" si="5"/>
        <v>2.3619040588365579</v>
      </c>
      <c r="S68" s="2">
        <f t="shared" si="5"/>
        <v>2.1687841080443855</v>
      </c>
      <c r="T68" s="2">
        <f t="shared" si="5"/>
        <v>0.73803940271018309</v>
      </c>
      <c r="U68" s="2">
        <f t="shared" si="5"/>
        <v>0.74241417089768524</v>
      </c>
      <c r="V68" s="2">
        <f t="shared" si="5"/>
        <v>0.55255426145784992</v>
      </c>
      <c r="W68" s="2">
        <f t="shared" si="5"/>
        <v>0.3453772958470292</v>
      </c>
      <c r="X68" s="2">
        <f t="shared" si="5"/>
        <v>0.43766292445907357</v>
      </c>
      <c r="Y68" s="2">
        <f t="shared" si="5"/>
        <v>0.28923461571056747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10266099124.497637</v>
      </c>
      <c r="C96" s="2">
        <f>C8/'Output-Calculation-sheet'!C7*'Output-Calculation-sheet'!C79</f>
        <v>0</v>
      </c>
      <c r="D96" s="2">
        <f>D8/'Output-Calculation-sheet'!D7*'Output-Calculation-sheet'!D79</f>
        <v>6248868699.3574009</v>
      </c>
      <c r="E96" s="2">
        <f>E8/'Output-Calculation-sheet'!E7*'Output-Calculation-sheet'!E79</f>
        <v>9787966470.2030487</v>
      </c>
      <c r="F96" s="2">
        <f>F8/'Output-Calculation-sheet'!F7*'Output-Calculation-sheet'!F79</f>
        <v>4685273934.5157824</v>
      </c>
      <c r="G96" s="2">
        <f>G8/'Output-Calculation-sheet'!G7*'Output-Calculation-sheet'!G79</f>
        <v>3571831485.8786063</v>
      </c>
      <c r="H96" s="2">
        <f>H8/'Output-Calculation-sheet'!H7*'Output-Calculation-sheet'!H79</f>
        <v>965340082.00675201</v>
      </c>
      <c r="I96" s="2">
        <f>I8/'Output-Calculation-sheet'!I7*'Output-Calculation-sheet'!I79</f>
        <v>2449501546.511548</v>
      </c>
      <c r="J96" s="2">
        <f>J8/'Output-Calculation-sheet'!J7*'Output-Calculation-sheet'!J79</f>
        <v>1743610809.7274916</v>
      </c>
      <c r="K96" s="2">
        <f>K8/'Output-Calculation-sheet'!K7*'Output-Calculation-sheet'!K79</f>
        <v>2173108010.3985929</v>
      </c>
      <c r="L96" s="2">
        <f>L8/'Output-Calculation-sheet'!L7*'Output-Calculation-sheet'!L79</f>
        <v>1512180005.7563076</v>
      </c>
      <c r="M96" s="2">
        <f>M8/'Output-Calculation-sheet'!M7*'Output-Calculation-sheet'!M79</f>
        <v>715631629.45067704</v>
      </c>
      <c r="N96" s="2">
        <f>N8/'Output-Calculation-sheet'!N7*'Output-Calculation-sheet'!N79</f>
        <v>797574105.23093283</v>
      </c>
      <c r="O96" s="2">
        <f>O8/'Output-Calculation-sheet'!O7*'Output-Calculation-sheet'!O79</f>
        <v>0</v>
      </c>
      <c r="P96" s="2">
        <f>P8/'Output-Calculation-sheet'!P7*'Output-Calculation-sheet'!P79</f>
        <v>1844606179.7164106</v>
      </c>
      <c r="Q96" s="2">
        <f>Q8/'Output-Calculation-sheet'!Q7*'Output-Calculation-sheet'!Q79</f>
        <v>856358934.18437088</v>
      </c>
      <c r="R96" s="2">
        <f>R8/'Output-Calculation-sheet'!R7*'Output-Calculation-sheet'!R79</f>
        <v>1321250161.1191032</v>
      </c>
      <c r="S96" s="2">
        <f>S8/'Output-Calculation-sheet'!S7*'Output-Calculation-sheet'!S79</f>
        <v>483955044.33223569</v>
      </c>
      <c r="T96" s="2">
        <f>T8/'Output-Calculation-sheet'!T7*'Output-Calculation-sheet'!T79</f>
        <v>692540934.09890449</v>
      </c>
      <c r="U96" s="2">
        <f>U8/'Output-Calculation-sheet'!U7*'Output-Calculation-sheet'!U79</f>
        <v>351627723.22064382</v>
      </c>
      <c r="V96" s="2">
        <f>V8/'Output-Calculation-sheet'!V7*'Output-Calculation-sheet'!V79</f>
        <v>213159082.54645529</v>
      </c>
      <c r="W96" s="2">
        <f>W8/'Output-Calculation-sheet'!W7*'Output-Calculation-sheet'!W79</f>
        <v>742321581.04195309</v>
      </c>
      <c r="X96" s="2">
        <f>X8/'Output-Calculation-sheet'!X7*'Output-Calculation-sheet'!X79</f>
        <v>69208524.830978751</v>
      </c>
      <c r="Y96" s="2">
        <f>Y8/'Output-Calculation-sheet'!Y7*'Output-Calculation-sheet'!Y79</f>
        <v>315763035.68975943</v>
      </c>
      <c r="AA96" s="2">
        <f t="shared" si="8"/>
        <v>51.807777104315598</v>
      </c>
    </row>
    <row r="97" spans="1:27" x14ac:dyDescent="0.25">
      <c r="A97" s="2">
        <v>2032</v>
      </c>
      <c r="B97" s="2">
        <f>B9/'Output-Calculation-sheet'!B8*'Output-Calculation-sheet'!B80</f>
        <v>10927030089.781439</v>
      </c>
      <c r="C97" s="2">
        <f>C9/'Output-Calculation-sheet'!C8*'Output-Calculation-sheet'!C80</f>
        <v>0</v>
      </c>
      <c r="D97" s="2">
        <f>D9/'Output-Calculation-sheet'!D8*'Output-Calculation-sheet'!D80</f>
        <v>6343465741.696455</v>
      </c>
      <c r="E97" s="2">
        <f>E9/'Output-Calculation-sheet'!E8*'Output-Calculation-sheet'!E80</f>
        <v>10234086649.276352</v>
      </c>
      <c r="F97" s="2">
        <f>F9/'Output-Calculation-sheet'!F8*'Output-Calculation-sheet'!F80</f>
        <v>4881820476.1786079</v>
      </c>
      <c r="G97" s="2">
        <f>G9/'Output-Calculation-sheet'!G8*'Output-Calculation-sheet'!G80</f>
        <v>3614876238.9180889</v>
      </c>
      <c r="H97" s="2">
        <f>H9/'Output-Calculation-sheet'!H8*'Output-Calculation-sheet'!H80</f>
        <v>1032341888.3792272</v>
      </c>
      <c r="I97" s="2">
        <f>I9/'Output-Calculation-sheet'!I8*'Output-Calculation-sheet'!I80</f>
        <v>2577677378.8746991</v>
      </c>
      <c r="J97" s="2">
        <f>J9/'Output-Calculation-sheet'!J8*'Output-Calculation-sheet'!J80</f>
        <v>1782696120.3384237</v>
      </c>
      <c r="K97" s="2">
        <f>K9/'Output-Calculation-sheet'!K8*'Output-Calculation-sheet'!K80</f>
        <v>2242481064.5906606</v>
      </c>
      <c r="L97" s="2">
        <f>L9/'Output-Calculation-sheet'!L8*'Output-Calculation-sheet'!L80</f>
        <v>1610069788.3200746</v>
      </c>
      <c r="M97" s="2">
        <f>M9/'Output-Calculation-sheet'!M8*'Output-Calculation-sheet'!M80</f>
        <v>766656762.42715657</v>
      </c>
      <c r="N97" s="2">
        <f>N9/'Output-Calculation-sheet'!N8*'Output-Calculation-sheet'!N80</f>
        <v>816024261.64746821</v>
      </c>
      <c r="O97" s="2">
        <f>O9/'Output-Calculation-sheet'!O8*'Output-Calculation-sheet'!O80</f>
        <v>0</v>
      </c>
      <c r="P97" s="2">
        <f>P9/'Output-Calculation-sheet'!P8*'Output-Calculation-sheet'!P80</f>
        <v>1909642170.9800661</v>
      </c>
      <c r="Q97" s="2">
        <f>Q9/'Output-Calculation-sheet'!Q8*'Output-Calculation-sheet'!Q80</f>
        <v>890368008.10578358</v>
      </c>
      <c r="R97" s="2">
        <f>R9/'Output-Calculation-sheet'!R8*'Output-Calculation-sheet'!R80</f>
        <v>1380002220.7535253</v>
      </c>
      <c r="S97" s="2">
        <f>S9/'Output-Calculation-sheet'!S8*'Output-Calculation-sheet'!S80</f>
        <v>519972084.78572804</v>
      </c>
      <c r="T97" s="2">
        <f>T9/'Output-Calculation-sheet'!T8*'Output-Calculation-sheet'!T80</f>
        <v>709640191.74887192</v>
      </c>
      <c r="U97" s="2">
        <f>U9/'Output-Calculation-sheet'!U8*'Output-Calculation-sheet'!U80</f>
        <v>367423847.62953919</v>
      </c>
      <c r="V97" s="2">
        <f>V9/'Output-Calculation-sheet'!V8*'Output-Calculation-sheet'!V80</f>
        <v>225243502.13942134</v>
      </c>
      <c r="W97" s="2">
        <f>W9/'Output-Calculation-sheet'!W8*'Output-Calculation-sheet'!W80</f>
        <v>766842647.17834425</v>
      </c>
      <c r="X97" s="2">
        <f>X9/'Output-Calculation-sheet'!X8*'Output-Calculation-sheet'!X80</f>
        <v>75920051.423740864</v>
      </c>
      <c r="Y97" s="2">
        <f>Y9/'Output-Calculation-sheet'!Y8*'Output-Calculation-sheet'!Y80</f>
        <v>326523837.86288619</v>
      </c>
      <c r="AA97" s="2">
        <f t="shared" si="8"/>
        <v>54.000805023036563</v>
      </c>
    </row>
    <row r="98" spans="1:27" x14ac:dyDescent="0.25">
      <c r="A98" s="2">
        <v>2033</v>
      </c>
      <c r="B98" s="2">
        <f>B10/'Output-Calculation-sheet'!B9*'Output-Calculation-sheet'!B81</f>
        <v>11532684775.071974</v>
      </c>
      <c r="C98" s="2">
        <f>C10/'Output-Calculation-sheet'!C9*'Output-Calculation-sheet'!C81</f>
        <v>1510441066.8605351</v>
      </c>
      <c r="D98" s="2">
        <f>D10/'Output-Calculation-sheet'!D9*'Output-Calculation-sheet'!D81</f>
        <v>6148449963.6811895</v>
      </c>
      <c r="E98" s="2">
        <f>E10/'Output-Calculation-sheet'!E9*'Output-Calculation-sheet'!E81</f>
        <v>10208576929.025347</v>
      </c>
      <c r="F98" s="2">
        <f>F10/'Output-Calculation-sheet'!F9*'Output-Calculation-sheet'!F81</f>
        <v>4860201402.5825481</v>
      </c>
      <c r="G98" s="2">
        <f>G10/'Output-Calculation-sheet'!G9*'Output-Calculation-sheet'!G81</f>
        <v>3489999968.2337503</v>
      </c>
      <c r="H98" s="2">
        <f>H10/'Output-Calculation-sheet'!H9*'Output-Calculation-sheet'!H81</f>
        <v>1051797464.0753391</v>
      </c>
      <c r="I98" s="2">
        <f>I10/'Output-Calculation-sheet'!I9*'Output-Calculation-sheet'!I81</f>
        <v>2590369574.0091486</v>
      </c>
      <c r="J98" s="2">
        <f>J10/'Output-Calculation-sheet'!J9*'Output-Calculation-sheet'!J81</f>
        <v>1741834259.2512271</v>
      </c>
      <c r="K98" s="2">
        <f>K10/'Output-Calculation-sheet'!K9*'Output-Calculation-sheet'!K81</f>
        <v>2212072620.6803708</v>
      </c>
      <c r="L98" s="2">
        <f>L10/'Output-Calculation-sheet'!L9*'Output-Calculation-sheet'!L81</f>
        <v>1635484100.6312644</v>
      </c>
      <c r="M98" s="2">
        <f>M10/'Output-Calculation-sheet'!M9*'Output-Calculation-sheet'!M81</f>
        <v>784224075.88900518</v>
      </c>
      <c r="N98" s="2">
        <f>N10/'Output-Calculation-sheet'!N9*'Output-Calculation-sheet'!N81</f>
        <v>798028827.68032467</v>
      </c>
      <c r="O98" s="2">
        <f>O10/'Output-Calculation-sheet'!O9*'Output-Calculation-sheet'!O81</f>
        <v>0</v>
      </c>
      <c r="P98" s="2">
        <f>P10/'Output-Calculation-sheet'!P9*'Output-Calculation-sheet'!P81</f>
        <v>1881934232.0681996</v>
      </c>
      <c r="Q98" s="2">
        <f>Q10/'Output-Calculation-sheet'!Q9*'Output-Calculation-sheet'!Q81</f>
        <v>883352764.68185186</v>
      </c>
      <c r="R98" s="2">
        <f>R10/'Output-Calculation-sheet'!R9*'Output-Calculation-sheet'!R81</f>
        <v>1378435262.1235497</v>
      </c>
      <c r="S98" s="2">
        <f>S10/'Output-Calculation-sheet'!S9*'Output-Calculation-sheet'!S81</f>
        <v>523414490.03335375</v>
      </c>
      <c r="T98" s="2">
        <f>T10/'Output-Calculation-sheet'!T9*'Output-Calculation-sheet'!T81</f>
        <v>694733238.92776811</v>
      </c>
      <c r="U98" s="2">
        <f>U10/'Output-Calculation-sheet'!U9*'Output-Calculation-sheet'!U81</f>
        <v>366195285.42248344</v>
      </c>
      <c r="V98" s="2">
        <f>V10/'Output-Calculation-sheet'!V9*'Output-Calculation-sheet'!V81</f>
        <v>226928701.50348416</v>
      </c>
      <c r="W98" s="2">
        <f>W10/'Output-Calculation-sheet'!W9*'Output-Calculation-sheet'!W81</f>
        <v>754463278.08254111</v>
      </c>
      <c r="X98" s="2">
        <f>X10/'Output-Calculation-sheet'!X9*'Output-Calculation-sheet'!X81</f>
        <v>78483691.72675176</v>
      </c>
      <c r="Y98" s="2">
        <f>Y10/'Output-Calculation-sheet'!Y9*'Output-Calculation-sheet'!Y81</f>
        <v>322083015.09554136</v>
      </c>
      <c r="AA98" s="2">
        <f t="shared" si="8"/>
        <v>55.674188987337573</v>
      </c>
    </row>
    <row r="99" spans="1:27" x14ac:dyDescent="0.25">
      <c r="A99" s="2">
        <v>2034</v>
      </c>
      <c r="B99" s="2">
        <f>B11/'Output-Calculation-sheet'!B10*'Output-Calculation-sheet'!B82</f>
        <v>11412284975.589771</v>
      </c>
      <c r="C99" s="2">
        <f>C11/'Output-Calculation-sheet'!C10*'Output-Calculation-sheet'!C82</f>
        <v>1547789083.9394381</v>
      </c>
      <c r="D99" s="2">
        <f>D11/'Output-Calculation-sheet'!D10*'Output-Calculation-sheet'!D82</f>
        <v>5694190097.6429701</v>
      </c>
      <c r="E99" s="2">
        <f>E11/'Output-Calculation-sheet'!E10*'Output-Calculation-sheet'!E82</f>
        <v>9738036299.6262836</v>
      </c>
      <c r="F99" s="2">
        <f>F11/'Output-Calculation-sheet'!F10*'Output-Calculation-sheet'!F82</f>
        <v>4624673036.3950701</v>
      </c>
      <c r="G99" s="2">
        <f>G11/'Output-Calculation-sheet'!G10*'Output-Calculation-sheet'!G82</f>
        <v>3212561861.3065772</v>
      </c>
      <c r="H99" s="2">
        <f>H11/'Output-Calculation-sheet'!H10*'Output-Calculation-sheet'!H82</f>
        <v>1025107190.0395895</v>
      </c>
      <c r="I99" s="2">
        <f>I11/'Output-Calculation-sheet'!I10*'Output-Calculation-sheet'!I82</f>
        <v>2490310636.4256191</v>
      </c>
      <c r="J99" s="2">
        <f>J11/'Output-Calculation-sheet'!J10*'Output-Calculation-sheet'!J82</f>
        <v>1627003019.0933652</v>
      </c>
      <c r="K99" s="2">
        <f>K11/'Output-Calculation-sheet'!K10*'Output-Calculation-sheet'!K82</f>
        <v>2086109115.889761</v>
      </c>
      <c r="L99" s="2">
        <f>L11/'Output-Calculation-sheet'!L10*'Output-Calculation-sheet'!L82</f>
        <v>1586284515.5141389</v>
      </c>
      <c r="M99" s="2">
        <f>M11/'Output-Calculation-sheet'!M10*'Output-Calculation-sheet'!M82</f>
        <v>766811964.05658066</v>
      </c>
      <c r="N99" s="2">
        <f>N11/'Output-Calculation-sheet'!N10*'Output-Calculation-sheet'!N82</f>
        <v>748374103.16539633</v>
      </c>
      <c r="O99" s="2">
        <f>O11/'Output-Calculation-sheet'!O10*'Output-Calculation-sheet'!O82</f>
        <v>0</v>
      </c>
      <c r="P99" s="2">
        <f>P11/'Output-Calculation-sheet'!P10*'Output-Calculation-sheet'!P82</f>
        <v>1770085401.7609673</v>
      </c>
      <c r="Q99" s="2">
        <f>Q11/'Output-Calculation-sheet'!Q10*'Output-Calculation-sheet'!Q82</f>
        <v>838147099.39885283</v>
      </c>
      <c r="R99" s="2">
        <f>R11/'Output-Calculation-sheet'!R10*'Output-Calculation-sheet'!R82</f>
        <v>1315332429.2610886</v>
      </c>
      <c r="S99" s="2">
        <f>S11/'Output-Calculation-sheet'!S10*'Output-Calculation-sheet'!S82</f>
        <v>512497556.18503165</v>
      </c>
      <c r="T99" s="2">
        <f>T11/'Output-Calculation-sheet'!T10*'Output-Calculation-sheet'!T82</f>
        <v>649874175.51723182</v>
      </c>
      <c r="U99" s="2">
        <f>U11/'Output-Calculation-sheet'!U10*'Output-Calculation-sheet'!U82</f>
        <v>349325148.51081902</v>
      </c>
      <c r="V99" s="2">
        <f>V11/'Output-Calculation-sheet'!V10*'Output-Calculation-sheet'!V82</f>
        <v>218528926.14583662</v>
      </c>
      <c r="W99" s="2">
        <f>W11/'Output-Calculation-sheet'!W10*'Output-Calculation-sheet'!W82</f>
        <v>708385537.03813231</v>
      </c>
      <c r="X99" s="2">
        <f>X11/'Output-Calculation-sheet'!X10*'Output-Calculation-sheet'!X82</f>
        <v>77946383.153164402</v>
      </c>
      <c r="Y99" s="2">
        <f>Y11/'Output-Calculation-sheet'!Y10*'Output-Calculation-sheet'!Y82</f>
        <v>303099045.19921613</v>
      </c>
      <c r="AA99" s="2">
        <f t="shared" si="8"/>
        <v>53.302757600854896</v>
      </c>
    </row>
    <row r="100" spans="1:27" x14ac:dyDescent="0.25">
      <c r="A100" s="2">
        <v>2035</v>
      </c>
      <c r="B100" s="2">
        <f>B12/'Output-Calculation-sheet'!B11*'Output-Calculation-sheet'!B83</f>
        <v>10569856523.683437</v>
      </c>
      <c r="C100" s="2">
        <f>C12/'Output-Calculation-sheet'!C11*'Output-Calculation-sheet'!C83</f>
        <v>1495480458.8516021</v>
      </c>
      <c r="D100" s="2">
        <f>D12/'Output-Calculation-sheet'!D11*'Output-Calculation-sheet'!D83</f>
        <v>5027066498.7096624</v>
      </c>
      <c r="E100" s="2">
        <f>E12/'Output-Calculation-sheet'!E11*'Output-Calculation-sheet'!E83</f>
        <v>8844208908.5402336</v>
      </c>
      <c r="F100" s="2">
        <f>F12/'Output-Calculation-sheet'!F11*'Output-Calculation-sheet'!F83</f>
        <v>4191330045.3850255</v>
      </c>
      <c r="G100" s="2">
        <f>G12/'Output-Calculation-sheet'!G11*'Output-Calculation-sheet'!G83</f>
        <v>2811021652.1776748</v>
      </c>
      <c r="H100" s="2">
        <f>H12/'Output-Calculation-sheet'!H11*'Output-Calculation-sheet'!H83</f>
        <v>947198647.2904346</v>
      </c>
      <c r="I100" s="2">
        <f>I12/'Output-Calculation-sheet'!I11*'Output-Calculation-sheet'!I83</f>
        <v>2277576349.8792572</v>
      </c>
      <c r="J100" s="2">
        <f>J12/'Output-Calculation-sheet'!J11*'Output-Calculation-sheet'!J83</f>
        <v>1446983441.1441946</v>
      </c>
      <c r="K100" s="2">
        <f>K12/'Output-Calculation-sheet'!K11*'Output-Calculation-sheet'!K83</f>
        <v>1872996218.7963958</v>
      </c>
      <c r="L100" s="2">
        <f>L12/'Output-Calculation-sheet'!L11*'Output-Calculation-sheet'!L83</f>
        <v>1463441438.9076719</v>
      </c>
      <c r="M100" s="2">
        <f>M12/'Output-Calculation-sheet'!M11*'Output-Calculation-sheet'!M83</f>
        <v>709971163.26529968</v>
      </c>
      <c r="N100" s="2">
        <f>N12/'Output-Calculation-sheet'!N11*'Output-Calculation-sheet'!N83</f>
        <v>668813577.41384566</v>
      </c>
      <c r="O100" s="2">
        <f>O12/'Output-Calculation-sheet'!O11*'Output-Calculation-sheet'!O83</f>
        <v>180437377.26425284</v>
      </c>
      <c r="P100" s="2">
        <f>P12/'Output-Calculation-sheet'!P11*'Output-Calculation-sheet'!P83</f>
        <v>1584308840.909101</v>
      </c>
      <c r="Q100" s="2">
        <f>Q12/'Output-Calculation-sheet'!Q11*'Output-Calculation-sheet'!Q83</f>
        <v>759797343.96901894</v>
      </c>
      <c r="R100" s="2">
        <f>R12/'Output-Calculation-sheet'!R11*'Output-Calculation-sheet'!R83</f>
        <v>1196833471.5593011</v>
      </c>
      <c r="S100" s="2">
        <f>S12/'Output-Calculation-sheet'!S11*'Output-Calculation-sheet'!S83</f>
        <v>464193601.57810634</v>
      </c>
      <c r="T100" s="2">
        <f>T12/'Output-Calculation-sheet'!T11*'Output-Calculation-sheet'!T83</f>
        <v>578588646.3426553</v>
      </c>
      <c r="U100" s="2">
        <f>U12/'Output-Calculation-sheet'!U11*'Output-Calculation-sheet'!U83</f>
        <v>316948066.54527479</v>
      </c>
      <c r="V100" s="2">
        <f>V12/'Output-Calculation-sheet'!V11*'Output-Calculation-sheet'!V83</f>
        <v>200324760.31099123</v>
      </c>
      <c r="W100" s="2">
        <f>W12/'Output-Calculation-sheet'!W11*'Output-Calculation-sheet'!W83</f>
        <v>632130705.48701143</v>
      </c>
      <c r="X100" s="2">
        <f>X12/'Output-Calculation-sheet'!X11*'Output-Calculation-sheet'!X83</f>
        <v>73555970.52450344</v>
      </c>
      <c r="Y100" s="2">
        <f>Y12/'Output-Calculation-sheet'!Y11*'Output-Calculation-sheet'!Y83</f>
        <v>271405252.59138048</v>
      </c>
      <c r="AA100" s="2">
        <f t="shared" si="8"/>
        <v>48.584468961126333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3.7224122129844001E-4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3350263212.3781004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2295428818.7425036</v>
      </c>
      <c r="N118" s="2">
        <f>N8/'Output-Calculation-sheet'!N7*'Output-Calculation-sheet'!N97</f>
        <v>1517421603.1391449</v>
      </c>
      <c r="O118" s="2">
        <f>O8/'Output-Calculation-sheet'!O7*'Output-Calculation-sheet'!O97</f>
        <v>2.0480628281929528E-5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376169795.60889781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218159241.22785652</v>
      </c>
      <c r="Y118" s="2">
        <f>Y8/'Output-Calculation-sheet'!Y7*'Output-Calculation-sheet'!Y97</f>
        <v>0</v>
      </c>
      <c r="AA118" s="2">
        <f t="shared" si="10"/>
        <v>7757.4426710968964</v>
      </c>
    </row>
    <row r="119" spans="1:27" x14ac:dyDescent="0.25">
      <c r="A119" s="2">
        <v>2032</v>
      </c>
      <c r="B119" s="2">
        <f>B9/'Output-Calculation-sheet'!B8*'Output-Calculation-sheet'!B98</f>
        <v>3387402.9399997005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3637577479.3738685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2489321299.7642355</v>
      </c>
      <c r="N119" s="2">
        <f>N9/'Output-Calculation-sheet'!N8*'Output-Calculation-sheet'!N98</f>
        <v>1816176906.5286152</v>
      </c>
      <c r="O119" s="2">
        <f>O9/'Output-Calculation-sheet'!O8*'Output-Calculation-sheet'!O98</f>
        <v>1.8523762311273479E-4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571442740.22812796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239746962.07797518</v>
      </c>
      <c r="Y119" s="2">
        <f>Y9/'Output-Calculation-sheet'!Y8*'Output-Calculation-sheet'!Y98</f>
        <v>0</v>
      </c>
      <c r="AA119" s="2">
        <f t="shared" si="10"/>
        <v>8757.6527909130054</v>
      </c>
    </row>
    <row r="120" spans="1:27" x14ac:dyDescent="0.25">
      <c r="A120" s="2">
        <v>2033</v>
      </c>
      <c r="B120" s="2">
        <f>B10/'Output-Calculation-sheet'!B9*'Output-Calculation-sheet'!B99</f>
        <v>4566607177.4021311</v>
      </c>
      <c r="C120" s="2">
        <f>C10/'Output-Calculation-sheet'!C9*'Output-Calculation-sheet'!C99</f>
        <v>8499711591.1446714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3759814424.0171695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2575449869.8086386</v>
      </c>
      <c r="N120" s="2">
        <f>N10/'Output-Calculation-sheet'!N9*'Output-Calculation-sheet'!N99</f>
        <v>2035712273.3609176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712098059.2675699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248177437.14189908</v>
      </c>
      <c r="Y120" s="2">
        <f>Y10/'Output-Calculation-sheet'!Y9*'Output-Calculation-sheet'!Y99</f>
        <v>0</v>
      </c>
      <c r="AA120" s="2">
        <f t="shared" si="10"/>
        <v>22397.570832142999</v>
      </c>
    </row>
    <row r="121" spans="1:27" x14ac:dyDescent="0.25">
      <c r="A121" s="2">
        <v>2034</v>
      </c>
      <c r="B121" s="2">
        <f>B11/'Output-Calculation-sheet'!B10*'Output-Calculation-sheet'!B100</f>
        <v>7472643052.7055635</v>
      </c>
      <c r="C121" s="2">
        <f>C11/'Output-Calculation-sheet'!C10*'Output-Calculation-sheet'!C100</f>
        <v>8657498851.6271458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3714584289.2991147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2544876876.1394873</v>
      </c>
      <c r="N121" s="2">
        <f>N11/'Output-Calculation-sheet'!N10*'Output-Calculation-sheet'!N100</f>
        <v>2077736828.1280963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797617185.93107009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246706989.62266824</v>
      </c>
      <c r="Y121" s="2">
        <f>Y11/'Output-Calculation-sheet'!Y10*'Output-Calculation-sheet'!Y100</f>
        <v>0</v>
      </c>
      <c r="AA121" s="2">
        <f t="shared" si="10"/>
        <v>25511.664073453147</v>
      </c>
    </row>
    <row r="122" spans="1:27" x14ac:dyDescent="0.25">
      <c r="A122" s="2">
        <v>2035</v>
      </c>
      <c r="B122" s="2">
        <f>B12/'Output-Calculation-sheet'!B11*'Output-Calculation-sheet'!B101</f>
        <v>8507562056.0812454</v>
      </c>
      <c r="C122" s="2">
        <f>C12/'Output-Calculation-sheet'!C11*'Output-Calculation-sheet'!C101</f>
        <v>8315383411.116848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3476622829.6111922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2379154134.1626301</v>
      </c>
      <c r="N122" s="2">
        <f>N12/'Output-Calculation-sheet'!N11*'Output-Calculation-sheet'!N101</f>
        <v>1988498511.54794</v>
      </c>
      <c r="O122" s="2">
        <f>O12/'Output-Calculation-sheet'!O11*'Output-Calculation-sheet'!O101</f>
        <v>1421169191.5461612</v>
      </c>
      <c r="P122" s="2">
        <f>P12/'Output-Calculation-sheet'!P11*'Output-Calculation-sheet'!P101</f>
        <v>0</v>
      </c>
      <c r="Q122" s="2">
        <f>Q12/'Output-Calculation-sheet'!Q11*'Output-Calculation-sheet'!Q101</f>
        <v>25942888.573586751</v>
      </c>
      <c r="R122" s="2">
        <f>R12/'Output-Calculation-sheet'!R11*'Output-Calculation-sheet'!R101</f>
        <v>0</v>
      </c>
      <c r="S122" s="2">
        <f>S12/'Output-Calculation-sheet'!S11*'Output-Calculation-sheet'!S101</f>
        <v>837218256.50341392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232935019.40267506</v>
      </c>
      <c r="Y122" s="2">
        <f>Y12/'Output-Calculation-sheet'!Y11*'Output-Calculation-sheet'!Y101</f>
        <v>0</v>
      </c>
      <c r="AA122" s="2">
        <f t="shared" si="10"/>
        <v>27184.486298545693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41987698942.876152</v>
      </c>
      <c r="C129" s="2">
        <f>C8/'Output-Calculation-sheet'!C7*'Output-Calculation-sheet'!C106</f>
        <v>0</v>
      </c>
      <c r="D129" s="2">
        <f>D8/'Output-Calculation-sheet'!D7*'Output-Calculation-sheet'!D106</f>
        <v>30394743930.670135</v>
      </c>
      <c r="E129" s="2">
        <f>E8/'Output-Calculation-sheet'!E7*'Output-Calculation-sheet'!E106</f>
        <v>21245638957.28775</v>
      </c>
      <c r="F129" s="2">
        <f>F8/'Output-Calculation-sheet'!F7*'Output-Calculation-sheet'!F106</f>
        <v>15817399370.803919</v>
      </c>
      <c r="G129" s="2">
        <f>G8/'Output-Calculation-sheet'!G7*'Output-Calculation-sheet'!G106</f>
        <v>10877383669.833124</v>
      </c>
      <c r="H129" s="2">
        <f>H8/'Output-Calculation-sheet'!H7*'Output-Calculation-sheet'!H106</f>
        <v>0</v>
      </c>
      <c r="I129" s="2">
        <f>I8/'Output-Calculation-sheet'!I7*'Output-Calculation-sheet'!I106</f>
        <v>9756176479.7176418</v>
      </c>
      <c r="J129" s="2">
        <f>J8/'Output-Calculation-sheet'!J7*'Output-Calculation-sheet'!J106</f>
        <v>9995867078.204771</v>
      </c>
      <c r="K129" s="2">
        <f>K8/'Output-Calculation-sheet'!K7*'Output-Calculation-sheet'!K106</f>
        <v>8624214562.5196609</v>
      </c>
      <c r="L129" s="2">
        <f>L8/'Output-Calculation-sheet'!L7*'Output-Calculation-sheet'!L106</f>
        <v>6822967526.0015144</v>
      </c>
      <c r="M129" s="2">
        <f>M8/'Output-Calculation-sheet'!M7*'Output-Calculation-sheet'!M106</f>
        <v>0</v>
      </c>
      <c r="N129" s="2">
        <f>N8/'Output-Calculation-sheet'!N7*'Output-Calculation-sheet'!N106</f>
        <v>1857120914.6731637</v>
      </c>
      <c r="O129" s="2">
        <f>O8/'Output-Calculation-sheet'!O7*'Output-Calculation-sheet'!O106</f>
        <v>0</v>
      </c>
      <c r="P129" s="2">
        <f>P8/'Output-Calculation-sheet'!P7*'Output-Calculation-sheet'!P106</f>
        <v>4201791228.3368821</v>
      </c>
      <c r="Q129" s="2">
        <f>Q8/'Output-Calculation-sheet'!Q7*'Output-Calculation-sheet'!Q106</f>
        <v>4117981750.4513364</v>
      </c>
      <c r="R129" s="2">
        <f>R8/'Output-Calculation-sheet'!R7*'Output-Calculation-sheet'!R106</f>
        <v>4899227552.7495565</v>
      </c>
      <c r="S129" s="2">
        <f>S8/'Output-Calculation-sheet'!S7*'Output-Calculation-sheet'!S106</f>
        <v>1670786127.146657</v>
      </c>
      <c r="T129" s="2">
        <f>T8/'Output-Calculation-sheet'!T7*'Output-Calculation-sheet'!T106</f>
        <v>2121084433.151921</v>
      </c>
      <c r="U129" s="2">
        <f>U8/'Output-Calculation-sheet'!U7*'Output-Calculation-sheet'!U106</f>
        <v>1493195295.9762762</v>
      </c>
      <c r="V129" s="2">
        <f>V8/'Output-Calculation-sheet'!V7*'Output-Calculation-sheet'!V106</f>
        <v>1343370796.2444582</v>
      </c>
      <c r="W129" s="2">
        <f>W8/'Output-Calculation-sheet'!W7*'Output-Calculation-sheet'!W106</f>
        <v>1370708347.3994815</v>
      </c>
      <c r="X129" s="2">
        <f>X8/'Output-Calculation-sheet'!X7*'Output-Calculation-sheet'!X106</f>
        <v>0</v>
      </c>
      <c r="Y129" s="2">
        <f>Y8/'Output-Calculation-sheet'!Y7*'Output-Calculation-sheet'!Y106</f>
        <v>618910348.22455096</v>
      </c>
      <c r="AA129" s="2">
        <f t="shared" si="11"/>
        <v>179216.26731226893</v>
      </c>
    </row>
    <row r="130" spans="1:27" x14ac:dyDescent="0.25">
      <c r="A130" s="2">
        <v>2032</v>
      </c>
      <c r="B130" s="2">
        <f>B9/'Output-Calculation-sheet'!B8*'Output-Calculation-sheet'!B107</f>
        <v>44712559068.355698</v>
      </c>
      <c r="C130" s="2">
        <f>C9/'Output-Calculation-sheet'!C8*'Output-Calculation-sheet'!C107</f>
        <v>0</v>
      </c>
      <c r="D130" s="2">
        <f>D9/'Output-Calculation-sheet'!D8*'Output-Calculation-sheet'!D107</f>
        <v>32126377605.702858</v>
      </c>
      <c r="E130" s="2">
        <f>E9/'Output-Calculation-sheet'!E8*'Output-Calculation-sheet'!E107</f>
        <v>22485233754.226261</v>
      </c>
      <c r="F130" s="2">
        <f>F9/'Output-Calculation-sheet'!F8*'Output-Calculation-sheet'!F107</f>
        <v>16714087337.816023</v>
      </c>
      <c r="G130" s="2">
        <f>G9/'Output-Calculation-sheet'!G8*'Output-Calculation-sheet'!G107</f>
        <v>11488278559.038261</v>
      </c>
      <c r="H130" s="2">
        <f>H9/'Output-Calculation-sheet'!H8*'Output-Calculation-sheet'!H107</f>
        <v>0</v>
      </c>
      <c r="I130" s="2">
        <f>I9/'Output-Calculation-sheet'!I8*'Output-Calculation-sheet'!I107</f>
        <v>10312838741.985422</v>
      </c>
      <c r="J130" s="2">
        <f>J9/'Output-Calculation-sheet'!J8*'Output-Calculation-sheet'!J107</f>
        <v>10559729091.980465</v>
      </c>
      <c r="K130" s="2">
        <f>K9/'Output-Calculation-sheet'!K8*'Output-Calculation-sheet'!K107</f>
        <v>9125199839.8286762</v>
      </c>
      <c r="L130" s="2">
        <f>L9/'Output-Calculation-sheet'!L8*'Output-Calculation-sheet'!L107</f>
        <v>7221302096.7407751</v>
      </c>
      <c r="M130" s="2">
        <f>M9/'Output-Calculation-sheet'!M8*'Output-Calculation-sheet'!M107</f>
        <v>0</v>
      </c>
      <c r="N130" s="2">
        <f>N9/'Output-Calculation-sheet'!N8*'Output-Calculation-sheet'!N107</f>
        <v>1743188246.4824517</v>
      </c>
      <c r="O130" s="2">
        <f>O9/'Output-Calculation-sheet'!O8*'Output-Calculation-sheet'!O107</f>
        <v>0</v>
      </c>
      <c r="P130" s="2">
        <f>P9/'Output-Calculation-sheet'!P8*'Output-Calculation-sheet'!P107</f>
        <v>4479898062.3510847</v>
      </c>
      <c r="Q130" s="2">
        <f>Q9/'Output-Calculation-sheet'!Q8*'Output-Calculation-sheet'!Q107</f>
        <v>4393237119.1439304</v>
      </c>
      <c r="R130" s="2">
        <f>R9/'Output-Calculation-sheet'!R8*'Output-Calculation-sheet'!R107</f>
        <v>5184613515.5966654</v>
      </c>
      <c r="S130" s="2">
        <f>S9/'Output-Calculation-sheet'!S8*'Output-Calculation-sheet'!S107</f>
        <v>1665655994.3489735</v>
      </c>
      <c r="T130" s="2">
        <f>T9/'Output-Calculation-sheet'!T8*'Output-Calculation-sheet'!T107</f>
        <v>2242329688.2016912</v>
      </c>
      <c r="U130" s="2">
        <f>U9/'Output-Calculation-sheet'!U8*'Output-Calculation-sheet'!U107</f>
        <v>1581721215.2734201</v>
      </c>
      <c r="V130" s="2">
        <f>V9/'Output-Calculation-sheet'!V8*'Output-Calculation-sheet'!V107</f>
        <v>1423980001.3050404</v>
      </c>
      <c r="W130" s="2">
        <f>W9/'Output-Calculation-sheet'!W8*'Output-Calculation-sheet'!W107</f>
        <v>1449315355.7110882</v>
      </c>
      <c r="X130" s="2">
        <f>X9/'Output-Calculation-sheet'!X8*'Output-Calculation-sheet'!X107</f>
        <v>0</v>
      </c>
      <c r="Y130" s="2">
        <f>Y9/'Output-Calculation-sheet'!Y8*'Output-Calculation-sheet'!Y107</f>
        <v>655103838.66982496</v>
      </c>
      <c r="AA130" s="2">
        <f t="shared" si="11"/>
        <v>189564.64913275861</v>
      </c>
    </row>
    <row r="131" spans="1:27" x14ac:dyDescent="0.25">
      <c r="A131" s="2">
        <v>2033</v>
      </c>
      <c r="B131" s="2">
        <f>B10/'Output-Calculation-sheet'!B9*'Output-Calculation-sheet'!B108</f>
        <v>42648722932.912598</v>
      </c>
      <c r="C131" s="2">
        <f>C10/'Output-Calculation-sheet'!C9*'Output-Calculation-sheet'!C108</f>
        <v>0</v>
      </c>
      <c r="D131" s="2">
        <f>D10/'Output-Calculation-sheet'!D9*'Output-Calculation-sheet'!D108</f>
        <v>32402428591.276634</v>
      </c>
      <c r="E131" s="2">
        <f>E10/'Output-Calculation-sheet'!E9*'Output-Calculation-sheet'!E108</f>
        <v>22691611080.41843</v>
      </c>
      <c r="F131" s="2">
        <f>F10/'Output-Calculation-sheet'!F9*'Output-Calculation-sheet'!F108</f>
        <v>16862338813.664974</v>
      </c>
      <c r="G131" s="2">
        <f>G10/'Output-Calculation-sheet'!G9*'Output-Calculation-sheet'!G108</f>
        <v>11587292790.355841</v>
      </c>
      <c r="H131" s="2">
        <f>H10/'Output-Calculation-sheet'!H9*'Output-Calculation-sheet'!H108</f>
        <v>0</v>
      </c>
      <c r="I131" s="2">
        <f>I10/'Output-Calculation-sheet'!I9*'Output-Calculation-sheet'!I108</f>
        <v>10403670104.858677</v>
      </c>
      <c r="J131" s="2">
        <f>J10/'Output-Calculation-sheet'!J9*'Output-Calculation-sheet'!J108</f>
        <v>10648845246.444809</v>
      </c>
      <c r="K131" s="2">
        <f>K10/'Output-Calculation-sheet'!K9*'Output-Calculation-sheet'!K108</f>
        <v>9221116817.3766613</v>
      </c>
      <c r="L131" s="2">
        <f>L10/'Output-Calculation-sheet'!L9*'Output-Calculation-sheet'!L108</f>
        <v>7292057485.5594349</v>
      </c>
      <c r="M131" s="2">
        <f>M10/'Output-Calculation-sheet'!M9*'Output-Calculation-sheet'!M108</f>
        <v>0</v>
      </c>
      <c r="N131" s="2">
        <f>N10/'Output-Calculation-sheet'!N9*'Output-Calculation-sheet'!N108</f>
        <v>1549756360.1761491</v>
      </c>
      <c r="O131" s="2">
        <f>O10/'Output-Calculation-sheet'!O9*'Output-Calculation-sheet'!O108</f>
        <v>0</v>
      </c>
      <c r="P131" s="2">
        <f>P10/'Output-Calculation-sheet'!P9*'Output-Calculation-sheet'!P108</f>
        <v>4548399126.2242689</v>
      </c>
      <c r="Q131" s="2">
        <f>Q10/'Output-Calculation-sheet'!Q9*'Output-Calculation-sheet'!Q108</f>
        <v>4467377477.1700544</v>
      </c>
      <c r="R131" s="2">
        <f>R10/'Output-Calculation-sheet'!R9*'Output-Calculation-sheet'!R108</f>
        <v>5242985918.5214853</v>
      </c>
      <c r="S131" s="2">
        <f>S10/'Output-Calculation-sheet'!S9*'Output-Calculation-sheet'!S108</f>
        <v>1576505311.2010067</v>
      </c>
      <c r="T131" s="2">
        <f>T10/'Output-Calculation-sheet'!T9*'Output-Calculation-sheet'!T108</f>
        <v>2264051406.1188354</v>
      </c>
      <c r="U131" s="2">
        <f>U10/'Output-Calculation-sheet'!U9*'Output-Calculation-sheet'!U108</f>
        <v>1597440968.9936061</v>
      </c>
      <c r="V131" s="2">
        <f>V10/'Output-Calculation-sheet'!V9*'Output-Calculation-sheet'!V108</f>
        <v>1439267720.9071836</v>
      </c>
      <c r="W131" s="2">
        <f>W10/'Output-Calculation-sheet'!W9*'Output-Calculation-sheet'!W108</f>
        <v>1461137761.3996949</v>
      </c>
      <c r="X131" s="2">
        <f>X10/'Output-Calculation-sheet'!X9*'Output-Calculation-sheet'!X108</f>
        <v>0</v>
      </c>
      <c r="Y131" s="2">
        <f>Y10/'Output-Calculation-sheet'!Y9*'Output-Calculation-sheet'!Y108</f>
        <v>661917249.10797799</v>
      </c>
      <c r="AA131" s="2">
        <f t="shared" si="11"/>
        <v>188566.9231626883</v>
      </c>
    </row>
    <row r="132" spans="1:27" x14ac:dyDescent="0.25">
      <c r="A132" s="2">
        <v>2034</v>
      </c>
      <c r="B132" s="2">
        <f>B11/'Output-Calculation-sheet'!B10*'Output-Calculation-sheet'!B109</f>
        <v>39265607207.630203</v>
      </c>
      <c r="C132" s="2">
        <f>C11/'Output-Calculation-sheet'!C10*'Output-Calculation-sheet'!C109</f>
        <v>0</v>
      </c>
      <c r="D132" s="2">
        <f>D11/'Output-Calculation-sheet'!D10*'Output-Calculation-sheet'!D109</f>
        <v>31204345153.376415</v>
      </c>
      <c r="E132" s="2">
        <f>E11/'Output-Calculation-sheet'!E10*'Output-Calculation-sheet'!E109</f>
        <v>21887532219.668377</v>
      </c>
      <c r="F132" s="2">
        <f>F11/'Output-Calculation-sheet'!F10*'Output-Calculation-sheet'!F109</f>
        <v>16247115362.858177</v>
      </c>
      <c r="G132" s="2">
        <f>G11/'Output-Calculation-sheet'!G10*'Output-Calculation-sheet'!G109</f>
        <v>11154394870.781883</v>
      </c>
      <c r="H132" s="2">
        <f>H11/'Output-Calculation-sheet'!H10*'Output-Calculation-sheet'!H109</f>
        <v>0</v>
      </c>
      <c r="I132" s="2">
        <f>I11/'Output-Calculation-sheet'!I10*'Output-Calculation-sheet'!I109</f>
        <v>10034527754.614788</v>
      </c>
      <c r="J132" s="2">
        <f>J11/'Output-Calculation-sheet'!J10*'Output-Calculation-sheet'!J109</f>
        <v>10253982963.915049</v>
      </c>
      <c r="K132" s="2">
        <f>K11/'Output-Calculation-sheet'!K10*'Output-Calculation-sheet'!K109</f>
        <v>8899685589.116684</v>
      </c>
      <c r="L132" s="2">
        <f>L11/'Output-Calculation-sheet'!L10*'Output-Calculation-sheet'!L109</f>
        <v>7031533979.6291857</v>
      </c>
      <c r="M132" s="2">
        <f>M11/'Output-Calculation-sheet'!M10*'Output-Calculation-sheet'!M109</f>
        <v>0</v>
      </c>
      <c r="N132" s="2">
        <f>N11/'Output-Calculation-sheet'!N10*'Output-Calculation-sheet'!N109</f>
        <v>1382486501.8059828</v>
      </c>
      <c r="O132" s="2">
        <f>O11/'Output-Calculation-sheet'!O10*'Output-Calculation-sheet'!O109</f>
        <v>0</v>
      </c>
      <c r="P132" s="2">
        <f>P11/'Output-Calculation-sheet'!P10*'Output-Calculation-sheet'!P109</f>
        <v>4408571115.8977232</v>
      </c>
      <c r="Q132" s="2">
        <f>Q11/'Output-Calculation-sheet'!Q10*'Output-Calculation-sheet'!Q109</f>
        <v>4339555847.5507727</v>
      </c>
      <c r="R132" s="2">
        <f>R11/'Output-Calculation-sheet'!R10*'Output-Calculation-sheet'!R109</f>
        <v>5061229869.3770151</v>
      </c>
      <c r="S132" s="2">
        <f>S11/'Output-Calculation-sheet'!S10*'Output-Calculation-sheet'!S109</f>
        <v>1477808337.2766156</v>
      </c>
      <c r="T132" s="2">
        <f>T11/'Output-Calculation-sheet'!T10*'Output-Calculation-sheet'!T109</f>
        <v>2183350538.5340552</v>
      </c>
      <c r="U132" s="2">
        <f>U11/'Output-Calculation-sheet'!U10*'Output-Calculation-sheet'!U109</f>
        <v>1543556590.8457808</v>
      </c>
      <c r="V132" s="2">
        <f>V11/'Output-Calculation-sheet'!V10*'Output-Calculation-sheet'!V109</f>
        <v>1390605535.1307955</v>
      </c>
      <c r="W132" s="2">
        <f>W11/'Output-Calculation-sheet'!W10*'Output-Calculation-sheet'!W109</f>
        <v>1407395219.3172119</v>
      </c>
      <c r="X132" s="2">
        <f>X11/'Output-Calculation-sheet'!X10*'Output-Calculation-sheet'!X109</f>
        <v>0</v>
      </c>
      <c r="Y132" s="2">
        <f>Y11/'Output-Calculation-sheet'!Y10*'Output-Calculation-sheet'!Y109</f>
        <v>638490124.14926636</v>
      </c>
      <c r="AA132" s="2">
        <f t="shared" si="11"/>
        <v>179811.77478147601</v>
      </c>
    </row>
    <row r="133" spans="1:27" x14ac:dyDescent="0.25">
      <c r="A133" s="2">
        <v>2035</v>
      </c>
      <c r="B133" s="2">
        <f>B12/'Output-Calculation-sheet'!B11*'Output-Calculation-sheet'!B110</f>
        <v>34791447149.835197</v>
      </c>
      <c r="C133" s="2">
        <f>C12/'Output-Calculation-sheet'!C11*'Output-Calculation-sheet'!C110</f>
        <v>0</v>
      </c>
      <c r="D133" s="2">
        <f>D12/'Output-Calculation-sheet'!D11*'Output-Calculation-sheet'!D110</f>
        <v>28623370596.148972</v>
      </c>
      <c r="E133" s="2">
        <f>E12/'Output-Calculation-sheet'!E11*'Output-Calculation-sheet'!E110</f>
        <v>20089918310.400692</v>
      </c>
      <c r="F133" s="2">
        <f>F12/'Output-Calculation-sheet'!F11*'Output-Calculation-sheet'!F110</f>
        <v>14898982930.083672</v>
      </c>
      <c r="G133" s="2">
        <f>G12/'Output-Calculation-sheet'!G11*'Output-Calculation-sheet'!G110</f>
        <v>10216780501.706202</v>
      </c>
      <c r="H133" s="2">
        <f>H12/'Output-Calculation-sheet'!H11*'Output-Calculation-sheet'!H110</f>
        <v>0</v>
      </c>
      <c r="I133" s="2">
        <f>I12/'Output-Calculation-sheet'!I11*'Output-Calculation-sheet'!I110</f>
        <v>9202236309.8438339</v>
      </c>
      <c r="J133" s="2">
        <f>J12/'Output-Calculation-sheet'!J11*'Output-Calculation-sheet'!J110</f>
        <v>9389469223.7229977</v>
      </c>
      <c r="K133" s="2">
        <f>K12/'Output-Calculation-sheet'!K11*'Output-Calculation-sheet'!K110</f>
        <v>8169634615.7868986</v>
      </c>
      <c r="L133" s="2">
        <f>L12/'Output-Calculation-sheet'!L11*'Output-Calculation-sheet'!L110</f>
        <v>6449733052.1997833</v>
      </c>
      <c r="M133" s="2">
        <f>M12/'Output-Calculation-sheet'!M11*'Output-Calculation-sheet'!M110</f>
        <v>0</v>
      </c>
      <c r="N133" s="2">
        <f>N12/'Output-Calculation-sheet'!N11*'Output-Calculation-sheet'!N110</f>
        <v>1190711318.5548794</v>
      </c>
      <c r="O133" s="2">
        <f>O12/'Output-Calculation-sheet'!O11*'Output-Calculation-sheet'!O110</f>
        <v>0</v>
      </c>
      <c r="P133" s="2">
        <f>P12/'Output-Calculation-sheet'!P11*'Output-Calculation-sheet'!P110</f>
        <v>4066894897.4922752</v>
      </c>
      <c r="Q133" s="2">
        <f>Q12/'Output-Calculation-sheet'!Q11*'Output-Calculation-sheet'!Q110</f>
        <v>3996796196.4575214</v>
      </c>
      <c r="R133" s="2">
        <f>R12/'Output-Calculation-sheet'!R11*'Output-Calculation-sheet'!R110</f>
        <v>4655503513.2393312</v>
      </c>
      <c r="S133" s="2">
        <f>S12/'Output-Calculation-sheet'!S11*'Output-Calculation-sheet'!S110</f>
        <v>1253775944.9235952</v>
      </c>
      <c r="T133" s="2">
        <f>T12/'Output-Calculation-sheet'!T11*'Output-Calculation-sheet'!T110</f>
        <v>2002957263.2003419</v>
      </c>
      <c r="U133" s="2">
        <f>U12/'Output-Calculation-sheet'!U11*'Output-Calculation-sheet'!U110</f>
        <v>1418091081.8589919</v>
      </c>
      <c r="V133" s="2">
        <f>V12/'Output-Calculation-sheet'!V11*'Output-Calculation-sheet'!V110</f>
        <v>1279129914.6733375</v>
      </c>
      <c r="W133" s="2">
        <f>W12/'Output-Calculation-sheet'!W11*'Output-Calculation-sheet'!W110</f>
        <v>1289867258.9044013</v>
      </c>
      <c r="X133" s="2">
        <f>X12/'Output-Calculation-sheet'!X11*'Output-Calculation-sheet'!X110</f>
        <v>0</v>
      </c>
      <c r="Y133" s="2">
        <f>Y12/'Output-Calculation-sheet'!Y11*'Output-Calculation-sheet'!Y110</f>
        <v>586400295.27007854</v>
      </c>
      <c r="AA133" s="2">
        <f t="shared" si="11"/>
        <v>163571.70037430298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52219487923.036781</v>
      </c>
      <c r="C151" s="2">
        <f>C8/'Output-Calculation-sheet'!C7*'Output-Calculation-sheet'!C124</f>
        <v>44395145358.495842</v>
      </c>
      <c r="D151" s="2">
        <f>D8/'Output-Calculation-sheet'!D7*'Output-Calculation-sheet'!D124</f>
        <v>9173243412.8717556</v>
      </c>
      <c r="E151" s="2">
        <f>E8/'Output-Calculation-sheet'!E7*'Output-Calculation-sheet'!E124</f>
        <v>10147574375.149879</v>
      </c>
      <c r="F151" s="2">
        <f>F8/'Output-Calculation-sheet'!F7*'Output-Calculation-sheet'!F124</f>
        <v>4391533379.7004805</v>
      </c>
      <c r="G151" s="2">
        <f>G8/'Output-Calculation-sheet'!G7*'Output-Calculation-sheet'!G124</f>
        <v>3322001307.497582</v>
      </c>
      <c r="H151" s="2">
        <f>H8/'Output-Calculation-sheet'!H7*'Output-Calculation-sheet'!H124</f>
        <v>10500706459.529657</v>
      </c>
      <c r="I151" s="2">
        <f>I8/'Output-Calculation-sheet'!I7*'Output-Calculation-sheet'!I124</f>
        <v>3180550886.2208958</v>
      </c>
      <c r="J151" s="2">
        <f>J8/'Output-Calculation-sheet'!J7*'Output-Calculation-sheet'!J124</f>
        <v>2595812500.3955836</v>
      </c>
      <c r="K151" s="2">
        <f>K8/'Output-Calculation-sheet'!K7*'Output-Calculation-sheet'!K124</f>
        <v>3846765744.6780272</v>
      </c>
      <c r="L151" s="2">
        <f>L8/'Output-Calculation-sheet'!L7*'Output-Calculation-sheet'!L124</f>
        <v>3181439691.8246226</v>
      </c>
      <c r="M151" s="2">
        <f>M8/'Output-Calculation-sheet'!M7*'Output-Calculation-sheet'!M124</f>
        <v>7260525378.0863237</v>
      </c>
      <c r="N151" s="2">
        <f>N8/'Output-Calculation-sheet'!N7*'Output-Calculation-sheet'!N124</f>
        <v>6004583496.0002031</v>
      </c>
      <c r="O151" s="2">
        <f>O8/'Output-Calculation-sheet'!O7*'Output-Calculation-sheet'!O124</f>
        <v>8626015296.728981</v>
      </c>
      <c r="P151" s="2">
        <f>P8/'Output-Calculation-sheet'!P7*'Output-Calculation-sheet'!P124</f>
        <v>4336498956.9355469</v>
      </c>
      <c r="Q151" s="2">
        <f>Q8/'Output-Calculation-sheet'!Q7*'Output-Calculation-sheet'!Q124</f>
        <v>4282299401.4512773</v>
      </c>
      <c r="R151" s="2">
        <f>R8/'Output-Calculation-sheet'!R7*'Output-Calculation-sheet'!R124</f>
        <v>3182244907.6509957</v>
      </c>
      <c r="S151" s="2">
        <f>S8/'Output-Calculation-sheet'!S7*'Output-Calculation-sheet'!S124</f>
        <v>3324392143.1002049</v>
      </c>
      <c r="T151" s="2">
        <f>T8/'Output-Calculation-sheet'!T7*'Output-Calculation-sheet'!T124</f>
        <v>849574991.56774056</v>
      </c>
      <c r="U151" s="2">
        <f>U8/'Output-Calculation-sheet'!U7*'Output-Calculation-sheet'!U124</f>
        <v>1094152395.5484324</v>
      </c>
      <c r="V151" s="2">
        <f>V8/'Output-Calculation-sheet'!V7*'Output-Calculation-sheet'!V124</f>
        <v>648930053.70314074</v>
      </c>
      <c r="W151" s="2">
        <f>W8/'Output-Calculation-sheet'!W7*'Output-Calculation-sheet'!W124</f>
        <v>354196048.08568317</v>
      </c>
      <c r="X151" s="2">
        <f>X8/'Output-Calculation-sheet'!X7*'Output-Calculation-sheet'!X124</f>
        <v>816778010.91650295</v>
      </c>
      <c r="Y151" s="2">
        <f>Y8/'Output-Calculation-sheet'!Y7*'Output-Calculation-sheet'!Y124</f>
        <v>387556483.40321678</v>
      </c>
      <c r="AA151" s="2">
        <f t="shared" si="13"/>
        <v>188122.00860257944</v>
      </c>
    </row>
    <row r="152" spans="1:27" x14ac:dyDescent="0.25">
      <c r="A152" s="2">
        <v>2032</v>
      </c>
      <c r="B152" s="2">
        <f>B9/'Output-Calculation-sheet'!B8*'Output-Calculation-sheet'!B125</f>
        <v>54664748116.493256</v>
      </c>
      <c r="C152" s="2">
        <f>C9/'Output-Calculation-sheet'!C8*'Output-Calculation-sheet'!C125</f>
        <v>46833160510.809753</v>
      </c>
      <c r="D152" s="2">
        <f>D9/'Output-Calculation-sheet'!D8*'Output-Calculation-sheet'!D125</f>
        <v>9614535446.5203724</v>
      </c>
      <c r="E152" s="2">
        <f>E9/'Output-Calculation-sheet'!E8*'Output-Calculation-sheet'!E125</f>
        <v>10631980548.80228</v>
      </c>
      <c r="F152" s="2">
        <f>F9/'Output-Calculation-sheet'!F8*'Output-Calculation-sheet'!F125</f>
        <v>4604644330.1142454</v>
      </c>
      <c r="G152" s="2">
        <f>G9/'Output-Calculation-sheet'!G8*'Output-Calculation-sheet'!G125</f>
        <v>3490883473.8403902</v>
      </c>
      <c r="H152" s="2">
        <f>H9/'Output-Calculation-sheet'!H8*'Output-Calculation-sheet'!H125</f>
        <v>10974035584.095381</v>
      </c>
      <c r="I152" s="2">
        <f>I9/'Output-Calculation-sheet'!I8*'Output-Calculation-sheet'!I125</f>
        <v>3334325251.3100839</v>
      </c>
      <c r="J152" s="2">
        <f>J9/'Output-Calculation-sheet'!J8*'Output-Calculation-sheet'!J125</f>
        <v>2723437079.1080251</v>
      </c>
      <c r="K152" s="2">
        <f>K9/'Output-Calculation-sheet'!K8*'Output-Calculation-sheet'!K125</f>
        <v>4030640010.1779642</v>
      </c>
      <c r="L152" s="2">
        <f>L9/'Output-Calculation-sheet'!L8*'Output-Calculation-sheet'!L125</f>
        <v>3332509705.5285378</v>
      </c>
      <c r="M152" s="2">
        <f>M9/'Output-Calculation-sheet'!M8*'Output-Calculation-sheet'!M125</f>
        <v>7591410120.7577696</v>
      </c>
      <c r="N152" s="2">
        <f>N9/'Output-Calculation-sheet'!N8*'Output-Calculation-sheet'!N125</f>
        <v>6334827342.7892237</v>
      </c>
      <c r="O152" s="2">
        <f>O9/'Output-Calculation-sheet'!O8*'Output-Calculation-sheet'!O125</f>
        <v>9099723758.04146</v>
      </c>
      <c r="P152" s="2">
        <f>P9/'Output-Calculation-sheet'!P8*'Output-Calculation-sheet'!P125</f>
        <v>4527282164.067153</v>
      </c>
      <c r="Q152" s="2">
        <f>Q9/'Output-Calculation-sheet'!Q8*'Output-Calculation-sheet'!Q125</f>
        <v>4468356020.0639877</v>
      </c>
      <c r="R152" s="2">
        <f>R9/'Output-Calculation-sheet'!R8*'Output-Calculation-sheet'!R125</f>
        <v>3340663152.5018735</v>
      </c>
      <c r="S152" s="2">
        <f>S9/'Output-Calculation-sheet'!S8*'Output-Calculation-sheet'!S125</f>
        <v>3429224039.4970856</v>
      </c>
      <c r="T152" s="2">
        <f>T9/'Output-Calculation-sheet'!T8*'Output-Calculation-sheet'!T125</f>
        <v>891467228.94752669</v>
      </c>
      <c r="U152" s="2">
        <f>U9/'Output-Calculation-sheet'!U8*'Output-Calculation-sheet'!U125</f>
        <v>1147713923.545445</v>
      </c>
      <c r="V152" s="2">
        <f>V9/'Output-Calculation-sheet'!V8*'Output-Calculation-sheet'!V125</f>
        <v>677730551.45842314</v>
      </c>
      <c r="W152" s="2">
        <f>W9/'Output-Calculation-sheet'!W8*'Output-Calculation-sheet'!W125</f>
        <v>370314509.45116568</v>
      </c>
      <c r="X152" s="2">
        <f>X9/'Output-Calculation-sheet'!X8*'Output-Calculation-sheet'!X125</f>
        <v>852025061.80169785</v>
      </c>
      <c r="Y152" s="2">
        <f>Y9/'Output-Calculation-sheet'!Y8*'Output-Calculation-sheet'!Y125</f>
        <v>406634382.79111749</v>
      </c>
      <c r="AA152" s="2">
        <f t="shared" si="13"/>
        <v>197372.27231251425</v>
      </c>
    </row>
    <row r="153" spans="1:27" x14ac:dyDescent="0.25">
      <c r="A153" s="2">
        <v>2033</v>
      </c>
      <c r="B153" s="2">
        <f>B10/'Output-Calculation-sheet'!B9*'Output-Calculation-sheet'!B126</f>
        <v>52844378119.862762</v>
      </c>
      <c r="C153" s="2">
        <f>C10/'Output-Calculation-sheet'!C9*'Output-Calculation-sheet'!C126</f>
        <v>38653538852.187859</v>
      </c>
      <c r="D153" s="2">
        <f>D10/'Output-Calculation-sheet'!D9*'Output-Calculation-sheet'!D126</f>
        <v>9623675453.2372131</v>
      </c>
      <c r="E153" s="2">
        <f>E10/'Output-Calculation-sheet'!E9*'Output-Calculation-sheet'!E126</f>
        <v>10651873577.481499</v>
      </c>
      <c r="F153" s="2">
        <f>F10/'Output-Calculation-sheet'!F9*'Output-Calculation-sheet'!F126</f>
        <v>4602051149.5485792</v>
      </c>
      <c r="G153" s="2">
        <f>G10/'Output-Calculation-sheet'!G9*'Output-Calculation-sheet'!G126</f>
        <v>3494213004.8284855</v>
      </c>
      <c r="H153" s="2">
        <f>H10/'Output-Calculation-sheet'!H9*'Output-Calculation-sheet'!H126</f>
        <v>10951631156.85111</v>
      </c>
      <c r="I153" s="2">
        <f>I10/'Output-Calculation-sheet'!I9*'Output-Calculation-sheet'!I126</f>
        <v>3336735570.3228073</v>
      </c>
      <c r="J153" s="2">
        <f>J10/'Output-Calculation-sheet'!J9*'Output-Calculation-sheet'!J126</f>
        <v>2725078260.7312284</v>
      </c>
      <c r="K153" s="2">
        <f>K10/'Output-Calculation-sheet'!K9*'Output-Calculation-sheet'!K126</f>
        <v>4024609111.9437151</v>
      </c>
      <c r="L153" s="2">
        <f>L10/'Output-Calculation-sheet'!L9*'Output-Calculation-sheet'!L126</f>
        <v>3333862276.0295982</v>
      </c>
      <c r="M153" s="2">
        <f>M10/'Output-Calculation-sheet'!M9*'Output-Calculation-sheet'!M126</f>
        <v>7574157231.3492222</v>
      </c>
      <c r="N153" s="2">
        <f>N10/'Output-Calculation-sheet'!N9*'Output-Calculation-sheet'!N126</f>
        <v>6376325032.6607513</v>
      </c>
      <c r="O153" s="2">
        <f>O10/'Output-Calculation-sheet'!O9*'Output-Calculation-sheet'!O126</f>
        <v>9161896793.0414276</v>
      </c>
      <c r="P153" s="2">
        <f>P10/'Output-Calculation-sheet'!P9*'Output-Calculation-sheet'!P126</f>
        <v>4520321839.9305143</v>
      </c>
      <c r="Q153" s="2">
        <f>Q10/'Output-Calculation-sheet'!Q9*'Output-Calculation-sheet'!Q126</f>
        <v>4454761691.2415056</v>
      </c>
      <c r="R153" s="2">
        <f>R10/'Output-Calculation-sheet'!R9*'Output-Calculation-sheet'!R126</f>
        <v>3340538927.0782318</v>
      </c>
      <c r="S153" s="2">
        <f>S10/'Output-Calculation-sheet'!S9*'Output-Calculation-sheet'!S126</f>
        <v>3416434038.6342058</v>
      </c>
      <c r="T153" s="2">
        <f>T10/'Output-Calculation-sheet'!T9*'Output-Calculation-sheet'!T126</f>
        <v>891156893.4627918</v>
      </c>
      <c r="U153" s="2">
        <f>U10/'Output-Calculation-sheet'!U9*'Output-Calculation-sheet'!U126</f>
        <v>1150642787.1820176</v>
      </c>
      <c r="V153" s="2">
        <f>V10/'Output-Calculation-sheet'!V9*'Output-Calculation-sheet'!V126</f>
        <v>676802578.06739879</v>
      </c>
      <c r="W153" s="2">
        <f>W10/'Output-Calculation-sheet'!W9*'Output-Calculation-sheet'!W126</f>
        <v>370924379.19160455</v>
      </c>
      <c r="X153" s="2">
        <f>X10/'Output-Calculation-sheet'!X9*'Output-Calculation-sheet'!X126</f>
        <v>851054127.51995826</v>
      </c>
      <c r="Y153" s="2">
        <f>Y10/'Output-Calculation-sheet'!Y9*'Output-Calculation-sheet'!Y126</f>
        <v>407075202.19102484</v>
      </c>
      <c r="AA153" s="2">
        <f t="shared" si="13"/>
        <v>187433.73805457557</v>
      </c>
    </row>
    <row r="154" spans="1:27" x14ac:dyDescent="0.25">
      <c r="A154" s="2">
        <v>2034</v>
      </c>
      <c r="B154" s="2">
        <f>B11/'Output-Calculation-sheet'!B10*'Output-Calculation-sheet'!B127</f>
        <v>49498113359.524757</v>
      </c>
      <c r="C154" s="2">
        <f>C11/'Output-Calculation-sheet'!C10*'Output-Calculation-sheet'!C127</f>
        <v>36693997456.67585</v>
      </c>
      <c r="D154" s="2">
        <f>D11/'Output-Calculation-sheet'!D10*'Output-Calculation-sheet'!D127</f>
        <v>9215912162.3374157</v>
      </c>
      <c r="E154" s="2">
        <f>E11/'Output-Calculation-sheet'!E10*'Output-Calculation-sheet'!E127</f>
        <v>10181877781.790548</v>
      </c>
      <c r="F154" s="2">
        <f>F11/'Output-Calculation-sheet'!F10*'Output-Calculation-sheet'!F127</f>
        <v>4397107315.841589</v>
      </c>
      <c r="G154" s="2">
        <f>G11/'Output-Calculation-sheet'!G10*'Output-Calculation-sheet'!G127</f>
        <v>3350837493.1232762</v>
      </c>
      <c r="H154" s="2">
        <f>H11/'Output-Calculation-sheet'!H10*'Output-Calculation-sheet'!H127</f>
        <v>10434728084.242428</v>
      </c>
      <c r="I154" s="2">
        <f>I11/'Output-Calculation-sheet'!I10*'Output-Calculation-sheet'!I127</f>
        <v>3180850007.9441156</v>
      </c>
      <c r="J154" s="2">
        <f>J11/'Output-Calculation-sheet'!J10*'Output-Calculation-sheet'!J127</f>
        <v>2608914860.9576731</v>
      </c>
      <c r="K154" s="2">
        <f>K11/'Output-Calculation-sheet'!K10*'Output-Calculation-sheet'!K127</f>
        <v>3839914417.1188345</v>
      </c>
      <c r="L154" s="2">
        <f>L11/'Output-Calculation-sheet'!L10*'Output-Calculation-sheet'!L127</f>
        <v>3188362979.9487062</v>
      </c>
      <c r="M154" s="2">
        <f>M11/'Output-Calculation-sheet'!M10*'Output-Calculation-sheet'!M127</f>
        <v>7216907617.0008574</v>
      </c>
      <c r="N154" s="2">
        <f>N11/'Output-Calculation-sheet'!N10*'Output-Calculation-sheet'!N127</f>
        <v>6120924192.8562307</v>
      </c>
      <c r="O154" s="2">
        <f>O11/'Output-Calculation-sheet'!O10*'Output-Calculation-sheet'!O127</f>
        <v>8811815191.5320148</v>
      </c>
      <c r="P154" s="2">
        <f>P11/'Output-Calculation-sheet'!P10*'Output-Calculation-sheet'!P127</f>
        <v>4313628553.2823181</v>
      </c>
      <c r="Q154" s="2">
        <f>Q11/'Output-Calculation-sheet'!Q10*'Output-Calculation-sheet'!Q127</f>
        <v>4241663002.7734137</v>
      </c>
      <c r="R154" s="2">
        <f>R11/'Output-Calculation-sheet'!R10*'Output-Calculation-sheet'!R127</f>
        <v>3194313315.6100583</v>
      </c>
      <c r="S154" s="2">
        <f>S11/'Output-Calculation-sheet'!S10*'Output-Calculation-sheet'!S127</f>
        <v>3211618966.09199</v>
      </c>
      <c r="T154" s="2">
        <f>T11/'Output-Calculation-sheet'!T10*'Output-Calculation-sheet'!T127</f>
        <v>851295349.1840955</v>
      </c>
      <c r="U154" s="2">
        <f>U11/'Output-Calculation-sheet'!U10*'Output-Calculation-sheet'!U127</f>
        <v>1099521227.7848299</v>
      </c>
      <c r="V154" s="2">
        <f>V11/'Output-Calculation-sheet'!V10*'Output-Calculation-sheet'!V127</f>
        <v>644608441.63175678</v>
      </c>
      <c r="W154" s="2">
        <f>W11/'Output-Calculation-sheet'!W10*'Output-Calculation-sheet'!W127</f>
        <v>354662895.31869453</v>
      </c>
      <c r="X154" s="2">
        <f>X11/'Output-Calculation-sheet'!X10*'Output-Calculation-sheet'!X127</f>
        <v>810522274.06601107</v>
      </c>
      <c r="Y154" s="2">
        <f>Y11/'Output-Calculation-sheet'!Y10*'Output-Calculation-sheet'!Y127</f>
        <v>389655480.93373656</v>
      </c>
      <c r="AA154" s="2">
        <f t="shared" si="13"/>
        <v>177851.75242757113</v>
      </c>
    </row>
    <row r="155" spans="1:27" x14ac:dyDescent="0.25">
      <c r="A155" s="2">
        <v>2035</v>
      </c>
      <c r="B155" s="2">
        <f>B12/'Output-Calculation-sheet'!B11*'Output-Calculation-sheet'!B128</f>
        <v>44771134953.576202</v>
      </c>
      <c r="C155" s="2">
        <f>C12/'Output-Calculation-sheet'!C11*'Output-Calculation-sheet'!C128</f>
        <v>33187778347.187126</v>
      </c>
      <c r="D155" s="2">
        <f>D12/'Output-Calculation-sheet'!D11*'Output-Calculation-sheet'!D128</f>
        <v>8366996056.2684889</v>
      </c>
      <c r="E155" s="2">
        <f>E12/'Output-Calculation-sheet'!E11*'Output-Calculation-sheet'!E128</f>
        <v>9258215450.9057579</v>
      </c>
      <c r="F155" s="2">
        <f>F12/'Output-Calculation-sheet'!F11*'Output-Calculation-sheet'!F128</f>
        <v>3993457203.5238457</v>
      </c>
      <c r="G155" s="2">
        <f>G12/'Output-Calculation-sheet'!G11*'Output-Calculation-sheet'!G128</f>
        <v>3057598404.4025688</v>
      </c>
      <c r="H155" s="2">
        <f>H12/'Output-Calculation-sheet'!H11*'Output-Calculation-sheet'!H128</f>
        <v>9472037970.519352</v>
      </c>
      <c r="I155" s="2">
        <f>I12/'Output-Calculation-sheet'!I11*'Output-Calculation-sheet'!I128</f>
        <v>2891739671.1339669</v>
      </c>
      <c r="J155" s="2">
        <f>J12/'Output-Calculation-sheet'!J11*'Output-Calculation-sheet'!J128</f>
        <v>2381936795.4463234</v>
      </c>
      <c r="K155" s="2">
        <f>K12/'Output-Calculation-sheet'!K11*'Output-Calculation-sheet'!K128</f>
        <v>3488934976.6746311</v>
      </c>
      <c r="L155" s="2">
        <f>L12/'Output-Calculation-sheet'!L11*'Output-Calculation-sheet'!L128</f>
        <v>2902946120.3455224</v>
      </c>
      <c r="M155" s="2">
        <f>M12/'Output-Calculation-sheet'!M11*'Output-Calculation-sheet'!M128</f>
        <v>6554286083.1876945</v>
      </c>
      <c r="N155" s="2">
        <f>N12/'Output-Calculation-sheet'!N11*'Output-Calculation-sheet'!N128</f>
        <v>5588921516.0263376</v>
      </c>
      <c r="O155" s="2">
        <f>O12/'Output-Calculation-sheet'!O11*'Output-Calculation-sheet'!O128</f>
        <v>6642894713.8179979</v>
      </c>
      <c r="P155" s="2">
        <f>P12/'Output-Calculation-sheet'!P11*'Output-Calculation-sheet'!P128</f>
        <v>3915176108.4395857</v>
      </c>
      <c r="Q155" s="2">
        <f>Q12/'Output-Calculation-sheet'!Q11*'Output-Calculation-sheet'!Q128</f>
        <v>3830312668.8420081</v>
      </c>
      <c r="R155" s="2">
        <f>R12/'Output-Calculation-sheet'!R11*'Output-Calculation-sheet'!R128</f>
        <v>2899508744.6793623</v>
      </c>
      <c r="S155" s="2">
        <f>S12/'Output-Calculation-sheet'!S11*'Output-Calculation-sheet'!S128</f>
        <v>2930442601.3978782</v>
      </c>
      <c r="T155" s="2">
        <f>T12/'Output-Calculation-sheet'!T11*'Output-Calculation-sheet'!T128</f>
        <v>774181244.39612484</v>
      </c>
      <c r="U155" s="2">
        <f>U12/'Output-Calculation-sheet'!U11*'Output-Calculation-sheet'!U128</f>
        <v>1000706188.162015</v>
      </c>
      <c r="V155" s="2">
        <f>V12/'Output-Calculation-sheet'!V11*'Output-Calculation-sheet'!V128</f>
        <v>583384484.31738043</v>
      </c>
      <c r="W155" s="2">
        <f>W12/'Output-Calculation-sheet'!W11*'Output-Calculation-sheet'!W128</f>
        <v>322669802.3160423</v>
      </c>
      <c r="X155" s="2">
        <f>X12/'Output-Calculation-sheet'!X11*'Output-Calculation-sheet'!X128</f>
        <v>734582088.180336</v>
      </c>
      <c r="Y155" s="2">
        <f>Y12/'Output-Calculation-sheet'!Y11*'Output-Calculation-sheet'!Y128</f>
        <v>354501166.36275542</v>
      </c>
      <c r="AA155" s="2">
        <f t="shared" si="13"/>
        <v>159904.34336010931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2.3227717663056285E-10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2103.4702855090436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1440.5521160756648</v>
      </c>
      <c r="N19" s="2">
        <f>N8/'Output-Calculation-sheet'!N7*'Output-Calculation-sheet'!N25</f>
        <v>968.97993477866612</v>
      </c>
      <c r="O19" s="2">
        <f>O8/'Output-Calculation-sheet'!O7*'Output-Calculation-sheet'!O25</f>
        <v>1.2783691492502952E-11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257.01674974455807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136.71306252281136</v>
      </c>
      <c r="Y19" s="2">
        <f>Y8/'Output-Calculation-sheet'!Y7*'Output-Calculation-sheet'!Y25</f>
        <v>0</v>
      </c>
      <c r="AA19" s="2">
        <f t="shared" si="0"/>
        <v>4.9067321486309883</v>
      </c>
    </row>
    <row r="20" spans="1:27" x14ac:dyDescent="0.25">
      <c r="A20" s="2">
        <v>2032</v>
      </c>
      <c r="B20" s="2">
        <f>B9/'Output-Calculation-sheet'!B8*'Output-Calculation-sheet'!B26</f>
        <v>2.2970170983838281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2384.7617034822692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1630.8615588929661</v>
      </c>
      <c r="N20" s="2">
        <f>N9/'Output-Calculation-sheet'!N8*'Output-Calculation-sheet'!N26</f>
        <v>1187.721579824205</v>
      </c>
      <c r="O20" s="2">
        <f>O9/'Output-Calculation-sheet'!O8*'Output-Calculation-sheet'!O26</f>
        <v>1.2024791929540565E-10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408.63591071332354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156.97656428603995</v>
      </c>
      <c r="Y20" s="2">
        <f>Y9/'Output-Calculation-sheet'!Y8*'Output-Calculation-sheet'!Y26</f>
        <v>0</v>
      </c>
      <c r="AA20" s="2">
        <f t="shared" si="0"/>
        <v>5.7712543342973088</v>
      </c>
    </row>
    <row r="21" spans="1:27" x14ac:dyDescent="0.25">
      <c r="A21" s="2">
        <v>2033</v>
      </c>
      <c r="B21" s="2">
        <f>B10/'Output-Calculation-sheet'!B9*'Output-Calculation-sheet'!B27</f>
        <v>3773.0732867878028</v>
      </c>
      <c r="C21" s="2">
        <f>C10/'Output-Calculation-sheet'!C9*'Output-Calculation-sheet'!C27</f>
        <v>5887.7540127173679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2641.6183428530571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1808.3274182941088</v>
      </c>
      <c r="N21" s="2">
        <f>N10/'Output-Calculation-sheet'!N9*'Output-Calculation-sheet'!N27</f>
        <v>1412.8974640817996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539.00646789460973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174.06086264424442</v>
      </c>
      <c r="Y21" s="2">
        <f>Y10/'Output-Calculation-sheet'!Y9*'Output-Calculation-sheet'!Y27</f>
        <v>0</v>
      </c>
      <c r="AA21" s="2">
        <f t="shared" si="0"/>
        <v>16.236737855272988</v>
      </c>
    </row>
    <row r="22" spans="1:27" x14ac:dyDescent="0.25">
      <c r="A22" s="2">
        <v>2034</v>
      </c>
      <c r="B22" s="2">
        <f>B11/'Output-Calculation-sheet'!B10*'Output-Calculation-sheet'!B28</f>
        <v>6835.6969180221731</v>
      </c>
      <c r="C22" s="2">
        <f>C11/'Output-Calculation-sheet'!C10*'Output-Calculation-sheet'!C28</f>
        <v>6622.7483287754312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2893.494877037931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1980.9113811344162</v>
      </c>
      <c r="N22" s="2">
        <f>N11/'Output-Calculation-sheet'!N10*'Output-Calculation-sheet'!N28</f>
        <v>1588.4424356512386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647.97530773494043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191.92354674932628</v>
      </c>
      <c r="Y22" s="2">
        <f>Y11/'Output-Calculation-sheet'!Y10*'Output-Calculation-sheet'!Y28</f>
        <v>0</v>
      </c>
      <c r="AA22" s="2">
        <f t="shared" si="0"/>
        <v>20.761192795105462</v>
      </c>
    </row>
    <row r="23" spans="1:27" x14ac:dyDescent="0.25">
      <c r="A23" s="2">
        <v>2035</v>
      </c>
      <c r="B23" s="2">
        <f>B12/'Output-Calculation-sheet'!B11*'Output-Calculation-sheet'!B29</f>
        <v>8937.6281798357104</v>
      </c>
      <c r="C23" s="2">
        <f>C12/'Output-Calculation-sheet'!C11*'Output-Calculation-sheet'!C29</f>
        <v>7323.7019844515744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3124.5926047240368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2135.7949453547953</v>
      </c>
      <c r="N23" s="2">
        <f>N12/'Output-Calculation-sheet'!N11*'Output-Calculation-sheet'!N29</f>
        <v>1745.8196107632036</v>
      </c>
      <c r="O23" s="2">
        <f>O12/'Output-Calculation-sheet'!O11*'Output-Calculation-sheet'!O29</f>
        <v>1245.1972462464794</v>
      </c>
      <c r="P23" s="2">
        <f>P12/'Output-Calculation-sheet'!P11*'Output-Calculation-sheet'!P29</f>
        <v>0</v>
      </c>
      <c r="Q23" s="2">
        <f>Q12/'Output-Calculation-sheet'!Q11*'Output-Calculation-sheet'!Q29</f>
        <v>23.832763004698133</v>
      </c>
      <c r="R23" s="2">
        <f>R12/'Output-Calculation-sheet'!R11*'Output-Calculation-sheet'!R29</f>
        <v>0</v>
      </c>
      <c r="S23" s="2">
        <f>S12/'Output-Calculation-sheet'!S11*'Output-Calculation-sheet'!S29</f>
        <v>766.69157466585773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209.36403971708174</v>
      </c>
      <c r="Y23" s="2">
        <f>Y12/'Output-Calculation-sheet'!Y11*'Output-Calculation-sheet'!Y29</f>
        <v>0</v>
      </c>
      <c r="AA23" s="2">
        <f t="shared" si="0"/>
        <v>25.512622948763436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16532.960363917406</v>
      </c>
      <c r="C30" s="2">
        <f>C8/'Output-Calculation-sheet'!C7*'Output-Calculation-sheet'!C16</f>
        <v>0</v>
      </c>
      <c r="D30" s="2">
        <f>D8/'Output-Calculation-sheet'!D7*'Output-Calculation-sheet'!D16</f>
        <v>5160.9972183374466</v>
      </c>
      <c r="E30" s="2">
        <f>E8/'Output-Calculation-sheet'!E7*'Output-Calculation-sheet'!E16</f>
        <v>5338.1781914876055</v>
      </c>
      <c r="F30" s="2">
        <f>F8/'Output-Calculation-sheet'!F7*'Output-Calculation-sheet'!F16</f>
        <v>2990.6725912060615</v>
      </c>
      <c r="G30" s="2">
        <f>G8/'Output-Calculation-sheet'!G7*'Output-Calculation-sheet'!G16</f>
        <v>1803.7043404746939</v>
      </c>
      <c r="H30" s="2">
        <f>H8/'Output-Calculation-sheet'!H7*'Output-Calculation-sheet'!H16</f>
        <v>0</v>
      </c>
      <c r="I30" s="2">
        <f>I8/'Output-Calculation-sheet'!I7*'Output-Calculation-sheet'!I16</f>
        <v>1825.5427119628621</v>
      </c>
      <c r="J30" s="2">
        <f>J8/'Output-Calculation-sheet'!J7*'Output-Calculation-sheet'!J16</f>
        <v>1666.2621570370109</v>
      </c>
      <c r="K30" s="2">
        <f>K8/'Output-Calculation-sheet'!K7*'Output-Calculation-sheet'!K16</f>
        <v>2060.7288773890032</v>
      </c>
      <c r="L30" s="2">
        <f>L8/'Output-Calculation-sheet'!L7*'Output-Calculation-sheet'!L16</f>
        <v>1700.6413528685052</v>
      </c>
      <c r="M30" s="2">
        <f>M8/'Output-Calculation-sheet'!M7*'Output-Calculation-sheet'!M16</f>
        <v>0</v>
      </c>
      <c r="N30" s="2">
        <f>N8/'Output-Calculation-sheet'!N7*'Output-Calculation-sheet'!N16</f>
        <v>834.42600727373917</v>
      </c>
      <c r="O30" s="2">
        <f>O8/'Output-Calculation-sheet'!O7*'Output-Calculation-sheet'!O16</f>
        <v>0</v>
      </c>
      <c r="P30" s="2">
        <f>P8/'Output-Calculation-sheet'!P7*'Output-Calculation-sheet'!P16</f>
        <v>1355.499684397204</v>
      </c>
      <c r="Q30" s="2">
        <f>Q8/'Output-Calculation-sheet'!Q7*'Output-Calculation-sheet'!Q16</f>
        <v>1486.7375733772878</v>
      </c>
      <c r="R30" s="2">
        <f>R8/'Output-Calculation-sheet'!R7*'Output-Calculation-sheet'!R16</f>
        <v>1302.5886687664649</v>
      </c>
      <c r="S30" s="2">
        <f>S8/'Output-Calculation-sheet'!S7*'Output-Calculation-sheet'!S16</f>
        <v>695.62758696615231</v>
      </c>
      <c r="T30" s="2">
        <f>T8/'Output-Calculation-sheet'!T7*'Output-Calculation-sheet'!T16</f>
        <v>475.2051618253023</v>
      </c>
      <c r="U30" s="2">
        <f>U8/'Output-Calculation-sheet'!U7*'Output-Calculation-sheet'!U16</f>
        <v>365.22824096166789</v>
      </c>
      <c r="V30" s="2">
        <f>V8/'Output-Calculation-sheet'!V7*'Output-Calculation-sheet'!V16</f>
        <v>349.73656847448632</v>
      </c>
      <c r="W30" s="2">
        <f>W8/'Output-Calculation-sheet'!W7*'Output-Calculation-sheet'!W16</f>
        <v>242.80431552531411</v>
      </c>
      <c r="X30" s="2">
        <f>X8/'Output-Calculation-sheet'!X7*'Output-Calculation-sheet'!X16</f>
        <v>0</v>
      </c>
      <c r="Y30" s="2">
        <f>Y8/'Output-Calculation-sheet'!Y7*'Output-Calculation-sheet'!Y16</f>
        <v>160.51753457700562</v>
      </c>
      <c r="AA30" s="2">
        <f t="shared" si="1"/>
        <v>46.348059146825214</v>
      </c>
    </row>
    <row r="31" spans="1:27" x14ac:dyDescent="0.25">
      <c r="A31" s="2">
        <v>2032</v>
      </c>
      <c r="B31" s="2">
        <f>B9/'Output-Calculation-sheet'!B8*'Output-Calculation-sheet'!B17</f>
        <v>18369.327772100416</v>
      </c>
      <c r="C31" s="2">
        <f>C9/'Output-Calculation-sheet'!C8*'Output-Calculation-sheet'!C17</f>
        <v>0</v>
      </c>
      <c r="D31" s="2">
        <f>D9/'Output-Calculation-sheet'!D8*'Output-Calculation-sheet'!D17</f>
        <v>5694.8483152565395</v>
      </c>
      <c r="E31" s="2">
        <f>E9/'Output-Calculation-sheet'!E8*'Output-Calculation-sheet'!E17</f>
        <v>5897.6711474853855</v>
      </c>
      <c r="F31" s="2">
        <f>F9/'Output-Calculation-sheet'!F8*'Output-Calculation-sheet'!F17</f>
        <v>3294.8047186721665</v>
      </c>
      <c r="G31" s="2">
        <f>G9/'Output-Calculation-sheet'!G8*'Output-Calculation-sheet'!G17</f>
        <v>1986.2380960327137</v>
      </c>
      <c r="H31" s="2">
        <f>H9/'Output-Calculation-sheet'!H8*'Output-Calculation-sheet'!H17</f>
        <v>0</v>
      </c>
      <c r="I31" s="2">
        <f>I9/'Output-Calculation-sheet'!I8*'Output-Calculation-sheet'!I17</f>
        <v>2013.7940173689365</v>
      </c>
      <c r="J31" s="2">
        <f>J9/'Output-Calculation-sheet'!J8*'Output-Calculation-sheet'!J17</f>
        <v>1836.7161424974704</v>
      </c>
      <c r="K31" s="2">
        <f>K9/'Output-Calculation-sheet'!K8*'Output-Calculation-sheet'!K17</f>
        <v>2275.1061249971267</v>
      </c>
      <c r="L31" s="2">
        <f>L9/'Output-Calculation-sheet'!L8*'Output-Calculation-sheet'!L17</f>
        <v>1878.0658755661975</v>
      </c>
      <c r="M31" s="2">
        <f>M9/'Output-Calculation-sheet'!M8*'Output-Calculation-sheet'!M17</f>
        <v>0</v>
      </c>
      <c r="N31" s="2">
        <f>N9/'Output-Calculation-sheet'!N8*'Output-Calculation-sheet'!N17</f>
        <v>830.75663690714509</v>
      </c>
      <c r="O31" s="2">
        <f>O9/'Output-Calculation-sheet'!O8*'Output-Calculation-sheet'!O17</f>
        <v>0</v>
      </c>
      <c r="P31" s="2">
        <f>P9/'Output-Calculation-sheet'!P8*'Output-Calculation-sheet'!P17</f>
        <v>1510.8618751782028</v>
      </c>
      <c r="Q31" s="2">
        <f>Q9/'Output-Calculation-sheet'!Q8*'Output-Calculation-sheet'!Q17</f>
        <v>1655.759187842544</v>
      </c>
      <c r="R31" s="2">
        <f>R9/'Output-Calculation-sheet'!R8*'Output-Calculation-sheet'!R17</f>
        <v>1437.6179950236192</v>
      </c>
      <c r="S31" s="2">
        <f>S9/'Output-Calculation-sheet'!S8*'Output-Calculation-sheet'!S17</f>
        <v>717.29759817678348</v>
      </c>
      <c r="T31" s="2">
        <f>T9/'Output-Calculation-sheet'!T8*'Output-Calculation-sheet'!T17</f>
        <v>523.87988834678208</v>
      </c>
      <c r="U31" s="2">
        <f>U9/'Output-Calculation-sheet'!U8*'Output-Calculation-sheet'!U17</f>
        <v>404.04230706888353</v>
      </c>
      <c r="V31" s="2">
        <f>V9/'Output-Calculation-sheet'!V8*'Output-Calculation-sheet'!V17</f>
        <v>387.1910728972706</v>
      </c>
      <c r="W31" s="2">
        <f>W9/'Output-Calculation-sheet'!W8*'Output-Calculation-sheet'!W17</f>
        <v>268.11570358473244</v>
      </c>
      <c r="X31" s="2">
        <f>X9/'Output-Calculation-sheet'!X8*'Output-Calculation-sheet'!X17</f>
        <v>0</v>
      </c>
      <c r="Y31" s="2">
        <f>Y9/'Output-Calculation-sheet'!Y8*'Output-Calculation-sheet'!Y17</f>
        <v>177.25048671834767</v>
      </c>
      <c r="AA31" s="2">
        <f t="shared" si="1"/>
        <v>51.15934496172126</v>
      </c>
    </row>
    <row r="32" spans="1:27" x14ac:dyDescent="0.25">
      <c r="A32" s="2">
        <v>2033</v>
      </c>
      <c r="B32" s="2">
        <f>B10/'Output-Calculation-sheet'!B9*'Output-Calculation-sheet'!B18</f>
        <v>18413.223745948464</v>
      </c>
      <c r="C32" s="2">
        <f>C10/'Output-Calculation-sheet'!C9*'Output-Calculation-sheet'!C18</f>
        <v>0</v>
      </c>
      <c r="D32" s="2">
        <f>D10/'Output-Calculation-sheet'!D9*'Output-Calculation-sheet'!D18</f>
        <v>6147.1146307789886</v>
      </c>
      <c r="E32" s="2">
        <f>E10/'Output-Calculation-sheet'!E9*'Output-Calculation-sheet'!E18</f>
        <v>6365.5185597932632</v>
      </c>
      <c r="F32" s="2">
        <f>F10/'Output-Calculation-sheet'!F9*'Output-Calculation-sheet'!F18</f>
        <v>3555.5441120482215</v>
      </c>
      <c r="G32" s="2">
        <f>G10/'Output-Calculation-sheet'!G9*'Output-Calculation-sheet'!G18</f>
        <v>2144.4063601228927</v>
      </c>
      <c r="H32" s="2">
        <f>H10/'Output-Calculation-sheet'!H9*'Output-Calculation-sheet'!H18</f>
        <v>0</v>
      </c>
      <c r="I32" s="2">
        <f>I10/'Output-Calculation-sheet'!I9*'Output-Calculation-sheet'!I18</f>
        <v>2173.9309429818309</v>
      </c>
      <c r="J32" s="2">
        <f>J10/'Output-Calculation-sheet'!J9*'Output-Calculation-sheet'!J18</f>
        <v>1982.7231669928522</v>
      </c>
      <c r="K32" s="2">
        <f>K10/'Output-Calculation-sheet'!K9*'Output-Calculation-sheet'!K18</f>
        <v>2461.5821520121822</v>
      </c>
      <c r="L32" s="2">
        <f>L10/'Output-Calculation-sheet'!L9*'Output-Calculation-sheet'!L18</f>
        <v>2028.6780900363178</v>
      </c>
      <c r="M32" s="2">
        <f>M10/'Output-Calculation-sheet'!M9*'Output-Calculation-sheet'!M18</f>
        <v>0</v>
      </c>
      <c r="N32" s="2">
        <f>N10/'Output-Calculation-sheet'!N9*'Output-Calculation-sheet'!N18</f>
        <v>802.98187606461295</v>
      </c>
      <c r="O32" s="2">
        <f>O10/'Output-Calculation-sheet'!O9*'Output-Calculation-sheet'!O18</f>
        <v>0</v>
      </c>
      <c r="P32" s="2">
        <f>P10/'Output-Calculation-sheet'!P9*'Output-Calculation-sheet'!P18</f>
        <v>1642.9257308972135</v>
      </c>
      <c r="Q32" s="2">
        <f>Q10/'Output-Calculation-sheet'!Q9*'Output-Calculation-sheet'!Q18</f>
        <v>1801.8527370545323</v>
      </c>
      <c r="R32" s="2">
        <f>R10/'Output-Calculation-sheet'!R9*'Output-Calculation-sheet'!R18</f>
        <v>1556.3576600593617</v>
      </c>
      <c r="S32" s="2">
        <f>S10/'Output-Calculation-sheet'!S9*'Output-Calculation-sheet'!S18</f>
        <v>724.42895537890388</v>
      </c>
      <c r="T32" s="2">
        <f>T10/'Output-Calculation-sheet'!T9*'Output-Calculation-sheet'!T18</f>
        <v>566.11470339822449</v>
      </c>
      <c r="U32" s="2">
        <f>U10/'Output-Calculation-sheet'!U9*'Output-Calculation-sheet'!U18</f>
        <v>436.60390093880034</v>
      </c>
      <c r="V32" s="2">
        <f>V10/'Output-Calculation-sheet'!V9*'Output-Calculation-sheet'!V18</f>
        <v>418.84441675289321</v>
      </c>
      <c r="W32" s="2">
        <f>W10/'Output-Calculation-sheet'!W9*'Output-Calculation-sheet'!W18</f>
        <v>289.01759237800582</v>
      </c>
      <c r="X32" s="2">
        <f>X10/'Output-Calculation-sheet'!X9*'Output-Calculation-sheet'!X18</f>
        <v>0</v>
      </c>
      <c r="Y32" s="2">
        <f>Y10/'Output-Calculation-sheet'!Y9*'Output-Calculation-sheet'!Y18</f>
        <v>191.63189201114278</v>
      </c>
      <c r="AA32" s="2">
        <f t="shared" si="1"/>
        <v>53.703481225648709</v>
      </c>
    </row>
    <row r="33" spans="1:27" x14ac:dyDescent="0.25">
      <c r="A33" s="2">
        <v>2034</v>
      </c>
      <c r="B33" s="2">
        <f>B11/'Output-Calculation-sheet'!B10*'Output-Calculation-sheet'!B19</f>
        <v>18496.39315038341</v>
      </c>
      <c r="C33" s="2">
        <f>C11/'Output-Calculation-sheet'!C10*'Output-Calculation-sheet'!C19</f>
        <v>0</v>
      </c>
      <c r="D33" s="2">
        <f>D11/'Output-Calculation-sheet'!D10*'Output-Calculation-sheet'!D19</f>
        <v>6539.9408206741837</v>
      </c>
      <c r="E33" s="2">
        <f>E11/'Output-Calculation-sheet'!E10*'Output-Calculation-sheet'!E19</f>
        <v>6788.2916092083688</v>
      </c>
      <c r="F33" s="2">
        <f>F11/'Output-Calculation-sheet'!F10*'Output-Calculation-sheet'!F19</f>
        <v>3784.686396936575</v>
      </c>
      <c r="G33" s="2">
        <f>G11/'Output-Calculation-sheet'!G10*'Output-Calculation-sheet'!G19</f>
        <v>2279.0296126531944</v>
      </c>
      <c r="H33" s="2">
        <f>H11/'Output-Calculation-sheet'!H10*'Output-Calculation-sheet'!H19</f>
        <v>0</v>
      </c>
      <c r="I33" s="2">
        <f>I11/'Output-Calculation-sheet'!I10*'Output-Calculation-sheet'!I19</f>
        <v>2321.2086829325804</v>
      </c>
      <c r="J33" s="2">
        <f>J11/'Output-Calculation-sheet'!J10*'Output-Calculation-sheet'!J19</f>
        <v>2109.560046519372</v>
      </c>
      <c r="K33" s="2">
        <f>K11/'Output-Calculation-sheet'!K10*'Output-Calculation-sheet'!K19</f>
        <v>2627.6129273580286</v>
      </c>
      <c r="L33" s="2">
        <f>L11/'Output-Calculation-sheet'!L10*'Output-Calculation-sheet'!L19</f>
        <v>2161.1815653534072</v>
      </c>
      <c r="M33" s="2">
        <f>M11/'Output-Calculation-sheet'!M10*'Output-Calculation-sheet'!M19</f>
        <v>0</v>
      </c>
      <c r="N33" s="2">
        <f>N11/'Output-Calculation-sheet'!N10*'Output-Calculation-sheet'!N19</f>
        <v>800.89647040945476</v>
      </c>
      <c r="O33" s="2">
        <f>O11/'Output-Calculation-sheet'!O10*'Output-Calculation-sheet'!O19</f>
        <v>0</v>
      </c>
      <c r="P33" s="2">
        <f>P11/'Output-Calculation-sheet'!P10*'Output-Calculation-sheet'!P19</f>
        <v>1761.5788651873504</v>
      </c>
      <c r="Q33" s="2">
        <f>Q11/'Output-Calculation-sheet'!Q10*'Output-Calculation-sheet'!Q19</f>
        <v>1935.2698820806954</v>
      </c>
      <c r="R33" s="2">
        <f>R11/'Output-Calculation-sheet'!R10*'Output-Calculation-sheet'!R19</f>
        <v>1660.7627616368034</v>
      </c>
      <c r="S33" s="2">
        <f>S11/'Output-Calculation-sheet'!S10*'Output-Calculation-sheet'!S19</f>
        <v>765.97232597400557</v>
      </c>
      <c r="T33" s="2">
        <f>T11/'Output-Calculation-sheet'!T10*'Output-Calculation-sheet'!T19</f>
        <v>603.53528951582064</v>
      </c>
      <c r="U33" s="2">
        <f>U11/'Output-Calculation-sheet'!U10*'Output-Calculation-sheet'!U19</f>
        <v>467.03336343651159</v>
      </c>
      <c r="V33" s="2">
        <f>V11/'Output-Calculation-sheet'!V10*'Output-Calculation-sheet'!V19</f>
        <v>447.72655411415002</v>
      </c>
      <c r="W33" s="2">
        <f>W11/'Output-Calculation-sheet'!W10*'Output-Calculation-sheet'!W19</f>
        <v>307.60856471911001</v>
      </c>
      <c r="X33" s="2">
        <f>X11/'Output-Calculation-sheet'!X10*'Output-Calculation-sheet'!X19</f>
        <v>0</v>
      </c>
      <c r="Y33" s="2">
        <f>Y11/'Output-Calculation-sheet'!Y10*'Output-Calculation-sheet'!Y19</f>
        <v>204.24002697983522</v>
      </c>
      <c r="AA33" s="2">
        <f t="shared" si="1"/>
        <v>56.062528916072864</v>
      </c>
    </row>
    <row r="34" spans="1:27" x14ac:dyDescent="0.25">
      <c r="A34" s="2">
        <v>2035</v>
      </c>
      <c r="B34" s="2">
        <f>B12/'Output-Calculation-sheet'!B11*'Output-Calculation-sheet'!B20</f>
        <v>18681.820981859848</v>
      </c>
      <c r="C34" s="2">
        <f>C12/'Output-Calculation-sheet'!C11*'Output-Calculation-sheet'!C20</f>
        <v>0</v>
      </c>
      <c r="D34" s="2">
        <f>D12/'Output-Calculation-sheet'!D11*'Output-Calculation-sheet'!D20</f>
        <v>6909.0815294910317</v>
      </c>
      <c r="E34" s="2">
        <f>E12/'Output-Calculation-sheet'!E11*'Output-Calculation-sheet'!E20</f>
        <v>7168.4712935033012</v>
      </c>
      <c r="F34" s="2">
        <f>F12/'Output-Calculation-sheet'!F11*'Output-Calculation-sheet'!F20</f>
        <v>3990.8466981095912</v>
      </c>
      <c r="G34" s="2">
        <f>G12/'Output-Calculation-sheet'!G11*'Output-Calculation-sheet'!G20</f>
        <v>2397.8803069149003</v>
      </c>
      <c r="H34" s="2">
        <f>H12/'Output-Calculation-sheet'!H11*'Output-Calculation-sheet'!H20</f>
        <v>0</v>
      </c>
      <c r="I34" s="2">
        <f>I12/'Output-Calculation-sheet'!I11*'Output-Calculation-sheet'!I20</f>
        <v>2449.1509463769389</v>
      </c>
      <c r="J34" s="2">
        <f>J12/'Output-Calculation-sheet'!J11*'Output-Calculation-sheet'!J20</f>
        <v>2218.1210081002437</v>
      </c>
      <c r="K34" s="2">
        <f>K12/'Output-Calculation-sheet'!K11*'Output-Calculation-sheet'!K20</f>
        <v>2774.7498145312147</v>
      </c>
      <c r="L34" s="2">
        <f>L12/'Output-Calculation-sheet'!L11*'Output-Calculation-sheet'!L20</f>
        <v>2278.2472705994119</v>
      </c>
      <c r="M34" s="2">
        <f>M12/'Output-Calculation-sheet'!M11*'Output-Calculation-sheet'!M20</f>
        <v>0</v>
      </c>
      <c r="N34" s="2">
        <f>N12/'Output-Calculation-sheet'!N11*'Output-Calculation-sheet'!N20</f>
        <v>801.50864259310299</v>
      </c>
      <c r="O34" s="2">
        <f>O12/'Output-Calculation-sheet'!O11*'Output-Calculation-sheet'!O20</f>
        <v>0</v>
      </c>
      <c r="P34" s="2">
        <f>P12/'Output-Calculation-sheet'!P11*'Output-Calculation-sheet'!P20</f>
        <v>1870.7872331337469</v>
      </c>
      <c r="Q34" s="2">
        <f>Q12/'Output-Calculation-sheet'!Q11*'Output-Calculation-sheet'!Q20</f>
        <v>2051.4042268842704</v>
      </c>
      <c r="R34" s="2">
        <f>R12/'Output-Calculation-sheet'!R11*'Output-Calculation-sheet'!R20</f>
        <v>1759.0831761050649</v>
      </c>
      <c r="S34" s="2">
        <f>S12/'Output-Calculation-sheet'!S11*'Output-Calculation-sheet'!S20</f>
        <v>756.49066787914455</v>
      </c>
      <c r="T34" s="2">
        <f>T12/'Output-Calculation-sheet'!T11*'Output-Calculation-sheet'!T20</f>
        <v>636.72067368702119</v>
      </c>
      <c r="U34" s="2">
        <f>U12/'Output-Calculation-sheet'!U11*'Output-Calculation-sheet'!U20</f>
        <v>493.89313461560079</v>
      </c>
      <c r="V34" s="2">
        <f>V12/'Output-Calculation-sheet'!V11*'Output-Calculation-sheet'!V20</f>
        <v>474.31709588768325</v>
      </c>
      <c r="W34" s="2">
        <f>W12/'Output-Calculation-sheet'!W11*'Output-Calculation-sheet'!W20</f>
        <v>324.12295793059405</v>
      </c>
      <c r="X34" s="2">
        <f>X12/'Output-Calculation-sheet'!X11*'Output-Calculation-sheet'!X20</f>
        <v>0</v>
      </c>
      <c r="Y34" s="2">
        <f>Y12/'Output-Calculation-sheet'!Y11*'Output-Calculation-sheet'!Y20</f>
        <v>215.76736815968911</v>
      </c>
      <c r="AA34" s="2">
        <f t="shared" si="1"/>
        <v>58.252465026362394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5.1558132523722593</v>
      </c>
      <c r="C63" s="2">
        <f>C8*'Output-Calculation-sheet'!C52/10^9</f>
        <v>2.4808641050227926</v>
      </c>
      <c r="D63" s="2">
        <f>D8*'Output-Calculation-sheet'!D52/10^9</f>
        <v>1.1283468192630053</v>
      </c>
      <c r="E63" s="2">
        <f>E8*'Output-Calculation-sheet'!E52/10^9</f>
        <v>1.2554769317405678</v>
      </c>
      <c r="F63" s="2">
        <f>F8*'Output-Calculation-sheet'!F52/10^9</f>
        <v>0.57989332785820835</v>
      </c>
      <c r="G63" s="2">
        <f>G8*'Output-Calculation-sheet'!G52/10^9</f>
        <v>0.40082619518095852</v>
      </c>
      <c r="H63" s="2">
        <f>H8*'Output-Calculation-sheet'!H52/10^9</f>
        <v>0.75582022863060105</v>
      </c>
      <c r="I63" s="2">
        <f>I8*'Output-Calculation-sheet'!I52/10^9</f>
        <v>0.3955279745127101</v>
      </c>
      <c r="J63" s="2">
        <f>J8*'Output-Calculation-sheet'!J52/10^9</f>
        <v>0.35703689471757954</v>
      </c>
      <c r="K63" s="2">
        <f>K8*'Output-Calculation-sheet'!K52/10^9</f>
        <v>0.46081740815342737</v>
      </c>
      <c r="L63" s="2">
        <f>L8*'Output-Calculation-sheet'!L52/10^9</f>
        <v>0.38067698116477755</v>
      </c>
      <c r="M63" s="2">
        <f>M8*'Output-Calculation-sheet'!M52/10^9</f>
        <v>0.52218259440720816</v>
      </c>
      <c r="N63" s="2">
        <f>N8*'Output-Calculation-sheet'!N52/10^9</f>
        <v>0.54578472914688592</v>
      </c>
      <c r="O63" s="2">
        <f>O8*'Output-Calculation-sheet'!O52/10^9</f>
        <v>0.48203754911134733</v>
      </c>
      <c r="P63" s="2">
        <f>P8*'Output-Calculation-sheet'!P52/10^9</f>
        <v>0.40404402854059573</v>
      </c>
      <c r="Q63" s="2">
        <f>Q8*'Output-Calculation-sheet'!Q52/10^9</f>
        <v>0.41667431115912251</v>
      </c>
      <c r="R63" s="2">
        <f>R8*'Output-Calculation-sheet'!R52/10^9</f>
        <v>0.33323186054868587</v>
      </c>
      <c r="S63" s="2">
        <f>S8*'Output-Calculation-sheet'!S52/10^9</f>
        <v>0.30718141230131241</v>
      </c>
      <c r="T63" s="2">
        <f>T8*'Output-Calculation-sheet'!T52/10^9</f>
        <v>0.10416937041424192</v>
      </c>
      <c r="U63" s="2">
        <f>U8*'Output-Calculation-sheet'!U52/10^9</f>
        <v>0.1047159991080846</v>
      </c>
      <c r="V63" s="2">
        <f>V8*'Output-Calculation-sheet'!V52/10^9</f>
        <v>7.7988287217205729E-2</v>
      </c>
      <c r="W63" s="2">
        <f>W8*'Output-Calculation-sheet'!W52/10^9</f>
        <v>4.8760152106949749E-2</v>
      </c>
      <c r="X63" s="2">
        <f>X8*'Output-Calculation-sheet'!X52/10^9</f>
        <v>6.2096865822337685E-2</v>
      </c>
      <c r="Y63" s="2">
        <f>Y8*'Output-Calculation-sheet'!Y52/10^9</f>
        <v>4.0807550369909566E-2</v>
      </c>
      <c r="AA63" s="2">
        <f t="shared" si="4"/>
        <v>16.800774828870768</v>
      </c>
    </row>
    <row r="64" spans="1:27" x14ac:dyDescent="0.25">
      <c r="A64" s="2">
        <v>2032</v>
      </c>
      <c r="B64" s="2">
        <f>B9*'Output-Calculation-sheet'!B53/10^9</f>
        <v>5.6384427725957771</v>
      </c>
      <c r="C64" s="2">
        <f>C9*'Output-Calculation-sheet'!C53/10^9</f>
        <v>2.7227981445766001</v>
      </c>
      <c r="D64" s="2">
        <f>D9*'Output-Calculation-sheet'!D53/10^9</f>
        <v>1.2321050743764825</v>
      </c>
      <c r="E64" s="2">
        <f>E9*'Output-Calculation-sheet'!E53/10^9</f>
        <v>1.3714168532694804</v>
      </c>
      <c r="F64" s="2">
        <f>F9*'Output-Calculation-sheet'!F53/10^9</f>
        <v>0.63281118101044842</v>
      </c>
      <c r="G64" s="2">
        <f>G9*'Output-Calculation-sheet'!G53/10^9</f>
        <v>0.43772435653716862</v>
      </c>
      <c r="H64" s="2">
        <f>H9*'Output-Calculation-sheet'!H53/10^9</f>
        <v>0.82185611435285832</v>
      </c>
      <c r="I64" s="2">
        <f>I9*'Output-Calculation-sheet'!I53/10^9</f>
        <v>0.43188035897243454</v>
      </c>
      <c r="J64" s="2">
        <f>J9*'Output-Calculation-sheet'!J53/10^9</f>
        <v>0.38982907887992313</v>
      </c>
      <c r="K64" s="2">
        <f>K9*'Output-Calculation-sheet'!K53/10^9</f>
        <v>0.50325174631930525</v>
      </c>
      <c r="L64" s="2">
        <f>L9*'Output-Calculation-sheet'!L53/10^9</f>
        <v>0.41573261369935949</v>
      </c>
      <c r="M64" s="2">
        <f>M9*'Output-Calculation-sheet'!M53/10^9</f>
        <v>0.56783324835625815</v>
      </c>
      <c r="N64" s="2">
        <f>N9*'Output-Calculation-sheet'!N53/10^9</f>
        <v>0.59426191511400528</v>
      </c>
      <c r="O64" s="2">
        <f>O9*'Output-Calculation-sheet'!O53/10^9</f>
        <v>0.5290458843268927</v>
      </c>
      <c r="P64" s="2">
        <f>P9*'Output-Calculation-sheet'!P53/10^9</f>
        <v>0.44178845164705011</v>
      </c>
      <c r="Q64" s="2">
        <f>Q9*'Output-Calculation-sheet'!Q53/10^9</f>
        <v>0.45549147362955134</v>
      </c>
      <c r="R64" s="2">
        <f>R9*'Output-Calculation-sheet'!R53/10^9</f>
        <v>0.3641450525159477</v>
      </c>
      <c r="S64" s="2">
        <f>S9*'Output-Calculation-sheet'!S53/10^9</f>
        <v>0.33511619616558441</v>
      </c>
      <c r="T64" s="2">
        <f>T9*'Output-Calculation-sheet'!T53/10^9</f>
        <v>0.11375061834741659</v>
      </c>
      <c r="U64" s="2">
        <f>U9*'Output-Calculation-sheet'!U53/10^9</f>
        <v>0.11448361094938964</v>
      </c>
      <c r="V64" s="2">
        <f>V9*'Output-Calculation-sheet'!V53/10^9</f>
        <v>8.5167968035758088E-2</v>
      </c>
      <c r="W64" s="2">
        <f>W9*'Output-Calculation-sheet'!W53/10^9</f>
        <v>5.3220120616072855E-2</v>
      </c>
      <c r="X64" s="2">
        <f>X9*'Output-Calculation-sheet'!X53/10^9</f>
        <v>6.7590689899141673E-2</v>
      </c>
      <c r="Y64" s="2">
        <f>Y9*'Output-Calculation-sheet'!Y53/10^9</f>
        <v>4.4591833554753706E-2</v>
      </c>
      <c r="AA64" s="2">
        <f t="shared" si="4"/>
        <v>18.36433535774766</v>
      </c>
    </row>
    <row r="65" spans="1:27" x14ac:dyDescent="0.25">
      <c r="A65" s="2">
        <v>2033</v>
      </c>
      <c r="B65" s="2">
        <f>B10*'Output-Calculation-sheet'!B54/10^9</f>
        <v>6.0286022731492723</v>
      </c>
      <c r="C65" s="2">
        <f>C10*'Output-Calculation-sheet'!C54/10^9</f>
        <v>2.9183852270598041</v>
      </c>
      <c r="D65" s="2">
        <f>D10*'Output-Calculation-sheet'!D54/10^9</f>
        <v>1.3167299672857422</v>
      </c>
      <c r="E65" s="2">
        <f>E10*'Output-Calculation-sheet'!E54/10^9</f>
        <v>1.4661370326487142</v>
      </c>
      <c r="F65" s="2">
        <f>F10*'Output-Calculation-sheet'!F54/10^9</f>
        <v>0.67583549812278576</v>
      </c>
      <c r="G65" s="2">
        <f>G10*'Output-Calculation-sheet'!G54/10^9</f>
        <v>0.46783339698157461</v>
      </c>
      <c r="H65" s="2">
        <f>H10*'Output-Calculation-sheet'!H54/10^9</f>
        <v>0.87432363911847066</v>
      </c>
      <c r="I65" s="2">
        <f>I10*'Output-Calculation-sheet'!I54/10^9</f>
        <v>0.46152362191649338</v>
      </c>
      <c r="J65" s="2">
        <f>J10*'Output-Calculation-sheet'!J54/10^9</f>
        <v>0.41656188347393869</v>
      </c>
      <c r="K65" s="2">
        <f>K10*'Output-Calculation-sheet'!K54/10^9</f>
        <v>0.53787484769007299</v>
      </c>
      <c r="L65" s="2">
        <f>L10*'Output-Calculation-sheet'!L54/10^9</f>
        <v>0.44433789412009911</v>
      </c>
      <c r="M65" s="2">
        <f>M10*'Output-Calculation-sheet'!M54/10^9</f>
        <v>0.6041100008340049</v>
      </c>
      <c r="N65" s="2">
        <f>N10*'Output-Calculation-sheet'!N54/10^9</f>
        <v>0.6328967324752065</v>
      </c>
      <c r="O65" s="2">
        <f>O10*'Output-Calculation-sheet'!O54/10^9</f>
        <v>0.56829157947403752</v>
      </c>
      <c r="P65" s="2">
        <f>P10*'Output-Calculation-sheet'!P54/10^9</f>
        <v>0.47275819212263559</v>
      </c>
      <c r="Q65" s="2">
        <f>Q10*'Output-Calculation-sheet'!Q54/10^9</f>
        <v>0.48730323093579658</v>
      </c>
      <c r="R65" s="2">
        <f>R10*'Output-Calculation-sheet'!R54/10^9</f>
        <v>0.38944470308802442</v>
      </c>
      <c r="S65" s="2">
        <f>S10*'Output-Calculation-sheet'!S54/10^9</f>
        <v>0.35748180776261373</v>
      </c>
      <c r="T65" s="2">
        <f>T10*'Output-Calculation-sheet'!T54/10^9</f>
        <v>0.12156501796644809</v>
      </c>
      <c r="U65" s="2">
        <f>U10*'Output-Calculation-sheet'!U54/10^9</f>
        <v>0.12249517255391965</v>
      </c>
      <c r="V65" s="2">
        <f>V10*'Output-Calculation-sheet'!V54/10^9</f>
        <v>9.1024840626686129E-2</v>
      </c>
      <c r="W65" s="2">
        <f>W10*'Output-Calculation-sheet'!W54/10^9</f>
        <v>5.6849395972950169E-2</v>
      </c>
      <c r="X65" s="2">
        <f>X10*'Output-Calculation-sheet'!X54/10^9</f>
        <v>7.1975600296180831E-2</v>
      </c>
      <c r="Y65" s="2">
        <f>Y10*'Output-Calculation-sheet'!Y54/10^9</f>
        <v>4.768876007198819E-2</v>
      </c>
      <c r="AA65" s="2">
        <f t="shared" si="4"/>
        <v>19.63203031574746</v>
      </c>
    </row>
    <row r="66" spans="1:27" x14ac:dyDescent="0.25">
      <c r="A66" s="2">
        <v>2034</v>
      </c>
      <c r="B66" s="2">
        <f>B11*'Output-Calculation-sheet'!B55/10^9</f>
        <v>6.3508216017100718</v>
      </c>
      <c r="C66" s="2">
        <f>C11*'Output-Calculation-sheet'!C55/10^9</f>
        <v>3.0683736301782845</v>
      </c>
      <c r="D66" s="2">
        <f>D11*'Output-Calculation-sheet'!D55/10^9</f>
        <v>1.3886311698946334</v>
      </c>
      <c r="E66" s="2">
        <f>E11*'Output-Calculation-sheet'!E55/10^9</f>
        <v>1.5467503481181699</v>
      </c>
      <c r="F66" s="2">
        <f>F11*'Output-Calculation-sheet'!F55/10^9</f>
        <v>0.71226894780189731</v>
      </c>
      <c r="G66" s="2">
        <f>G11*'Output-Calculation-sheet'!G55/10^9</f>
        <v>0.49342713951298262</v>
      </c>
      <c r="H66" s="2">
        <f>H11*'Output-Calculation-sheet'!H55/10^9</f>
        <v>0.91755859718766708</v>
      </c>
      <c r="I66" s="2">
        <f>I11*'Output-Calculation-sheet'!I55/10^9</f>
        <v>0.48669922121451797</v>
      </c>
      <c r="J66" s="2">
        <f>J11*'Output-Calculation-sheet'!J55/10^9</f>
        <v>0.4392645222687524</v>
      </c>
      <c r="K66" s="2">
        <f>K11*'Output-Calculation-sheet'!K55/10^9</f>
        <v>0.56729873632894412</v>
      </c>
      <c r="L66" s="2">
        <f>L11*'Output-Calculation-sheet'!L55/10^9</f>
        <v>0.46865221965415038</v>
      </c>
      <c r="M66" s="2">
        <f>M11*'Output-Calculation-sheet'!M55/10^9</f>
        <v>0.63401072605419906</v>
      </c>
      <c r="N66" s="2">
        <f>N11*'Output-Calculation-sheet'!N55/10^9</f>
        <v>0.66481343919212144</v>
      </c>
      <c r="O66" s="2">
        <f>O11*'Output-Calculation-sheet'!O55/10^9</f>
        <v>0.60243600587041879</v>
      </c>
      <c r="P66" s="2">
        <f>P11*'Output-Calculation-sheet'!P55/10^9</f>
        <v>0.49922938352384411</v>
      </c>
      <c r="Q66" s="2">
        <f>Q11*'Output-Calculation-sheet'!Q55/10^9</f>
        <v>0.51445807038895475</v>
      </c>
      <c r="R66" s="2">
        <f>R11*'Output-Calculation-sheet'!R55/10^9</f>
        <v>0.41101437118083733</v>
      </c>
      <c r="S66" s="2">
        <f>S11*'Output-Calculation-sheet'!S55/10^9</f>
        <v>0.37602754820665923</v>
      </c>
      <c r="T66" s="2">
        <f>T11*'Output-Calculation-sheet'!T55/10^9</f>
        <v>0.12820391871892092</v>
      </c>
      <c r="U66" s="2">
        <f>U11*'Output-Calculation-sheet'!U55/10^9</f>
        <v>0.12934133699879305</v>
      </c>
      <c r="V66" s="2">
        <f>V11*'Output-Calculation-sheet'!V55/10^9</f>
        <v>9.6001450640769051E-2</v>
      </c>
      <c r="W66" s="2">
        <f>W11*'Output-Calculation-sheet'!W55/10^9</f>
        <v>5.9926015726049706E-2</v>
      </c>
      <c r="X66" s="2">
        <f>X11*'Output-Calculation-sheet'!X55/10^9</f>
        <v>7.5609872527946612E-2</v>
      </c>
      <c r="Y66" s="2">
        <f>Y11*'Output-Calculation-sheet'!Y55/10^9</f>
        <v>5.0329028934958178E-2</v>
      </c>
      <c r="AA66" s="2">
        <f t="shared" si="4"/>
        <v>20.681147301834542</v>
      </c>
    </row>
    <row r="67" spans="1:27" x14ac:dyDescent="0.25">
      <c r="A67" s="2">
        <v>2035</v>
      </c>
      <c r="B67" s="2">
        <f>B12*'Output-Calculation-sheet'!B56/10^9</f>
        <v>6.6161834451491677</v>
      </c>
      <c r="C67" s="2">
        <f>C12*'Output-Calculation-sheet'!C56/10^9</f>
        <v>3.1921589425377035</v>
      </c>
      <c r="D67" s="2">
        <f>D12*'Output-Calculation-sheet'!D56/10^9</f>
        <v>1.4497551049123121</v>
      </c>
      <c r="E67" s="2">
        <f>E12*'Output-Calculation-sheet'!E56/10^9</f>
        <v>1.6154103038429772</v>
      </c>
      <c r="F67" s="2">
        <f>F12*'Output-Calculation-sheet'!F56/10^9</f>
        <v>0.7431225564659798</v>
      </c>
      <c r="G67" s="2">
        <f>G12*'Output-Calculation-sheet'!G56/10^9</f>
        <v>0.51520423104310986</v>
      </c>
      <c r="H67" s="2">
        <f>H12*'Output-Calculation-sheet'!H56/10^9</f>
        <v>0.95291949899119066</v>
      </c>
      <c r="I67" s="2">
        <f>I12*'Output-Calculation-sheet'!I56/10^9</f>
        <v>0.50809186109434812</v>
      </c>
      <c r="J67" s="2">
        <f>J12*'Output-Calculation-sheet'!J56/10^9</f>
        <v>0.45855798752075605</v>
      </c>
      <c r="K67" s="2">
        <f>K12*'Output-Calculation-sheet'!K56/10^9</f>
        <v>0.59232242559921722</v>
      </c>
      <c r="L67" s="2">
        <f>L12*'Output-Calculation-sheet'!L56/10^9</f>
        <v>0.4893369599746672</v>
      </c>
      <c r="M67" s="2">
        <f>M12*'Output-Calculation-sheet'!M56/10^9</f>
        <v>0.65847289716705415</v>
      </c>
      <c r="N67" s="2">
        <f>N12*'Output-Calculation-sheet'!N56/10^9</f>
        <v>0.69107480437835289</v>
      </c>
      <c r="O67" s="2">
        <f>O12*'Output-Calculation-sheet'!O56/10^9</f>
        <v>0.62858627549753376</v>
      </c>
      <c r="P67" s="2">
        <f>P12*'Output-Calculation-sheet'!P56/10^9</f>
        <v>0.52188450195848768</v>
      </c>
      <c r="Q67" s="2">
        <f>Q12*'Output-Calculation-sheet'!Q56/10^9</f>
        <v>0.53765073496161575</v>
      </c>
      <c r="R67" s="2">
        <f>R12*'Output-Calculation-sheet'!R56/10^9</f>
        <v>0.42942203961008102</v>
      </c>
      <c r="S67" s="2">
        <f>S12*'Output-Calculation-sheet'!S56/10^9</f>
        <v>0.39132540148223421</v>
      </c>
      <c r="T67" s="2">
        <f>T12*'Output-Calculation-sheet'!T56/10^9</f>
        <v>0.13384797497426401</v>
      </c>
      <c r="U67" s="2">
        <f>U12*'Output-Calculation-sheet'!U56/10^9</f>
        <v>0.1351994463537235</v>
      </c>
      <c r="V67" s="2">
        <f>V12*'Output-Calculation-sheet'!V56/10^9</f>
        <v>0.10023134021657804</v>
      </c>
      <c r="W67" s="2">
        <f>W12*'Output-Calculation-sheet'!W56/10^9</f>
        <v>6.2534727773144241E-2</v>
      </c>
      <c r="X67" s="2">
        <f>X12*'Output-Calculation-sheet'!X56/10^9</f>
        <v>7.859811736898567E-2</v>
      </c>
      <c r="Y67" s="2">
        <f>Y12*'Output-Calculation-sheet'!Y56/10^9</f>
        <v>5.2582390170317461E-2</v>
      </c>
      <c r="AA67" s="2">
        <f t="shared" si="4"/>
        <v>21.554473969043805</v>
      </c>
    </row>
    <row r="68" spans="1:27" x14ac:dyDescent="0.25">
      <c r="B68" s="2">
        <f>SUM(B60:B67)</f>
        <v>40.785948708461575</v>
      </c>
      <c r="C68" s="2">
        <f t="shared" ref="C68:Y68" si="5">SUM(C60:C67)</f>
        <v>19.623693338505252</v>
      </c>
      <c r="D68" s="2">
        <f t="shared" si="5"/>
        <v>8.9321325036372201</v>
      </c>
      <c r="E68" s="2">
        <f t="shared" si="5"/>
        <v>9.9413197111951064</v>
      </c>
      <c r="F68" s="2">
        <f t="shared" si="5"/>
        <v>4.5880191849714942</v>
      </c>
      <c r="G68" s="2">
        <f t="shared" si="5"/>
        <v>3.1733008872325383</v>
      </c>
      <c r="H68" s="2">
        <f t="shared" si="5"/>
        <v>5.9442020426394535</v>
      </c>
      <c r="I68" s="2">
        <f t="shared" si="5"/>
        <v>3.130890100695781</v>
      </c>
      <c r="J68" s="2">
        <f t="shared" si="5"/>
        <v>2.8261275355471516</v>
      </c>
      <c r="K68" s="2">
        <f t="shared" si="5"/>
        <v>3.64811263715879</v>
      </c>
      <c r="L68" s="2">
        <f t="shared" si="5"/>
        <v>3.0137297996553616</v>
      </c>
      <c r="M68" s="2">
        <f t="shared" si="5"/>
        <v>4.1065662492956925</v>
      </c>
      <c r="N68" s="2">
        <f t="shared" si="5"/>
        <v>4.2978447336548351</v>
      </c>
      <c r="O68" s="2">
        <f t="shared" si="5"/>
        <v>3.8287500839162174</v>
      </c>
      <c r="P68" s="2">
        <f t="shared" si="5"/>
        <v>3.2018360621212176</v>
      </c>
      <c r="Q68" s="2">
        <f t="shared" si="5"/>
        <v>3.3011614117404364</v>
      </c>
      <c r="R68" s="2">
        <f t="shared" si="5"/>
        <v>2.6394831223502195</v>
      </c>
      <c r="S68" s="2">
        <f t="shared" si="5"/>
        <v>2.4225515844906678</v>
      </c>
      <c r="T68" s="2">
        <f t="shared" si="5"/>
        <v>0.82461557940587082</v>
      </c>
      <c r="U68" s="2">
        <f t="shared" si="5"/>
        <v>0.82976971898762597</v>
      </c>
      <c r="V68" s="2">
        <f t="shared" si="5"/>
        <v>0.61738372697563904</v>
      </c>
      <c r="W68" s="2">
        <f t="shared" si="5"/>
        <v>0.38584336003145492</v>
      </c>
      <c r="X68" s="2">
        <f t="shared" si="5"/>
        <v>0.48869024038284836</v>
      </c>
      <c r="Y68" s="2">
        <f t="shared" si="5"/>
        <v>0.32322445054570975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10430662572.14188</v>
      </c>
      <c r="C96" s="2">
        <f>C8/'Output-Calculation-sheet'!C7*'Output-Calculation-sheet'!C79</f>
        <v>0</v>
      </c>
      <c r="D96" s="2">
        <f>D8/'Output-Calculation-sheet'!D7*'Output-Calculation-sheet'!D79</f>
        <v>6349036773.3816004</v>
      </c>
      <c r="E96" s="2">
        <f>E8/'Output-Calculation-sheet'!E7*'Output-Calculation-sheet'!E79</f>
        <v>9944865550.1972408</v>
      </c>
      <c r="F96" s="2">
        <f>F8/'Output-Calculation-sheet'!F7*'Output-Calculation-sheet'!F79</f>
        <v>4760377907.5508528</v>
      </c>
      <c r="G96" s="2">
        <f>G8/'Output-Calculation-sheet'!G7*'Output-Calculation-sheet'!G79</f>
        <v>3629087206.5366902</v>
      </c>
      <c r="H96" s="2">
        <f>H8/'Output-Calculation-sheet'!H7*'Output-Calculation-sheet'!H79</f>
        <v>980814284.0495832</v>
      </c>
      <c r="I96" s="2">
        <f>I8/'Output-Calculation-sheet'!I7*'Output-Calculation-sheet'!I79</f>
        <v>2488766550.1527019</v>
      </c>
      <c r="J96" s="2">
        <f>J8/'Output-Calculation-sheet'!J7*'Output-Calculation-sheet'!J79</f>
        <v>1771560530.718771</v>
      </c>
      <c r="K96" s="2">
        <f>K8/'Output-Calculation-sheet'!K7*'Output-Calculation-sheet'!K79</f>
        <v>2207942482.7680588</v>
      </c>
      <c r="L96" s="2">
        <f>L8/'Output-Calculation-sheet'!L7*'Output-Calculation-sheet'!L79</f>
        <v>1536419938.7813187</v>
      </c>
      <c r="M96" s="2">
        <f>M8/'Output-Calculation-sheet'!M7*'Output-Calculation-sheet'!M79</f>
        <v>727103056.59720123</v>
      </c>
      <c r="N96" s="2">
        <f>N8/'Output-Calculation-sheet'!N7*'Output-Calculation-sheet'!N79</f>
        <v>810359053.33214211</v>
      </c>
      <c r="O96" s="2">
        <f>O8/'Output-Calculation-sheet'!O7*'Output-Calculation-sheet'!O79</f>
        <v>0</v>
      </c>
      <c r="P96" s="2">
        <f>P8/'Output-Calculation-sheet'!P7*'Output-Calculation-sheet'!P79</f>
        <v>1874174835.619571</v>
      </c>
      <c r="Q96" s="2">
        <f>Q8/'Output-Calculation-sheet'!Q7*'Output-Calculation-sheet'!Q79</f>
        <v>870086190.9467808</v>
      </c>
      <c r="R96" s="2">
        <f>R8/'Output-Calculation-sheet'!R7*'Output-Calculation-sheet'!R79</f>
        <v>1342429528.187109</v>
      </c>
      <c r="S96" s="2">
        <f>S8/'Output-Calculation-sheet'!S7*'Output-Calculation-sheet'!S79</f>
        <v>491712743.69148791</v>
      </c>
      <c r="T96" s="2">
        <f>T8/'Output-Calculation-sheet'!T7*'Output-Calculation-sheet'!T79</f>
        <v>703642222.17025423</v>
      </c>
      <c r="U96" s="2">
        <f>U8/'Output-Calculation-sheet'!U7*'Output-Calculation-sheet'!U79</f>
        <v>357264242.96575344</v>
      </c>
      <c r="V96" s="2">
        <f>V8/'Output-Calculation-sheet'!V7*'Output-Calculation-sheet'!V79</f>
        <v>216575978.59383735</v>
      </c>
      <c r="W96" s="2">
        <f>W8/'Output-Calculation-sheet'!W7*'Output-Calculation-sheet'!W79</f>
        <v>754220842.59744346</v>
      </c>
      <c r="X96" s="2">
        <f>X8/'Output-Calculation-sheet'!X7*'Output-Calculation-sheet'!X79</f>
        <v>70317923.183209777</v>
      </c>
      <c r="Y96" s="2">
        <f>Y8/'Output-Calculation-sheet'!Y7*'Output-Calculation-sheet'!Y79</f>
        <v>320824651.90460008</v>
      </c>
      <c r="AA96" s="2">
        <f t="shared" si="8"/>
        <v>52.638245066068095</v>
      </c>
    </row>
    <row r="97" spans="1:27" x14ac:dyDescent="0.25">
      <c r="A97" s="2">
        <v>2032</v>
      </c>
      <c r="B97" s="2">
        <f>B9/'Output-Calculation-sheet'!B8*'Output-Calculation-sheet'!B80</f>
        <v>11550560733.763699</v>
      </c>
      <c r="C97" s="2">
        <f>C9/'Output-Calculation-sheet'!C8*'Output-Calculation-sheet'!C80</f>
        <v>0</v>
      </c>
      <c r="D97" s="2">
        <f>D9/'Output-Calculation-sheet'!D8*'Output-Calculation-sheet'!D80</f>
        <v>6705443813.1852751</v>
      </c>
      <c r="E97" s="2">
        <f>E9/'Output-Calculation-sheet'!E8*'Output-Calculation-sheet'!E80</f>
        <v>10818075764.942926</v>
      </c>
      <c r="F97" s="2">
        <f>F9/'Output-Calculation-sheet'!F8*'Output-Calculation-sheet'!F80</f>
        <v>5160392479.7611761</v>
      </c>
      <c r="G97" s="2">
        <f>G9/'Output-Calculation-sheet'!G8*'Output-Calculation-sheet'!G80</f>
        <v>3821152426.5600181</v>
      </c>
      <c r="H97" s="2">
        <f>H9/'Output-Calculation-sheet'!H8*'Output-Calculation-sheet'!H80</f>
        <v>1091250557.7232351</v>
      </c>
      <c r="I97" s="2">
        <f>I9/'Output-Calculation-sheet'!I8*'Output-Calculation-sheet'!I80</f>
        <v>2724767743.1202679</v>
      </c>
      <c r="J97" s="2">
        <f>J9/'Output-Calculation-sheet'!J8*'Output-Calculation-sheet'!J80</f>
        <v>1884422358.0083272</v>
      </c>
      <c r="K97" s="2">
        <f>K9/'Output-Calculation-sheet'!K8*'Output-Calculation-sheet'!K80</f>
        <v>2370444074.7437887</v>
      </c>
      <c r="L97" s="2">
        <f>L9/'Output-Calculation-sheet'!L8*'Output-Calculation-sheet'!L80</f>
        <v>1701945425.4986007</v>
      </c>
      <c r="M97" s="2">
        <f>M9/'Output-Calculation-sheet'!M8*'Output-Calculation-sheet'!M80</f>
        <v>810404604.32580721</v>
      </c>
      <c r="N97" s="2">
        <f>N9/'Output-Calculation-sheet'!N8*'Output-Calculation-sheet'!N80</f>
        <v>862589168.0483408</v>
      </c>
      <c r="O97" s="2">
        <f>O9/'Output-Calculation-sheet'!O8*'Output-Calculation-sheet'!O80</f>
        <v>0</v>
      </c>
      <c r="P97" s="2">
        <f>P9/'Output-Calculation-sheet'!P8*'Output-Calculation-sheet'!P80</f>
        <v>2018612348.8658574</v>
      </c>
      <c r="Q97" s="2">
        <f>Q9/'Output-Calculation-sheet'!Q8*'Output-Calculation-sheet'!Q80</f>
        <v>941175202.09297478</v>
      </c>
      <c r="R97" s="2">
        <f>R9/'Output-Calculation-sheet'!R8*'Output-Calculation-sheet'!R80</f>
        <v>1458749480.1948693</v>
      </c>
      <c r="S97" s="2">
        <f>S9/'Output-Calculation-sheet'!S8*'Output-Calculation-sheet'!S80</f>
        <v>549643324.47440052</v>
      </c>
      <c r="T97" s="2">
        <f>T9/'Output-Calculation-sheet'!T8*'Output-Calculation-sheet'!T80</f>
        <v>750134489.11249518</v>
      </c>
      <c r="U97" s="2">
        <f>U9/'Output-Calculation-sheet'!U8*'Output-Calculation-sheet'!U80</f>
        <v>388390205.95787692</v>
      </c>
      <c r="V97" s="2">
        <f>V9/'Output-Calculation-sheet'!V8*'Output-Calculation-sheet'!V80</f>
        <v>238096603.55745012</v>
      </c>
      <c r="W97" s="2">
        <f>W9/'Output-Calculation-sheet'!W8*'Output-Calculation-sheet'!W80</f>
        <v>810601096.24451101</v>
      </c>
      <c r="X97" s="2">
        <f>X9/'Output-Calculation-sheet'!X8*'Output-Calculation-sheet'!X80</f>
        <v>80252287.92043364</v>
      </c>
      <c r="Y97" s="2">
        <f>Y9/'Output-Calculation-sheet'!Y8*'Output-Calculation-sheet'!Y80</f>
        <v>345156313.22218812</v>
      </c>
      <c r="AA97" s="2">
        <f t="shared" si="8"/>
        <v>57.082260501324534</v>
      </c>
    </row>
    <row r="98" spans="1:27" x14ac:dyDescent="0.25">
      <c r="A98" s="2">
        <v>2033</v>
      </c>
      <c r="B98" s="2">
        <f>B10/'Output-Calculation-sheet'!B9*'Output-Calculation-sheet'!B81</f>
        <v>13006248418.759995</v>
      </c>
      <c r="C98" s="2">
        <f>C10/'Output-Calculation-sheet'!C9*'Output-Calculation-sheet'!C81</f>
        <v>1703434379.8200614</v>
      </c>
      <c r="D98" s="2">
        <f>D10/'Output-Calculation-sheet'!D9*'Output-Calculation-sheet'!D81</f>
        <v>6934054747.6686172</v>
      </c>
      <c r="E98" s="2">
        <f>E10/'Output-Calculation-sheet'!E9*'Output-Calculation-sheet'!E81</f>
        <v>11512955580.639896</v>
      </c>
      <c r="F98" s="2">
        <f>F10/'Output-Calculation-sheet'!F9*'Output-Calculation-sheet'!F81</f>
        <v>5481203036.4195795</v>
      </c>
      <c r="G98" s="2">
        <f>G10/'Output-Calculation-sheet'!G9*'Output-Calculation-sheet'!G81</f>
        <v>3935927102.2847633</v>
      </c>
      <c r="H98" s="2">
        <f>H10/'Output-Calculation-sheet'!H9*'Output-Calculation-sheet'!H81</f>
        <v>1186188591.016984</v>
      </c>
      <c r="I98" s="2">
        <f>I10/'Output-Calculation-sheet'!I9*'Output-Calculation-sheet'!I81</f>
        <v>2921348396.5835891</v>
      </c>
      <c r="J98" s="2">
        <f>J10/'Output-Calculation-sheet'!J9*'Output-Calculation-sheet'!J81</f>
        <v>1964393332.6866531</v>
      </c>
      <c r="K98" s="2">
        <f>K10/'Output-Calculation-sheet'!K9*'Output-Calculation-sheet'!K81</f>
        <v>2494715375.1305747</v>
      </c>
      <c r="L98" s="2">
        <f>L10/'Output-Calculation-sheet'!L9*'Output-Calculation-sheet'!L81</f>
        <v>1844454514.5048187</v>
      </c>
      <c r="M98" s="2">
        <f>M10/'Output-Calculation-sheet'!M9*'Output-Calculation-sheet'!M81</f>
        <v>884426596.74804425</v>
      </c>
      <c r="N98" s="2">
        <f>N10/'Output-Calculation-sheet'!N9*'Output-Calculation-sheet'!N81</f>
        <v>899995220.59054458</v>
      </c>
      <c r="O98" s="2">
        <f>O10/'Output-Calculation-sheet'!O9*'Output-Calculation-sheet'!O81</f>
        <v>0</v>
      </c>
      <c r="P98" s="2">
        <f>P10/'Output-Calculation-sheet'!P9*'Output-Calculation-sheet'!P81</f>
        <v>2122394273.9642398</v>
      </c>
      <c r="Q98" s="2">
        <f>Q10/'Output-Calculation-sheet'!Q9*'Output-Calculation-sheet'!Q81</f>
        <v>996221237.54604232</v>
      </c>
      <c r="R98" s="2">
        <f>R10/'Output-Calculation-sheet'!R9*'Output-Calculation-sheet'!R81</f>
        <v>1554561821.295037</v>
      </c>
      <c r="S98" s="2">
        <f>S10/'Output-Calculation-sheet'!S9*'Output-Calculation-sheet'!S81</f>
        <v>590292634.90034902</v>
      </c>
      <c r="T98" s="2">
        <f>T10/'Output-Calculation-sheet'!T9*'Output-Calculation-sheet'!T81</f>
        <v>783501263.27873218</v>
      </c>
      <c r="U98" s="2">
        <f>U10/'Output-Calculation-sheet'!U9*'Output-Calculation-sheet'!U81</f>
        <v>412985089.32442528</v>
      </c>
      <c r="V98" s="2">
        <f>V10/'Output-Calculation-sheet'!V9*'Output-Calculation-sheet'!V81</f>
        <v>255924021.39358124</v>
      </c>
      <c r="W98" s="2">
        <f>W10/'Output-Calculation-sheet'!W9*'Output-Calculation-sheet'!W81</f>
        <v>850863177.91186583</v>
      </c>
      <c r="X98" s="2">
        <f>X10/'Output-Calculation-sheet'!X9*'Output-Calculation-sheet'!X81</f>
        <v>88511774.259705395</v>
      </c>
      <c r="Y98" s="2">
        <f>Y10/'Output-Calculation-sheet'!Y9*'Output-Calculation-sheet'!Y81</f>
        <v>363236469.86784935</v>
      </c>
      <c r="AA98" s="2">
        <f t="shared" si="8"/>
        <v>62.787837056595954</v>
      </c>
    </row>
    <row r="99" spans="1:27" x14ac:dyDescent="0.25">
      <c r="A99" s="2">
        <v>2034</v>
      </c>
      <c r="B99" s="2">
        <f>B11/'Output-Calculation-sheet'!B10*'Output-Calculation-sheet'!B82</f>
        <v>14185803689.783499</v>
      </c>
      <c r="C99" s="2">
        <f>C11/'Output-Calculation-sheet'!C10*'Output-Calculation-sheet'!C82</f>
        <v>1923947057.4839919</v>
      </c>
      <c r="D99" s="2">
        <f>D11/'Output-Calculation-sheet'!D10*'Output-Calculation-sheet'!D82</f>
        <v>7078044674.6860075</v>
      </c>
      <c r="E99" s="2">
        <f>E11/'Output-Calculation-sheet'!E10*'Output-Calculation-sheet'!E82</f>
        <v>12104663664.284744</v>
      </c>
      <c r="F99" s="2">
        <f>F11/'Output-Calculation-sheet'!F10*'Output-Calculation-sheet'!F82</f>
        <v>5748603716.4389229</v>
      </c>
      <c r="G99" s="2">
        <f>G11/'Output-Calculation-sheet'!G10*'Output-Calculation-sheet'!G82</f>
        <v>3993308264.14326</v>
      </c>
      <c r="H99" s="2">
        <f>H11/'Output-Calculation-sheet'!H10*'Output-Calculation-sheet'!H82</f>
        <v>1274238190.685884</v>
      </c>
      <c r="I99" s="2">
        <f>I11/'Output-Calculation-sheet'!I10*'Output-Calculation-sheet'!I82</f>
        <v>3095528887.5519857</v>
      </c>
      <c r="J99" s="2">
        <f>J11/'Output-Calculation-sheet'!J10*'Output-Calculation-sheet'!J82</f>
        <v>2022412293.4987257</v>
      </c>
      <c r="K99" s="2">
        <f>K11/'Output-Calculation-sheet'!K10*'Output-Calculation-sheet'!K82</f>
        <v>2593094586.8227096</v>
      </c>
      <c r="L99" s="2">
        <f>L11/'Output-Calculation-sheet'!L10*'Output-Calculation-sheet'!L82</f>
        <v>1971798003.7616427</v>
      </c>
      <c r="M99" s="2">
        <f>M11/'Output-Calculation-sheet'!M10*'Output-Calculation-sheet'!M82</f>
        <v>953169677.44418108</v>
      </c>
      <c r="N99" s="2">
        <f>N11/'Output-Calculation-sheet'!N10*'Output-Calculation-sheet'!N82</f>
        <v>930250877.60511875</v>
      </c>
      <c r="O99" s="2">
        <f>O11/'Output-Calculation-sheet'!O10*'Output-Calculation-sheet'!O82</f>
        <v>0</v>
      </c>
      <c r="P99" s="2">
        <f>P11/'Output-Calculation-sheet'!P10*'Output-Calculation-sheet'!P82</f>
        <v>2200267875.9986877</v>
      </c>
      <c r="Q99" s="2">
        <f>Q11/'Output-Calculation-sheet'!Q10*'Output-Calculation-sheet'!Q82</f>
        <v>1041841335.0757688</v>
      </c>
      <c r="R99" s="2">
        <f>R11/'Output-Calculation-sheet'!R10*'Output-Calculation-sheet'!R82</f>
        <v>1634996643.3728642</v>
      </c>
      <c r="S99" s="2">
        <f>S11/'Output-Calculation-sheet'!S10*'Output-Calculation-sheet'!S82</f>
        <v>637049437.43388581</v>
      </c>
      <c r="T99" s="2">
        <f>T11/'Output-Calculation-sheet'!T10*'Output-Calculation-sheet'!T82</f>
        <v>807812589.38645923</v>
      </c>
      <c r="U99" s="2">
        <f>U11/'Output-Calculation-sheet'!U10*'Output-Calculation-sheet'!U82</f>
        <v>434221366.82341784</v>
      </c>
      <c r="V99" s="2">
        <f>V11/'Output-Calculation-sheet'!V10*'Output-Calculation-sheet'!V82</f>
        <v>271637840.57923347</v>
      </c>
      <c r="W99" s="2">
        <f>W11/'Output-Calculation-sheet'!W10*'Output-Calculation-sheet'!W82</f>
        <v>880543921.44948018</v>
      </c>
      <c r="X99" s="2">
        <f>X11/'Output-Calculation-sheet'!X10*'Output-Calculation-sheet'!X82</f>
        <v>96889631.840121061</v>
      </c>
      <c r="Y99" s="2">
        <f>Y11/'Output-Calculation-sheet'!Y10*'Output-Calculation-sheet'!Y82</f>
        <v>376760969.68781608</v>
      </c>
      <c r="AA99" s="2">
        <f t="shared" si="8"/>
        <v>66.256885195838393</v>
      </c>
    </row>
    <row r="100" spans="1:27" x14ac:dyDescent="0.25">
      <c r="A100" s="2">
        <v>2035</v>
      </c>
      <c r="B100" s="2">
        <f>B12/'Output-Calculation-sheet'!B11*'Output-Calculation-sheet'!B83</f>
        <v>15067507053.440456</v>
      </c>
      <c r="C100" s="2">
        <f>C12/'Output-Calculation-sheet'!C11*'Output-Calculation-sheet'!C83</f>
        <v>2131832377.4348085</v>
      </c>
      <c r="D100" s="2">
        <f>D12/'Output-Calculation-sheet'!D11*'Output-Calculation-sheet'!D83</f>
        <v>7166167275.5635405</v>
      </c>
      <c r="E100" s="2">
        <f>E12/'Output-Calculation-sheet'!E11*'Output-Calculation-sheet'!E83</f>
        <v>12607567549.563265</v>
      </c>
      <c r="F100" s="2">
        <f>F12/'Output-Calculation-sheet'!F11*'Output-Calculation-sheet'!F83</f>
        <v>5974810999.6225319</v>
      </c>
      <c r="G100" s="2">
        <f>G12/'Output-Calculation-sheet'!G11*'Output-Calculation-sheet'!G83</f>
        <v>4007158325.8162179</v>
      </c>
      <c r="H100" s="2">
        <f>H12/'Output-Calculation-sheet'!H11*'Output-Calculation-sheet'!H83</f>
        <v>1350247495.5151362</v>
      </c>
      <c r="I100" s="2">
        <f>I12/'Output-Calculation-sheet'!I11*'Output-Calculation-sheet'!I83</f>
        <v>3246723135.7077842</v>
      </c>
      <c r="J100" s="2">
        <f>J12/'Output-Calculation-sheet'!J11*'Output-Calculation-sheet'!J83</f>
        <v>2062699068.5067384</v>
      </c>
      <c r="K100" s="2">
        <f>K12/'Output-Calculation-sheet'!K11*'Output-Calculation-sheet'!K83</f>
        <v>2669987399.975347</v>
      </c>
      <c r="L100" s="2">
        <f>L12/'Output-Calculation-sheet'!L11*'Output-Calculation-sheet'!L83</f>
        <v>2086160219.2641828</v>
      </c>
      <c r="M100" s="2">
        <f>M12/'Output-Calculation-sheet'!M11*'Output-Calculation-sheet'!M83</f>
        <v>1012075753.9394972</v>
      </c>
      <c r="N100" s="2">
        <f>N12/'Output-Calculation-sheet'!N11*'Output-Calculation-sheet'!N83</f>
        <v>953404927.73387778</v>
      </c>
      <c r="O100" s="2">
        <f>O12/'Output-Calculation-sheet'!O11*'Output-Calculation-sheet'!O83</f>
        <v>257216495.65835217</v>
      </c>
      <c r="P100" s="2">
        <f>P12/'Output-Calculation-sheet'!P11*'Output-Calculation-sheet'!P83</f>
        <v>2258458720.0155354</v>
      </c>
      <c r="Q100" s="2">
        <f>Q12/'Output-Calculation-sheet'!Q11*'Output-Calculation-sheet'!Q83</f>
        <v>1083103806.9236698</v>
      </c>
      <c r="R100" s="2">
        <f>R12/'Output-Calculation-sheet'!R11*'Output-Calculation-sheet'!R83</f>
        <v>1706106107.8839567</v>
      </c>
      <c r="S100" s="2">
        <f>S12/'Output-Calculation-sheet'!S11*'Output-Calculation-sheet'!S83</f>
        <v>661715733.81988144</v>
      </c>
      <c r="T100" s="2">
        <f>T12/'Output-Calculation-sheet'!T11*'Output-Calculation-sheet'!T83</f>
        <v>824787781.20353055</v>
      </c>
      <c r="U100" s="2">
        <f>U12/'Output-Calculation-sheet'!U11*'Output-Calculation-sheet'!U83</f>
        <v>451814763.76190317</v>
      </c>
      <c r="V100" s="2">
        <f>V12/'Output-Calculation-sheet'!V11*'Output-Calculation-sheet'!V83</f>
        <v>285566292.4280417</v>
      </c>
      <c r="W100" s="2">
        <f>W12/'Output-Calculation-sheet'!W11*'Output-Calculation-sheet'!W83</f>
        <v>901112880.98191154</v>
      </c>
      <c r="X100" s="2">
        <f>X12/'Output-Calculation-sheet'!X11*'Output-Calculation-sheet'!X83</f>
        <v>104855264.80111445</v>
      </c>
      <c r="Y100" s="2">
        <f>Y12/'Output-Calculation-sheet'!Y11*'Output-Calculation-sheet'!Y83</f>
        <v>386892721.63708788</v>
      </c>
      <c r="AA100" s="2">
        <f t="shared" si="8"/>
        <v>69.257972151198359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3.7820817115829456E-4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3403967239.395432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2332224068.3941288</v>
      </c>
      <c r="N118" s="2">
        <f>N8/'Output-Calculation-sheet'!N7*'Output-Calculation-sheet'!N97</f>
        <v>1541745557.8871124</v>
      </c>
      <c r="O118" s="2">
        <f>O8/'Output-Calculation-sheet'!O7*'Output-Calculation-sheet'!O97</f>
        <v>2.0808928521302036E-5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382199719.70317346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221656288.78570044</v>
      </c>
      <c r="Y118" s="2">
        <f>Y8/'Output-Calculation-sheet'!Y7*'Output-Calculation-sheet'!Y97</f>
        <v>0</v>
      </c>
      <c r="AA118" s="2">
        <f t="shared" si="10"/>
        <v>7881.7928741659471</v>
      </c>
    </row>
    <row r="119" spans="1:27" x14ac:dyDescent="0.25">
      <c r="A119" s="2">
        <v>2032</v>
      </c>
      <c r="B119" s="2">
        <f>B9/'Output-Calculation-sheet'!B8*'Output-Calculation-sheet'!B98</f>
        <v>3580698.7870186097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3845149071.0701733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2631369788.7285213</v>
      </c>
      <c r="N119" s="2">
        <f>N9/'Output-Calculation-sheet'!N8*'Output-Calculation-sheet'!N98</f>
        <v>1919813662.9765093</v>
      </c>
      <c r="O119" s="2">
        <f>O9/'Output-Calculation-sheet'!O8*'Output-Calculation-sheet'!O98</f>
        <v>1.9580786346900866E-4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604051057.11623108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253427676.45589814</v>
      </c>
      <c r="Y119" s="2">
        <f>Y9/'Output-Calculation-sheet'!Y8*'Output-Calculation-sheet'!Y98</f>
        <v>0</v>
      </c>
      <c r="AA119" s="2">
        <f t="shared" si="10"/>
        <v>9257.391955134548</v>
      </c>
    </row>
    <row r="120" spans="1:27" x14ac:dyDescent="0.25">
      <c r="A120" s="2">
        <v>2033</v>
      </c>
      <c r="B120" s="2">
        <f>B10/'Output-Calculation-sheet'!B9*'Output-Calculation-sheet'!B99</f>
        <v>5150095449.4625759</v>
      </c>
      <c r="C120" s="2">
        <f>C10/'Output-Calculation-sheet'!C9*'Output-Calculation-sheet'!C99</f>
        <v>9585743701.3448124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4240216511.6751089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2904522359.7195892</v>
      </c>
      <c r="N120" s="2">
        <f>N10/'Output-Calculation-sheet'!N9*'Output-Calculation-sheet'!N99</f>
        <v>2295820969.0844092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803084835.66378319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279887767.88348383</v>
      </c>
      <c r="Y120" s="2">
        <f>Y10/'Output-Calculation-sheet'!Y9*'Output-Calculation-sheet'!Y99</f>
        <v>0</v>
      </c>
      <c r="AA120" s="2">
        <f t="shared" si="10"/>
        <v>25259.371594833763</v>
      </c>
    </row>
    <row r="121" spans="1:27" x14ac:dyDescent="0.25">
      <c r="A121" s="2">
        <v>2034</v>
      </c>
      <c r="B121" s="2">
        <f>B11/'Output-Calculation-sheet'!B10*'Output-Calculation-sheet'!B100</f>
        <v>9288713663.9371738</v>
      </c>
      <c r="C121" s="2">
        <f>C11/'Output-Calculation-sheet'!C10*'Output-Calculation-sheet'!C100</f>
        <v>10761524043.291948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4617336811.1523209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3163356317.933043</v>
      </c>
      <c r="N121" s="2">
        <f>N11/'Output-Calculation-sheet'!N10*'Output-Calculation-sheet'!N100</f>
        <v>2582687588.4980626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991461468.35778379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306663996.83940285</v>
      </c>
      <c r="Y121" s="2">
        <f>Y11/'Output-Calculation-sheet'!Y10*'Output-Calculation-sheet'!Y100</f>
        <v>0</v>
      </c>
      <c r="AA121" s="2">
        <f t="shared" si="10"/>
        <v>31711.743890009737</v>
      </c>
    </row>
    <row r="122" spans="1:27" x14ac:dyDescent="0.25">
      <c r="A122" s="2">
        <v>2035</v>
      </c>
      <c r="B122" s="2">
        <f>B12/'Output-Calculation-sheet'!B11*'Output-Calculation-sheet'!B101</f>
        <v>12127671837.395485</v>
      </c>
      <c r="C122" s="2">
        <f>C12/'Output-Calculation-sheet'!C11*'Output-Calculation-sheet'!C101</f>
        <v>11853717968.482172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4955983923.7121181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3391523964.1516895</v>
      </c>
      <c r="N122" s="2">
        <f>N12/'Output-Calculation-sheet'!N11*'Output-Calculation-sheet'!N101</f>
        <v>2834637847.8620276</v>
      </c>
      <c r="O122" s="2">
        <f>O12/'Output-Calculation-sheet'!O11*'Output-Calculation-sheet'!O101</f>
        <v>2025900424.4545579</v>
      </c>
      <c r="P122" s="2">
        <f>P12/'Output-Calculation-sheet'!P11*'Output-Calculation-sheet'!P101</f>
        <v>0</v>
      </c>
      <c r="Q122" s="2">
        <f>Q12/'Output-Calculation-sheet'!Q11*'Output-Calculation-sheet'!Q101</f>
        <v>36982021.060860842</v>
      </c>
      <c r="R122" s="2">
        <f>R12/'Output-Calculation-sheet'!R11*'Output-Calculation-sheet'!R101</f>
        <v>0</v>
      </c>
      <c r="S122" s="2">
        <f>S12/'Output-Calculation-sheet'!S11*'Output-Calculation-sheet'!S101</f>
        <v>1193468611.1272061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332052761.54685217</v>
      </c>
      <c r="Y122" s="2">
        <f>Y12/'Output-Calculation-sheet'!Y11*'Output-Calculation-sheet'!Y101</f>
        <v>0</v>
      </c>
      <c r="AA122" s="2">
        <f t="shared" si="10"/>
        <v>38751.939359792967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42660753080.859283</v>
      </c>
      <c r="C129" s="2">
        <f>C8/'Output-Calculation-sheet'!C7*'Output-Calculation-sheet'!C106</f>
        <v>0</v>
      </c>
      <c r="D129" s="2">
        <f>D8/'Output-Calculation-sheet'!D7*'Output-Calculation-sheet'!D106</f>
        <v>30881965395.302135</v>
      </c>
      <c r="E129" s="2">
        <f>E8/'Output-Calculation-sheet'!E7*'Output-Calculation-sheet'!E106</f>
        <v>21586202159.709312</v>
      </c>
      <c r="F129" s="2">
        <f>F8/'Output-Calculation-sheet'!F7*'Output-Calculation-sheet'!F106</f>
        <v>16070949014.311062</v>
      </c>
      <c r="G129" s="2">
        <f>G8/'Output-Calculation-sheet'!G7*'Output-Calculation-sheet'!G106</f>
        <v>11051745882.427141</v>
      </c>
      <c r="H129" s="2">
        <f>H8/'Output-Calculation-sheet'!H7*'Output-Calculation-sheet'!H106</f>
        <v>0</v>
      </c>
      <c r="I129" s="2">
        <f>I8/'Output-Calculation-sheet'!I7*'Output-Calculation-sheet'!I106</f>
        <v>9912565972.7332325</v>
      </c>
      <c r="J129" s="2">
        <f>J8/'Output-Calculation-sheet'!J7*'Output-Calculation-sheet'!J106</f>
        <v>10156098761.985971</v>
      </c>
      <c r="K129" s="2">
        <f>K8/'Output-Calculation-sheet'!K7*'Output-Calculation-sheet'!K106</f>
        <v>8762458939.9039822</v>
      </c>
      <c r="L129" s="2">
        <f>L8/'Output-Calculation-sheet'!L7*'Output-Calculation-sheet'!L106</f>
        <v>6932338285.5886869</v>
      </c>
      <c r="M129" s="2">
        <f>M8/'Output-Calculation-sheet'!M7*'Output-Calculation-sheet'!M106</f>
        <v>0</v>
      </c>
      <c r="N129" s="2">
        <f>N8/'Output-Calculation-sheet'!N7*'Output-Calculation-sheet'!N106</f>
        <v>1886890179.1917152</v>
      </c>
      <c r="O129" s="2">
        <f>O8/'Output-Calculation-sheet'!O7*'Output-Calculation-sheet'!O106</f>
        <v>0</v>
      </c>
      <c r="P129" s="2">
        <f>P8/'Output-Calculation-sheet'!P7*'Output-Calculation-sheet'!P106</f>
        <v>4269145073.4956961</v>
      </c>
      <c r="Q129" s="2">
        <f>Q8/'Output-Calculation-sheet'!Q7*'Output-Calculation-sheet'!Q106</f>
        <v>4183992146.9975038</v>
      </c>
      <c r="R129" s="2">
        <f>R8/'Output-Calculation-sheet'!R7*'Output-Calculation-sheet'!R106</f>
        <v>4977761158.0748978</v>
      </c>
      <c r="S129" s="2">
        <f>S8/'Output-Calculation-sheet'!S7*'Output-Calculation-sheet'!S106</f>
        <v>1697568483.5241947</v>
      </c>
      <c r="T129" s="2">
        <f>T8/'Output-Calculation-sheet'!T7*'Output-Calculation-sheet'!T106</f>
        <v>2155084978.3279438</v>
      </c>
      <c r="U129" s="2">
        <f>U8/'Output-Calculation-sheet'!U7*'Output-Calculation-sheet'!U106</f>
        <v>1517130908.0263927</v>
      </c>
      <c r="V129" s="2">
        <f>V8/'Output-Calculation-sheet'!V7*'Output-Calculation-sheet'!V106</f>
        <v>1364904752.522656</v>
      </c>
      <c r="W129" s="2">
        <f>W8/'Output-Calculation-sheet'!W7*'Output-Calculation-sheet'!W106</f>
        <v>1392680518.9738369</v>
      </c>
      <c r="X129" s="2">
        <f>X8/'Output-Calculation-sheet'!X7*'Output-Calculation-sheet'!X106</f>
        <v>0</v>
      </c>
      <c r="Y129" s="2">
        <f>Y8/'Output-Calculation-sheet'!Y7*'Output-Calculation-sheet'!Y106</f>
        <v>628831353.21889091</v>
      </c>
      <c r="AA129" s="2">
        <f t="shared" si="11"/>
        <v>182089.06704517454</v>
      </c>
    </row>
    <row r="130" spans="1:27" x14ac:dyDescent="0.25">
      <c r="A130" s="2">
        <v>2032</v>
      </c>
      <c r="B130" s="2">
        <f>B9/'Output-Calculation-sheet'!B8*'Output-Calculation-sheet'!B107</f>
        <v>47263998070.620247</v>
      </c>
      <c r="C130" s="2">
        <f>C9/'Output-Calculation-sheet'!C8*'Output-Calculation-sheet'!C107</f>
        <v>0</v>
      </c>
      <c r="D130" s="2">
        <f>D9/'Output-Calculation-sheet'!D8*'Output-Calculation-sheet'!D107</f>
        <v>33959609577.49308</v>
      </c>
      <c r="E130" s="2">
        <f>E9/'Output-Calculation-sheet'!E8*'Output-Calculation-sheet'!E107</f>
        <v>23768311788.025723</v>
      </c>
      <c r="F130" s="2">
        <f>F9/'Output-Calculation-sheet'!F8*'Output-Calculation-sheet'!F107</f>
        <v>17667845637.710354</v>
      </c>
      <c r="G130" s="2">
        <f>G9/'Output-Calculation-sheet'!G8*'Output-Calculation-sheet'!G107</f>
        <v>12143835802.800549</v>
      </c>
      <c r="H130" s="2">
        <f>H9/'Output-Calculation-sheet'!H8*'Output-Calculation-sheet'!H107</f>
        <v>0</v>
      </c>
      <c r="I130" s="2">
        <f>I9/'Output-Calculation-sheet'!I8*'Output-Calculation-sheet'!I107</f>
        <v>10901321699.316051</v>
      </c>
      <c r="J130" s="2">
        <f>J9/'Output-Calculation-sheet'!J8*'Output-Calculation-sheet'!J107</f>
        <v>11162300387.83131</v>
      </c>
      <c r="K130" s="2">
        <f>K9/'Output-Calculation-sheet'!K8*'Output-Calculation-sheet'!K107</f>
        <v>9645912392.6307507</v>
      </c>
      <c r="L130" s="2">
        <f>L9/'Output-Calculation-sheet'!L8*'Output-Calculation-sheet'!L107</f>
        <v>7633372266.7480841</v>
      </c>
      <c r="M130" s="2">
        <f>M9/'Output-Calculation-sheet'!M8*'Output-Calculation-sheet'!M107</f>
        <v>0</v>
      </c>
      <c r="N130" s="2">
        <f>N9/'Output-Calculation-sheet'!N8*'Output-Calculation-sheet'!N107</f>
        <v>1842660040.8292031</v>
      </c>
      <c r="O130" s="2">
        <f>O9/'Output-Calculation-sheet'!O8*'Output-Calculation-sheet'!O107</f>
        <v>0</v>
      </c>
      <c r="P130" s="2">
        <f>P9/'Output-Calculation-sheet'!P8*'Output-Calculation-sheet'!P107</f>
        <v>4735535111.1046047</v>
      </c>
      <c r="Q130" s="2">
        <f>Q9/'Output-Calculation-sheet'!Q8*'Output-Calculation-sheet'!Q107</f>
        <v>4643929022.3929472</v>
      </c>
      <c r="R130" s="2">
        <f>R9/'Output-Calculation-sheet'!R8*'Output-Calculation-sheet'!R107</f>
        <v>5480463840.6728516</v>
      </c>
      <c r="S130" s="2">
        <f>S9/'Output-Calculation-sheet'!S8*'Output-Calculation-sheet'!S107</f>
        <v>1760703554.9647875</v>
      </c>
      <c r="T130" s="2">
        <f>T9/'Output-Calculation-sheet'!T8*'Output-Calculation-sheet'!T107</f>
        <v>2370284060.3427958</v>
      </c>
      <c r="U130" s="2">
        <f>U9/'Output-Calculation-sheet'!U8*'Output-Calculation-sheet'!U107</f>
        <v>1671979193.8692822</v>
      </c>
      <c r="V130" s="2">
        <f>V9/'Output-Calculation-sheet'!V8*'Output-Calculation-sheet'!V107</f>
        <v>1505236770.9795303</v>
      </c>
      <c r="W130" s="2">
        <f>W9/'Output-Calculation-sheet'!W8*'Output-Calculation-sheet'!W107</f>
        <v>1532017840.2521539</v>
      </c>
      <c r="X130" s="2">
        <f>X9/'Output-Calculation-sheet'!X8*'Output-Calculation-sheet'!X107</f>
        <v>0</v>
      </c>
      <c r="Y130" s="2">
        <f>Y9/'Output-Calculation-sheet'!Y8*'Output-Calculation-sheet'!Y107</f>
        <v>692486120.50165021</v>
      </c>
      <c r="AA130" s="2">
        <f t="shared" si="11"/>
        <v>200381.80317908592</v>
      </c>
    </row>
    <row r="131" spans="1:27" x14ac:dyDescent="0.25">
      <c r="A131" s="2">
        <v>2033</v>
      </c>
      <c r="B131" s="2">
        <f>B10/'Output-Calculation-sheet'!B9*'Output-Calculation-sheet'!B108</f>
        <v>48098070486.355225</v>
      </c>
      <c r="C131" s="2">
        <f>C10/'Output-Calculation-sheet'!C9*'Output-Calculation-sheet'!C108</f>
        <v>0</v>
      </c>
      <c r="D131" s="2">
        <f>D10/'Output-Calculation-sheet'!D9*'Output-Calculation-sheet'!D108</f>
        <v>36542578232.972229</v>
      </c>
      <c r="E131" s="2">
        <f>E10/'Output-Calculation-sheet'!E9*'Output-Calculation-sheet'!E108</f>
        <v>25590982194.513939</v>
      </c>
      <c r="F131" s="2">
        <f>F10/'Output-Calculation-sheet'!F9*'Output-Calculation-sheet'!F108</f>
        <v>19016887377.853142</v>
      </c>
      <c r="G131" s="2">
        <f>G10/'Output-Calculation-sheet'!G9*'Output-Calculation-sheet'!G108</f>
        <v>13067833854.093544</v>
      </c>
      <c r="H131" s="2">
        <f>H10/'Output-Calculation-sheet'!H9*'Output-Calculation-sheet'!H108</f>
        <v>0</v>
      </c>
      <c r="I131" s="2">
        <f>I10/'Output-Calculation-sheet'!I9*'Output-Calculation-sheet'!I108</f>
        <v>11732976361.505928</v>
      </c>
      <c r="J131" s="2">
        <f>J10/'Output-Calculation-sheet'!J9*'Output-Calculation-sheet'!J108</f>
        <v>12009478222.067186</v>
      </c>
      <c r="K131" s="2">
        <f>K10/'Output-Calculation-sheet'!K9*'Output-Calculation-sheet'!K108</f>
        <v>10399324906.932428</v>
      </c>
      <c r="L131" s="2">
        <f>L10/'Output-Calculation-sheet'!L9*'Output-Calculation-sheet'!L108</f>
        <v>8223784226.3812733</v>
      </c>
      <c r="M131" s="2">
        <f>M10/'Output-Calculation-sheet'!M9*'Output-Calculation-sheet'!M108</f>
        <v>0</v>
      </c>
      <c r="N131" s="2">
        <f>N10/'Output-Calculation-sheet'!N9*'Output-Calculation-sheet'!N108</f>
        <v>1747773098.990169</v>
      </c>
      <c r="O131" s="2">
        <f>O10/'Output-Calculation-sheet'!O9*'Output-Calculation-sheet'!O108</f>
        <v>0</v>
      </c>
      <c r="P131" s="2">
        <f>P10/'Output-Calculation-sheet'!P9*'Output-Calculation-sheet'!P108</f>
        <v>5129560904.2582655</v>
      </c>
      <c r="Q131" s="2">
        <f>Q10/'Output-Calculation-sheet'!Q9*'Output-Calculation-sheet'!Q108</f>
        <v>5038186890.7090111</v>
      </c>
      <c r="R131" s="2">
        <f>R10/'Output-Calculation-sheet'!R9*'Output-Calculation-sheet'!R108</f>
        <v>5912897009.0076351</v>
      </c>
      <c r="S131" s="2">
        <f>S10/'Output-Calculation-sheet'!S9*'Output-Calculation-sheet'!S108</f>
        <v>1777939838.8912313</v>
      </c>
      <c r="T131" s="2">
        <f>T10/'Output-Calculation-sheet'!T9*'Output-Calculation-sheet'!T108</f>
        <v>2553335636.5097275</v>
      </c>
      <c r="U131" s="2">
        <f>U10/'Output-Calculation-sheet'!U9*'Output-Calculation-sheet'!U108</f>
        <v>1801550504.6964097</v>
      </c>
      <c r="V131" s="2">
        <f>V10/'Output-Calculation-sheet'!V9*'Output-Calculation-sheet'!V108</f>
        <v>1623167014.8206687</v>
      </c>
      <c r="W131" s="2">
        <f>W10/'Output-Calculation-sheet'!W9*'Output-Calculation-sheet'!W108</f>
        <v>1647831452.0372987</v>
      </c>
      <c r="X131" s="2">
        <f>X10/'Output-Calculation-sheet'!X9*'Output-Calculation-sheet'!X108</f>
        <v>0</v>
      </c>
      <c r="Y131" s="2">
        <f>Y10/'Output-Calculation-sheet'!Y9*'Output-Calculation-sheet'!Y108</f>
        <v>746492281.93327403</v>
      </c>
      <c r="AA131" s="2">
        <f t="shared" si="11"/>
        <v>212660.65049452864</v>
      </c>
    </row>
    <row r="132" spans="1:27" x14ac:dyDescent="0.25">
      <c r="A132" s="2">
        <v>2034</v>
      </c>
      <c r="B132" s="2">
        <f>B11/'Output-Calculation-sheet'!B10*'Output-Calculation-sheet'!B109</f>
        <v>48808297093.790756</v>
      </c>
      <c r="C132" s="2">
        <f>C11/'Output-Calculation-sheet'!C10*'Output-Calculation-sheet'!C109</f>
        <v>0</v>
      </c>
      <c r="D132" s="2">
        <f>D11/'Output-Calculation-sheet'!D10*'Output-Calculation-sheet'!D109</f>
        <v>38787912811.576904</v>
      </c>
      <c r="E132" s="2">
        <f>E11/'Output-Calculation-sheet'!E10*'Output-Calculation-sheet'!E109</f>
        <v>27206842099.207317</v>
      </c>
      <c r="F132" s="2">
        <f>F11/'Output-Calculation-sheet'!F10*'Output-Calculation-sheet'!F109</f>
        <v>20195639134.121861</v>
      </c>
      <c r="G132" s="2">
        <f>G11/'Output-Calculation-sheet'!G10*'Output-Calculation-sheet'!G109</f>
        <v>13865238754.00005</v>
      </c>
      <c r="H132" s="2">
        <f>H11/'Output-Calculation-sheet'!H10*'Output-Calculation-sheet'!H109</f>
        <v>0</v>
      </c>
      <c r="I132" s="2">
        <f>I11/'Output-Calculation-sheet'!I10*'Output-Calculation-sheet'!I109</f>
        <v>12473211206.267925</v>
      </c>
      <c r="J132" s="2">
        <f>J11/'Output-Calculation-sheet'!J10*'Output-Calculation-sheet'!J109</f>
        <v>12746000443.873953</v>
      </c>
      <c r="K132" s="2">
        <f>K11/'Output-Calculation-sheet'!K10*'Output-Calculation-sheet'!K109</f>
        <v>11062569234.648834</v>
      </c>
      <c r="L132" s="2">
        <f>L11/'Output-Calculation-sheet'!L10*'Output-Calculation-sheet'!L109</f>
        <v>8740402196.9672985</v>
      </c>
      <c r="M132" s="2">
        <f>M11/'Output-Calculation-sheet'!M10*'Output-Calculation-sheet'!M109</f>
        <v>0</v>
      </c>
      <c r="N132" s="2">
        <f>N11/'Output-Calculation-sheet'!N10*'Output-Calculation-sheet'!N109</f>
        <v>1718471117.7773309</v>
      </c>
      <c r="O132" s="2">
        <f>O11/'Output-Calculation-sheet'!O10*'Output-Calculation-sheet'!O109</f>
        <v>0</v>
      </c>
      <c r="P132" s="2">
        <f>P11/'Output-Calculation-sheet'!P10*'Output-Calculation-sheet'!P109</f>
        <v>5479982714.7974777</v>
      </c>
      <c r="Q132" s="2">
        <f>Q11/'Output-Calculation-sheet'!Q10*'Output-Calculation-sheet'!Q109</f>
        <v>5394194719.6272125</v>
      </c>
      <c r="R132" s="2">
        <f>R11/'Output-Calculation-sheet'!R10*'Output-Calculation-sheet'!R109</f>
        <v>6291256615.9556952</v>
      </c>
      <c r="S132" s="2">
        <f>S11/'Output-Calculation-sheet'!S10*'Output-Calculation-sheet'!S109</f>
        <v>1836958944.5559788</v>
      </c>
      <c r="T132" s="2">
        <f>T11/'Output-Calculation-sheet'!T10*'Output-Calculation-sheet'!T109</f>
        <v>2713968516.548245</v>
      </c>
      <c r="U132" s="2">
        <f>U11/'Output-Calculation-sheet'!U10*'Output-Calculation-sheet'!U109</f>
        <v>1918685944.8958101</v>
      </c>
      <c r="V132" s="2">
        <f>V11/'Output-Calculation-sheet'!V10*'Output-Calculation-sheet'!V109</f>
        <v>1728563313.4369168</v>
      </c>
      <c r="W132" s="2">
        <f>W11/'Output-Calculation-sheet'!W10*'Output-Calculation-sheet'!W109</f>
        <v>1749433381.4724948</v>
      </c>
      <c r="X132" s="2">
        <f>X11/'Output-Calculation-sheet'!X10*'Output-Calculation-sheet'!X109</f>
        <v>0</v>
      </c>
      <c r="Y132" s="2">
        <f>Y11/'Output-Calculation-sheet'!Y10*'Output-Calculation-sheet'!Y109</f>
        <v>793661880.89593422</v>
      </c>
      <c r="AA132" s="2">
        <f t="shared" si="11"/>
        <v>223511.29012441801</v>
      </c>
    </row>
    <row r="133" spans="1:27" x14ac:dyDescent="0.25">
      <c r="A133" s="2">
        <v>2035</v>
      </c>
      <c r="B133" s="2">
        <f>B12/'Output-Calculation-sheet'!B11*'Output-Calculation-sheet'!B110</f>
        <v>49595789134.407265</v>
      </c>
      <c r="C133" s="2">
        <f>C12/'Output-Calculation-sheet'!C11*'Output-Calculation-sheet'!C110</f>
        <v>0</v>
      </c>
      <c r="D133" s="2">
        <f>D12/'Output-Calculation-sheet'!D11*'Output-Calculation-sheet'!D110</f>
        <v>40803092963.878677</v>
      </c>
      <c r="E133" s="2">
        <f>E12/'Output-Calculation-sheet'!E11*'Output-Calculation-sheet'!E110</f>
        <v>28638514171.573338</v>
      </c>
      <c r="F133" s="2">
        <f>F12/'Output-Calculation-sheet'!F11*'Output-Calculation-sheet'!F110</f>
        <v>21238749067.70192</v>
      </c>
      <c r="G133" s="2">
        <f>G12/'Output-Calculation-sheet'!G11*'Output-Calculation-sheet'!G110</f>
        <v>14564191285.660404</v>
      </c>
      <c r="H133" s="2">
        <f>H12/'Output-Calculation-sheet'!H11*'Output-Calculation-sheet'!H110</f>
        <v>0</v>
      </c>
      <c r="I133" s="2">
        <f>I12/'Output-Calculation-sheet'!I11*'Output-Calculation-sheet'!I110</f>
        <v>13117941591.290277</v>
      </c>
      <c r="J133" s="2">
        <f>J12/'Output-Calculation-sheet'!J11*'Output-Calculation-sheet'!J110</f>
        <v>13384845237.918718</v>
      </c>
      <c r="K133" s="2">
        <f>K12/'Output-Calculation-sheet'!K11*'Output-Calculation-sheet'!K110</f>
        <v>11645950625.875032</v>
      </c>
      <c r="L133" s="2">
        <f>L12/'Output-Calculation-sheet'!L11*'Output-Calculation-sheet'!L110</f>
        <v>9194202214.4839859</v>
      </c>
      <c r="M133" s="2">
        <f>M12/'Output-Calculation-sheet'!M11*'Output-Calculation-sheet'!M110</f>
        <v>0</v>
      </c>
      <c r="N133" s="2">
        <f>N12/'Output-Calculation-sheet'!N11*'Output-Calculation-sheet'!N110</f>
        <v>1697378876.5000987</v>
      </c>
      <c r="O133" s="2">
        <f>O12/'Output-Calculation-sheet'!O11*'Output-Calculation-sheet'!O110</f>
        <v>0</v>
      </c>
      <c r="P133" s="2">
        <f>P12/'Output-Calculation-sheet'!P11*'Output-Calculation-sheet'!P110</f>
        <v>5797426617.5007086</v>
      </c>
      <c r="Q133" s="2">
        <f>Q12/'Output-Calculation-sheet'!Q11*'Output-Calculation-sheet'!Q110</f>
        <v>5697499748.1140184</v>
      </c>
      <c r="R133" s="2">
        <f>R12/'Output-Calculation-sheet'!R11*'Output-Calculation-sheet'!R110</f>
        <v>6636498032.4827833</v>
      </c>
      <c r="S133" s="2">
        <f>S12/'Output-Calculation-sheet'!S11*'Output-Calculation-sheet'!S110</f>
        <v>1787278554.9398277</v>
      </c>
      <c r="T133" s="2">
        <f>T12/'Output-Calculation-sheet'!T11*'Output-Calculation-sheet'!T110</f>
        <v>2855249039.888936</v>
      </c>
      <c r="U133" s="2">
        <f>U12/'Output-Calculation-sheet'!U11*'Output-Calculation-sheet'!U110</f>
        <v>2021512527.6729162</v>
      </c>
      <c r="V133" s="2">
        <f>V12/'Output-Calculation-sheet'!V11*'Output-Calculation-sheet'!V110</f>
        <v>1823421062.3788807</v>
      </c>
      <c r="W133" s="2">
        <f>W12/'Output-Calculation-sheet'!W11*'Output-Calculation-sheet'!W110</f>
        <v>1838727325.9572244</v>
      </c>
      <c r="X133" s="2">
        <f>X12/'Output-Calculation-sheet'!X11*'Output-Calculation-sheet'!X110</f>
        <v>0</v>
      </c>
      <c r="Y133" s="2">
        <f>Y12/'Output-Calculation-sheet'!Y11*'Output-Calculation-sheet'!Y110</f>
        <v>835923417.25017107</v>
      </c>
      <c r="AA133" s="2">
        <f t="shared" si="11"/>
        <v>233174.19149547518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53056555524.140068</v>
      </c>
      <c r="C151" s="2">
        <f>C8/'Output-Calculation-sheet'!C7*'Output-Calculation-sheet'!C124</f>
        <v>45106790365.061935</v>
      </c>
      <c r="D151" s="2">
        <f>D8/'Output-Calculation-sheet'!D7*'Output-Calculation-sheet'!D124</f>
        <v>9320288609.2793903</v>
      </c>
      <c r="E151" s="2">
        <f>E8/'Output-Calculation-sheet'!E7*'Output-Calculation-sheet'!E124</f>
        <v>10310237895.553278</v>
      </c>
      <c r="F151" s="2">
        <f>F8/'Output-Calculation-sheet'!F7*'Output-Calculation-sheet'!F124</f>
        <v>4461928752.338541</v>
      </c>
      <c r="G151" s="2">
        <f>G8/'Output-Calculation-sheet'!G7*'Output-Calculation-sheet'!G124</f>
        <v>3375252302.0195374</v>
      </c>
      <c r="H151" s="2">
        <f>H8/'Output-Calculation-sheet'!H7*'Output-Calculation-sheet'!H124</f>
        <v>10669030614.276697</v>
      </c>
      <c r="I151" s="2">
        <f>I8/'Output-Calculation-sheet'!I7*'Output-Calculation-sheet'!I124</f>
        <v>3231534459.7182021</v>
      </c>
      <c r="J151" s="2">
        <f>J8/'Output-Calculation-sheet'!J7*'Output-Calculation-sheet'!J124</f>
        <v>2637422838.394733</v>
      </c>
      <c r="K151" s="2">
        <f>K8/'Output-Calculation-sheet'!K7*'Output-Calculation-sheet'!K124</f>
        <v>3908428604.6939983</v>
      </c>
      <c r="L151" s="2">
        <f>L8/'Output-Calculation-sheet'!L7*'Output-Calculation-sheet'!L124</f>
        <v>3232437512.6921</v>
      </c>
      <c r="M151" s="2">
        <f>M8/'Output-Calculation-sheet'!M7*'Output-Calculation-sheet'!M124</f>
        <v>7376910099.6282444</v>
      </c>
      <c r="N151" s="2">
        <f>N8/'Output-Calculation-sheet'!N7*'Output-Calculation-sheet'!N124</f>
        <v>6100835728.6921263</v>
      </c>
      <c r="O151" s="2">
        <f>O8/'Output-Calculation-sheet'!O7*'Output-Calculation-sheet'!O124</f>
        <v>8764288539.5105858</v>
      </c>
      <c r="P151" s="2">
        <f>P8/'Output-Calculation-sheet'!P7*'Output-Calculation-sheet'!P124</f>
        <v>4406012139.1486483</v>
      </c>
      <c r="Q151" s="2">
        <f>Q8/'Output-Calculation-sheet'!Q7*'Output-Calculation-sheet'!Q124</f>
        <v>4350943775.989419</v>
      </c>
      <c r="R151" s="2">
        <f>R8/'Output-Calculation-sheet'!R7*'Output-Calculation-sheet'!R124</f>
        <v>3233255635.9617853</v>
      </c>
      <c r="S151" s="2">
        <f>S8/'Output-Calculation-sheet'!S7*'Output-Calculation-sheet'!S124</f>
        <v>3377681462.2228441</v>
      </c>
      <c r="T151" s="2">
        <f>T8/'Output-Calculation-sheet'!T7*'Output-Calculation-sheet'!T124</f>
        <v>863193503.13179648</v>
      </c>
      <c r="U151" s="2">
        <f>U8/'Output-Calculation-sheet'!U7*'Output-Calculation-sheet'!U124</f>
        <v>1111691432.3603787</v>
      </c>
      <c r="V151" s="2">
        <f>V8/'Output-Calculation-sheet'!V7*'Output-Calculation-sheet'!V124</f>
        <v>659332268.37322152</v>
      </c>
      <c r="W151" s="2">
        <f>W8/'Output-Calculation-sheet'!W7*'Output-Calculation-sheet'!W124</f>
        <v>359873737.54767716</v>
      </c>
      <c r="X151" s="2">
        <f>X8/'Output-Calculation-sheet'!X7*'Output-Calculation-sheet'!X124</f>
        <v>829870793.6576792</v>
      </c>
      <c r="Y151" s="2">
        <f>Y8/'Output-Calculation-sheet'!Y7*'Output-Calculation-sheet'!Y124</f>
        <v>393768933.74996257</v>
      </c>
      <c r="AA151" s="2">
        <f t="shared" si="13"/>
        <v>191137.56552814291</v>
      </c>
    </row>
    <row r="152" spans="1:27" x14ac:dyDescent="0.25">
      <c r="A152" s="2">
        <v>2032</v>
      </c>
      <c r="B152" s="2">
        <f>B9/'Output-Calculation-sheet'!B8*'Output-Calculation-sheet'!B125</f>
        <v>57784090272.243347</v>
      </c>
      <c r="C152" s="2">
        <f>C9/'Output-Calculation-sheet'!C8*'Output-Calculation-sheet'!C125</f>
        <v>49505607689.328857</v>
      </c>
      <c r="D152" s="2">
        <f>D9/'Output-Calculation-sheet'!D8*'Output-Calculation-sheet'!D125</f>
        <v>10163171025.38323</v>
      </c>
      <c r="E152" s="2">
        <f>E9/'Output-Calculation-sheet'!E8*'Output-Calculation-sheet'!E125</f>
        <v>11238674739.623726</v>
      </c>
      <c r="F152" s="2">
        <f>F9/'Output-Calculation-sheet'!F8*'Output-Calculation-sheet'!F125</f>
        <v>4867399792.5660572</v>
      </c>
      <c r="G152" s="2">
        <f>G9/'Output-Calculation-sheet'!G8*'Output-Calculation-sheet'!G125</f>
        <v>3690084245.0129952</v>
      </c>
      <c r="H152" s="2">
        <f>H9/'Output-Calculation-sheet'!H8*'Output-Calculation-sheet'!H125</f>
        <v>11600248509.164034</v>
      </c>
      <c r="I152" s="2">
        <f>I9/'Output-Calculation-sheet'!I8*'Output-Calculation-sheet'!I125</f>
        <v>3524592318.766953</v>
      </c>
      <c r="J152" s="2">
        <f>J9/'Output-Calculation-sheet'!J8*'Output-Calculation-sheet'!J125</f>
        <v>2878844949.4834747</v>
      </c>
      <c r="K152" s="2">
        <f>K9/'Output-Calculation-sheet'!K8*'Output-Calculation-sheet'!K125</f>
        <v>4260640983.9610605</v>
      </c>
      <c r="L152" s="2">
        <f>L9/'Output-Calculation-sheet'!L8*'Output-Calculation-sheet'!L125</f>
        <v>3522673172.2429318</v>
      </c>
      <c r="M152" s="2">
        <f>M9/'Output-Calculation-sheet'!M8*'Output-Calculation-sheet'!M125</f>
        <v>8024599816.6254587</v>
      </c>
      <c r="N152" s="2">
        <f>N9/'Output-Calculation-sheet'!N8*'Output-Calculation-sheet'!N125</f>
        <v>6696312480.1148396</v>
      </c>
      <c r="O152" s="2">
        <f>O9/'Output-Calculation-sheet'!O8*'Output-Calculation-sheet'!O125</f>
        <v>9618982565.6307545</v>
      </c>
      <c r="P152" s="2">
        <f>P9/'Output-Calculation-sheet'!P8*'Output-Calculation-sheet'!P125</f>
        <v>4785623098.4341278</v>
      </c>
      <c r="Q152" s="2">
        <f>Q9/'Output-Calculation-sheet'!Q8*'Output-Calculation-sheet'!Q125</f>
        <v>4723334443.6466236</v>
      </c>
      <c r="R152" s="2">
        <f>R9/'Output-Calculation-sheet'!R8*'Output-Calculation-sheet'!R125</f>
        <v>3531291880.4995432</v>
      </c>
      <c r="S152" s="2">
        <f>S9/'Output-Calculation-sheet'!S8*'Output-Calculation-sheet'!S125</f>
        <v>3624906329.7569656</v>
      </c>
      <c r="T152" s="2">
        <f>T9/'Output-Calculation-sheet'!T8*'Output-Calculation-sheet'!T125</f>
        <v>942337147.92711747</v>
      </c>
      <c r="U152" s="2">
        <f>U9/'Output-Calculation-sheet'!U8*'Output-Calculation-sheet'!U125</f>
        <v>1213206083.4439459</v>
      </c>
      <c r="V152" s="2">
        <f>V9/'Output-Calculation-sheet'!V8*'Output-Calculation-sheet'!V125</f>
        <v>716403984.56194401</v>
      </c>
      <c r="W152" s="2">
        <f>W9/'Output-Calculation-sheet'!W8*'Output-Calculation-sheet'!W125</f>
        <v>391445818.01871419</v>
      </c>
      <c r="X152" s="2">
        <f>X9/'Output-Calculation-sheet'!X8*'Output-Calculation-sheet'!X125</f>
        <v>900644286.8893137</v>
      </c>
      <c r="Y152" s="2">
        <f>Y9/'Output-Calculation-sheet'!Y8*'Output-Calculation-sheet'!Y125</f>
        <v>429838217.3631649</v>
      </c>
      <c r="AA152" s="2">
        <f t="shared" si="13"/>
        <v>208634.95385068917</v>
      </c>
    </row>
    <row r="153" spans="1:27" x14ac:dyDescent="0.25">
      <c r="A153" s="2">
        <v>2033</v>
      </c>
      <c r="B153" s="2">
        <f>B10/'Output-Calculation-sheet'!B9*'Output-Calculation-sheet'!B126</f>
        <v>59596453277.509346</v>
      </c>
      <c r="C153" s="2">
        <f>C10/'Output-Calculation-sheet'!C9*'Output-Calculation-sheet'!C126</f>
        <v>43592410473.44146</v>
      </c>
      <c r="D153" s="2">
        <f>D10/'Output-Calculation-sheet'!D9*'Output-Calculation-sheet'!D126</f>
        <v>10853319594.486593</v>
      </c>
      <c r="E153" s="2">
        <f>E10/'Output-Calculation-sheet'!E9*'Output-Calculation-sheet'!E126</f>
        <v>12012893491.497122</v>
      </c>
      <c r="F153" s="2">
        <f>F10/'Output-Calculation-sheet'!F9*'Output-Calculation-sheet'!F126</f>
        <v>5190068197.8447008</v>
      </c>
      <c r="G153" s="2">
        <f>G10/'Output-Calculation-sheet'!G9*'Output-Calculation-sheet'!G126</f>
        <v>3940678450.4415164</v>
      </c>
      <c r="H153" s="2">
        <f>H10/'Output-Calculation-sheet'!H9*'Output-Calculation-sheet'!H126</f>
        <v>12350951941.782217</v>
      </c>
      <c r="I153" s="2">
        <f>I10/'Output-Calculation-sheet'!I9*'Output-Calculation-sheet'!I126</f>
        <v>3763079680.2091894</v>
      </c>
      <c r="J153" s="2">
        <f>J10/'Output-Calculation-sheet'!J9*'Output-Calculation-sheet'!J126</f>
        <v>3073269191.9442129</v>
      </c>
      <c r="K153" s="2">
        <f>K10/'Output-Calculation-sheet'!K9*'Output-Calculation-sheet'!K126</f>
        <v>4538844763.3190708</v>
      </c>
      <c r="L153" s="2">
        <f>L10/'Output-Calculation-sheet'!L9*'Output-Calculation-sheet'!L126</f>
        <v>3759839257.0044856</v>
      </c>
      <c r="M153" s="2">
        <f>M10/'Output-Calculation-sheet'!M9*'Output-Calculation-sheet'!M126</f>
        <v>8541928651.9136295</v>
      </c>
      <c r="N153" s="2">
        <f>N10/'Output-Calculation-sheet'!N9*'Output-Calculation-sheet'!N126</f>
        <v>7191046056.5784521</v>
      </c>
      <c r="O153" s="2">
        <f>O10/'Output-Calculation-sheet'!O9*'Output-Calculation-sheet'!O126</f>
        <v>10332538173.150026</v>
      </c>
      <c r="P153" s="2">
        <f>P10/'Output-Calculation-sheet'!P9*'Output-Calculation-sheet'!P126</f>
        <v>5097896103.9464989</v>
      </c>
      <c r="Q153" s="2">
        <f>Q10/'Output-Calculation-sheet'!Q9*'Output-Calculation-sheet'!Q126</f>
        <v>5023959150.2491951</v>
      </c>
      <c r="R153" s="2">
        <f>R10/'Output-Calculation-sheet'!R9*'Output-Calculation-sheet'!R126</f>
        <v>3767369002.5786991</v>
      </c>
      <c r="S153" s="2">
        <f>S10/'Output-Calculation-sheet'!S9*'Output-Calculation-sheet'!S126</f>
        <v>3852961446.4821472</v>
      </c>
      <c r="T153" s="2">
        <f>T10/'Output-Calculation-sheet'!T9*'Output-Calculation-sheet'!T126</f>
        <v>1005022521.8607146</v>
      </c>
      <c r="U153" s="2">
        <f>U10/'Output-Calculation-sheet'!U9*'Output-Calculation-sheet'!U126</f>
        <v>1297663659.6963005</v>
      </c>
      <c r="V153" s="2">
        <f>V10/'Output-Calculation-sheet'!V9*'Output-Calculation-sheet'!V126</f>
        <v>763279551.33472848</v>
      </c>
      <c r="W153" s="2">
        <f>W10/'Output-Calculation-sheet'!W9*'Output-Calculation-sheet'!W126</f>
        <v>418318432.73547125</v>
      </c>
      <c r="X153" s="2">
        <f>X10/'Output-Calculation-sheet'!X9*'Output-Calculation-sheet'!X126</f>
        <v>959795712.46596754</v>
      </c>
      <c r="Y153" s="2">
        <f>Y10/'Output-Calculation-sheet'!Y9*'Output-Calculation-sheet'!Y126</f>
        <v>459088348.29662454</v>
      </c>
      <c r="AA153" s="2">
        <f t="shared" si="13"/>
        <v>211382.67513076836</v>
      </c>
    </row>
    <row r="154" spans="1:27" x14ac:dyDescent="0.25">
      <c r="A154" s="2">
        <v>2034</v>
      </c>
      <c r="B154" s="2">
        <f>B11/'Output-Calculation-sheet'!B10*'Output-Calculation-sheet'!B127</f>
        <v>61527601232.774246</v>
      </c>
      <c r="C154" s="2">
        <f>C11/'Output-Calculation-sheet'!C10*'Output-Calculation-sheet'!C127</f>
        <v>45611711031.33255</v>
      </c>
      <c r="D154" s="2">
        <f>D11/'Output-Calculation-sheet'!D10*'Output-Calculation-sheet'!D127</f>
        <v>11455648105.251642</v>
      </c>
      <c r="E154" s="2">
        <f>E11/'Output-Calculation-sheet'!E10*'Output-Calculation-sheet'!E127</f>
        <v>12656371595.591413</v>
      </c>
      <c r="F154" s="2">
        <f>F11/'Output-Calculation-sheet'!F10*'Output-Calculation-sheet'!F127</f>
        <v>5465732876.3573141</v>
      </c>
      <c r="G154" s="2">
        <f>G11/'Output-Calculation-sheet'!G10*'Output-Calculation-sheet'!G127</f>
        <v>4165188914.8830652</v>
      </c>
      <c r="H154" s="2">
        <f>H11/'Output-Calculation-sheet'!H10*'Output-Calculation-sheet'!H127</f>
        <v>12970671909.784136</v>
      </c>
      <c r="I154" s="2">
        <f>I11/'Output-Calculation-sheet'!I10*'Output-Calculation-sheet'!I127</f>
        <v>3953889503.7984819</v>
      </c>
      <c r="J154" s="2">
        <f>J11/'Output-Calculation-sheet'!J10*'Output-Calculation-sheet'!J127</f>
        <v>3242957404.2416315</v>
      </c>
      <c r="K154" s="2">
        <f>K11/'Output-Calculation-sheet'!K10*'Output-Calculation-sheet'!K127</f>
        <v>4773125822.1583433</v>
      </c>
      <c r="L154" s="2">
        <f>L11/'Output-Calculation-sheet'!L10*'Output-Calculation-sheet'!L127</f>
        <v>3963228347.5280166</v>
      </c>
      <c r="M154" s="2">
        <f>M11/'Output-Calculation-sheet'!M10*'Output-Calculation-sheet'!M127</f>
        <v>8970827044.8080616</v>
      </c>
      <c r="N154" s="2">
        <f>N11/'Output-Calculation-sheet'!N10*'Output-Calculation-sheet'!N127</f>
        <v>7608487624.1374912</v>
      </c>
      <c r="O154" s="2">
        <f>O11/'Output-Calculation-sheet'!O10*'Output-Calculation-sheet'!O127</f>
        <v>10953343762.89225</v>
      </c>
      <c r="P154" s="2">
        <f>P11/'Output-Calculation-sheet'!P10*'Output-Calculation-sheet'!P127</f>
        <v>5361966335.260169</v>
      </c>
      <c r="Q154" s="2">
        <f>Q11/'Output-Calculation-sheet'!Q10*'Output-Calculation-sheet'!Q127</f>
        <v>5272511053.1558275</v>
      </c>
      <c r="R154" s="2">
        <f>R11/'Output-Calculation-sheet'!R10*'Output-Calculation-sheet'!R127</f>
        <v>3970624788.6229262</v>
      </c>
      <c r="S154" s="2">
        <f>S11/'Output-Calculation-sheet'!S10*'Output-Calculation-sheet'!S127</f>
        <v>3992136217.8402829</v>
      </c>
      <c r="T154" s="2">
        <f>T11/'Output-Calculation-sheet'!T10*'Output-Calculation-sheet'!T127</f>
        <v>1058184993.7485626</v>
      </c>
      <c r="U154" s="2">
        <f>U11/'Output-Calculation-sheet'!U10*'Output-Calculation-sheet'!U127</f>
        <v>1366737013.9693925</v>
      </c>
      <c r="V154" s="2">
        <f>V11/'Output-Calculation-sheet'!V10*'Output-Calculation-sheet'!V127</f>
        <v>801267128.30291927</v>
      </c>
      <c r="W154" s="2">
        <f>W11/'Output-Calculation-sheet'!W10*'Output-Calculation-sheet'!W127</f>
        <v>440856342.0737074</v>
      </c>
      <c r="X154" s="2">
        <f>X11/'Output-Calculation-sheet'!X10*'Output-Calculation-sheet'!X127</f>
        <v>1007502869.994108</v>
      </c>
      <c r="Y154" s="2">
        <f>Y11/'Output-Calculation-sheet'!Y10*'Output-Calculation-sheet'!Y127</f>
        <v>484353148.47090977</v>
      </c>
      <c r="AA154" s="2">
        <f t="shared" si="13"/>
        <v>221074.92506697748</v>
      </c>
    </row>
    <row r="155" spans="1:27" x14ac:dyDescent="0.25">
      <c r="A155" s="2">
        <v>2035</v>
      </c>
      <c r="B155" s="2">
        <f>B12/'Output-Calculation-sheet'!B11*'Output-Calculation-sheet'!B128</f>
        <v>63822000818.272194</v>
      </c>
      <c r="C155" s="2">
        <f>C12/'Output-Calculation-sheet'!C11*'Output-Calculation-sheet'!C128</f>
        <v>47309732465.507301</v>
      </c>
      <c r="D155" s="2">
        <f>D12/'Output-Calculation-sheet'!D11*'Output-Calculation-sheet'!D128</f>
        <v>11927292656.381348</v>
      </c>
      <c r="E155" s="2">
        <f>E12/'Output-Calculation-sheet'!E11*'Output-Calculation-sheet'!E128</f>
        <v>13197740792.05579</v>
      </c>
      <c r="F155" s="2">
        <f>F12/'Output-Calculation-sheet'!F11*'Output-Calculation-sheet'!F128</f>
        <v>5692739957.9061918</v>
      </c>
      <c r="G155" s="2">
        <f>G12/'Output-Calculation-sheet'!G11*'Output-Calculation-sheet'!G128</f>
        <v>4358657605.3985205</v>
      </c>
      <c r="H155" s="2">
        <f>H12/'Output-Calculation-sheet'!H11*'Output-Calculation-sheet'!H128</f>
        <v>13502548365.861866</v>
      </c>
      <c r="I155" s="2">
        <f>I12/'Output-Calculation-sheet'!I11*'Output-Calculation-sheet'!I128</f>
        <v>4122223210.3052878</v>
      </c>
      <c r="J155" s="2">
        <f>J12/'Output-Calculation-sheet'!J11*'Output-Calculation-sheet'!J128</f>
        <v>3395490694.2984467</v>
      </c>
      <c r="K155" s="2">
        <f>K12/'Output-Calculation-sheet'!K11*'Output-Calculation-sheet'!K128</f>
        <v>4973535095.0365047</v>
      </c>
      <c r="L155" s="2">
        <f>L12/'Output-Calculation-sheet'!L11*'Output-Calculation-sheet'!L128</f>
        <v>4138198190.8701415</v>
      </c>
      <c r="M155" s="2">
        <f>M12/'Output-Calculation-sheet'!M11*'Output-Calculation-sheet'!M128</f>
        <v>9343244306.8093758</v>
      </c>
      <c r="N155" s="2">
        <f>N12/'Output-Calculation-sheet'!N11*'Output-Calculation-sheet'!N128</f>
        <v>7967100989.0402603</v>
      </c>
      <c r="O155" s="2">
        <f>O12/'Output-Calculation-sheet'!O11*'Output-Calculation-sheet'!O128</f>
        <v>9469557390.0594902</v>
      </c>
      <c r="P155" s="2">
        <f>P12/'Output-Calculation-sheet'!P11*'Output-Calculation-sheet'!P128</f>
        <v>5581148949.1077032</v>
      </c>
      <c r="Q155" s="2">
        <f>Q12/'Output-Calculation-sheet'!Q11*'Output-Calculation-sheet'!Q128</f>
        <v>5460174698.2415133</v>
      </c>
      <c r="R155" s="2">
        <f>R12/'Output-Calculation-sheet'!R11*'Output-Calculation-sheet'!R128</f>
        <v>4133298154.433588</v>
      </c>
      <c r="S155" s="2">
        <f>S12/'Output-Calculation-sheet'!S11*'Output-Calculation-sheet'!S128</f>
        <v>4177394883.9636431</v>
      </c>
      <c r="T155" s="2">
        <f>T12/'Output-Calculation-sheet'!T11*'Output-Calculation-sheet'!T128</f>
        <v>1103608297.2784619</v>
      </c>
      <c r="U155" s="2">
        <f>U12/'Output-Calculation-sheet'!U11*'Output-Calculation-sheet'!U128</f>
        <v>1426523388.9190166</v>
      </c>
      <c r="V155" s="2">
        <f>V12/'Output-Calculation-sheet'!V11*'Output-Calculation-sheet'!V128</f>
        <v>831624328.35527408</v>
      </c>
      <c r="W155" s="2">
        <f>W12/'Output-Calculation-sheet'!W11*'Output-Calculation-sheet'!W128</f>
        <v>459971193.68985814</v>
      </c>
      <c r="X155" s="2">
        <f>X12/'Output-Calculation-sheet'!X11*'Output-Calculation-sheet'!X128</f>
        <v>1047159038.5534474</v>
      </c>
      <c r="Y155" s="2">
        <f>Y12/'Output-Calculation-sheet'!Y11*'Output-Calculation-sheet'!Y128</f>
        <v>505347334.90992272</v>
      </c>
      <c r="AA155" s="2">
        <f t="shared" si="13"/>
        <v>227946.31280525518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2.32697728567511E-10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2107.2787462270362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1443.1603231818408</v>
      </c>
      <c r="N19" s="2">
        <f>N8/'Output-Calculation-sheet'!N7*'Output-Calculation-sheet'!N25</f>
        <v>970.73433180701988</v>
      </c>
      <c r="O19" s="2">
        <f>O8/'Output-Calculation-sheet'!O7*'Output-Calculation-sheet'!O25</f>
        <v>1.2806837142439411E-11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257.48209418132603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136.96058982654435</v>
      </c>
      <c r="Y19" s="2">
        <f>Y8/'Output-Calculation-sheet'!Y7*'Output-Calculation-sheet'!Y25</f>
        <v>0</v>
      </c>
      <c r="AA19" s="2">
        <f t="shared" si="0"/>
        <v>4.9156160852240127</v>
      </c>
    </row>
    <row r="20" spans="1:27" x14ac:dyDescent="0.25">
      <c r="A20" s="2">
        <v>2032</v>
      </c>
      <c r="B20" s="2">
        <f>B9/'Output-Calculation-sheet'!B8*'Output-Calculation-sheet'!B26</f>
        <v>2.3057252151742316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2393.8024648443925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1637.0442437906149</v>
      </c>
      <c r="N20" s="2">
        <f>N9/'Output-Calculation-sheet'!N8*'Output-Calculation-sheet'!N26</f>
        <v>1192.2242969519396</v>
      </c>
      <c r="O20" s="2">
        <f>O9/'Output-Calculation-sheet'!O8*'Output-Calculation-sheet'!O26</f>
        <v>1.2070378569960619E-10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410.18507168289062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157.57167098164132</v>
      </c>
      <c r="Y20" s="2">
        <f>Y9/'Output-Calculation-sheet'!Y8*'Output-Calculation-sheet'!Y26</f>
        <v>0</v>
      </c>
      <c r="AA20" s="2">
        <f t="shared" si="0"/>
        <v>5.7931334734667743</v>
      </c>
    </row>
    <row r="21" spans="1:27" x14ac:dyDescent="0.25">
      <c r="A21" s="2">
        <v>2033</v>
      </c>
      <c r="B21" s="2">
        <f>B10/'Output-Calculation-sheet'!B9*'Output-Calculation-sheet'!B27</f>
        <v>3793.439761848816</v>
      </c>
      <c r="C21" s="2">
        <f>C10/'Output-Calculation-sheet'!C9*'Output-Calculation-sheet'!C27</f>
        <v>5919.5352123259972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2655.8773964179127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1818.0884943367605</v>
      </c>
      <c r="N21" s="2">
        <f>N10/'Output-Calculation-sheet'!N9*'Output-Calculation-sheet'!N27</f>
        <v>1420.524069445325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541.915942731619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175.00041667584938</v>
      </c>
      <c r="Y21" s="2">
        <f>Y10/'Output-Calculation-sheet'!Y9*'Output-Calculation-sheet'!Y27</f>
        <v>0</v>
      </c>
      <c r="AA21" s="2">
        <f t="shared" si="0"/>
        <v>16.324381293782277</v>
      </c>
    </row>
    <row r="22" spans="1:27" x14ac:dyDescent="0.25">
      <c r="A22" s="2">
        <v>2034</v>
      </c>
      <c r="B22" s="2">
        <f>B11/'Output-Calculation-sheet'!B10*'Output-Calculation-sheet'!B28</f>
        <v>6888.8596530142522</v>
      </c>
      <c r="C22" s="2">
        <f>C11/'Output-Calculation-sheet'!C10*'Output-Calculation-sheet'!C28</f>
        <v>6674.2549152353522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2915.9982301259452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1996.317369442703</v>
      </c>
      <c r="N22" s="2">
        <f>N11/'Output-Calculation-sheet'!N10*'Output-Calculation-sheet'!N28</f>
        <v>1600.7961056967986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653.01475579409896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193.41617885062294</v>
      </c>
      <c r="Y22" s="2">
        <f>Y11/'Output-Calculation-sheet'!Y10*'Output-Calculation-sheet'!Y28</f>
        <v>0</v>
      </c>
      <c r="AA22" s="2">
        <f t="shared" si="0"/>
        <v>20.922657208159773</v>
      </c>
    </row>
    <row r="23" spans="1:27" x14ac:dyDescent="0.25">
      <c r="A23" s="2">
        <v>2035</v>
      </c>
      <c r="B23" s="2">
        <f>B12/'Output-Calculation-sheet'!B11*'Output-Calculation-sheet'!B29</f>
        <v>9045.9576015035982</v>
      </c>
      <c r="C23" s="2">
        <f>C12/'Output-Calculation-sheet'!C11*'Output-Calculation-sheet'!C29</f>
        <v>7412.4696512732426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3162.4645437896124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2161.682062896055</v>
      </c>
      <c r="N23" s="2">
        <f>N12/'Output-Calculation-sheet'!N11*'Output-Calculation-sheet'!N29</f>
        <v>1766.9799930217898</v>
      </c>
      <c r="O23" s="2">
        <f>O12/'Output-Calculation-sheet'!O11*'Output-Calculation-sheet'!O29</f>
        <v>1260.289784762756</v>
      </c>
      <c r="P23" s="2">
        <f>P12/'Output-Calculation-sheet'!P11*'Output-Calculation-sheet'!P29</f>
        <v>0</v>
      </c>
      <c r="Q23" s="2">
        <f>Q12/'Output-Calculation-sheet'!Q11*'Output-Calculation-sheet'!Q29</f>
        <v>24.121630406775964</v>
      </c>
      <c r="R23" s="2">
        <f>R12/'Output-Calculation-sheet'!R11*'Output-Calculation-sheet'!R29</f>
        <v>0</v>
      </c>
      <c r="S23" s="2">
        <f>S12/'Output-Calculation-sheet'!S11*'Output-Calculation-sheet'!S29</f>
        <v>775.98433704196282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211.90165762691757</v>
      </c>
      <c r="Y23" s="2">
        <f>Y12/'Output-Calculation-sheet'!Y11*'Output-Calculation-sheet'!Y29</f>
        <v>0</v>
      </c>
      <c r="AA23" s="2">
        <f t="shared" si="0"/>
        <v>25.821851262322706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16562.894292878456</v>
      </c>
      <c r="C30" s="2">
        <f>C8/'Output-Calculation-sheet'!C7*'Output-Calculation-sheet'!C16</f>
        <v>0</v>
      </c>
      <c r="D30" s="2">
        <f>D8/'Output-Calculation-sheet'!D7*'Output-Calculation-sheet'!D16</f>
        <v>5170.3415172833902</v>
      </c>
      <c r="E30" s="2">
        <f>E8/'Output-Calculation-sheet'!E7*'Output-Calculation-sheet'!E16</f>
        <v>5347.8432873475194</v>
      </c>
      <c r="F30" s="2">
        <f>F8/'Output-Calculation-sheet'!F7*'Output-Calculation-sheet'!F16</f>
        <v>2996.0873855877321</v>
      </c>
      <c r="G30" s="2">
        <f>G8/'Output-Calculation-sheet'!G7*'Output-Calculation-sheet'!G16</f>
        <v>1806.9700567412342</v>
      </c>
      <c r="H30" s="2">
        <f>H8/'Output-Calculation-sheet'!H7*'Output-Calculation-sheet'!H16</f>
        <v>0</v>
      </c>
      <c r="I30" s="2">
        <f>I8/'Output-Calculation-sheet'!I7*'Output-Calculation-sheet'!I16</f>
        <v>1828.8479679274576</v>
      </c>
      <c r="J30" s="2">
        <f>J8/'Output-Calculation-sheet'!J7*'Output-Calculation-sheet'!J16</f>
        <v>1669.2790258821142</v>
      </c>
      <c r="K30" s="2">
        <f>K8/'Output-Calculation-sheet'!K7*'Output-Calculation-sheet'!K16</f>
        <v>2064.4599521914547</v>
      </c>
      <c r="L30" s="2">
        <f>L8/'Output-Calculation-sheet'!L7*'Output-Calculation-sheet'!L16</f>
        <v>1703.7204673358747</v>
      </c>
      <c r="M30" s="2">
        <f>M8/'Output-Calculation-sheet'!M7*'Output-Calculation-sheet'!M16</f>
        <v>0</v>
      </c>
      <c r="N30" s="2">
        <f>N8/'Output-Calculation-sheet'!N7*'Output-Calculation-sheet'!N16</f>
        <v>835.93678624345705</v>
      </c>
      <c r="O30" s="2">
        <f>O8/'Output-Calculation-sheet'!O7*'Output-Calculation-sheet'!O16</f>
        <v>0</v>
      </c>
      <c r="P30" s="2">
        <f>P8/'Output-Calculation-sheet'!P7*'Output-Calculation-sheet'!P16</f>
        <v>1357.9538989096895</v>
      </c>
      <c r="Q30" s="2">
        <f>Q8/'Output-Calculation-sheet'!Q7*'Output-Calculation-sheet'!Q16</f>
        <v>1489.4294020592417</v>
      </c>
      <c r="R30" s="2">
        <f>R8/'Output-Calculation-sheet'!R7*'Output-Calculation-sheet'!R16</f>
        <v>1304.9470846713034</v>
      </c>
      <c r="S30" s="2">
        <f>S8/'Output-Calculation-sheet'!S7*'Output-Calculation-sheet'!S16</f>
        <v>696.88706296520195</v>
      </c>
      <c r="T30" s="2">
        <f>T8/'Output-Calculation-sheet'!T7*'Output-Calculation-sheet'!T16</f>
        <v>476.06554963504072</v>
      </c>
      <c r="U30" s="2">
        <f>U8/'Output-Calculation-sheet'!U7*'Output-Calculation-sheet'!U16</f>
        <v>365.88950887611691</v>
      </c>
      <c r="V30" s="2">
        <f>V8/'Output-Calculation-sheet'!V7*'Output-Calculation-sheet'!V16</f>
        <v>350.36978777492368</v>
      </c>
      <c r="W30" s="2">
        <f>W8/'Output-Calculation-sheet'!W7*'Output-Calculation-sheet'!W16</f>
        <v>243.24392748665608</v>
      </c>
      <c r="X30" s="2">
        <f>X8/'Output-Calculation-sheet'!X7*'Output-Calculation-sheet'!X16</f>
        <v>0</v>
      </c>
      <c r="Y30" s="2">
        <f>Y8/'Output-Calculation-sheet'!Y7*'Output-Calculation-sheet'!Y16</f>
        <v>160.80816132329105</v>
      </c>
      <c r="AA30" s="2">
        <f t="shared" si="1"/>
        <v>46.431975123120154</v>
      </c>
    </row>
    <row r="31" spans="1:27" x14ac:dyDescent="0.25">
      <c r="A31" s="2">
        <v>2032</v>
      </c>
      <c r="B31" s="2">
        <f>B9/'Output-Calculation-sheet'!B8*'Output-Calculation-sheet'!B17</f>
        <v>18438.966893077446</v>
      </c>
      <c r="C31" s="2">
        <f>C9/'Output-Calculation-sheet'!C8*'Output-Calculation-sheet'!C17</f>
        <v>0</v>
      </c>
      <c r="D31" s="2">
        <f>D9/'Output-Calculation-sheet'!D8*'Output-Calculation-sheet'!D17</f>
        <v>5716.4377950509106</v>
      </c>
      <c r="E31" s="2">
        <f>E9/'Output-Calculation-sheet'!E8*'Output-Calculation-sheet'!E17</f>
        <v>5920.0295396714209</v>
      </c>
      <c r="F31" s="2">
        <f>F9/'Output-Calculation-sheet'!F8*'Output-Calculation-sheet'!F17</f>
        <v>3307.2955026162463</v>
      </c>
      <c r="G31" s="2">
        <f>G9/'Output-Calculation-sheet'!G8*'Output-Calculation-sheet'!G17</f>
        <v>1993.7680327171081</v>
      </c>
      <c r="H31" s="2">
        <f>H9/'Output-Calculation-sheet'!H8*'Output-Calculation-sheet'!H17</f>
        <v>0</v>
      </c>
      <c r="I31" s="2">
        <f>I9/'Output-Calculation-sheet'!I8*'Output-Calculation-sheet'!I17</f>
        <v>2021.4284200503112</v>
      </c>
      <c r="J31" s="2">
        <f>J9/'Output-Calculation-sheet'!J8*'Output-Calculation-sheet'!J17</f>
        <v>1843.6792333211915</v>
      </c>
      <c r="K31" s="2">
        <f>K9/'Output-Calculation-sheet'!K8*'Output-Calculation-sheet'!K17</f>
        <v>2283.731176095343</v>
      </c>
      <c r="L31" s="2">
        <f>L9/'Output-Calculation-sheet'!L8*'Output-Calculation-sheet'!L17</f>
        <v>1885.1857254776364</v>
      </c>
      <c r="M31" s="2">
        <f>M9/'Output-Calculation-sheet'!M8*'Output-Calculation-sheet'!M17</f>
        <v>0</v>
      </c>
      <c r="N31" s="2">
        <f>N9/'Output-Calculation-sheet'!N8*'Output-Calculation-sheet'!N17</f>
        <v>833.90608051541437</v>
      </c>
      <c r="O31" s="2">
        <f>O9/'Output-Calculation-sheet'!O8*'Output-Calculation-sheet'!O17</f>
        <v>0</v>
      </c>
      <c r="P31" s="2">
        <f>P9/'Output-Calculation-sheet'!P8*'Output-Calculation-sheet'!P17</f>
        <v>1516.5896347462433</v>
      </c>
      <c r="Q31" s="2">
        <f>Q9/'Output-Calculation-sheet'!Q8*'Output-Calculation-sheet'!Q17</f>
        <v>1662.0362610061095</v>
      </c>
      <c r="R31" s="2">
        <f>R9/'Output-Calculation-sheet'!R8*'Output-Calculation-sheet'!R17</f>
        <v>1443.0680830571214</v>
      </c>
      <c r="S31" s="2">
        <f>S9/'Output-Calculation-sheet'!S8*'Output-Calculation-sheet'!S17</f>
        <v>720.01691239642696</v>
      </c>
      <c r="T31" s="2">
        <f>T9/'Output-Calculation-sheet'!T8*'Output-Calculation-sheet'!T17</f>
        <v>525.86594550546715</v>
      </c>
      <c r="U31" s="2">
        <f>U9/'Output-Calculation-sheet'!U8*'Output-Calculation-sheet'!U17</f>
        <v>405.57405343711719</v>
      </c>
      <c r="V31" s="2">
        <f>V9/'Output-Calculation-sheet'!V8*'Output-Calculation-sheet'!V17</f>
        <v>388.65893531995931</v>
      </c>
      <c r="W31" s="2">
        <f>W9/'Output-Calculation-sheet'!W8*'Output-Calculation-sheet'!W17</f>
        <v>269.13214480399893</v>
      </c>
      <c r="X31" s="2">
        <f>X9/'Output-Calculation-sheet'!X8*'Output-Calculation-sheet'!X17</f>
        <v>0</v>
      </c>
      <c r="Y31" s="2">
        <f>Y9/'Output-Calculation-sheet'!Y8*'Output-Calculation-sheet'!Y17</f>
        <v>177.92245295690344</v>
      </c>
      <c r="AA31" s="2">
        <f t="shared" si="1"/>
        <v>51.353292821822372</v>
      </c>
    </row>
    <row r="32" spans="1:27" x14ac:dyDescent="0.25">
      <c r="A32" s="2">
        <v>2033</v>
      </c>
      <c r="B32" s="2">
        <f>B10/'Output-Calculation-sheet'!B9*'Output-Calculation-sheet'!B18</f>
        <v>18512.615523873348</v>
      </c>
      <c r="C32" s="2">
        <f>C10/'Output-Calculation-sheet'!C9*'Output-Calculation-sheet'!C18</f>
        <v>0</v>
      </c>
      <c r="D32" s="2">
        <f>D10/'Output-Calculation-sheet'!D9*'Output-Calculation-sheet'!D18</f>
        <v>6180.2958195100291</v>
      </c>
      <c r="E32" s="2">
        <f>E10/'Output-Calculation-sheet'!E9*'Output-Calculation-sheet'!E18</f>
        <v>6399.8786596758773</v>
      </c>
      <c r="F32" s="2">
        <f>F10/'Output-Calculation-sheet'!F9*'Output-Calculation-sheet'!F18</f>
        <v>3574.7363977480336</v>
      </c>
      <c r="G32" s="2">
        <f>G10/'Output-Calculation-sheet'!G9*'Output-Calculation-sheet'!G18</f>
        <v>2155.9815391174425</v>
      </c>
      <c r="H32" s="2">
        <f>H10/'Output-Calculation-sheet'!H9*'Output-Calculation-sheet'!H18</f>
        <v>0</v>
      </c>
      <c r="I32" s="2">
        <f>I10/'Output-Calculation-sheet'!I9*'Output-Calculation-sheet'!I18</f>
        <v>2185.6654911788255</v>
      </c>
      <c r="J32" s="2">
        <f>J10/'Output-Calculation-sheet'!J9*'Output-Calculation-sheet'!J18</f>
        <v>1993.4256047310364</v>
      </c>
      <c r="K32" s="2">
        <f>K10/'Output-Calculation-sheet'!K9*'Output-Calculation-sheet'!K18</f>
        <v>2474.8693976337149</v>
      </c>
      <c r="L32" s="2">
        <f>L10/'Output-Calculation-sheet'!L9*'Output-Calculation-sheet'!L18</f>
        <v>2039.6285854513501</v>
      </c>
      <c r="M32" s="2">
        <f>M10/'Output-Calculation-sheet'!M9*'Output-Calculation-sheet'!M18</f>
        <v>0</v>
      </c>
      <c r="N32" s="2">
        <f>N10/'Output-Calculation-sheet'!N9*'Output-Calculation-sheet'!N18</f>
        <v>807.31624995832487</v>
      </c>
      <c r="O32" s="2">
        <f>O10/'Output-Calculation-sheet'!O9*'Output-Calculation-sheet'!O18</f>
        <v>0</v>
      </c>
      <c r="P32" s="2">
        <f>P10/'Output-Calculation-sheet'!P9*'Output-Calculation-sheet'!P18</f>
        <v>1651.793993817678</v>
      </c>
      <c r="Q32" s="2">
        <f>Q10/'Output-Calculation-sheet'!Q9*'Output-Calculation-sheet'!Q18</f>
        <v>1811.5788637537785</v>
      </c>
      <c r="R32" s="2">
        <f>R10/'Output-Calculation-sheet'!R9*'Output-Calculation-sheet'!R18</f>
        <v>1564.7586417155128</v>
      </c>
      <c r="S32" s="2">
        <f>S10/'Output-Calculation-sheet'!S9*'Output-Calculation-sheet'!S18</f>
        <v>728.33931256832443</v>
      </c>
      <c r="T32" s="2">
        <f>T10/'Output-Calculation-sheet'!T9*'Output-Calculation-sheet'!T18</f>
        <v>569.17050436260206</v>
      </c>
      <c r="U32" s="2">
        <f>U10/'Output-Calculation-sheet'!U9*'Output-Calculation-sheet'!U18</f>
        <v>438.96062231263346</v>
      </c>
      <c r="V32" s="2">
        <f>V10/'Output-Calculation-sheet'!V9*'Output-Calculation-sheet'!V18</f>
        <v>421.10527513539893</v>
      </c>
      <c r="W32" s="2">
        <f>W10/'Output-Calculation-sheet'!W9*'Output-Calculation-sheet'!W18</f>
        <v>290.57766533178932</v>
      </c>
      <c r="X32" s="2">
        <f>X10/'Output-Calculation-sheet'!X9*'Output-Calculation-sheet'!X18</f>
        <v>0</v>
      </c>
      <c r="Y32" s="2">
        <f>Y10/'Output-Calculation-sheet'!Y9*'Output-Calculation-sheet'!Y18</f>
        <v>192.66629178365886</v>
      </c>
      <c r="AA32" s="2">
        <f t="shared" si="1"/>
        <v>53.993364439659345</v>
      </c>
    </row>
    <row r="33" spans="1:27" x14ac:dyDescent="0.25">
      <c r="A33" s="2">
        <v>2034</v>
      </c>
      <c r="B33" s="2">
        <f>B11/'Output-Calculation-sheet'!B10*'Output-Calculation-sheet'!B19</f>
        <v>18640.243712975007</v>
      </c>
      <c r="C33" s="2">
        <f>C11/'Output-Calculation-sheet'!C10*'Output-Calculation-sheet'!C19</f>
        <v>0</v>
      </c>
      <c r="D33" s="2">
        <f>D11/'Output-Calculation-sheet'!D10*'Output-Calculation-sheet'!D19</f>
        <v>6590.8033947296135</v>
      </c>
      <c r="E33" s="2">
        <f>E11/'Output-Calculation-sheet'!E10*'Output-Calculation-sheet'!E19</f>
        <v>6841.0856625722372</v>
      </c>
      <c r="F33" s="2">
        <f>F11/'Output-Calculation-sheet'!F10*'Output-Calculation-sheet'!F19</f>
        <v>3814.1207446499729</v>
      </c>
      <c r="G33" s="2">
        <f>G11/'Output-Calculation-sheet'!G10*'Output-Calculation-sheet'!G19</f>
        <v>2296.7541327408458</v>
      </c>
      <c r="H33" s="2">
        <f>H11/'Output-Calculation-sheet'!H10*'Output-Calculation-sheet'!H19</f>
        <v>0</v>
      </c>
      <c r="I33" s="2">
        <f>I11/'Output-Calculation-sheet'!I10*'Output-Calculation-sheet'!I19</f>
        <v>2339.2612390291961</v>
      </c>
      <c r="J33" s="2">
        <f>J11/'Output-Calculation-sheet'!J10*'Output-Calculation-sheet'!J19</f>
        <v>2125.9665641060874</v>
      </c>
      <c r="K33" s="2">
        <f>K11/'Output-Calculation-sheet'!K10*'Output-Calculation-sheet'!K19</f>
        <v>2648.0484573989529</v>
      </c>
      <c r="L33" s="2">
        <f>L11/'Output-Calculation-sheet'!L10*'Output-Calculation-sheet'!L19</f>
        <v>2177.9895549712228</v>
      </c>
      <c r="M33" s="2">
        <f>M11/'Output-Calculation-sheet'!M10*'Output-Calculation-sheet'!M19</f>
        <v>0</v>
      </c>
      <c r="N33" s="2">
        <f>N11/'Output-Calculation-sheet'!N10*'Output-Calculation-sheet'!N19</f>
        <v>807.12522035596169</v>
      </c>
      <c r="O33" s="2">
        <f>O11/'Output-Calculation-sheet'!O10*'Output-Calculation-sheet'!O19</f>
        <v>0</v>
      </c>
      <c r="P33" s="2">
        <f>P11/'Output-Calculation-sheet'!P10*'Output-Calculation-sheet'!P19</f>
        <v>1775.2790557459302</v>
      </c>
      <c r="Q33" s="2">
        <f>Q11/'Output-Calculation-sheet'!Q10*'Output-Calculation-sheet'!Q19</f>
        <v>1950.3209063014965</v>
      </c>
      <c r="R33" s="2">
        <f>R11/'Output-Calculation-sheet'!R10*'Output-Calculation-sheet'!R19</f>
        <v>1673.678882939495</v>
      </c>
      <c r="S33" s="2">
        <f>S11/'Output-Calculation-sheet'!S10*'Output-Calculation-sheet'!S19</f>
        <v>771.92946308312196</v>
      </c>
      <c r="T33" s="2">
        <f>T11/'Output-Calculation-sheet'!T10*'Output-Calculation-sheet'!T19</f>
        <v>608.22911767111873</v>
      </c>
      <c r="U33" s="2">
        <f>U11/'Output-Calculation-sheet'!U10*'Output-Calculation-sheet'!U19</f>
        <v>470.66558575862393</v>
      </c>
      <c r="V33" s="2">
        <f>V11/'Output-Calculation-sheet'!V10*'Output-Calculation-sheet'!V19</f>
        <v>451.20862308688817</v>
      </c>
      <c r="W33" s="2">
        <f>W11/'Output-Calculation-sheet'!W10*'Output-Calculation-sheet'!W19</f>
        <v>310.00090493014841</v>
      </c>
      <c r="X33" s="2">
        <f>X11/'Output-Calculation-sheet'!X10*'Output-Calculation-sheet'!X19</f>
        <v>0</v>
      </c>
      <c r="Y33" s="2">
        <f>Y11/'Output-Calculation-sheet'!Y10*'Output-Calculation-sheet'!Y19</f>
        <v>205.82844708671232</v>
      </c>
      <c r="AA33" s="2">
        <f t="shared" si="1"/>
        <v>56.498539670132629</v>
      </c>
    </row>
    <row r="34" spans="1:27" x14ac:dyDescent="0.25">
      <c r="A34" s="2">
        <v>2035</v>
      </c>
      <c r="B34" s="2">
        <f>B12/'Output-Calculation-sheet'!B11*'Output-Calculation-sheet'!B20</f>
        <v>18908.255872856298</v>
      </c>
      <c r="C34" s="2">
        <f>C12/'Output-Calculation-sheet'!C11*'Output-Calculation-sheet'!C20</f>
        <v>0</v>
      </c>
      <c r="D34" s="2">
        <f>D12/'Output-Calculation-sheet'!D11*'Output-Calculation-sheet'!D20</f>
        <v>6992.823747368775</v>
      </c>
      <c r="E34" s="2">
        <f>E12/'Output-Calculation-sheet'!E11*'Output-Calculation-sheet'!E20</f>
        <v>7255.3574711158444</v>
      </c>
      <c r="F34" s="2">
        <f>F12/'Output-Calculation-sheet'!F11*'Output-Calculation-sheet'!F20</f>
        <v>4039.2181570775078</v>
      </c>
      <c r="G34" s="2">
        <f>G12/'Output-Calculation-sheet'!G11*'Output-Calculation-sheet'!G20</f>
        <v>2426.9440564522733</v>
      </c>
      <c r="H34" s="2">
        <f>H12/'Output-Calculation-sheet'!H11*'Output-Calculation-sheet'!H20</f>
        <v>0</v>
      </c>
      <c r="I34" s="2">
        <f>I12/'Output-Calculation-sheet'!I11*'Output-Calculation-sheet'!I20</f>
        <v>2478.8361268588201</v>
      </c>
      <c r="J34" s="2">
        <f>J12/'Output-Calculation-sheet'!J11*'Output-Calculation-sheet'!J20</f>
        <v>2245.0059669687512</v>
      </c>
      <c r="K34" s="2">
        <f>K12/'Output-Calculation-sheet'!K11*'Output-Calculation-sheet'!K20</f>
        <v>2808.3814488566841</v>
      </c>
      <c r="L34" s="2">
        <f>L12/'Output-Calculation-sheet'!L11*'Output-Calculation-sheet'!L20</f>
        <v>2305.8609958825127</v>
      </c>
      <c r="M34" s="2">
        <f>M12/'Output-Calculation-sheet'!M11*'Output-Calculation-sheet'!M20</f>
        <v>0</v>
      </c>
      <c r="N34" s="2">
        <f>N12/'Output-Calculation-sheet'!N11*'Output-Calculation-sheet'!N20</f>
        <v>811.22340874435292</v>
      </c>
      <c r="O34" s="2">
        <f>O12/'Output-Calculation-sheet'!O11*'Output-Calculation-sheet'!O20</f>
        <v>0</v>
      </c>
      <c r="P34" s="2">
        <f>P12/'Output-Calculation-sheet'!P11*'Output-Calculation-sheet'!P20</f>
        <v>1893.462298033658</v>
      </c>
      <c r="Q34" s="2">
        <f>Q12/'Output-Calculation-sheet'!Q11*'Output-Calculation-sheet'!Q20</f>
        <v>2076.2684782308193</v>
      </c>
      <c r="R34" s="2">
        <f>R12/'Output-Calculation-sheet'!R11*'Output-Calculation-sheet'!R20</f>
        <v>1780.4043207419718</v>
      </c>
      <c r="S34" s="2">
        <f>S12/'Output-Calculation-sheet'!S11*'Output-Calculation-sheet'!S20</f>
        <v>765.65978913811455</v>
      </c>
      <c r="T34" s="2">
        <f>T12/'Output-Calculation-sheet'!T11*'Output-Calculation-sheet'!T20</f>
        <v>644.43811067999434</v>
      </c>
      <c r="U34" s="2">
        <f>U12/'Output-Calculation-sheet'!U11*'Output-Calculation-sheet'!U20</f>
        <v>499.8794160497913</v>
      </c>
      <c r="V34" s="2">
        <f>V12/'Output-Calculation-sheet'!V11*'Output-Calculation-sheet'!V20</f>
        <v>480.06610397470916</v>
      </c>
      <c r="W34" s="2">
        <f>W12/'Output-Calculation-sheet'!W11*'Output-Calculation-sheet'!W20</f>
        <v>328.05152285580806</v>
      </c>
      <c r="X34" s="2">
        <f>X12/'Output-Calculation-sheet'!X11*'Output-Calculation-sheet'!X20</f>
        <v>0</v>
      </c>
      <c r="Y34" s="2">
        <f>Y12/'Output-Calculation-sheet'!Y11*'Output-Calculation-sheet'!Y20</f>
        <v>218.38259825622367</v>
      </c>
      <c r="AA34" s="2">
        <f t="shared" si="1"/>
        <v>58.95851989014291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5.1651481654329459</v>
      </c>
      <c r="C63" s="2">
        <f>C8*'Output-Calculation-sheet'!C52/10^9</f>
        <v>2.4853558601741472</v>
      </c>
      <c r="D63" s="2">
        <f>D8*'Output-Calculation-sheet'!D52/10^9</f>
        <v>1.1303897597157604</v>
      </c>
      <c r="E63" s="2">
        <f>E8*'Output-Calculation-sheet'!E52/10^9</f>
        <v>1.2577500489839248</v>
      </c>
      <c r="F63" s="2">
        <f>F8*'Output-Calculation-sheet'!F52/10^9</f>
        <v>0.58094325995137297</v>
      </c>
      <c r="G63" s="2">
        <f>G8*'Output-Calculation-sheet'!G52/10^9</f>
        <v>0.40155191535376322</v>
      </c>
      <c r="H63" s="2">
        <f>H8*'Output-Calculation-sheet'!H52/10^9</f>
        <v>0.75718868706352227</v>
      </c>
      <c r="I63" s="2">
        <f>I8*'Output-Calculation-sheet'!I52/10^9</f>
        <v>0.39624410193517767</v>
      </c>
      <c r="J63" s="2">
        <f>J8*'Output-Calculation-sheet'!J52/10^9</f>
        <v>0.3576833317021062</v>
      </c>
      <c r="K63" s="2">
        <f>K8*'Output-Calculation-sheet'!K52/10^9</f>
        <v>0.46165174606122183</v>
      </c>
      <c r="L63" s="2">
        <f>L8*'Output-Calculation-sheet'!L52/10^9</f>
        <v>0.38136621996173026</v>
      </c>
      <c r="M63" s="2">
        <f>M8*'Output-Calculation-sheet'!M52/10^9</f>
        <v>0.52312803771207417</v>
      </c>
      <c r="N63" s="2">
        <f>N8*'Output-Calculation-sheet'!N52/10^9</f>
        <v>0.54677290555030633</v>
      </c>
      <c r="O63" s="2">
        <f>O8*'Output-Calculation-sheet'!O52/10^9</f>
        <v>0.48291030737327056</v>
      </c>
      <c r="P63" s="2">
        <f>P8*'Output-Calculation-sheet'!P52/10^9</f>
        <v>0.40477557479615123</v>
      </c>
      <c r="Q63" s="2">
        <f>Q8*'Output-Calculation-sheet'!Q52/10^9</f>
        <v>0.41742872530852992</v>
      </c>
      <c r="R63" s="2">
        <f>R8*'Output-Calculation-sheet'!R52/10^9</f>
        <v>0.33383519707291742</v>
      </c>
      <c r="S63" s="2">
        <f>S8*'Output-Calculation-sheet'!S52/10^9</f>
        <v>0.30773758290667169</v>
      </c>
      <c r="T63" s="2">
        <f>T8*'Output-Calculation-sheet'!T52/10^9</f>
        <v>0.10435797538668851</v>
      </c>
      <c r="U63" s="2">
        <f>U8*'Output-Calculation-sheet'!U52/10^9</f>
        <v>0.10490559378498397</v>
      </c>
      <c r="V63" s="2">
        <f>V8*'Output-Calculation-sheet'!V52/10^9</f>
        <v>7.8129489748269013E-2</v>
      </c>
      <c r="W63" s="2">
        <f>W8*'Output-Calculation-sheet'!W52/10^9</f>
        <v>4.8848435324060989E-2</v>
      </c>
      <c r="X63" s="2">
        <f>X8*'Output-Calculation-sheet'!X52/10^9</f>
        <v>6.2209295969710837E-2</v>
      </c>
      <c r="Y63" s="2">
        <f>Y8*'Output-Calculation-sheet'!Y52/10^9</f>
        <v>4.0881434918529996E-2</v>
      </c>
      <c r="AA63" s="2">
        <f t="shared" si="4"/>
        <v>16.831193652187832</v>
      </c>
    </row>
    <row r="64" spans="1:27" x14ac:dyDescent="0.25">
      <c r="A64" s="2">
        <v>2032</v>
      </c>
      <c r="B64" s="2">
        <f>B9*'Output-Calculation-sheet'!B53/10^9</f>
        <v>5.6598184159091511</v>
      </c>
      <c r="C64" s="2">
        <f>C9*'Output-Calculation-sheet'!C53/10^9</f>
        <v>2.7331204204779636</v>
      </c>
      <c r="D64" s="2">
        <f>D9*'Output-Calculation-sheet'!D53/10^9</f>
        <v>1.2367760517467721</v>
      </c>
      <c r="E64" s="2">
        <f>E9*'Output-Calculation-sheet'!E53/10^9</f>
        <v>1.3766159691728843</v>
      </c>
      <c r="F64" s="2">
        <f>F9*'Output-Calculation-sheet'!F53/10^9</f>
        <v>0.63521020262608607</v>
      </c>
      <c r="G64" s="2">
        <f>G9*'Output-Calculation-sheet'!G53/10^9</f>
        <v>0.43938379338742622</v>
      </c>
      <c r="H64" s="2">
        <f>H9*'Output-Calculation-sheet'!H53/10^9</f>
        <v>0.82497181559588662</v>
      </c>
      <c r="I64" s="2">
        <f>I9*'Output-Calculation-sheet'!I53/10^9</f>
        <v>0.43351764090997846</v>
      </c>
      <c r="J64" s="2">
        <f>J9*'Output-Calculation-sheet'!J53/10^9</f>
        <v>0.39130694212681416</v>
      </c>
      <c r="K64" s="2">
        <f>K9*'Output-Calculation-sheet'!K53/10^9</f>
        <v>0.50515960106927926</v>
      </c>
      <c r="L64" s="2">
        <f>L9*'Output-Calculation-sheet'!L53/10^9</f>
        <v>0.41730867865604648</v>
      </c>
      <c r="M64" s="2">
        <f>M9*'Output-Calculation-sheet'!M53/10^9</f>
        <v>0.56998593509404505</v>
      </c>
      <c r="N64" s="2">
        <f>N9*'Output-Calculation-sheet'!N53/10^9</f>
        <v>0.5965147943653365</v>
      </c>
      <c r="O64" s="2">
        <f>O9*'Output-Calculation-sheet'!O53/10^9</f>
        <v>0.53105152605739714</v>
      </c>
      <c r="P64" s="2">
        <f>P9*'Output-Calculation-sheet'!P53/10^9</f>
        <v>0.44346329570297854</v>
      </c>
      <c r="Q64" s="2">
        <f>Q9*'Output-Calculation-sheet'!Q53/10^9</f>
        <v>0.45721826658733555</v>
      </c>
      <c r="R64" s="2">
        <f>R9*'Output-Calculation-sheet'!R53/10^9</f>
        <v>0.36552554622153993</v>
      </c>
      <c r="S64" s="2">
        <f>S9*'Output-Calculation-sheet'!S53/10^9</f>
        <v>0.33638663989742201</v>
      </c>
      <c r="T64" s="2">
        <f>T9*'Output-Calculation-sheet'!T53/10^9</f>
        <v>0.11418185313023421</v>
      </c>
      <c r="U64" s="2">
        <f>U9*'Output-Calculation-sheet'!U53/10^9</f>
        <v>0.1149176245470402</v>
      </c>
      <c r="V64" s="2">
        <f>V9*'Output-Calculation-sheet'!V53/10^9</f>
        <v>8.5490844436190011E-2</v>
      </c>
      <c r="W64" s="2">
        <f>W9*'Output-Calculation-sheet'!W53/10^9</f>
        <v>5.3421880988797209E-2</v>
      </c>
      <c r="X64" s="2">
        <f>X9*'Output-Calculation-sheet'!X53/10^9</f>
        <v>6.784692988185656E-2</v>
      </c>
      <c r="Y64" s="2">
        <f>Y9*'Output-Calculation-sheet'!Y53/10^9</f>
        <v>4.4760883621802083E-2</v>
      </c>
      <c r="AA64" s="2">
        <f t="shared" si="4"/>
        <v>18.433955552210268</v>
      </c>
    </row>
    <row r="65" spans="1:27" x14ac:dyDescent="0.25">
      <c r="A65" s="2">
        <v>2033</v>
      </c>
      <c r="B65" s="2">
        <f>B10*'Output-Calculation-sheet'!B54/10^9</f>
        <v>6.0611437502201815</v>
      </c>
      <c r="C65" s="2">
        <f>C10*'Output-Calculation-sheet'!C54/10^9</f>
        <v>2.934138226121199</v>
      </c>
      <c r="D65" s="2">
        <f>D10*'Output-Calculation-sheet'!D54/10^9</f>
        <v>1.323837475145375</v>
      </c>
      <c r="E65" s="2">
        <f>E10*'Output-Calculation-sheet'!E54/10^9</f>
        <v>1.474051017096361</v>
      </c>
      <c r="F65" s="2">
        <f>F10*'Output-Calculation-sheet'!F54/10^9</f>
        <v>0.67948355522945902</v>
      </c>
      <c r="G65" s="2">
        <f>G10*'Output-Calculation-sheet'!G54/10^9</f>
        <v>0.47035869041960549</v>
      </c>
      <c r="H65" s="2">
        <f>H10*'Output-Calculation-sheet'!H54/10^9</f>
        <v>0.87904310498565008</v>
      </c>
      <c r="I65" s="2">
        <f>I10*'Output-Calculation-sheet'!I54/10^9</f>
        <v>0.46401485614953775</v>
      </c>
      <c r="J65" s="2">
        <f>J10*'Output-Calculation-sheet'!J54/10^9</f>
        <v>0.41881042108937516</v>
      </c>
      <c r="K65" s="2">
        <f>K10*'Output-Calculation-sheet'!K54/10^9</f>
        <v>0.54077821421353445</v>
      </c>
      <c r="L65" s="2">
        <f>L10*'Output-Calculation-sheet'!L54/10^9</f>
        <v>0.44673636241143855</v>
      </c>
      <c r="M65" s="2">
        <f>M10*'Output-Calculation-sheet'!M54/10^9</f>
        <v>0.60737089462824367</v>
      </c>
      <c r="N65" s="2">
        <f>N10*'Output-Calculation-sheet'!N54/10^9</f>
        <v>0.63631301266337292</v>
      </c>
      <c r="O65" s="2">
        <f>O10*'Output-Calculation-sheet'!O54/10^9</f>
        <v>0.5713591308839906</v>
      </c>
      <c r="P65" s="2">
        <f>P10*'Output-Calculation-sheet'!P54/10^9</f>
        <v>0.4753100688549195</v>
      </c>
      <c r="Q65" s="2">
        <f>Q10*'Output-Calculation-sheet'!Q54/10^9</f>
        <v>0.48993361957276221</v>
      </c>
      <c r="R65" s="2">
        <f>R10*'Output-Calculation-sheet'!R54/10^9</f>
        <v>0.39154686629298008</v>
      </c>
      <c r="S65" s="2">
        <f>S10*'Output-Calculation-sheet'!S54/10^9</f>
        <v>0.35941144012572157</v>
      </c>
      <c r="T65" s="2">
        <f>T10*'Output-Calculation-sheet'!T54/10^9</f>
        <v>0.12222120742223604</v>
      </c>
      <c r="U65" s="2">
        <f>U10*'Output-Calculation-sheet'!U54/10^9</f>
        <v>0.1231563828425324</v>
      </c>
      <c r="V65" s="2">
        <f>V10*'Output-Calculation-sheet'!V54/10^9</f>
        <v>9.1516178855669872E-2</v>
      </c>
      <c r="W65" s="2">
        <f>W10*'Output-Calculation-sheet'!W54/10^9</f>
        <v>5.7156260355725637E-2</v>
      </c>
      <c r="X65" s="2">
        <f>X10*'Output-Calculation-sheet'!X54/10^9</f>
        <v>7.2364113626565044E-2</v>
      </c>
      <c r="Y65" s="2">
        <f>Y10*'Output-Calculation-sheet'!Y54/10^9</f>
        <v>4.7946176737097203E-2</v>
      </c>
      <c r="AA65" s="2">
        <f t="shared" si="4"/>
        <v>19.738001025943532</v>
      </c>
    </row>
    <row r="66" spans="1:27" x14ac:dyDescent="0.25">
      <c r="A66" s="2">
        <v>2034</v>
      </c>
      <c r="B66" s="2">
        <f>B11*'Output-Calculation-sheet'!B55/10^9</f>
        <v>6.4002133535449923</v>
      </c>
      <c r="C66" s="2">
        <f>C11*'Output-Calculation-sheet'!C55/10^9</f>
        <v>3.0922370542174313</v>
      </c>
      <c r="D66" s="2">
        <f>D11*'Output-Calculation-sheet'!D55/10^9</f>
        <v>1.3994308632941774</v>
      </c>
      <c r="E66" s="2">
        <f>E11*'Output-Calculation-sheet'!E55/10^9</f>
        <v>1.5587797695278751</v>
      </c>
      <c r="F66" s="2">
        <f>F11*'Output-Calculation-sheet'!F55/10^9</f>
        <v>0.7178084217968963</v>
      </c>
      <c r="G66" s="2">
        <f>G11*'Output-Calculation-sheet'!G55/10^9</f>
        <v>0.49726463210085148</v>
      </c>
      <c r="H66" s="2">
        <f>H11*'Output-Calculation-sheet'!H55/10^9</f>
        <v>0.92469465443639964</v>
      </c>
      <c r="I66" s="2">
        <f>I11*'Output-Calculation-sheet'!I55/10^9</f>
        <v>0.49048438928568583</v>
      </c>
      <c r="J66" s="2">
        <f>J11*'Output-Calculation-sheet'!J55/10^9</f>
        <v>0.44268078013811862</v>
      </c>
      <c r="K66" s="2">
        <f>K11*'Output-Calculation-sheet'!K55/10^9</f>
        <v>0.57171074475214989</v>
      </c>
      <c r="L66" s="2">
        <f>L11*'Output-Calculation-sheet'!L55/10^9</f>
        <v>0.47229703218105401</v>
      </c>
      <c r="M66" s="2">
        <f>M11*'Output-Calculation-sheet'!M55/10^9</f>
        <v>0.63894156845630889</v>
      </c>
      <c r="N66" s="2">
        <f>N11*'Output-Calculation-sheet'!N55/10^9</f>
        <v>0.66998384114393428</v>
      </c>
      <c r="O66" s="2">
        <f>O11*'Output-Calculation-sheet'!O55/10^9</f>
        <v>0.60712128465235782</v>
      </c>
      <c r="P66" s="2">
        <f>P11*'Output-Calculation-sheet'!P55/10^9</f>
        <v>0.5031120014536361</v>
      </c>
      <c r="Q66" s="2">
        <f>Q11*'Output-Calculation-sheet'!Q55/10^9</f>
        <v>0.51845912520291482</v>
      </c>
      <c r="R66" s="2">
        <f>R11*'Output-Calculation-sheet'!R55/10^9</f>
        <v>0.41421092134317911</v>
      </c>
      <c r="S66" s="2">
        <f>S11*'Output-Calculation-sheet'!S55/10^9</f>
        <v>0.37895199806667673</v>
      </c>
      <c r="T66" s="2">
        <f>T11*'Output-Calculation-sheet'!T55/10^9</f>
        <v>0.12920098910362895</v>
      </c>
      <c r="U66" s="2">
        <f>U11*'Output-Calculation-sheet'!U55/10^9</f>
        <v>0.13034725333839248</v>
      </c>
      <c r="V66" s="2">
        <f>V11*'Output-Calculation-sheet'!V55/10^9</f>
        <v>9.6748075270338935E-2</v>
      </c>
      <c r="W66" s="2">
        <f>W11*'Output-Calculation-sheet'!W55/10^9</f>
        <v>6.0392073676158023E-2</v>
      </c>
      <c r="X66" s="2">
        <f>X11*'Output-Calculation-sheet'!X55/10^9</f>
        <v>7.6197907320037908E-2</v>
      </c>
      <c r="Y66" s="2">
        <f>Y11*'Output-Calculation-sheet'!Y55/10^9</f>
        <v>5.0720448984700815E-2</v>
      </c>
      <c r="AA66" s="2">
        <f t="shared" si="4"/>
        <v>20.8419891832879</v>
      </c>
    </row>
    <row r="67" spans="1:27" x14ac:dyDescent="0.25">
      <c r="A67" s="2">
        <v>2035</v>
      </c>
      <c r="B67" s="2">
        <f>B12*'Output-Calculation-sheet'!B56/10^9</f>
        <v>6.6963755623239116</v>
      </c>
      <c r="C67" s="2">
        <f>C12*'Output-Calculation-sheet'!C56/10^9</f>
        <v>3.2308498261993512</v>
      </c>
      <c r="D67" s="2">
        <f>D12*'Output-Calculation-sheet'!D56/10^9</f>
        <v>1.4673270075373892</v>
      </c>
      <c r="E67" s="2">
        <f>E12*'Output-Calculation-sheet'!E56/10^9</f>
        <v>1.634990046975106</v>
      </c>
      <c r="F67" s="2">
        <f>F12*'Output-Calculation-sheet'!F56/10^9</f>
        <v>0.75212964818545247</v>
      </c>
      <c r="G67" s="2">
        <f>G12*'Output-Calculation-sheet'!G56/10^9</f>
        <v>0.52144881576589652</v>
      </c>
      <c r="H67" s="2">
        <f>H12*'Output-Calculation-sheet'!H56/10^9</f>
        <v>0.96446945566254405</v>
      </c>
      <c r="I67" s="2">
        <f>I12*'Output-Calculation-sheet'!I56/10^9</f>
        <v>0.51425023962151595</v>
      </c>
      <c r="J67" s="2">
        <f>J12*'Output-Calculation-sheet'!J56/10^9</f>
        <v>0.46411598574912133</v>
      </c>
      <c r="K67" s="2">
        <f>K12*'Output-Calculation-sheet'!K56/10^9</f>
        <v>0.59950172915884037</v>
      </c>
      <c r="L67" s="2">
        <f>L12*'Output-Calculation-sheet'!L56/10^9</f>
        <v>0.49526801783567487</v>
      </c>
      <c r="M67" s="2">
        <f>M12*'Output-Calculation-sheet'!M56/10^9</f>
        <v>0.66645398417345014</v>
      </c>
      <c r="N67" s="2">
        <f>N12*'Output-Calculation-sheet'!N56/10^9</f>
        <v>0.69945104608154407</v>
      </c>
      <c r="O67" s="2">
        <f>O12*'Output-Calculation-sheet'!O56/10^9</f>
        <v>0.63620511869875906</v>
      </c>
      <c r="P67" s="2">
        <f>P12*'Output-Calculation-sheet'!P56/10^9</f>
        <v>0.52821005557708056</v>
      </c>
      <c r="Q67" s="2">
        <f>Q12*'Output-Calculation-sheet'!Q56/10^9</f>
        <v>0.54416738479373916</v>
      </c>
      <c r="R67" s="2">
        <f>R12*'Output-Calculation-sheet'!R56/10^9</f>
        <v>0.43462689265010307</v>
      </c>
      <c r="S67" s="2">
        <f>S12*'Output-Calculation-sheet'!S56/10^9</f>
        <v>0.39606850038650121</v>
      </c>
      <c r="T67" s="2">
        <f>T12*'Output-Calculation-sheet'!T56/10^9</f>
        <v>0.13547029282287321</v>
      </c>
      <c r="U67" s="2">
        <f>U12*'Output-Calculation-sheet'!U56/10^9</f>
        <v>0.13683814484717402</v>
      </c>
      <c r="V67" s="2">
        <f>V12*'Output-Calculation-sheet'!V56/10^9</f>
        <v>0.10144620426106316</v>
      </c>
      <c r="W67" s="2">
        <f>W12*'Output-Calculation-sheet'!W56/10^9</f>
        <v>6.3292686233433204E-2</v>
      </c>
      <c r="X67" s="2">
        <f>X12*'Output-Calculation-sheet'!X56/10^9</f>
        <v>7.9550773759187343E-2</v>
      </c>
      <c r="Y67" s="2">
        <f>Y12*'Output-Calculation-sheet'!Y56/10^9</f>
        <v>5.321972032127599E-2</v>
      </c>
      <c r="AA67" s="2">
        <f t="shared" si="4"/>
        <v>21.815727139620989</v>
      </c>
    </row>
    <row r="68" spans="1:27" x14ac:dyDescent="0.25">
      <c r="B68" s="2">
        <f>SUM(B60:B67)</f>
        <v>40.978784610916207</v>
      </c>
      <c r="C68" s="2">
        <f t="shared" ref="C68:Y68" si="5">SUM(C60:C67)</f>
        <v>19.716814676320158</v>
      </c>
      <c r="D68" s="2">
        <f t="shared" si="5"/>
        <v>8.9743255253445184</v>
      </c>
      <c r="E68" s="2">
        <f t="shared" si="5"/>
        <v>9.988315093331348</v>
      </c>
      <c r="F68" s="2">
        <f t="shared" si="5"/>
        <v>4.6096627615014416</v>
      </c>
      <c r="G68" s="2">
        <f t="shared" si="5"/>
        <v>3.1882934150042872</v>
      </c>
      <c r="H68" s="2">
        <f t="shared" si="5"/>
        <v>5.9720916821026684</v>
      </c>
      <c r="I68" s="2">
        <f t="shared" si="5"/>
        <v>3.1456782908871723</v>
      </c>
      <c r="J68" s="2">
        <f t="shared" si="5"/>
        <v>2.8394746294917375</v>
      </c>
      <c r="K68" s="2">
        <f t="shared" si="5"/>
        <v>3.6653495083228491</v>
      </c>
      <c r="L68" s="2">
        <f t="shared" si="5"/>
        <v>3.0279694420882519</v>
      </c>
      <c r="M68" s="2">
        <f t="shared" si="5"/>
        <v>4.1258372025410903</v>
      </c>
      <c r="N68" s="2">
        <f t="shared" si="5"/>
        <v>4.3180487131527574</v>
      </c>
      <c r="O68" s="2">
        <f t="shared" si="5"/>
        <v>3.8470001573017623</v>
      </c>
      <c r="P68" s="2">
        <f t="shared" si="5"/>
        <v>3.2170025007133702</v>
      </c>
      <c r="Q68" s="2">
        <f t="shared" si="5"/>
        <v>3.3167907121306763</v>
      </c>
      <c r="R68" s="2">
        <f t="shared" si="5"/>
        <v>2.6519705189873624</v>
      </c>
      <c r="S68" s="2">
        <f t="shared" si="5"/>
        <v>2.4339753799552573</v>
      </c>
      <c r="T68" s="2">
        <f t="shared" si="5"/>
        <v>0.82851099685024021</v>
      </c>
      <c r="U68" s="2">
        <f t="shared" si="5"/>
        <v>0.83369915238383874</v>
      </c>
      <c r="V68" s="2">
        <f t="shared" si="5"/>
        <v>0.620300632810173</v>
      </c>
      <c r="W68" s="2">
        <f t="shared" si="5"/>
        <v>0.38766428441446327</v>
      </c>
      <c r="X68" s="2">
        <f t="shared" si="5"/>
        <v>0.49098811502561351</v>
      </c>
      <c r="Y68" s="2">
        <f t="shared" si="5"/>
        <v>0.3247535520271887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10449547920.2936</v>
      </c>
      <c r="C96" s="2">
        <f>C8/'Output-Calculation-sheet'!C7*'Output-Calculation-sheet'!C79</f>
        <v>0</v>
      </c>
      <c r="D96" s="2">
        <f>D8/'Output-Calculation-sheet'!D7*'Output-Calculation-sheet'!D79</f>
        <v>6360532090.1042042</v>
      </c>
      <c r="E96" s="2">
        <f>E8/'Output-Calculation-sheet'!E7*'Output-Calculation-sheet'!E79</f>
        <v>9962871333.3331223</v>
      </c>
      <c r="F96" s="2">
        <f>F8/'Output-Calculation-sheet'!F7*'Output-Calculation-sheet'!F79</f>
        <v>4768996860.9007549</v>
      </c>
      <c r="G96" s="2">
        <f>G8/'Output-Calculation-sheet'!G7*'Output-Calculation-sheet'!G79</f>
        <v>3635657889.3571134</v>
      </c>
      <c r="H96" s="2">
        <f>H8/'Output-Calculation-sheet'!H7*'Output-Calculation-sheet'!H79</f>
        <v>982590107.88611758</v>
      </c>
      <c r="I96" s="2">
        <f>I8/'Output-Calculation-sheet'!I7*'Output-Calculation-sheet'!I79</f>
        <v>2493272613.1609635</v>
      </c>
      <c r="J96" s="2">
        <f>J8/'Output-Calculation-sheet'!J7*'Output-Calculation-sheet'!J79</f>
        <v>1774768048.665313</v>
      </c>
      <c r="K96" s="2">
        <f>K8/'Output-Calculation-sheet'!K7*'Output-Calculation-sheet'!K79</f>
        <v>2211940096.7448945</v>
      </c>
      <c r="L96" s="2">
        <f>L8/'Output-Calculation-sheet'!L7*'Output-Calculation-sheet'!L79</f>
        <v>1539201720.4035738</v>
      </c>
      <c r="M96" s="2">
        <f>M8/'Output-Calculation-sheet'!M7*'Output-Calculation-sheet'!M79</f>
        <v>728419520.84585702</v>
      </c>
      <c r="N96" s="2">
        <f>N8/'Output-Calculation-sheet'!N7*'Output-Calculation-sheet'!N79</f>
        <v>811826257.61990714</v>
      </c>
      <c r="O96" s="2">
        <f>O8/'Output-Calculation-sheet'!O7*'Output-Calculation-sheet'!O79</f>
        <v>0</v>
      </c>
      <c r="P96" s="2">
        <f>P8/'Output-Calculation-sheet'!P7*'Output-Calculation-sheet'!P79</f>
        <v>1877568142.9979925</v>
      </c>
      <c r="Q96" s="2">
        <f>Q8/'Output-Calculation-sheet'!Q7*'Output-Calculation-sheet'!Q79</f>
        <v>871661534.84506011</v>
      </c>
      <c r="R96" s="2">
        <f>R8/'Output-Calculation-sheet'!R7*'Output-Calculation-sheet'!R79</f>
        <v>1344860078.387887</v>
      </c>
      <c r="S96" s="2">
        <f>S8/'Output-Calculation-sheet'!S7*'Output-Calculation-sheet'!S79</f>
        <v>492603019.48087573</v>
      </c>
      <c r="T96" s="2">
        <f>T8/'Output-Calculation-sheet'!T7*'Output-Calculation-sheet'!T79</f>
        <v>704916209.15315473</v>
      </c>
      <c r="U96" s="2">
        <f>U8/'Output-Calculation-sheet'!U7*'Output-Calculation-sheet'!U79</f>
        <v>357911091.57809275</v>
      </c>
      <c r="V96" s="2">
        <f>V8/'Output-Calculation-sheet'!V7*'Output-Calculation-sheet'!V79</f>
        <v>216968102.55803964</v>
      </c>
      <c r="W96" s="2">
        <f>W8/'Output-Calculation-sheet'!W7*'Output-Calculation-sheet'!W79</f>
        <v>755586405.24480379</v>
      </c>
      <c r="X96" s="2">
        <f>X8/'Output-Calculation-sheet'!X7*'Output-Calculation-sheet'!X79</f>
        <v>70445238.054286852</v>
      </c>
      <c r="Y96" s="2">
        <f>Y8/'Output-Calculation-sheet'!Y7*'Output-Calculation-sheet'!Y79</f>
        <v>321405524.42396003</v>
      </c>
      <c r="AA96" s="2">
        <f t="shared" si="8"/>
        <v>52.733549806039569</v>
      </c>
    </row>
    <row r="97" spans="1:27" x14ac:dyDescent="0.25">
      <c r="A97" s="2">
        <v>2032</v>
      </c>
      <c r="B97" s="2">
        <f>B9/'Output-Calculation-sheet'!B8*'Output-Calculation-sheet'!B80</f>
        <v>11594349537.919764</v>
      </c>
      <c r="C97" s="2">
        <f>C9/'Output-Calculation-sheet'!C8*'Output-Calculation-sheet'!C80</f>
        <v>0</v>
      </c>
      <c r="D97" s="2">
        <f>D9/'Output-Calculation-sheet'!D8*'Output-Calculation-sheet'!D80</f>
        <v>6730864515.494276</v>
      </c>
      <c r="E97" s="2">
        <f>E9/'Output-Calculation-sheet'!E8*'Output-Calculation-sheet'!E80</f>
        <v>10859087678.730961</v>
      </c>
      <c r="F97" s="2">
        <f>F9/'Output-Calculation-sheet'!F8*'Output-Calculation-sheet'!F80</f>
        <v>5179955808.4058332</v>
      </c>
      <c r="G97" s="2">
        <f>G9/'Output-Calculation-sheet'!G8*'Output-Calculation-sheet'!G80</f>
        <v>3835638623.3009262</v>
      </c>
      <c r="H97" s="2">
        <f>H9/'Output-Calculation-sheet'!H8*'Output-Calculation-sheet'!H80</f>
        <v>1095387547.9576275</v>
      </c>
      <c r="I97" s="2">
        <f>I9/'Output-Calculation-sheet'!I8*'Output-Calculation-sheet'!I80</f>
        <v>2735097485.8768678</v>
      </c>
      <c r="J97" s="2">
        <f>J9/'Output-Calculation-sheet'!J8*'Output-Calculation-sheet'!J80</f>
        <v>1891566305.690532</v>
      </c>
      <c r="K97" s="2">
        <f>K9/'Output-Calculation-sheet'!K8*'Output-Calculation-sheet'!K80</f>
        <v>2379430557.1964059</v>
      </c>
      <c r="L97" s="2">
        <f>L9/'Output-Calculation-sheet'!L8*'Output-Calculation-sheet'!L80</f>
        <v>1708397593.2019069</v>
      </c>
      <c r="M97" s="2">
        <f>M9/'Output-Calculation-sheet'!M8*'Output-Calculation-sheet'!M80</f>
        <v>813476892.27129745</v>
      </c>
      <c r="N97" s="2">
        <f>N9/'Output-Calculation-sheet'!N8*'Output-Calculation-sheet'!N80</f>
        <v>865859290.51403213</v>
      </c>
      <c r="O97" s="2">
        <f>O9/'Output-Calculation-sheet'!O8*'Output-Calculation-sheet'!O80</f>
        <v>0</v>
      </c>
      <c r="P97" s="2">
        <f>P9/'Output-Calculation-sheet'!P8*'Output-Calculation-sheet'!P80</f>
        <v>2026265018.1040809</v>
      </c>
      <c r="Q97" s="2">
        <f>Q9/'Output-Calculation-sheet'!Q8*'Output-Calculation-sheet'!Q80</f>
        <v>944743248.48924398</v>
      </c>
      <c r="R97" s="2">
        <f>R9/'Output-Calculation-sheet'!R8*'Output-Calculation-sheet'!R80</f>
        <v>1464279678.8383253</v>
      </c>
      <c r="S97" s="2">
        <f>S9/'Output-Calculation-sheet'!S8*'Output-Calculation-sheet'!S80</f>
        <v>551727052.22111881</v>
      </c>
      <c r="T97" s="2">
        <f>T9/'Output-Calculation-sheet'!T8*'Output-Calculation-sheet'!T80</f>
        <v>752978289.77218425</v>
      </c>
      <c r="U97" s="2">
        <f>U9/'Output-Calculation-sheet'!U8*'Output-Calculation-sheet'!U80</f>
        <v>389862614.35923785</v>
      </c>
      <c r="V97" s="2">
        <f>V9/'Output-Calculation-sheet'!V8*'Output-Calculation-sheet'!V80</f>
        <v>238999240.73530811</v>
      </c>
      <c r="W97" s="2">
        <f>W9/'Output-Calculation-sheet'!W8*'Output-Calculation-sheet'!W80</f>
        <v>813674129.10155547</v>
      </c>
      <c r="X97" s="2">
        <f>X9/'Output-Calculation-sheet'!X8*'Output-Calculation-sheet'!X80</f>
        <v>80556528.710108176</v>
      </c>
      <c r="Y97" s="2">
        <f>Y9/'Output-Calculation-sheet'!Y8*'Output-Calculation-sheet'!Y80</f>
        <v>346464819.58402532</v>
      </c>
      <c r="AA97" s="2">
        <f t="shared" si="8"/>
        <v>57.298662456475597</v>
      </c>
    </row>
    <row r="98" spans="1:27" x14ac:dyDescent="0.25">
      <c r="A98" s="2">
        <v>2033</v>
      </c>
      <c r="B98" s="2">
        <f>B10/'Output-Calculation-sheet'!B9*'Output-Calculation-sheet'!B81</f>
        <v>13076454167.210625</v>
      </c>
      <c r="C98" s="2">
        <f>C10/'Output-Calculation-sheet'!C9*'Output-Calculation-sheet'!C81</f>
        <v>1712629259.213516</v>
      </c>
      <c r="D98" s="2">
        <f>D10/'Output-Calculation-sheet'!D9*'Output-Calculation-sheet'!D81</f>
        <v>6971483719.3200865</v>
      </c>
      <c r="E98" s="2">
        <f>E10/'Output-Calculation-sheet'!E9*'Output-Calculation-sheet'!E81</f>
        <v>11575100761.740072</v>
      </c>
      <c r="F98" s="2">
        <f>F10/'Output-Calculation-sheet'!F9*'Output-Calculation-sheet'!F81</f>
        <v>5510789735.7653074</v>
      </c>
      <c r="G98" s="2">
        <f>G10/'Output-Calculation-sheet'!G9*'Output-Calculation-sheet'!G81</f>
        <v>3957172637.4434237</v>
      </c>
      <c r="H98" s="2">
        <f>H10/'Output-Calculation-sheet'!H9*'Output-Calculation-sheet'!H81</f>
        <v>1192591456.4055791</v>
      </c>
      <c r="I98" s="2">
        <f>I10/'Output-Calculation-sheet'!I9*'Output-Calculation-sheet'!I81</f>
        <v>2937117390.3828602</v>
      </c>
      <c r="J98" s="2">
        <f>J10/'Output-Calculation-sheet'!J9*'Output-Calculation-sheet'!J81</f>
        <v>1974996828.7704103</v>
      </c>
      <c r="K98" s="2">
        <f>K10/'Output-Calculation-sheet'!K9*'Output-Calculation-sheet'!K81</f>
        <v>2508181468.845171</v>
      </c>
      <c r="L98" s="2">
        <f>L10/'Output-Calculation-sheet'!L9*'Output-Calculation-sheet'!L81</f>
        <v>1854410599.1115978</v>
      </c>
      <c r="M98" s="2">
        <f>M10/'Output-Calculation-sheet'!M9*'Output-Calculation-sheet'!M81</f>
        <v>889200596.84208989</v>
      </c>
      <c r="N98" s="2">
        <f>N10/'Output-Calculation-sheet'!N9*'Output-Calculation-sheet'!N81</f>
        <v>904853257.74539471</v>
      </c>
      <c r="O98" s="2">
        <f>O10/'Output-Calculation-sheet'!O9*'Output-Calculation-sheet'!O81</f>
        <v>0</v>
      </c>
      <c r="P98" s="2">
        <f>P10/'Output-Calculation-sheet'!P9*'Output-Calculation-sheet'!P81</f>
        <v>2133850635.0695736</v>
      </c>
      <c r="Q98" s="2">
        <f>Q10/'Output-Calculation-sheet'!Q9*'Output-Calculation-sheet'!Q81</f>
        <v>1001598688.0876954</v>
      </c>
      <c r="R98" s="2">
        <f>R10/'Output-Calculation-sheet'!R9*'Output-Calculation-sheet'!R81</f>
        <v>1562953109.2869978</v>
      </c>
      <c r="S98" s="2">
        <f>S10/'Output-Calculation-sheet'!S9*'Output-Calculation-sheet'!S81</f>
        <v>593478944.65730417</v>
      </c>
      <c r="T98" s="2">
        <f>T10/'Output-Calculation-sheet'!T9*'Output-Calculation-sheet'!T81</f>
        <v>787730483.79101765</v>
      </c>
      <c r="U98" s="2">
        <f>U10/'Output-Calculation-sheet'!U9*'Output-Calculation-sheet'!U81</f>
        <v>415214319.94969559</v>
      </c>
      <c r="V98" s="2">
        <f>V10/'Output-Calculation-sheet'!V9*'Output-Calculation-sheet'!V81</f>
        <v>257305460.29048222</v>
      </c>
      <c r="W98" s="2">
        <f>W10/'Output-Calculation-sheet'!W9*'Output-Calculation-sheet'!W81</f>
        <v>855456007.7818706</v>
      </c>
      <c r="X98" s="2">
        <f>X10/'Output-Calculation-sheet'!X9*'Output-Calculation-sheet'!X81</f>
        <v>88989547.33911489</v>
      </c>
      <c r="Y98" s="2">
        <f>Y10/'Output-Calculation-sheet'!Y9*'Output-Calculation-sheet'!Y81</f>
        <v>365197165.02071565</v>
      </c>
      <c r="AA98" s="2">
        <f t="shared" si="8"/>
        <v>63.126756240070556</v>
      </c>
    </row>
    <row r="99" spans="1:27" x14ac:dyDescent="0.25">
      <c r="A99" s="2">
        <v>2034</v>
      </c>
      <c r="B99" s="2">
        <f>B11/'Output-Calculation-sheet'!B10*'Output-Calculation-sheet'!B82</f>
        <v>14296129839.59001</v>
      </c>
      <c r="C99" s="2">
        <f>C11/'Output-Calculation-sheet'!C10*'Output-Calculation-sheet'!C82</f>
        <v>1938910021.5800369</v>
      </c>
      <c r="D99" s="2">
        <f>D11/'Output-Calculation-sheet'!D10*'Output-Calculation-sheet'!D82</f>
        <v>7133092202.0727682</v>
      </c>
      <c r="E99" s="2">
        <f>E11/'Output-Calculation-sheet'!E10*'Output-Calculation-sheet'!E82</f>
        <v>12198804325.327805</v>
      </c>
      <c r="F99" s="2">
        <f>F11/'Output-Calculation-sheet'!F10*'Output-Calculation-sheet'!F82</f>
        <v>5793311885.8643093</v>
      </c>
      <c r="G99" s="2">
        <f>G11/'Output-Calculation-sheet'!G10*'Output-Calculation-sheet'!G82</f>
        <v>4024365110.5093722</v>
      </c>
      <c r="H99" s="2">
        <f>H11/'Output-Calculation-sheet'!H10*'Output-Calculation-sheet'!H82</f>
        <v>1284148224.4484427</v>
      </c>
      <c r="I99" s="2">
        <f>I11/'Output-Calculation-sheet'!I10*'Output-Calculation-sheet'!I82</f>
        <v>3119603504.0662689</v>
      </c>
      <c r="J99" s="2">
        <f>J11/'Output-Calculation-sheet'!J10*'Output-Calculation-sheet'!J82</f>
        <v>2038141043.6310682</v>
      </c>
      <c r="K99" s="2">
        <f>K11/'Output-Calculation-sheet'!K10*'Output-Calculation-sheet'!K82</f>
        <v>2613261660.0534134</v>
      </c>
      <c r="L99" s="2">
        <f>L11/'Output-Calculation-sheet'!L10*'Output-Calculation-sheet'!L82</f>
        <v>1987133115.3075509</v>
      </c>
      <c r="M99" s="2">
        <f>M11/'Output-Calculation-sheet'!M10*'Output-Calculation-sheet'!M82</f>
        <v>960582689.98293948</v>
      </c>
      <c r="N99" s="2">
        <f>N11/'Output-Calculation-sheet'!N10*'Output-Calculation-sheet'!N82</f>
        <v>937485645.5410527</v>
      </c>
      <c r="O99" s="2">
        <f>O11/'Output-Calculation-sheet'!O10*'Output-Calculation-sheet'!O82</f>
        <v>0</v>
      </c>
      <c r="P99" s="2">
        <f>P11/'Output-Calculation-sheet'!P10*'Output-Calculation-sheet'!P82</f>
        <v>2217379848.5460525</v>
      </c>
      <c r="Q99" s="2">
        <f>Q11/'Output-Calculation-sheet'!Q10*'Output-Calculation-sheet'!Q82</f>
        <v>1049943966.8139313</v>
      </c>
      <c r="R99" s="2">
        <f>R11/'Output-Calculation-sheet'!R10*'Output-Calculation-sheet'!R82</f>
        <v>1647712375.8441803</v>
      </c>
      <c r="S99" s="2">
        <f>S11/'Output-Calculation-sheet'!S10*'Output-Calculation-sheet'!S82</f>
        <v>642003912.57011664</v>
      </c>
      <c r="T99" s="2">
        <f>T11/'Output-Calculation-sheet'!T10*'Output-Calculation-sheet'!T82</f>
        <v>814095127.52819455</v>
      </c>
      <c r="U99" s="2">
        <f>U11/'Output-Calculation-sheet'!U10*'Output-Calculation-sheet'!U82</f>
        <v>437598402.95143431</v>
      </c>
      <c r="V99" s="2">
        <f>V11/'Output-Calculation-sheet'!V10*'Output-Calculation-sheet'!V82</f>
        <v>273750428.46979088</v>
      </c>
      <c r="W99" s="2">
        <f>W11/'Output-Calculation-sheet'!W10*'Output-Calculation-sheet'!W82</f>
        <v>887392107.33400738</v>
      </c>
      <c r="X99" s="2">
        <f>X11/'Output-Calculation-sheet'!X10*'Output-Calculation-sheet'!X82</f>
        <v>97643164.052384049</v>
      </c>
      <c r="Y99" s="2">
        <f>Y11/'Output-Calculation-sheet'!Y10*'Output-Calculation-sheet'!Y82</f>
        <v>379691123.5297842</v>
      </c>
      <c r="AA99" s="2">
        <f t="shared" si="8"/>
        <v>66.772179725614905</v>
      </c>
    </row>
    <row r="100" spans="1:27" x14ac:dyDescent="0.25">
      <c r="A100" s="2">
        <v>2035</v>
      </c>
      <c r="B100" s="2">
        <f>B12/'Output-Calculation-sheet'!B11*'Output-Calculation-sheet'!B83</f>
        <v>15250134288.791172</v>
      </c>
      <c r="C100" s="2">
        <f>C12/'Output-Calculation-sheet'!C11*'Output-Calculation-sheet'!C83</f>
        <v>2157671466.2728763</v>
      </c>
      <c r="D100" s="2">
        <f>D12/'Output-Calculation-sheet'!D11*'Output-Calculation-sheet'!D83</f>
        <v>7253025527.0948114</v>
      </c>
      <c r="E100" s="2">
        <f>E12/'Output-Calculation-sheet'!E11*'Output-Calculation-sheet'!E83</f>
        <v>12760378840.635361</v>
      </c>
      <c r="F100" s="2">
        <f>F12/'Output-Calculation-sheet'!F11*'Output-Calculation-sheet'!F83</f>
        <v>6047229297.5356531</v>
      </c>
      <c r="G100" s="2">
        <f>G12/'Output-Calculation-sheet'!G11*'Output-Calculation-sheet'!G83</f>
        <v>4055727491.509047</v>
      </c>
      <c r="H100" s="2">
        <f>H12/'Output-Calculation-sheet'!H11*'Output-Calculation-sheet'!H83</f>
        <v>1366613306.1479473</v>
      </c>
      <c r="I100" s="2">
        <f>I12/'Output-Calculation-sheet'!I11*'Output-Calculation-sheet'!I83</f>
        <v>3286075370.1630602</v>
      </c>
      <c r="J100" s="2">
        <f>J12/'Output-Calculation-sheet'!J11*'Output-Calculation-sheet'!J83</f>
        <v>2087700220.1176724</v>
      </c>
      <c r="K100" s="2">
        <f>K12/'Output-Calculation-sheet'!K11*'Output-Calculation-sheet'!K83</f>
        <v>2702349250.9138803</v>
      </c>
      <c r="L100" s="2">
        <f>L12/'Output-Calculation-sheet'!L11*'Output-Calculation-sheet'!L83</f>
        <v>2111445734.1135597</v>
      </c>
      <c r="M100" s="2">
        <f>M12/'Output-Calculation-sheet'!M11*'Output-Calculation-sheet'!M83</f>
        <v>1024342719.9513204</v>
      </c>
      <c r="N100" s="2">
        <f>N12/'Output-Calculation-sheet'!N11*'Output-Calculation-sheet'!N83</f>
        <v>964960768.09315133</v>
      </c>
      <c r="O100" s="2">
        <f>O12/'Output-Calculation-sheet'!O11*'Output-Calculation-sheet'!O83</f>
        <v>260334114.07539204</v>
      </c>
      <c r="P100" s="2">
        <f>P12/'Output-Calculation-sheet'!P11*'Output-Calculation-sheet'!P83</f>
        <v>2285832596.1801381</v>
      </c>
      <c r="Q100" s="2">
        <f>Q12/'Output-Calculation-sheet'!Q11*'Output-Calculation-sheet'!Q83</f>
        <v>1096231675.5986102</v>
      </c>
      <c r="R100" s="2">
        <f>R12/'Output-Calculation-sheet'!R11*'Output-Calculation-sheet'!R83</f>
        <v>1726785138.6348774</v>
      </c>
      <c r="S100" s="2">
        <f>S12/'Output-Calculation-sheet'!S11*'Output-Calculation-sheet'!S83</f>
        <v>669736125.95422578</v>
      </c>
      <c r="T100" s="2">
        <f>T12/'Output-Calculation-sheet'!T11*'Output-Calculation-sheet'!T83</f>
        <v>834784704.49668121</v>
      </c>
      <c r="U100" s="2">
        <f>U12/'Output-Calculation-sheet'!U11*'Output-Calculation-sheet'!U83</f>
        <v>457291030.06818849</v>
      </c>
      <c r="V100" s="2">
        <f>V12/'Output-Calculation-sheet'!V11*'Output-Calculation-sheet'!V83</f>
        <v>289027527.40941703</v>
      </c>
      <c r="W100" s="2">
        <f>W12/'Output-Calculation-sheet'!W11*'Output-Calculation-sheet'!W83</f>
        <v>912034910.32684338</v>
      </c>
      <c r="X100" s="2">
        <f>X12/'Output-Calculation-sheet'!X11*'Output-Calculation-sheet'!X83</f>
        <v>106126173.58879092</v>
      </c>
      <c r="Y100" s="2">
        <f>Y12/'Output-Calculation-sheet'!Y11*'Output-Calculation-sheet'!Y83</f>
        <v>391582093.79927063</v>
      </c>
      <c r="AA100" s="2">
        <f t="shared" si="8"/>
        <v>70.097420371471955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3.7889294002477349E-4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3410130328.8414202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2336446701.73068</v>
      </c>
      <c r="N118" s="2">
        <f>N8/'Output-Calculation-sheet'!N7*'Output-Calculation-sheet'!N97</f>
        <v>1544536981.8662403</v>
      </c>
      <c r="O118" s="2">
        <f>O8/'Output-Calculation-sheet'!O7*'Output-Calculation-sheet'!O97</f>
        <v>2.084660435033697E-5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382891715.51074207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222057610.9600862</v>
      </c>
      <c r="Y118" s="2">
        <f>Y8/'Output-Calculation-sheet'!Y7*'Output-Calculation-sheet'!Y97</f>
        <v>0</v>
      </c>
      <c r="AA118" s="2">
        <f t="shared" si="10"/>
        <v>7896.0633389095692</v>
      </c>
    </row>
    <row r="119" spans="1:27" x14ac:dyDescent="0.25">
      <c r="A119" s="2">
        <v>2032</v>
      </c>
      <c r="B119" s="2">
        <f>B9/'Output-Calculation-sheet'!B8*'Output-Calculation-sheet'!B98</f>
        <v>3594273.4109300091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3859726240.3959694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2641345454.7586565</v>
      </c>
      <c r="N119" s="2">
        <f>N9/'Output-Calculation-sheet'!N8*'Output-Calculation-sheet'!N98</f>
        <v>1927091781.0213313</v>
      </c>
      <c r="O119" s="2">
        <f>O9/'Output-Calculation-sheet'!O8*'Output-Calculation-sheet'!O98</f>
        <v>1.9655018173245006E-4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606341047.53747606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254388434.56520924</v>
      </c>
      <c r="Y119" s="2">
        <f>Y9/'Output-Calculation-sheet'!Y8*'Output-Calculation-sheet'!Y98</f>
        <v>0</v>
      </c>
      <c r="AA119" s="2">
        <f t="shared" si="10"/>
        <v>9292.4872316897672</v>
      </c>
    </row>
    <row r="120" spans="1:27" x14ac:dyDescent="0.25">
      <c r="A120" s="2">
        <v>2033</v>
      </c>
      <c r="B120" s="2">
        <f>B10/'Output-Calculation-sheet'!B9*'Output-Calculation-sheet'!B99</f>
        <v>5177894880.4729958</v>
      </c>
      <c r="C120" s="2">
        <f>C10/'Output-Calculation-sheet'!C9*'Output-Calculation-sheet'!C99</f>
        <v>9637486086.1848679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4263104554.7302837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2920200529.1340365</v>
      </c>
      <c r="N120" s="2">
        <f>N10/'Output-Calculation-sheet'!N9*'Output-Calculation-sheet'!N99</f>
        <v>2308213461.0816197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807419765.31773376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281398559.43488103</v>
      </c>
      <c r="Y120" s="2">
        <f>Y10/'Output-Calculation-sheet'!Y9*'Output-Calculation-sheet'!Y99</f>
        <v>0</v>
      </c>
      <c r="AA120" s="2">
        <f t="shared" si="10"/>
        <v>25395.717836356416</v>
      </c>
    </row>
    <row r="121" spans="1:27" x14ac:dyDescent="0.25">
      <c r="A121" s="2">
        <v>2034</v>
      </c>
      <c r="B121" s="2">
        <f>B11/'Output-Calculation-sheet'!B10*'Output-Calculation-sheet'!B100</f>
        <v>9360954055.6419716</v>
      </c>
      <c r="C121" s="2">
        <f>C11/'Output-Calculation-sheet'!C10*'Output-Calculation-sheet'!C100</f>
        <v>10845218808.827274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4653246866.2943611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3187958443.4562521</v>
      </c>
      <c r="N121" s="2">
        <f>N11/'Output-Calculation-sheet'!N10*'Output-Calculation-sheet'!N100</f>
        <v>2602773724.1885805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999172284.6694603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309048990.93599635</v>
      </c>
      <c r="Y121" s="2">
        <f>Y11/'Output-Calculation-sheet'!Y10*'Output-Calculation-sheet'!Y100</f>
        <v>0</v>
      </c>
      <c r="AA121" s="2">
        <f t="shared" si="10"/>
        <v>31958.373174013897</v>
      </c>
    </row>
    <row r="122" spans="1:27" x14ac:dyDescent="0.25">
      <c r="A122" s="2">
        <v>2035</v>
      </c>
      <c r="B122" s="2">
        <f>B12/'Output-Calculation-sheet'!B11*'Output-Calculation-sheet'!B101</f>
        <v>12274666504.200603</v>
      </c>
      <c r="C122" s="2">
        <f>C12/'Output-Calculation-sheet'!C11*'Output-Calculation-sheet'!C101</f>
        <v>11997392149.85358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5016053425.5361404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3432631271.6181417</v>
      </c>
      <c r="N122" s="2">
        <f>N12/'Output-Calculation-sheet'!N11*'Output-Calculation-sheet'!N101</f>
        <v>2868995361.1214848</v>
      </c>
      <c r="O122" s="2">
        <f>O12/'Output-Calculation-sheet'!O11*'Output-Calculation-sheet'!O101</f>
        <v>2050455554.3975365</v>
      </c>
      <c r="P122" s="2">
        <f>P12/'Output-Calculation-sheet'!P11*'Output-Calculation-sheet'!P101</f>
        <v>0</v>
      </c>
      <c r="Q122" s="2">
        <f>Q12/'Output-Calculation-sheet'!Q11*'Output-Calculation-sheet'!Q101</f>
        <v>37430265.368301511</v>
      </c>
      <c r="R122" s="2">
        <f>R12/'Output-Calculation-sheet'!R11*'Output-Calculation-sheet'!R101</f>
        <v>0</v>
      </c>
      <c r="S122" s="2">
        <f>S12/'Output-Calculation-sheet'!S11*'Output-Calculation-sheet'!S101</f>
        <v>1207934167.5165257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336077440.45470273</v>
      </c>
      <c r="Y122" s="2">
        <f>Y12/'Output-Calculation-sheet'!Y11*'Output-Calculation-sheet'!Y101</f>
        <v>0</v>
      </c>
      <c r="AA122" s="2">
        <f t="shared" si="10"/>
        <v>39221.636140067014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42737992965.552559</v>
      </c>
      <c r="C129" s="2">
        <f>C8/'Output-Calculation-sheet'!C7*'Output-Calculation-sheet'!C106</f>
        <v>0</v>
      </c>
      <c r="D129" s="2">
        <f>D8/'Output-Calculation-sheet'!D7*'Output-Calculation-sheet'!D106</f>
        <v>30937879069.439888</v>
      </c>
      <c r="E129" s="2">
        <f>E8/'Output-Calculation-sheet'!E7*'Output-Calculation-sheet'!E106</f>
        <v>21625285289.878658</v>
      </c>
      <c r="F129" s="2">
        <f>F8/'Output-Calculation-sheet'!F7*'Output-Calculation-sheet'!F106</f>
        <v>16100046443.660797</v>
      </c>
      <c r="G129" s="2">
        <f>G8/'Output-Calculation-sheet'!G7*'Output-Calculation-sheet'!G106</f>
        <v>11071755739.637117</v>
      </c>
      <c r="H129" s="2">
        <f>H8/'Output-Calculation-sheet'!H7*'Output-Calculation-sheet'!H106</f>
        <v>0</v>
      </c>
      <c r="I129" s="2">
        <f>I8/'Output-Calculation-sheet'!I7*'Output-Calculation-sheet'!I106</f>
        <v>9930513275.5222187</v>
      </c>
      <c r="J129" s="2">
        <f>J8/'Output-Calculation-sheet'!J7*'Output-Calculation-sheet'!J106</f>
        <v>10174486995.682228</v>
      </c>
      <c r="K129" s="2">
        <f>K8/'Output-Calculation-sheet'!K7*'Output-Calculation-sheet'!K106</f>
        <v>8778323904.0518208</v>
      </c>
      <c r="L129" s="2">
        <f>L8/'Output-Calculation-sheet'!L7*'Output-Calculation-sheet'!L106</f>
        <v>6944889705.1292343</v>
      </c>
      <c r="M129" s="2">
        <f>M8/'Output-Calculation-sheet'!M7*'Output-Calculation-sheet'!M106</f>
        <v>0</v>
      </c>
      <c r="N129" s="2">
        <f>N8/'Output-Calculation-sheet'!N7*'Output-Calculation-sheet'!N106</f>
        <v>1890306508.4720116</v>
      </c>
      <c r="O129" s="2">
        <f>O8/'Output-Calculation-sheet'!O7*'Output-Calculation-sheet'!O106</f>
        <v>0</v>
      </c>
      <c r="P129" s="2">
        <f>P8/'Output-Calculation-sheet'!P7*'Output-Calculation-sheet'!P106</f>
        <v>4276874619.9617572</v>
      </c>
      <c r="Q129" s="2">
        <f>Q8/'Output-Calculation-sheet'!Q7*'Output-Calculation-sheet'!Q106</f>
        <v>4191567518.9178982</v>
      </c>
      <c r="R129" s="2">
        <f>R8/'Output-Calculation-sheet'!R7*'Output-Calculation-sheet'!R106</f>
        <v>4986773697.0038662</v>
      </c>
      <c r="S129" s="2">
        <f>S8/'Output-Calculation-sheet'!S7*'Output-Calculation-sheet'!S106</f>
        <v>1700642034.374969</v>
      </c>
      <c r="T129" s="2">
        <f>T8/'Output-Calculation-sheet'!T7*'Output-Calculation-sheet'!T106</f>
        <v>2158986890.5823932</v>
      </c>
      <c r="U129" s="2">
        <f>U8/'Output-Calculation-sheet'!U7*'Output-Calculation-sheet'!U106</f>
        <v>1519877765.6868389</v>
      </c>
      <c r="V129" s="2">
        <f>V8/'Output-Calculation-sheet'!V7*'Output-Calculation-sheet'!V106</f>
        <v>1367375995.4822524</v>
      </c>
      <c r="W129" s="2">
        <f>W8/'Output-Calculation-sheet'!W7*'Output-Calculation-sheet'!W106</f>
        <v>1395202051.64571</v>
      </c>
      <c r="X129" s="2">
        <f>X8/'Output-Calculation-sheet'!X7*'Output-Calculation-sheet'!X106</f>
        <v>0</v>
      </c>
      <c r="Y129" s="2">
        <f>Y8/'Output-Calculation-sheet'!Y7*'Output-Calculation-sheet'!Y106</f>
        <v>629969890.57949686</v>
      </c>
      <c r="AA129" s="2">
        <f t="shared" si="11"/>
        <v>182418.75036126174</v>
      </c>
    </row>
    <row r="130" spans="1:27" x14ac:dyDescent="0.25">
      <c r="A130" s="2">
        <v>2032</v>
      </c>
      <c r="B130" s="2">
        <f>B9/'Output-Calculation-sheet'!B8*'Output-Calculation-sheet'!B107</f>
        <v>47443178458.728783</v>
      </c>
      <c r="C130" s="2">
        <f>C9/'Output-Calculation-sheet'!C8*'Output-Calculation-sheet'!C107</f>
        <v>0</v>
      </c>
      <c r="D130" s="2">
        <f>D9/'Output-Calculation-sheet'!D8*'Output-Calculation-sheet'!D107</f>
        <v>34088352304.991871</v>
      </c>
      <c r="E130" s="2">
        <f>E9/'Output-Calculation-sheet'!E8*'Output-Calculation-sheet'!E107</f>
        <v>23858418751.141705</v>
      </c>
      <c r="F130" s="2">
        <f>F9/'Output-Calculation-sheet'!F8*'Output-Calculation-sheet'!F107</f>
        <v>17734825401.7514</v>
      </c>
      <c r="G130" s="2">
        <f>G9/'Output-Calculation-sheet'!G8*'Output-Calculation-sheet'!G107</f>
        <v>12189873745.020775</v>
      </c>
      <c r="H130" s="2">
        <f>H9/'Output-Calculation-sheet'!H8*'Output-Calculation-sheet'!H107</f>
        <v>0</v>
      </c>
      <c r="I130" s="2">
        <f>I9/'Output-Calculation-sheet'!I8*'Output-Calculation-sheet'!I107</f>
        <v>10942649202.970333</v>
      </c>
      <c r="J130" s="2">
        <f>J9/'Output-Calculation-sheet'!J8*'Output-Calculation-sheet'!J107</f>
        <v>11204617275.892435</v>
      </c>
      <c r="K130" s="2">
        <f>K9/'Output-Calculation-sheet'!K8*'Output-Calculation-sheet'!K107</f>
        <v>9682480571.3021793</v>
      </c>
      <c r="L130" s="2">
        <f>L9/'Output-Calculation-sheet'!L8*'Output-Calculation-sheet'!L107</f>
        <v>7662310796.3089819</v>
      </c>
      <c r="M130" s="2">
        <f>M9/'Output-Calculation-sheet'!M8*'Output-Calculation-sheet'!M107</f>
        <v>0</v>
      </c>
      <c r="N130" s="2">
        <f>N9/'Output-Calculation-sheet'!N8*'Output-Calculation-sheet'!N107</f>
        <v>1849645665.2948811</v>
      </c>
      <c r="O130" s="2">
        <f>O9/'Output-Calculation-sheet'!O8*'Output-Calculation-sheet'!O107</f>
        <v>0</v>
      </c>
      <c r="P130" s="2">
        <f>P9/'Output-Calculation-sheet'!P8*'Output-Calculation-sheet'!P107</f>
        <v>4753487782.3500957</v>
      </c>
      <c r="Q130" s="2">
        <f>Q9/'Output-Calculation-sheet'!Q8*'Output-Calculation-sheet'!Q107</f>
        <v>4661534409.9722538</v>
      </c>
      <c r="R130" s="2">
        <f>R9/'Output-Calculation-sheet'!R8*'Output-Calculation-sheet'!R107</f>
        <v>5501240577.2603769</v>
      </c>
      <c r="S130" s="2">
        <f>S9/'Output-Calculation-sheet'!S8*'Output-Calculation-sheet'!S107</f>
        <v>1767378477.9336672</v>
      </c>
      <c r="T130" s="2">
        <f>T9/'Output-Calculation-sheet'!T8*'Output-Calculation-sheet'!T107</f>
        <v>2379269936.1721129</v>
      </c>
      <c r="U130" s="2">
        <f>U9/'Output-Calculation-sheet'!U8*'Output-Calculation-sheet'!U107</f>
        <v>1678317757.9581532</v>
      </c>
      <c r="V130" s="2">
        <f>V9/'Output-Calculation-sheet'!V8*'Output-Calculation-sheet'!V107</f>
        <v>1510943205.4715168</v>
      </c>
      <c r="W130" s="2">
        <f>W9/'Output-Calculation-sheet'!W8*'Output-Calculation-sheet'!W107</f>
        <v>1537825803.2347913</v>
      </c>
      <c r="X130" s="2">
        <f>X9/'Output-Calculation-sheet'!X8*'Output-Calculation-sheet'!X107</f>
        <v>0</v>
      </c>
      <c r="Y130" s="2">
        <f>Y9/'Output-Calculation-sheet'!Y8*'Output-Calculation-sheet'!Y107</f>
        <v>695111373.05954576</v>
      </c>
      <c r="AA130" s="2">
        <f t="shared" si="11"/>
        <v>201141.46149681593</v>
      </c>
    </row>
    <row r="131" spans="1:27" x14ac:dyDescent="0.25">
      <c r="A131" s="2">
        <v>2033</v>
      </c>
      <c r="B131" s="2">
        <f>B10/'Output-Calculation-sheet'!B9*'Output-Calculation-sheet'!B108</f>
        <v>48357696546.753639</v>
      </c>
      <c r="C131" s="2">
        <f>C10/'Output-Calculation-sheet'!C9*'Output-Calculation-sheet'!C108</f>
        <v>0</v>
      </c>
      <c r="D131" s="2">
        <f>D10/'Output-Calculation-sheet'!D9*'Output-Calculation-sheet'!D108</f>
        <v>36739829505.788239</v>
      </c>
      <c r="E131" s="2">
        <f>E10/'Output-Calculation-sheet'!E9*'Output-Calculation-sheet'!E108</f>
        <v>25729118419.557995</v>
      </c>
      <c r="F131" s="2">
        <f>F10/'Output-Calculation-sheet'!F9*'Output-Calculation-sheet'!F108</f>
        <v>19119537640.140751</v>
      </c>
      <c r="G131" s="2">
        <f>G10/'Output-Calculation-sheet'!G9*'Output-Calculation-sheet'!G108</f>
        <v>13138372031.346247</v>
      </c>
      <c r="H131" s="2">
        <f>H10/'Output-Calculation-sheet'!H9*'Output-Calculation-sheet'!H108</f>
        <v>0</v>
      </c>
      <c r="I131" s="2">
        <f>I10/'Output-Calculation-sheet'!I9*'Output-Calculation-sheet'!I108</f>
        <v>11796309181.277767</v>
      </c>
      <c r="J131" s="2">
        <f>J10/'Output-Calculation-sheet'!J9*'Output-Calculation-sheet'!J108</f>
        <v>12074303556.778282</v>
      </c>
      <c r="K131" s="2">
        <f>K10/'Output-Calculation-sheet'!K9*'Output-Calculation-sheet'!K108</f>
        <v>10455458879.232958</v>
      </c>
      <c r="L131" s="2">
        <f>L10/'Output-Calculation-sheet'!L9*'Output-Calculation-sheet'!L108</f>
        <v>8268174961.3665323</v>
      </c>
      <c r="M131" s="2">
        <f>M10/'Output-Calculation-sheet'!M9*'Output-Calculation-sheet'!M108</f>
        <v>0</v>
      </c>
      <c r="N131" s="2">
        <f>N10/'Output-Calculation-sheet'!N9*'Output-Calculation-sheet'!N108</f>
        <v>1757207312.0380678</v>
      </c>
      <c r="O131" s="2">
        <f>O10/'Output-Calculation-sheet'!O9*'Output-Calculation-sheet'!O108</f>
        <v>0</v>
      </c>
      <c r="P131" s="2">
        <f>P10/'Output-Calculation-sheet'!P9*'Output-Calculation-sheet'!P108</f>
        <v>5157249492.9205513</v>
      </c>
      <c r="Q131" s="2">
        <f>Q10/'Output-Calculation-sheet'!Q9*'Output-Calculation-sheet'!Q108</f>
        <v>5065382256.3600473</v>
      </c>
      <c r="R131" s="2">
        <f>R10/'Output-Calculation-sheet'!R9*'Output-Calculation-sheet'!R108</f>
        <v>5944813926.6816158</v>
      </c>
      <c r="S131" s="2">
        <f>S10/'Output-Calculation-sheet'!S9*'Output-Calculation-sheet'!S108</f>
        <v>1787536887.407506</v>
      </c>
      <c r="T131" s="2">
        <f>T10/'Output-Calculation-sheet'!T9*'Output-Calculation-sheet'!T108</f>
        <v>2567118153.4689054</v>
      </c>
      <c r="U131" s="2">
        <f>U10/'Output-Calculation-sheet'!U9*'Output-Calculation-sheet'!U108</f>
        <v>1811274999.9914095</v>
      </c>
      <c r="V131" s="2">
        <f>V10/'Output-Calculation-sheet'!V9*'Output-Calculation-sheet'!V108</f>
        <v>1631928623.2004914</v>
      </c>
      <c r="W131" s="2">
        <f>W10/'Output-Calculation-sheet'!W9*'Output-Calculation-sheet'!W108</f>
        <v>1656726195.2934635</v>
      </c>
      <c r="X131" s="2">
        <f>X10/'Output-Calculation-sheet'!X9*'Output-Calculation-sheet'!X108</f>
        <v>0</v>
      </c>
      <c r="Y131" s="2">
        <f>Y10/'Output-Calculation-sheet'!Y9*'Output-Calculation-sheet'!Y108</f>
        <v>750521733.59976327</v>
      </c>
      <c r="AA131" s="2">
        <f t="shared" si="11"/>
        <v>213808.56030320426</v>
      </c>
    </row>
    <row r="132" spans="1:27" x14ac:dyDescent="0.25">
      <c r="A132" s="2">
        <v>2034</v>
      </c>
      <c r="B132" s="2">
        <f>B11/'Output-Calculation-sheet'!B10*'Output-Calculation-sheet'!B109</f>
        <v>49187890073.838005</v>
      </c>
      <c r="C132" s="2">
        <f>C11/'Output-Calculation-sheet'!C10*'Output-Calculation-sheet'!C109</f>
        <v>0</v>
      </c>
      <c r="D132" s="2">
        <f>D11/'Output-Calculation-sheet'!D10*'Output-Calculation-sheet'!D109</f>
        <v>39089575034.818703</v>
      </c>
      <c r="E132" s="2">
        <f>E11/'Output-Calculation-sheet'!E10*'Output-Calculation-sheet'!E109</f>
        <v>27418435760.224983</v>
      </c>
      <c r="F132" s="2">
        <f>F11/'Output-Calculation-sheet'!F10*'Output-Calculation-sheet'!F109</f>
        <v>20352705110.591988</v>
      </c>
      <c r="G132" s="2">
        <f>G11/'Output-Calculation-sheet'!G10*'Output-Calculation-sheet'!G109</f>
        <v>13973071799.016632</v>
      </c>
      <c r="H132" s="2">
        <f>H11/'Output-Calculation-sheet'!H10*'Output-Calculation-sheet'!H109</f>
        <v>0</v>
      </c>
      <c r="I132" s="2">
        <f>I11/'Output-Calculation-sheet'!I10*'Output-Calculation-sheet'!I109</f>
        <v>12570218143.499266</v>
      </c>
      <c r="J132" s="2">
        <f>J11/'Output-Calculation-sheet'!J10*'Output-Calculation-sheet'!J109</f>
        <v>12845128923.666565</v>
      </c>
      <c r="K132" s="2">
        <f>K11/'Output-Calculation-sheet'!K10*'Output-Calculation-sheet'!K109</f>
        <v>11148605295.581055</v>
      </c>
      <c r="L132" s="2">
        <f>L11/'Output-Calculation-sheet'!L10*'Output-Calculation-sheet'!L109</f>
        <v>8808378248.4649143</v>
      </c>
      <c r="M132" s="2">
        <f>M11/'Output-Calculation-sheet'!M10*'Output-Calculation-sheet'!M109</f>
        <v>0</v>
      </c>
      <c r="N132" s="2">
        <f>N11/'Output-Calculation-sheet'!N10*'Output-Calculation-sheet'!N109</f>
        <v>1731836049.7983911</v>
      </c>
      <c r="O132" s="2">
        <f>O11/'Output-Calculation-sheet'!O10*'Output-Calculation-sheet'!O109</f>
        <v>0</v>
      </c>
      <c r="P132" s="2">
        <f>P11/'Output-Calculation-sheet'!P10*'Output-Calculation-sheet'!P109</f>
        <v>5522601758.9595814</v>
      </c>
      <c r="Q132" s="2">
        <f>Q11/'Output-Calculation-sheet'!Q10*'Output-Calculation-sheet'!Q109</f>
        <v>5436146571.4741173</v>
      </c>
      <c r="R132" s="2">
        <f>R11/'Output-Calculation-sheet'!R10*'Output-Calculation-sheet'!R109</f>
        <v>6340185117.6508799</v>
      </c>
      <c r="S132" s="2">
        <f>S11/'Output-Calculation-sheet'!S10*'Output-Calculation-sheet'!S109</f>
        <v>1851245382.7541506</v>
      </c>
      <c r="T132" s="2">
        <f>T11/'Output-Calculation-sheet'!T10*'Output-Calculation-sheet'!T109</f>
        <v>2735075653.2092781</v>
      </c>
      <c r="U132" s="2">
        <f>U11/'Output-Calculation-sheet'!U10*'Output-Calculation-sheet'!U109</f>
        <v>1933607992.1493382</v>
      </c>
      <c r="V132" s="2">
        <f>V11/'Output-Calculation-sheet'!V10*'Output-Calculation-sheet'!V109</f>
        <v>1742006734.7078333</v>
      </c>
      <c r="W132" s="2">
        <f>W11/'Output-Calculation-sheet'!W10*'Output-Calculation-sheet'!W109</f>
        <v>1763039113.9034214</v>
      </c>
      <c r="X132" s="2">
        <f>X11/'Output-Calculation-sheet'!X10*'Output-Calculation-sheet'!X109</f>
        <v>0</v>
      </c>
      <c r="Y132" s="2">
        <f>Y11/'Output-Calculation-sheet'!Y10*'Output-Calculation-sheet'!Y109</f>
        <v>799834365.83103204</v>
      </c>
      <c r="AA132" s="2">
        <f t="shared" si="11"/>
        <v>225249.58713014013</v>
      </c>
    </row>
    <row r="133" spans="1:27" x14ac:dyDescent="0.25">
      <c r="A133" s="2">
        <v>2035</v>
      </c>
      <c r="B133" s="2">
        <f>B12/'Output-Calculation-sheet'!B11*'Output-Calculation-sheet'!B110</f>
        <v>50196919886.994881</v>
      </c>
      <c r="C133" s="2">
        <f>C12/'Output-Calculation-sheet'!C11*'Output-Calculation-sheet'!C110</f>
        <v>0</v>
      </c>
      <c r="D133" s="2">
        <f>D12/'Output-Calculation-sheet'!D11*'Output-Calculation-sheet'!D110</f>
        <v>41297650957.80043</v>
      </c>
      <c r="E133" s="2">
        <f>E12/'Output-Calculation-sheet'!E11*'Output-Calculation-sheet'!E110</f>
        <v>28985630164.22937</v>
      </c>
      <c r="F133" s="2">
        <f>F12/'Output-Calculation-sheet'!F11*'Output-Calculation-sheet'!F110</f>
        <v>21496175462.843796</v>
      </c>
      <c r="G133" s="2">
        <f>G12/'Output-Calculation-sheet'!G11*'Output-Calculation-sheet'!G110</f>
        <v>14740718031.603544</v>
      </c>
      <c r="H133" s="2">
        <f>H12/'Output-Calculation-sheet'!H11*'Output-Calculation-sheet'!H110</f>
        <v>0</v>
      </c>
      <c r="I133" s="2">
        <f>I12/'Output-Calculation-sheet'!I11*'Output-Calculation-sheet'!I110</f>
        <v>13276938922.289532</v>
      </c>
      <c r="J133" s="2">
        <f>J12/'Output-Calculation-sheet'!J11*'Output-Calculation-sheet'!J110</f>
        <v>13547077601.42308</v>
      </c>
      <c r="K133" s="2">
        <f>K12/'Output-Calculation-sheet'!K11*'Output-Calculation-sheet'!K110</f>
        <v>11787106542.264587</v>
      </c>
      <c r="L133" s="2">
        <f>L12/'Output-Calculation-sheet'!L11*'Output-Calculation-sheet'!L110</f>
        <v>9305641467.5555973</v>
      </c>
      <c r="M133" s="2">
        <f>M12/'Output-Calculation-sheet'!M11*'Output-Calculation-sheet'!M110</f>
        <v>0</v>
      </c>
      <c r="N133" s="2">
        <f>N12/'Output-Calculation-sheet'!N11*'Output-Calculation-sheet'!N110</f>
        <v>1717952127.9648879</v>
      </c>
      <c r="O133" s="2">
        <f>O12/'Output-Calculation-sheet'!O11*'Output-Calculation-sheet'!O110</f>
        <v>0</v>
      </c>
      <c r="P133" s="2">
        <f>P12/'Output-Calculation-sheet'!P11*'Output-Calculation-sheet'!P110</f>
        <v>5867694910.161706</v>
      </c>
      <c r="Q133" s="2">
        <f>Q12/'Output-Calculation-sheet'!Q11*'Output-Calculation-sheet'!Q110</f>
        <v>5766556867.0998592</v>
      </c>
      <c r="R133" s="2">
        <f>R12/'Output-Calculation-sheet'!R11*'Output-Calculation-sheet'!R110</f>
        <v>6716936374.6573782</v>
      </c>
      <c r="S133" s="2">
        <f>S12/'Output-Calculation-sheet'!S11*'Output-Calculation-sheet'!S110</f>
        <v>1808941444.5029521</v>
      </c>
      <c r="T133" s="2">
        <f>T12/'Output-Calculation-sheet'!T11*'Output-Calculation-sheet'!T110</f>
        <v>2889856373.1752768</v>
      </c>
      <c r="U133" s="2">
        <f>U12/'Output-Calculation-sheet'!U11*'Output-Calculation-sheet'!U110</f>
        <v>2046014473.6714375</v>
      </c>
      <c r="V133" s="2">
        <f>V12/'Output-Calculation-sheet'!V11*'Output-Calculation-sheet'!V110</f>
        <v>1845522020.8401203</v>
      </c>
      <c r="W133" s="2">
        <f>W12/'Output-Calculation-sheet'!W11*'Output-Calculation-sheet'!W110</f>
        <v>1861013805.5262985</v>
      </c>
      <c r="X133" s="2">
        <f>X12/'Output-Calculation-sheet'!X11*'Output-Calculation-sheet'!X110</f>
        <v>0</v>
      </c>
      <c r="Y133" s="2">
        <f>Y12/'Output-Calculation-sheet'!Y11*'Output-Calculation-sheet'!Y110</f>
        <v>846055311.14050543</v>
      </c>
      <c r="AA133" s="2">
        <f t="shared" si="11"/>
        <v>236000.40274574523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53152617640.604332</v>
      </c>
      <c r="C151" s="2">
        <f>C8/'Output-Calculation-sheet'!C7*'Output-Calculation-sheet'!C124</f>
        <v>45188458948.832062</v>
      </c>
      <c r="D151" s="2">
        <f>D8/'Output-Calculation-sheet'!D7*'Output-Calculation-sheet'!D124</f>
        <v>9337163557.9265499</v>
      </c>
      <c r="E151" s="2">
        <f>E8/'Output-Calculation-sheet'!E7*'Output-Calculation-sheet'!E124</f>
        <v>10328905207.513367</v>
      </c>
      <c r="F151" s="2">
        <f>F8/'Output-Calculation-sheet'!F7*'Output-Calculation-sheet'!F124</f>
        <v>4470007345.3649464</v>
      </c>
      <c r="G151" s="2">
        <f>G8/'Output-Calculation-sheet'!G7*'Output-Calculation-sheet'!G124</f>
        <v>3381363401.3272443</v>
      </c>
      <c r="H151" s="2">
        <f>H8/'Output-Calculation-sheet'!H7*'Output-Calculation-sheet'!H124</f>
        <v>10688347542.247324</v>
      </c>
      <c r="I151" s="2">
        <f>I8/'Output-Calculation-sheet'!I7*'Output-Calculation-sheet'!I124</f>
        <v>3237385349.1429119</v>
      </c>
      <c r="J151" s="2">
        <f>J8/'Output-Calculation-sheet'!J7*'Output-Calculation-sheet'!J124</f>
        <v>2642198052.6423311</v>
      </c>
      <c r="K151" s="2">
        <f>K8/'Output-Calculation-sheet'!K7*'Output-Calculation-sheet'!K124</f>
        <v>3915505052.0831532</v>
      </c>
      <c r="L151" s="2">
        <f>L8/'Output-Calculation-sheet'!L7*'Output-Calculation-sheet'!L124</f>
        <v>3238290037.1490703</v>
      </c>
      <c r="M151" s="2">
        <f>M8/'Output-Calculation-sheet'!M7*'Output-Calculation-sheet'!M124</f>
        <v>7390266443.4416752</v>
      </c>
      <c r="N151" s="2">
        <f>N8/'Output-Calculation-sheet'!N7*'Output-Calculation-sheet'!N124</f>
        <v>6111881662.3474369</v>
      </c>
      <c r="O151" s="2">
        <f>O8/'Output-Calculation-sheet'!O7*'Output-Calculation-sheet'!O124</f>
        <v>8780156816.2596455</v>
      </c>
      <c r="P151" s="2">
        <f>P8/'Output-Calculation-sheet'!P7*'Output-Calculation-sheet'!P124</f>
        <v>4413989491.7504644</v>
      </c>
      <c r="Q151" s="2">
        <f>Q8/'Output-Calculation-sheet'!Q7*'Output-Calculation-sheet'!Q124</f>
        <v>4358821423.9748478</v>
      </c>
      <c r="R151" s="2">
        <f>R8/'Output-Calculation-sheet'!R7*'Output-Calculation-sheet'!R124</f>
        <v>3239109641.6806297</v>
      </c>
      <c r="S151" s="2">
        <f>S8/'Output-Calculation-sheet'!S7*'Output-Calculation-sheet'!S124</f>
        <v>3383796959.6726475</v>
      </c>
      <c r="T151" s="2">
        <f>T8/'Output-Calculation-sheet'!T7*'Output-Calculation-sheet'!T124</f>
        <v>864756367.40012074</v>
      </c>
      <c r="U151" s="2">
        <f>U8/'Output-Calculation-sheet'!U7*'Output-Calculation-sheet'!U124</f>
        <v>1113704217.2234883</v>
      </c>
      <c r="V151" s="2">
        <f>V8/'Output-Calculation-sheet'!V7*'Output-Calculation-sheet'!V124</f>
        <v>660526029.49335861</v>
      </c>
      <c r="W151" s="2">
        <f>W8/'Output-Calculation-sheet'!W7*'Output-Calculation-sheet'!W124</f>
        <v>360525310.80845928</v>
      </c>
      <c r="X151" s="2">
        <f>X8/'Output-Calculation-sheet'!X7*'Output-Calculation-sheet'!X124</f>
        <v>831373325.13645852</v>
      </c>
      <c r="Y151" s="2">
        <f>Y8/'Output-Calculation-sheet'!Y7*'Output-Calculation-sheet'!Y124</f>
        <v>394481876.3222841</v>
      </c>
      <c r="AA151" s="2">
        <f t="shared" si="13"/>
        <v>191483.63170034482</v>
      </c>
    </row>
    <row r="152" spans="1:27" x14ac:dyDescent="0.25">
      <c r="A152" s="2">
        <v>2032</v>
      </c>
      <c r="B152" s="2">
        <f>B9/'Output-Calculation-sheet'!B8*'Output-Calculation-sheet'!B125</f>
        <v>58003152902.239426</v>
      </c>
      <c r="C152" s="2">
        <f>C9/'Output-Calculation-sheet'!C8*'Output-Calculation-sheet'!C125</f>
        <v>49693286141.457878</v>
      </c>
      <c r="D152" s="2">
        <f>D9/'Output-Calculation-sheet'!D8*'Output-Calculation-sheet'!D125</f>
        <v>10201700159.673151</v>
      </c>
      <c r="E152" s="2">
        <f>E9/'Output-Calculation-sheet'!E8*'Output-Calculation-sheet'!E125</f>
        <v>11281281167.007685</v>
      </c>
      <c r="F152" s="2">
        <f>F9/'Output-Calculation-sheet'!F8*'Output-Calculation-sheet'!F125</f>
        <v>4885852369.9931355</v>
      </c>
      <c r="G152" s="2">
        <f>G9/'Output-Calculation-sheet'!G8*'Output-Calculation-sheet'!G125</f>
        <v>3704073555.1468248</v>
      </c>
      <c r="H152" s="2">
        <f>H9/'Output-Calculation-sheet'!H8*'Output-Calculation-sheet'!H125</f>
        <v>11644225682.37993</v>
      </c>
      <c r="I152" s="2">
        <f>I9/'Output-Calculation-sheet'!I8*'Output-Calculation-sheet'!I125</f>
        <v>3537954240.0047083</v>
      </c>
      <c r="J152" s="2">
        <f>J9/'Output-Calculation-sheet'!J8*'Output-Calculation-sheet'!J125</f>
        <v>2889758807.3120489</v>
      </c>
      <c r="K152" s="2">
        <f>K9/'Output-Calculation-sheet'!K8*'Output-Calculation-sheet'!K125</f>
        <v>4276793305.7336831</v>
      </c>
      <c r="L152" s="2">
        <f>L9/'Output-Calculation-sheet'!L8*'Output-Calculation-sheet'!L125</f>
        <v>3536027817.8918023</v>
      </c>
      <c r="M152" s="2">
        <f>M9/'Output-Calculation-sheet'!M8*'Output-Calculation-sheet'!M125</f>
        <v>8055021511.1128836</v>
      </c>
      <c r="N152" s="2">
        <f>N9/'Output-Calculation-sheet'!N8*'Output-Calculation-sheet'!N125</f>
        <v>6721698565.0433779</v>
      </c>
      <c r="O152" s="2">
        <f>O9/'Output-Calculation-sheet'!O8*'Output-Calculation-sheet'!O125</f>
        <v>9655448651.862896</v>
      </c>
      <c r="P152" s="2">
        <f>P9/'Output-Calculation-sheet'!P8*'Output-Calculation-sheet'!P125</f>
        <v>4803765655.9646482</v>
      </c>
      <c r="Q152" s="2">
        <f>Q9/'Output-Calculation-sheet'!Q8*'Output-Calculation-sheet'!Q125</f>
        <v>4741240861.4979973</v>
      </c>
      <c r="R152" s="2">
        <f>R9/'Output-Calculation-sheet'!R8*'Output-Calculation-sheet'!R125</f>
        <v>3544679200.1403198</v>
      </c>
      <c r="S152" s="2">
        <f>S9/'Output-Calculation-sheet'!S8*'Output-Calculation-sheet'!S125</f>
        <v>3638648546.8680205</v>
      </c>
      <c r="T152" s="2">
        <f>T9/'Output-Calculation-sheet'!T8*'Output-Calculation-sheet'!T125</f>
        <v>945909599.32326007</v>
      </c>
      <c r="U152" s="2">
        <f>U9/'Output-Calculation-sheet'!U8*'Output-Calculation-sheet'!U125</f>
        <v>1217805413.7114007</v>
      </c>
      <c r="V152" s="2">
        <f>V9/'Output-Calculation-sheet'!V8*'Output-Calculation-sheet'!V125</f>
        <v>719119911.04375625</v>
      </c>
      <c r="W152" s="2">
        <f>W9/'Output-Calculation-sheet'!W8*'Output-Calculation-sheet'!W125</f>
        <v>392929810.41164005</v>
      </c>
      <c r="X152" s="2">
        <f>X9/'Output-Calculation-sheet'!X8*'Output-Calculation-sheet'!X125</f>
        <v>904058678.38093984</v>
      </c>
      <c r="Y152" s="2">
        <f>Y9/'Output-Calculation-sheet'!Y8*'Output-Calculation-sheet'!Y125</f>
        <v>431467757.43076438</v>
      </c>
      <c r="AA152" s="2">
        <f t="shared" si="13"/>
        <v>209425.90031163217</v>
      </c>
    </row>
    <row r="153" spans="1:27" x14ac:dyDescent="0.25">
      <c r="A153" s="2">
        <v>2033</v>
      </c>
      <c r="B153" s="2">
        <f>B10/'Output-Calculation-sheet'!B9*'Output-Calculation-sheet'!B126</f>
        <v>59918145857.309341</v>
      </c>
      <c r="C153" s="2">
        <f>C10/'Output-Calculation-sheet'!C9*'Output-Calculation-sheet'!C126</f>
        <v>43827715667.185165</v>
      </c>
      <c r="D153" s="2">
        <f>D10/'Output-Calculation-sheet'!D9*'Output-Calculation-sheet'!D126</f>
        <v>10911904160.978941</v>
      </c>
      <c r="E153" s="2">
        <f>E10/'Output-Calculation-sheet'!E9*'Output-Calculation-sheet'!E126</f>
        <v>12077737261.312546</v>
      </c>
      <c r="F153" s="2">
        <f>F10/'Output-Calculation-sheet'!F9*'Output-Calculation-sheet'!F126</f>
        <v>5218083395.6640759</v>
      </c>
      <c r="G153" s="2">
        <f>G10/'Output-Calculation-sheet'!G9*'Output-Calculation-sheet'!G126</f>
        <v>3961949632.6540198</v>
      </c>
      <c r="H153" s="2">
        <f>H10/'Output-Calculation-sheet'!H9*'Output-Calculation-sheet'!H126</f>
        <v>12417620499.634758</v>
      </c>
      <c r="I153" s="2">
        <f>I10/'Output-Calculation-sheet'!I9*'Output-Calculation-sheet'!I126</f>
        <v>3783392211.3036585</v>
      </c>
      <c r="J153" s="2">
        <f>J10/'Output-Calculation-sheet'!J9*'Output-Calculation-sheet'!J126</f>
        <v>3089858231.0632486</v>
      </c>
      <c r="K153" s="2">
        <f>K10/'Output-Calculation-sheet'!K9*'Output-Calculation-sheet'!K126</f>
        <v>4563344756.2032928</v>
      </c>
      <c r="L153" s="2">
        <f>L10/'Output-Calculation-sheet'!L9*'Output-Calculation-sheet'!L126</f>
        <v>3780134296.7879281</v>
      </c>
      <c r="M153" s="2">
        <f>M10/'Output-Calculation-sheet'!M9*'Output-Calculation-sheet'!M126</f>
        <v>8588036682.0627766</v>
      </c>
      <c r="N153" s="2">
        <f>N10/'Output-Calculation-sheet'!N9*'Output-Calculation-sheet'!N126</f>
        <v>7229862228.182313</v>
      </c>
      <c r="O153" s="2">
        <f>O10/'Output-Calculation-sheet'!O9*'Output-Calculation-sheet'!O126</f>
        <v>10388311640.831486</v>
      </c>
      <c r="P153" s="2">
        <f>P10/'Output-Calculation-sheet'!P9*'Output-Calculation-sheet'!P126</f>
        <v>5125413770.8384285</v>
      </c>
      <c r="Q153" s="2">
        <f>Q10/'Output-Calculation-sheet'!Q9*'Output-Calculation-sheet'!Q126</f>
        <v>5051077716.7237444</v>
      </c>
      <c r="R153" s="2">
        <f>R10/'Output-Calculation-sheet'!R9*'Output-Calculation-sheet'!R126</f>
        <v>3787704686.782167</v>
      </c>
      <c r="S153" s="2">
        <f>S10/'Output-Calculation-sheet'!S9*'Output-Calculation-sheet'!S126</f>
        <v>3873759145.6643</v>
      </c>
      <c r="T153" s="2">
        <f>T10/'Output-Calculation-sheet'!T9*'Output-Calculation-sheet'!T126</f>
        <v>1010447480.3948914</v>
      </c>
      <c r="U153" s="2">
        <f>U10/'Output-Calculation-sheet'!U9*'Output-Calculation-sheet'!U126</f>
        <v>1304668250.5308692</v>
      </c>
      <c r="V153" s="2">
        <f>V10/'Output-Calculation-sheet'!V9*'Output-Calculation-sheet'!V126</f>
        <v>767399618.12518167</v>
      </c>
      <c r="W153" s="2">
        <f>W10/'Output-Calculation-sheet'!W9*'Output-Calculation-sheet'!W126</f>
        <v>420576451.93634456</v>
      </c>
      <c r="X153" s="2">
        <f>X10/'Output-Calculation-sheet'!X9*'Output-Calculation-sheet'!X126</f>
        <v>964976543.56989956</v>
      </c>
      <c r="Y153" s="2">
        <f>Y10/'Output-Calculation-sheet'!Y9*'Output-Calculation-sheet'!Y126</f>
        <v>461566437.2934978</v>
      </c>
      <c r="AA153" s="2">
        <f t="shared" si="13"/>
        <v>212523.68662303293</v>
      </c>
    </row>
    <row r="154" spans="1:27" x14ac:dyDescent="0.25">
      <c r="A154" s="2">
        <v>2034</v>
      </c>
      <c r="B154" s="2">
        <f>B11/'Output-Calculation-sheet'!B10*'Output-Calculation-sheet'!B127</f>
        <v>62006115069.514496</v>
      </c>
      <c r="C154" s="2">
        <f>C11/'Output-Calculation-sheet'!C10*'Output-Calculation-sheet'!C127</f>
        <v>45966443450.744095</v>
      </c>
      <c r="D154" s="2">
        <f>D11/'Output-Calculation-sheet'!D10*'Output-Calculation-sheet'!D127</f>
        <v>11544741227.969875</v>
      </c>
      <c r="E154" s="2">
        <f>E11/'Output-Calculation-sheet'!E10*'Output-Calculation-sheet'!E127</f>
        <v>12754803011.900078</v>
      </c>
      <c r="F154" s="2">
        <f>F11/'Output-Calculation-sheet'!F10*'Output-Calculation-sheet'!F127</f>
        <v>5508241096.3571196</v>
      </c>
      <c r="G154" s="2">
        <f>G11/'Output-Calculation-sheet'!G10*'Output-Calculation-sheet'!G127</f>
        <v>4197582515.2912502</v>
      </c>
      <c r="H154" s="2">
        <f>H11/'Output-Calculation-sheet'!H10*'Output-Calculation-sheet'!H127</f>
        <v>13071547709.527544</v>
      </c>
      <c r="I154" s="2">
        <f>I11/'Output-Calculation-sheet'!I10*'Output-Calculation-sheet'!I127</f>
        <v>3984639781.6998053</v>
      </c>
      <c r="J154" s="2">
        <f>J11/'Output-Calculation-sheet'!J10*'Output-Calculation-sheet'!J127</f>
        <v>3268178605.1140332</v>
      </c>
      <c r="K154" s="2">
        <f>K11/'Output-Calculation-sheet'!K10*'Output-Calculation-sheet'!K127</f>
        <v>4810247483.081934</v>
      </c>
      <c r="L154" s="2">
        <f>L11/'Output-Calculation-sheet'!L10*'Output-Calculation-sheet'!L127</f>
        <v>3994051255.6937127</v>
      </c>
      <c r="M154" s="2">
        <f>M11/'Output-Calculation-sheet'!M10*'Output-Calculation-sheet'!M127</f>
        <v>9040595161.5871315</v>
      </c>
      <c r="N154" s="2">
        <f>N11/'Output-Calculation-sheet'!N10*'Output-Calculation-sheet'!N127</f>
        <v>7667660524.2972546</v>
      </c>
      <c r="O154" s="2">
        <f>O11/'Output-Calculation-sheet'!O10*'Output-Calculation-sheet'!O127</f>
        <v>11038530353.042048</v>
      </c>
      <c r="P154" s="2">
        <f>P11/'Output-Calculation-sheet'!P10*'Output-Calculation-sheet'!P127</f>
        <v>5403667539.7951937</v>
      </c>
      <c r="Q154" s="2">
        <f>Q11/'Output-Calculation-sheet'!Q10*'Output-Calculation-sheet'!Q127</f>
        <v>5313516544.0696678</v>
      </c>
      <c r="R154" s="2">
        <f>R11/'Output-Calculation-sheet'!R10*'Output-Calculation-sheet'!R127</f>
        <v>4001505220.5557709</v>
      </c>
      <c r="S154" s="2">
        <f>S11/'Output-Calculation-sheet'!S10*'Output-Calculation-sheet'!S127</f>
        <v>4023183948.9416685</v>
      </c>
      <c r="T154" s="2">
        <f>T11/'Output-Calculation-sheet'!T10*'Output-Calculation-sheet'!T127</f>
        <v>1066414733.7545787</v>
      </c>
      <c r="U154" s="2">
        <f>U11/'Output-Calculation-sheet'!U10*'Output-Calculation-sheet'!U127</f>
        <v>1377366431.6496813</v>
      </c>
      <c r="V154" s="2">
        <f>V11/'Output-Calculation-sheet'!V10*'Output-Calculation-sheet'!V127</f>
        <v>807498760.93828738</v>
      </c>
      <c r="W154" s="2">
        <f>W11/'Output-Calculation-sheet'!W10*'Output-Calculation-sheet'!W127</f>
        <v>444284979.87967134</v>
      </c>
      <c r="X154" s="2">
        <f>X11/'Output-Calculation-sheet'!X10*'Output-Calculation-sheet'!X127</f>
        <v>1015338443.8534524</v>
      </c>
      <c r="Y154" s="2">
        <f>Y11/'Output-Calculation-sheet'!Y10*'Output-Calculation-sheet'!Y127</f>
        <v>488120070.61265224</v>
      </c>
      <c r="AA154" s="2">
        <f t="shared" si="13"/>
        <v>222794.27391987102</v>
      </c>
    </row>
    <row r="155" spans="1:27" x14ac:dyDescent="0.25">
      <c r="A155" s="2">
        <v>2035</v>
      </c>
      <c r="B155" s="2">
        <f>B12/'Output-Calculation-sheet'!B11*'Output-Calculation-sheet'!B128</f>
        <v>64595561801.031494</v>
      </c>
      <c r="C155" s="2">
        <f>C12/'Output-Calculation-sheet'!C11*'Output-Calculation-sheet'!C128</f>
        <v>47883154838.213921</v>
      </c>
      <c r="D155" s="2">
        <f>D12/'Output-Calculation-sheet'!D11*'Output-Calculation-sheet'!D128</f>
        <v>12071858607.160606</v>
      </c>
      <c r="E155" s="2">
        <f>E12/'Output-Calculation-sheet'!E11*'Output-Calculation-sheet'!E128</f>
        <v>13357705337.297411</v>
      </c>
      <c r="F155" s="2">
        <f>F12/'Output-Calculation-sheet'!F11*'Output-Calculation-sheet'!F128</f>
        <v>5761739385.375885</v>
      </c>
      <c r="G155" s="2">
        <f>G12/'Output-Calculation-sheet'!G11*'Output-Calculation-sheet'!G128</f>
        <v>4411487153.4777794</v>
      </c>
      <c r="H155" s="2">
        <f>H12/'Output-Calculation-sheet'!H11*'Output-Calculation-sheet'!H128</f>
        <v>13666207361.97188</v>
      </c>
      <c r="I155" s="2">
        <f>I12/'Output-Calculation-sheet'!I11*'Output-Calculation-sheet'!I128</f>
        <v>4172187031.5085235</v>
      </c>
      <c r="J155" s="2">
        <f>J12/'Output-Calculation-sheet'!J11*'Output-Calculation-sheet'!J128</f>
        <v>3436646080.91678</v>
      </c>
      <c r="K155" s="2">
        <f>K12/'Output-Calculation-sheet'!K11*'Output-Calculation-sheet'!K128</f>
        <v>5033817327.5985832</v>
      </c>
      <c r="L155" s="2">
        <f>L12/'Output-Calculation-sheet'!L11*'Output-Calculation-sheet'!L128</f>
        <v>4188355638.432735</v>
      </c>
      <c r="M155" s="2">
        <f>M12/'Output-Calculation-sheet'!M11*'Output-Calculation-sheet'!M128</f>
        <v>9456490039.5577984</v>
      </c>
      <c r="N155" s="2">
        <f>N12/'Output-Calculation-sheet'!N11*'Output-Calculation-sheet'!N128</f>
        <v>8063667038.236577</v>
      </c>
      <c r="O155" s="2">
        <f>O12/'Output-Calculation-sheet'!O11*'Output-Calculation-sheet'!O128</f>
        <v>9584334113.2432117</v>
      </c>
      <c r="P155" s="2">
        <f>P12/'Output-Calculation-sheet'!P11*'Output-Calculation-sheet'!P128</f>
        <v>5648795826.5268412</v>
      </c>
      <c r="Q155" s="2">
        <f>Q12/'Output-Calculation-sheet'!Q11*'Output-Calculation-sheet'!Q128</f>
        <v>5526355295.0804615</v>
      </c>
      <c r="R155" s="2">
        <f>R12/'Output-Calculation-sheet'!R11*'Output-Calculation-sheet'!R128</f>
        <v>4183396210.6115041</v>
      </c>
      <c r="S155" s="2">
        <f>S12/'Output-Calculation-sheet'!S11*'Output-Calculation-sheet'!S128</f>
        <v>4228027418.9888906</v>
      </c>
      <c r="T155" s="2">
        <f>T12/'Output-Calculation-sheet'!T11*'Output-Calculation-sheet'!T128</f>
        <v>1116984692.6919324</v>
      </c>
      <c r="U155" s="2">
        <f>U12/'Output-Calculation-sheet'!U11*'Output-Calculation-sheet'!U128</f>
        <v>1443813709.1927958</v>
      </c>
      <c r="V155" s="2">
        <f>V12/'Output-Calculation-sheet'!V11*'Output-Calculation-sheet'!V128</f>
        <v>841704114.70607865</v>
      </c>
      <c r="W155" s="2">
        <f>W12/'Output-Calculation-sheet'!W11*'Output-Calculation-sheet'!W128</f>
        <v>465546320.8257944</v>
      </c>
      <c r="X155" s="2">
        <f>X12/'Output-Calculation-sheet'!X11*'Output-Calculation-sheet'!X128</f>
        <v>1059851235.0465535</v>
      </c>
      <c r="Y155" s="2">
        <f>Y12/'Output-Calculation-sheet'!Y11*'Output-Calculation-sheet'!Y128</f>
        <v>511472448.13131517</v>
      </c>
      <c r="AA155" s="2">
        <f t="shared" si="13"/>
        <v>230709.15902582544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2.2647475184830996E-10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2050.9243217151802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1404.5662503109072</v>
      </c>
      <c r="N19" s="2">
        <f>N8/'Output-Calculation-sheet'!N7*'Output-Calculation-sheet'!N25</f>
        <v>944.77422818008802</v>
      </c>
      <c r="O19" s="2">
        <f>O8/'Output-Calculation-sheet'!O7*'Output-Calculation-sheet'!O25</f>
        <v>1.2464347123844847E-11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250.5963154177544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133.29788728455821</v>
      </c>
      <c r="Y19" s="2">
        <f>Y8/'Output-Calculation-sheet'!Y7*'Output-Calculation-sheet'!Y25</f>
        <v>0</v>
      </c>
      <c r="AA19" s="2">
        <f t="shared" si="0"/>
        <v>4.7841590029087273</v>
      </c>
    </row>
    <row r="20" spans="1:27" x14ac:dyDescent="0.25">
      <c r="A20" s="2">
        <v>2032</v>
      </c>
      <c r="B20" s="2">
        <f>B9/'Output-Calculation-sheet'!B8*'Output-Calculation-sheet'!B26</f>
        <v>2.0894203718872872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2169.2349129043664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1483.4697431187449</v>
      </c>
      <c r="N20" s="2">
        <f>N9/'Output-Calculation-sheet'!N8*'Output-Calculation-sheet'!N26</f>
        <v>1080.3792739553073</v>
      </c>
      <c r="O20" s="2">
        <f>O9/'Output-Calculation-sheet'!O8*'Output-Calculation-sheet'!O26</f>
        <v>1.0938031433447158E-10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371.70476315995705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142.78954717354898</v>
      </c>
      <c r="Y20" s="2">
        <f>Y9/'Output-Calculation-sheet'!Y8*'Output-Calculation-sheet'!Y26</f>
        <v>0</v>
      </c>
      <c r="AA20" s="2">
        <f t="shared" si="0"/>
        <v>5.2496676606839205</v>
      </c>
    </row>
    <row r="21" spans="1:27" x14ac:dyDescent="0.25">
      <c r="A21" s="2">
        <v>2033</v>
      </c>
      <c r="B21" s="2">
        <f>B10/'Output-Calculation-sheet'!B9*'Output-Calculation-sheet'!B27</f>
        <v>3051.6625473982695</v>
      </c>
      <c r="C21" s="2">
        <f>C10/'Output-Calculation-sheet'!C9*'Output-Calculation-sheet'!C27</f>
        <v>4762.0168078420766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2136.5415269386272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1462.5756343417374</v>
      </c>
      <c r="N21" s="2">
        <f>N10/'Output-Calculation-sheet'!N9*'Output-Calculation-sheet'!N27</f>
        <v>1142.7517958770322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435.94855595284787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140.7804659822788</v>
      </c>
      <c r="Y21" s="2">
        <f>Y10/'Output-Calculation-sheet'!Y9*'Output-Calculation-sheet'!Y27</f>
        <v>0</v>
      </c>
      <c r="AA21" s="2">
        <f t="shared" si="0"/>
        <v>13.132277334332869</v>
      </c>
    </row>
    <row r="22" spans="1:27" x14ac:dyDescent="0.25">
      <c r="A22" s="2">
        <v>2034</v>
      </c>
      <c r="B22" s="2">
        <f>B11/'Output-Calculation-sheet'!B10*'Output-Calculation-sheet'!B28</f>
        <v>4642.630570359489</v>
      </c>
      <c r="C22" s="2">
        <f>C11/'Output-Calculation-sheet'!C10*'Output-Calculation-sheet'!C28</f>
        <v>4498.0013332519575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1965.1877390727955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1345.384361758481</v>
      </c>
      <c r="N22" s="2">
        <f>N11/'Output-Calculation-sheet'!N10*'Output-Calculation-sheet'!N28</f>
        <v>1078.8294887047834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440.0882614612396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130.34956581545597</v>
      </c>
      <c r="Y22" s="2">
        <f>Y11/'Output-Calculation-sheet'!Y10*'Output-Calculation-sheet'!Y28</f>
        <v>0</v>
      </c>
      <c r="AA22" s="2">
        <f t="shared" si="0"/>
        <v>14.100471320424202</v>
      </c>
    </row>
    <row r="23" spans="1:27" x14ac:dyDescent="0.25">
      <c r="A23" s="2">
        <v>2035</v>
      </c>
      <c r="B23" s="2">
        <f>B12/'Output-Calculation-sheet'!B11*'Output-Calculation-sheet'!B29</f>
        <v>4764.8427716981751</v>
      </c>
      <c r="C23" s="2">
        <f>C12/'Output-Calculation-sheet'!C11*'Output-Calculation-sheet'!C29</f>
        <v>3904.4238315278772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1665.7878564147843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1138.6384511008337</v>
      </c>
      <c r="N23" s="2">
        <f>N12/'Output-Calculation-sheet'!N11*'Output-Calculation-sheet'!N29</f>
        <v>930.73417081743992</v>
      </c>
      <c r="O23" s="2">
        <f>O12/'Output-Calculation-sheet'!O11*'Output-Calculation-sheet'!O29</f>
        <v>663.84156721823626</v>
      </c>
      <c r="P23" s="2">
        <f>P12/'Output-Calculation-sheet'!P11*'Output-Calculation-sheet'!P29</f>
        <v>0</v>
      </c>
      <c r="Q23" s="2">
        <f>Q12/'Output-Calculation-sheet'!Q11*'Output-Calculation-sheet'!Q29</f>
        <v>12.705761108829099</v>
      </c>
      <c r="R23" s="2">
        <f>R12/'Output-Calculation-sheet'!R11*'Output-Calculation-sheet'!R29</f>
        <v>0</v>
      </c>
      <c r="S23" s="2">
        <f>S12/'Output-Calculation-sheet'!S11*'Output-Calculation-sheet'!S29</f>
        <v>408.73985068101769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111.6164950283045</v>
      </c>
      <c r="Y23" s="2">
        <f>Y12/'Output-Calculation-sheet'!Y11*'Output-Calculation-sheet'!Y29</f>
        <v>0</v>
      </c>
      <c r="AA23" s="2">
        <f t="shared" si="0"/>
        <v>13.601330755595498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16119.956984372377</v>
      </c>
      <c r="C30" s="2">
        <f>C8/'Output-Calculation-sheet'!C7*'Output-Calculation-sheet'!C16</f>
        <v>0</v>
      </c>
      <c r="D30" s="2">
        <f>D8/'Output-Calculation-sheet'!D7*'Output-Calculation-sheet'!D16</f>
        <v>5032.072376925028</v>
      </c>
      <c r="E30" s="2">
        <f>E8/'Output-Calculation-sheet'!E7*'Output-Calculation-sheet'!E16</f>
        <v>5204.8272618797673</v>
      </c>
      <c r="F30" s="2">
        <f>F8/'Output-Calculation-sheet'!F7*'Output-Calculation-sheet'!F16</f>
        <v>2915.9637755981526</v>
      </c>
      <c r="G30" s="2">
        <f>G8/'Output-Calculation-sheet'!G7*'Output-Calculation-sheet'!G16</f>
        <v>1758.6467118396024</v>
      </c>
      <c r="H30" s="2">
        <f>H8/'Output-Calculation-sheet'!H7*'Output-Calculation-sheet'!H16</f>
        <v>0</v>
      </c>
      <c r="I30" s="2">
        <f>I8/'Output-Calculation-sheet'!I7*'Output-Calculation-sheet'!I16</f>
        <v>1779.9395475598351</v>
      </c>
      <c r="J30" s="2">
        <f>J8/'Output-Calculation-sheet'!J7*'Output-Calculation-sheet'!J16</f>
        <v>1624.6379175229442</v>
      </c>
      <c r="K30" s="2">
        <f>K8/'Output-Calculation-sheet'!K7*'Output-Calculation-sheet'!K16</f>
        <v>2009.2506198988833</v>
      </c>
      <c r="L30" s="2">
        <f>L8/'Output-Calculation-sheet'!L7*'Output-Calculation-sheet'!L16</f>
        <v>1658.1583001865661</v>
      </c>
      <c r="M30" s="2">
        <f>M8/'Output-Calculation-sheet'!M7*'Output-Calculation-sheet'!M16</f>
        <v>0</v>
      </c>
      <c r="N30" s="2">
        <f>N8/'Output-Calculation-sheet'!N7*'Output-Calculation-sheet'!N16</f>
        <v>813.58153941083685</v>
      </c>
      <c r="O30" s="2">
        <f>O8/'Output-Calculation-sheet'!O7*'Output-Calculation-sheet'!O16</f>
        <v>0</v>
      </c>
      <c r="P30" s="2">
        <f>P8/'Output-Calculation-sheet'!P7*'Output-Calculation-sheet'!P16</f>
        <v>1321.6384799724926</v>
      </c>
      <c r="Q30" s="2">
        <f>Q8/'Output-Calculation-sheet'!Q7*'Output-Calculation-sheet'!Q16</f>
        <v>1449.5979668709124</v>
      </c>
      <c r="R30" s="2">
        <f>R8/'Output-Calculation-sheet'!R7*'Output-Calculation-sheet'!R16</f>
        <v>1270.0492136104654</v>
      </c>
      <c r="S30" s="2">
        <f>S8/'Output-Calculation-sheet'!S7*'Output-Calculation-sheet'!S16</f>
        <v>678.2503878440408</v>
      </c>
      <c r="T30" s="2">
        <f>T8/'Output-Calculation-sheet'!T7*'Output-Calculation-sheet'!T16</f>
        <v>463.33424860159295</v>
      </c>
      <c r="U30" s="2">
        <f>U8/'Output-Calculation-sheet'!U7*'Output-Calculation-sheet'!U16</f>
        <v>356.10461793819184</v>
      </c>
      <c r="V30" s="2">
        <f>V8/'Output-Calculation-sheet'!V7*'Output-Calculation-sheet'!V16</f>
        <v>340.99993682770139</v>
      </c>
      <c r="W30" s="2">
        <f>W8/'Output-Calculation-sheet'!W7*'Output-Calculation-sheet'!W16</f>
        <v>236.73891642722356</v>
      </c>
      <c r="X30" s="2">
        <f>X8/'Output-Calculation-sheet'!X7*'Output-Calculation-sheet'!X16</f>
        <v>0</v>
      </c>
      <c r="Y30" s="2">
        <f>Y8/'Output-Calculation-sheet'!Y7*'Output-Calculation-sheet'!Y16</f>
        <v>156.50770918595083</v>
      </c>
      <c r="AA30" s="2">
        <f t="shared" si="1"/>
        <v>45.190256512472551</v>
      </c>
    </row>
    <row r="31" spans="1:27" x14ac:dyDescent="0.25">
      <c r="A31" s="2">
        <v>2032</v>
      </c>
      <c r="B31" s="2">
        <f>B9/'Output-Calculation-sheet'!B8*'Output-Calculation-sheet'!B17</f>
        <v>16709.169336138773</v>
      </c>
      <c r="C31" s="2">
        <f>C9/'Output-Calculation-sheet'!C8*'Output-Calculation-sheet'!C17</f>
        <v>0</v>
      </c>
      <c r="D31" s="2">
        <f>D9/'Output-Calculation-sheet'!D8*'Output-Calculation-sheet'!D17</f>
        <v>5180.1669622211557</v>
      </c>
      <c r="E31" s="2">
        <f>E9/'Output-Calculation-sheet'!E8*'Output-Calculation-sheet'!E17</f>
        <v>5364.6593449034617</v>
      </c>
      <c r="F31" s="2">
        <f>F9/'Output-Calculation-sheet'!F8*'Output-Calculation-sheet'!F17</f>
        <v>2997.0312826263703</v>
      </c>
      <c r="G31" s="2">
        <f>G9/'Output-Calculation-sheet'!G8*'Output-Calculation-sheet'!G17</f>
        <v>1806.7285368443072</v>
      </c>
      <c r="H31" s="2">
        <f>H9/'Output-Calculation-sheet'!H8*'Output-Calculation-sheet'!H17</f>
        <v>0</v>
      </c>
      <c r="I31" s="2">
        <f>I9/'Output-Calculation-sheet'!I8*'Output-Calculation-sheet'!I17</f>
        <v>1831.7940461287342</v>
      </c>
      <c r="J31" s="2">
        <f>J9/'Output-Calculation-sheet'!J8*'Output-Calculation-sheet'!J17</f>
        <v>1670.7198776224254</v>
      </c>
      <c r="K31" s="2">
        <f>K9/'Output-Calculation-sheet'!K8*'Output-Calculation-sheet'!K17</f>
        <v>2069.4896390275858</v>
      </c>
      <c r="L31" s="2">
        <f>L9/'Output-Calculation-sheet'!L8*'Output-Calculation-sheet'!L17</f>
        <v>1708.3325600472488</v>
      </c>
      <c r="M31" s="2">
        <f>M9/'Output-Calculation-sheet'!M8*'Output-Calculation-sheet'!M17</f>
        <v>0</v>
      </c>
      <c r="N31" s="2">
        <f>N9/'Output-Calculation-sheet'!N8*'Output-Calculation-sheet'!N17</f>
        <v>755.67562925659581</v>
      </c>
      <c r="O31" s="2">
        <f>O9/'Output-Calculation-sheet'!O8*'Output-Calculation-sheet'!O17</f>
        <v>0</v>
      </c>
      <c r="P31" s="2">
        <f>P9/'Output-Calculation-sheet'!P8*'Output-Calculation-sheet'!P17</f>
        <v>1374.3152296629808</v>
      </c>
      <c r="Q31" s="2">
        <f>Q9/'Output-Calculation-sheet'!Q8*'Output-Calculation-sheet'!Q17</f>
        <v>1506.1172075958445</v>
      </c>
      <c r="R31" s="2">
        <f>R9/'Output-Calculation-sheet'!R8*'Output-Calculation-sheet'!R17</f>
        <v>1307.6908865447976</v>
      </c>
      <c r="S31" s="2">
        <f>S9/'Output-Calculation-sheet'!S8*'Output-Calculation-sheet'!S17</f>
        <v>652.4706391567122</v>
      </c>
      <c r="T31" s="2">
        <f>T9/'Output-Calculation-sheet'!T8*'Output-Calculation-sheet'!T17</f>
        <v>476.53337535186984</v>
      </c>
      <c r="U31" s="2">
        <f>U9/'Output-Calculation-sheet'!U8*'Output-Calculation-sheet'!U17</f>
        <v>367.5263140566301</v>
      </c>
      <c r="V31" s="2">
        <f>V9/'Output-Calculation-sheet'!V8*'Output-Calculation-sheet'!V17</f>
        <v>352.19803809630559</v>
      </c>
      <c r="W31" s="2">
        <f>W9/'Output-Calculation-sheet'!W8*'Output-Calculation-sheet'!W17</f>
        <v>243.88430259704742</v>
      </c>
      <c r="X31" s="2">
        <f>X9/'Output-Calculation-sheet'!X8*'Output-Calculation-sheet'!X17</f>
        <v>0</v>
      </c>
      <c r="Y31" s="2">
        <f>Y9/'Output-Calculation-sheet'!Y8*'Output-Calculation-sheet'!Y17</f>
        <v>161.23118027150514</v>
      </c>
      <c r="AA31" s="2">
        <f t="shared" si="1"/>
        <v>46.535734388150345</v>
      </c>
    </row>
    <row r="32" spans="1:27" x14ac:dyDescent="0.25">
      <c r="A32" s="2">
        <v>2033</v>
      </c>
      <c r="B32" s="2">
        <f>B10/'Output-Calculation-sheet'!B9*'Output-Calculation-sheet'!B18</f>
        <v>14892.619626324149</v>
      </c>
      <c r="C32" s="2">
        <f>C10/'Output-Calculation-sheet'!C9*'Output-Calculation-sheet'!C18</f>
        <v>0</v>
      </c>
      <c r="D32" s="2">
        <f>D10/'Output-Calculation-sheet'!D9*'Output-Calculation-sheet'!D18</f>
        <v>4971.787735743279</v>
      </c>
      <c r="E32" s="2">
        <f>E10/'Output-Calculation-sheet'!E9*'Output-Calculation-sheet'!E18</f>
        <v>5148.4328840660955</v>
      </c>
      <c r="F32" s="2">
        <f>F10/'Output-Calculation-sheet'!F9*'Output-Calculation-sheet'!F18</f>
        <v>2875.724900535231</v>
      </c>
      <c r="G32" s="2">
        <f>G10/'Output-Calculation-sheet'!G9*'Output-Calculation-sheet'!G18</f>
        <v>1734.3963602575293</v>
      </c>
      <c r="H32" s="2">
        <f>H10/'Output-Calculation-sheet'!H9*'Output-Calculation-sheet'!H18</f>
        <v>0</v>
      </c>
      <c r="I32" s="2">
        <f>I10/'Output-Calculation-sheet'!I9*'Output-Calculation-sheet'!I18</f>
        <v>1758.2758497054756</v>
      </c>
      <c r="J32" s="2">
        <f>J10/'Output-Calculation-sheet'!J9*'Output-Calculation-sheet'!J18</f>
        <v>1603.6269562423838</v>
      </c>
      <c r="K32" s="2">
        <f>K10/'Output-Calculation-sheet'!K9*'Output-Calculation-sheet'!K18</f>
        <v>1990.9282141282929</v>
      </c>
      <c r="L32" s="2">
        <f>L10/'Output-Calculation-sheet'!L9*'Output-Calculation-sheet'!L18</f>
        <v>1640.7953086333619</v>
      </c>
      <c r="M32" s="2">
        <f>M10/'Output-Calculation-sheet'!M9*'Output-Calculation-sheet'!M18</f>
        <v>0</v>
      </c>
      <c r="N32" s="2">
        <f>N10/'Output-Calculation-sheet'!N9*'Output-Calculation-sheet'!N18</f>
        <v>649.45192716151701</v>
      </c>
      <c r="O32" s="2">
        <f>O10/'Output-Calculation-sheet'!O9*'Output-Calculation-sheet'!O18</f>
        <v>0</v>
      </c>
      <c r="P32" s="2">
        <f>P10/'Output-Calculation-sheet'!P9*'Output-Calculation-sheet'!P18</f>
        <v>1328.798711303145</v>
      </c>
      <c r="Q32" s="2">
        <f>Q10/'Output-Calculation-sheet'!Q9*'Output-Calculation-sheet'!Q18</f>
        <v>1457.3389106570039</v>
      </c>
      <c r="R32" s="2">
        <f>R10/'Output-Calculation-sheet'!R9*'Output-Calculation-sheet'!R18</f>
        <v>1258.7824355786684</v>
      </c>
      <c r="S32" s="2">
        <f>S10/'Output-Calculation-sheet'!S9*'Output-Calculation-sheet'!S18</f>
        <v>585.91830673470383</v>
      </c>
      <c r="T32" s="2">
        <f>T10/'Output-Calculation-sheet'!T9*'Output-Calculation-sheet'!T18</f>
        <v>457.87370310069485</v>
      </c>
      <c r="U32" s="2">
        <f>U10/'Output-Calculation-sheet'!U9*'Output-Calculation-sheet'!U18</f>
        <v>353.12533610425288</v>
      </c>
      <c r="V32" s="2">
        <f>V10/'Output-Calculation-sheet'!V9*'Output-Calculation-sheet'!V18</f>
        <v>338.7614611853578</v>
      </c>
      <c r="W32" s="2">
        <f>W10/'Output-Calculation-sheet'!W9*'Output-Calculation-sheet'!W18</f>
        <v>233.75749559056536</v>
      </c>
      <c r="X32" s="2">
        <f>X10/'Output-Calculation-sheet'!X9*'Output-Calculation-sheet'!X18</f>
        <v>0</v>
      </c>
      <c r="Y32" s="2">
        <f>Y10/'Output-Calculation-sheet'!Y9*'Output-Calculation-sheet'!Y18</f>
        <v>154.99191859995346</v>
      </c>
      <c r="AA32" s="2">
        <f t="shared" si="1"/>
        <v>43.435388041651642</v>
      </c>
    </row>
    <row r="33" spans="1:27" x14ac:dyDescent="0.25">
      <c r="A33" s="2">
        <v>2034</v>
      </c>
      <c r="B33" s="2">
        <f>B11/'Output-Calculation-sheet'!B10*'Output-Calculation-sheet'!B19</f>
        <v>12562.277308544553</v>
      </c>
      <c r="C33" s="2">
        <f>C11/'Output-Calculation-sheet'!C10*'Output-Calculation-sheet'!C19</f>
        <v>0</v>
      </c>
      <c r="D33" s="2">
        <f>D11/'Output-Calculation-sheet'!D10*'Output-Calculation-sheet'!D19</f>
        <v>4441.76059098725</v>
      </c>
      <c r="E33" s="2">
        <f>E11/'Output-Calculation-sheet'!E10*'Output-Calculation-sheet'!E19</f>
        <v>4610.434096680844</v>
      </c>
      <c r="F33" s="2">
        <f>F11/'Output-Calculation-sheet'!F10*'Output-Calculation-sheet'!F19</f>
        <v>2570.4622332385939</v>
      </c>
      <c r="G33" s="2">
        <f>G11/'Output-Calculation-sheet'!G10*'Output-Calculation-sheet'!G19</f>
        <v>1547.8586422640369</v>
      </c>
      <c r="H33" s="2">
        <f>H11/'Output-Calculation-sheet'!H10*'Output-Calculation-sheet'!H19</f>
        <v>0</v>
      </c>
      <c r="I33" s="2">
        <f>I11/'Output-Calculation-sheet'!I10*'Output-Calculation-sheet'!I19</f>
        <v>1576.5055883555378</v>
      </c>
      <c r="J33" s="2">
        <f>J11/'Output-Calculation-sheet'!J10*'Output-Calculation-sheet'!J19</f>
        <v>1432.7592459751086</v>
      </c>
      <c r="K33" s="2">
        <f>K11/'Output-Calculation-sheet'!K10*'Output-Calculation-sheet'!K19</f>
        <v>1784.6075169689962</v>
      </c>
      <c r="L33" s="2">
        <f>L11/'Output-Calculation-sheet'!L10*'Output-Calculation-sheet'!L19</f>
        <v>1467.8192616986587</v>
      </c>
      <c r="M33" s="2">
        <f>M11/'Output-Calculation-sheet'!M10*'Output-Calculation-sheet'!M19</f>
        <v>0</v>
      </c>
      <c r="N33" s="2">
        <f>N11/'Output-Calculation-sheet'!N10*'Output-Calculation-sheet'!N19</f>
        <v>543.94840523324194</v>
      </c>
      <c r="O33" s="2">
        <f>O11/'Output-Calculation-sheet'!O10*'Output-Calculation-sheet'!O19</f>
        <v>0</v>
      </c>
      <c r="P33" s="2">
        <f>P11/'Output-Calculation-sheet'!P10*'Output-Calculation-sheet'!P19</f>
        <v>1196.4193248615065</v>
      </c>
      <c r="Q33" s="2">
        <f>Q11/'Output-Calculation-sheet'!Q10*'Output-Calculation-sheet'!Q19</f>
        <v>1314.3858225714703</v>
      </c>
      <c r="R33" s="2">
        <f>R11/'Output-Calculation-sheet'!R10*'Output-Calculation-sheet'!R19</f>
        <v>1127.9476050147287</v>
      </c>
      <c r="S33" s="2">
        <f>S11/'Output-Calculation-sheet'!S10*'Output-Calculation-sheet'!S19</f>
        <v>520.22881927965943</v>
      </c>
      <c r="T33" s="2">
        <f>T11/'Output-Calculation-sheet'!T10*'Output-Calculation-sheet'!T19</f>
        <v>409.90573733740621</v>
      </c>
      <c r="U33" s="2">
        <f>U11/'Output-Calculation-sheet'!U10*'Output-Calculation-sheet'!U19</f>
        <v>317.19711925079372</v>
      </c>
      <c r="V33" s="2">
        <f>V11/'Output-Calculation-sheet'!V10*'Output-Calculation-sheet'!V19</f>
        <v>304.08442799911188</v>
      </c>
      <c r="W33" s="2">
        <f>W11/'Output-Calculation-sheet'!W10*'Output-Calculation-sheet'!W19</f>
        <v>208.91987216462971</v>
      </c>
      <c r="X33" s="2">
        <f>X11/'Output-Calculation-sheet'!X10*'Output-Calculation-sheet'!X19</f>
        <v>0</v>
      </c>
      <c r="Y33" s="2">
        <f>Y11/'Output-Calculation-sheet'!Y10*'Output-Calculation-sheet'!Y19</f>
        <v>138.71460427797658</v>
      </c>
      <c r="AA33" s="2">
        <f t="shared" si="1"/>
        <v>38.076236222704118</v>
      </c>
    </row>
    <row r="34" spans="1:27" x14ac:dyDescent="0.25">
      <c r="A34" s="2">
        <v>2035</v>
      </c>
      <c r="B34" s="2">
        <f>B12/'Output-Calculation-sheet'!B11*'Output-Calculation-sheet'!B20</f>
        <v>9959.682577577365</v>
      </c>
      <c r="C34" s="2">
        <f>C12/'Output-Calculation-sheet'!C11*'Output-Calculation-sheet'!C20</f>
        <v>0</v>
      </c>
      <c r="D34" s="2">
        <f>D12/'Output-Calculation-sheet'!D11*'Output-Calculation-sheet'!D20</f>
        <v>3683.3807048654671</v>
      </c>
      <c r="E34" s="2">
        <f>E12/'Output-Calculation-sheet'!E11*'Output-Calculation-sheet'!E20</f>
        <v>3821.6669948338508</v>
      </c>
      <c r="F34" s="2">
        <f>F12/'Output-Calculation-sheet'!F11*'Output-Calculation-sheet'!F20</f>
        <v>2127.6066378935625</v>
      </c>
      <c r="G34" s="2">
        <f>G12/'Output-Calculation-sheet'!G11*'Output-Calculation-sheet'!G20</f>
        <v>1278.3618223879716</v>
      </c>
      <c r="H34" s="2">
        <f>H12/'Output-Calculation-sheet'!H11*'Output-Calculation-sheet'!H20</f>
        <v>0</v>
      </c>
      <c r="I34" s="2">
        <f>I12/'Output-Calculation-sheet'!I11*'Output-Calculation-sheet'!I20</f>
        <v>1305.6953085126456</v>
      </c>
      <c r="J34" s="2">
        <f>J12/'Output-Calculation-sheet'!J11*'Output-Calculation-sheet'!J20</f>
        <v>1182.5282546484937</v>
      </c>
      <c r="K34" s="2">
        <f>K12/'Output-Calculation-sheet'!K11*'Output-Calculation-sheet'!K20</f>
        <v>1479.2791030251767</v>
      </c>
      <c r="L34" s="2">
        <f>L12/'Output-Calculation-sheet'!L11*'Output-Calculation-sheet'!L20</f>
        <v>1214.5828648307283</v>
      </c>
      <c r="M34" s="2">
        <f>M12/'Output-Calculation-sheet'!M11*'Output-Calculation-sheet'!M20</f>
        <v>0</v>
      </c>
      <c r="N34" s="2">
        <f>N12/'Output-Calculation-sheet'!N11*'Output-Calculation-sheet'!N20</f>
        <v>427.30158217250482</v>
      </c>
      <c r="O34" s="2">
        <f>O12/'Output-Calculation-sheet'!O11*'Output-Calculation-sheet'!O20</f>
        <v>0</v>
      </c>
      <c r="P34" s="2">
        <f>P12/'Output-Calculation-sheet'!P11*'Output-Calculation-sheet'!P20</f>
        <v>997.35711150901989</v>
      </c>
      <c r="Q34" s="2">
        <f>Q12/'Output-Calculation-sheet'!Q11*'Output-Calculation-sheet'!Q20</f>
        <v>1093.6479349580948</v>
      </c>
      <c r="R34" s="2">
        <f>R12/'Output-Calculation-sheet'!R11*'Output-Calculation-sheet'!R20</f>
        <v>937.80526419640796</v>
      </c>
      <c r="S34" s="2">
        <f>S12/'Output-Calculation-sheet'!S11*'Output-Calculation-sheet'!S20</f>
        <v>403.30152677791585</v>
      </c>
      <c r="T34" s="2">
        <f>T12/'Output-Calculation-sheet'!T11*'Output-Calculation-sheet'!T20</f>
        <v>339.44955401626066</v>
      </c>
      <c r="U34" s="2">
        <f>U12/'Output-Calculation-sheet'!U11*'Output-Calculation-sheet'!U20</f>
        <v>263.30510568495788</v>
      </c>
      <c r="V34" s="2">
        <f>V12/'Output-Calculation-sheet'!V11*'Output-Calculation-sheet'!V20</f>
        <v>252.8686962982211</v>
      </c>
      <c r="W34" s="2">
        <f>W12/'Output-Calculation-sheet'!W11*'Output-Calculation-sheet'!W20</f>
        <v>172.79695487012435</v>
      </c>
      <c r="X34" s="2">
        <f>X12/'Output-Calculation-sheet'!X11*'Output-Calculation-sheet'!X20</f>
        <v>0</v>
      </c>
      <c r="Y34" s="2">
        <f>Y12/'Output-Calculation-sheet'!Y11*'Output-Calculation-sheet'!Y20</f>
        <v>115.03024783057512</v>
      </c>
      <c r="AA34" s="2">
        <f t="shared" si="1"/>
        <v>31.055648246889341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5.0270179095744831</v>
      </c>
      <c r="C63" s="2">
        <f>C8*'Output-Calculation-sheet'!C52/10^9</f>
        <v>2.4188906146730229</v>
      </c>
      <c r="D63" s="2">
        <f>D8*'Output-Calculation-sheet'!D52/10^9</f>
        <v>1.100160031210724</v>
      </c>
      <c r="E63" s="2">
        <f>E8*'Output-Calculation-sheet'!E52/10^9</f>
        <v>1.2241143563556225</v>
      </c>
      <c r="F63" s="2">
        <f>F8*'Output-Calculation-sheet'!F52/10^9</f>
        <v>0.56540724073833915</v>
      </c>
      <c r="G63" s="2">
        <f>G8*'Output-Calculation-sheet'!G52/10^9</f>
        <v>0.39081331366572786</v>
      </c>
      <c r="H63" s="2">
        <f>H8*'Output-Calculation-sheet'!H52/10^9</f>
        <v>0.73693938080408572</v>
      </c>
      <c r="I63" s="2">
        <f>I8*'Output-Calculation-sheet'!I52/10^9</f>
        <v>0.38564744576391663</v>
      </c>
      <c r="J63" s="2">
        <f>J8*'Output-Calculation-sheet'!J52/10^9</f>
        <v>0.34811789649252833</v>
      </c>
      <c r="K63" s="2">
        <f>K8*'Output-Calculation-sheet'!K52/10^9</f>
        <v>0.44930590974471474</v>
      </c>
      <c r="L63" s="2">
        <f>L8*'Output-Calculation-sheet'!L52/10^9</f>
        <v>0.37116743923911139</v>
      </c>
      <c r="M63" s="2">
        <f>M8*'Output-Calculation-sheet'!M52/10^9</f>
        <v>0.50913815641893079</v>
      </c>
      <c r="N63" s="2">
        <f>N8*'Output-Calculation-sheet'!N52/10^9</f>
        <v>0.53215069551467076</v>
      </c>
      <c r="O63" s="2">
        <f>O8*'Output-Calculation-sheet'!O52/10^9</f>
        <v>0.46999595870839206</v>
      </c>
      <c r="P63" s="2">
        <f>P8*'Output-Calculation-sheet'!P52/10^9</f>
        <v>0.39395076359595554</v>
      </c>
      <c r="Q63" s="2">
        <f>Q8*'Output-Calculation-sheet'!Q52/10^9</f>
        <v>0.406265534092561</v>
      </c>
      <c r="R63" s="2">
        <f>R8*'Output-Calculation-sheet'!R52/10^9</f>
        <v>0.32490752651840243</v>
      </c>
      <c r="S63" s="2">
        <f>S8*'Output-Calculation-sheet'!S52/10^9</f>
        <v>0.29950783427164879</v>
      </c>
      <c r="T63" s="2">
        <f>T8*'Output-Calculation-sheet'!T52/10^9</f>
        <v>0.10156715634736167</v>
      </c>
      <c r="U63" s="2">
        <f>U8*'Output-Calculation-sheet'!U52/10^9</f>
        <v>0.10210012992482206</v>
      </c>
      <c r="V63" s="2">
        <f>V8*'Output-Calculation-sheet'!V52/10^9</f>
        <v>7.6040092491236999E-2</v>
      </c>
      <c r="W63" s="2">
        <f>W8*'Output-Calculation-sheet'!W52/10^9</f>
        <v>4.7542093927166622E-2</v>
      </c>
      <c r="X63" s="2">
        <f>X8*'Output-Calculation-sheet'!X52/10^9</f>
        <v>6.0545648443280073E-2</v>
      </c>
      <c r="Y63" s="2">
        <f>Y8*'Output-Calculation-sheet'!Y52/10^9</f>
        <v>3.9788153005931796E-2</v>
      </c>
      <c r="AA63" s="2">
        <f t="shared" si="4"/>
        <v>16.38108128152264</v>
      </c>
    </row>
    <row r="64" spans="1:27" x14ac:dyDescent="0.25">
      <c r="A64" s="2">
        <v>2032</v>
      </c>
      <c r="B64" s="2">
        <f>B9*'Output-Calculation-sheet'!B53/10^9</f>
        <v>5.1288591639441332</v>
      </c>
      <c r="C64" s="2">
        <f>C9*'Output-Calculation-sheet'!C53/10^9</f>
        <v>2.4767207504977051</v>
      </c>
      <c r="D64" s="2">
        <f>D9*'Output-Calculation-sheet'!D53/10^9</f>
        <v>1.120751536642566</v>
      </c>
      <c r="E64" s="2">
        <f>E9*'Output-Calculation-sheet'!E53/10^9</f>
        <v>1.2474727826740781</v>
      </c>
      <c r="F64" s="2">
        <f>F9*'Output-Calculation-sheet'!F53/10^9</f>
        <v>0.57561982193845451</v>
      </c>
      <c r="G64" s="2">
        <f>G9*'Output-Calculation-sheet'!G53/10^9</f>
        <v>0.39816429249199592</v>
      </c>
      <c r="H64" s="2">
        <f>H9*'Output-Calculation-sheet'!H53/10^9</f>
        <v>0.74757950617660063</v>
      </c>
      <c r="I64" s="2">
        <f>I9*'Output-Calculation-sheet'!I53/10^9</f>
        <v>0.39284845589086376</v>
      </c>
      <c r="J64" s="2">
        <f>J9*'Output-Calculation-sheet'!J53/10^9</f>
        <v>0.35459762991701643</v>
      </c>
      <c r="K64" s="2">
        <f>K9*'Output-Calculation-sheet'!K53/10^9</f>
        <v>0.45776953584161123</v>
      </c>
      <c r="L64" s="2">
        <f>L9*'Output-Calculation-sheet'!L53/10^9</f>
        <v>0.37816008985416844</v>
      </c>
      <c r="M64" s="2">
        <f>M9*'Output-Calculation-sheet'!M53/10^9</f>
        <v>0.51651437761837971</v>
      </c>
      <c r="N64" s="2">
        <f>N9*'Output-Calculation-sheet'!N53/10^9</f>
        <v>0.54055450982475739</v>
      </c>
      <c r="O64" s="2">
        <f>O9*'Output-Calculation-sheet'!O53/10^9</f>
        <v>0.48123248588505901</v>
      </c>
      <c r="P64" s="2">
        <f>P9*'Output-Calculation-sheet'!P53/10^9</f>
        <v>0.40186108827198752</v>
      </c>
      <c r="Q64" s="2">
        <f>Q9*'Output-Calculation-sheet'!Q53/10^9</f>
        <v>0.41432567693647859</v>
      </c>
      <c r="R64" s="2">
        <f>R9*'Output-Calculation-sheet'!R53/10^9</f>
        <v>0.3312348399949307</v>
      </c>
      <c r="S64" s="2">
        <f>S9*'Output-Calculation-sheet'!S53/10^9</f>
        <v>0.30482951463896601</v>
      </c>
      <c r="T64" s="2">
        <f>T9*'Output-Calculation-sheet'!T53/10^9</f>
        <v>0.10347021772589053</v>
      </c>
      <c r="U64" s="2">
        <f>U9*'Output-Calculation-sheet'!U53/10^9</f>
        <v>0.10413696490686829</v>
      </c>
      <c r="V64" s="2">
        <f>V9*'Output-Calculation-sheet'!V53/10^9</f>
        <v>7.7470771798505256E-2</v>
      </c>
      <c r="W64" s="2">
        <f>W9*'Output-Calculation-sheet'!W53/10^9</f>
        <v>4.8410264027969378E-2</v>
      </c>
      <c r="X64" s="2">
        <f>X9*'Output-Calculation-sheet'!X53/10^9</f>
        <v>6.1482069299592282E-2</v>
      </c>
      <c r="Y64" s="2">
        <f>Y9*'Output-Calculation-sheet'!Y53/10^9</f>
        <v>4.0561772707161957E-2</v>
      </c>
      <c r="AA64" s="2">
        <f t="shared" si="4"/>
        <v>16.704628119505742</v>
      </c>
    </row>
    <row r="65" spans="1:27" x14ac:dyDescent="0.25">
      <c r="A65" s="2">
        <v>2033</v>
      </c>
      <c r="B65" s="2">
        <f>B10*'Output-Calculation-sheet'!B54/10^9</f>
        <v>4.8759349134700134</v>
      </c>
      <c r="C65" s="2">
        <f>C10*'Output-Calculation-sheet'!C54/10^9</f>
        <v>2.3603906469256093</v>
      </c>
      <c r="D65" s="2">
        <f>D10*'Output-Calculation-sheet'!D54/10^9</f>
        <v>1.0649715022163662</v>
      </c>
      <c r="E65" s="2">
        <f>E10*'Output-Calculation-sheet'!E54/10^9</f>
        <v>1.1858119712529562</v>
      </c>
      <c r="F65" s="2">
        <f>F10*'Output-Calculation-sheet'!F54/10^9</f>
        <v>0.54661590726200726</v>
      </c>
      <c r="G65" s="2">
        <f>G10*'Output-Calculation-sheet'!G54/10^9</f>
        <v>0.37838375972978283</v>
      </c>
      <c r="H65" s="2">
        <f>H10*'Output-Calculation-sheet'!H54/10^9</f>
        <v>0.70715316162711295</v>
      </c>
      <c r="I65" s="2">
        <f>I10*'Output-Calculation-sheet'!I54/10^9</f>
        <v>0.37328041219713815</v>
      </c>
      <c r="J65" s="2">
        <f>J10*'Output-Calculation-sheet'!J54/10^9</f>
        <v>0.33691534774118831</v>
      </c>
      <c r="K65" s="2">
        <f>K10*'Output-Calculation-sheet'!K54/10^9</f>
        <v>0.43503330126957512</v>
      </c>
      <c r="L65" s="2">
        <f>L10*'Output-Calculation-sheet'!L54/10^9</f>
        <v>0.35938059157884145</v>
      </c>
      <c r="M65" s="2">
        <f>M10*'Output-Calculation-sheet'!M54/10^9</f>
        <v>0.48860430845841402</v>
      </c>
      <c r="N65" s="2">
        <f>N10*'Output-Calculation-sheet'!N54/10^9</f>
        <v>0.51188702367072525</v>
      </c>
      <c r="O65" s="2">
        <f>O10*'Output-Calculation-sheet'!O54/10^9</f>
        <v>0.45963436097451571</v>
      </c>
      <c r="P65" s="2">
        <f>P10*'Output-Calculation-sheet'!P54/10^9</f>
        <v>0.38236693517941195</v>
      </c>
      <c r="Q65" s="2">
        <f>Q10*'Output-Calculation-sheet'!Q54/10^9</f>
        <v>0.3941309659370455</v>
      </c>
      <c r="R65" s="2">
        <f>R10*'Output-Calculation-sheet'!R54/10^9</f>
        <v>0.31498296597046777</v>
      </c>
      <c r="S65" s="2">
        <f>S10*'Output-Calculation-sheet'!S54/10^9</f>
        <v>0.2891313688354416</v>
      </c>
      <c r="T65" s="2">
        <f>T10*'Output-Calculation-sheet'!T54/10^9</f>
        <v>9.8321814659962897E-2</v>
      </c>
      <c r="U65" s="2">
        <f>U10*'Output-Calculation-sheet'!U54/10^9</f>
        <v>9.907412390553659E-2</v>
      </c>
      <c r="V65" s="2">
        <f>V10*'Output-Calculation-sheet'!V54/10^9</f>
        <v>7.362091216092953E-2</v>
      </c>
      <c r="W65" s="2">
        <f>W10*'Output-Calculation-sheet'!W54/10^9</f>
        <v>4.5979804617196342E-2</v>
      </c>
      <c r="X65" s="2">
        <f>X10*'Output-Calculation-sheet'!X54/10^9</f>
        <v>5.8213882173849124E-2</v>
      </c>
      <c r="Y65" s="2">
        <f>Y10*'Output-Calculation-sheet'!Y54/10^9</f>
        <v>3.8570680180836071E-2</v>
      </c>
      <c r="AA65" s="2">
        <f t="shared" si="4"/>
        <v>15.878390661994924</v>
      </c>
    </row>
    <row r="66" spans="1:27" x14ac:dyDescent="0.25">
      <c r="A66" s="2">
        <v>2034</v>
      </c>
      <c r="B66" s="2">
        <f>B11*'Output-Calculation-sheet'!B55/10^9</f>
        <v>4.3133156529019407</v>
      </c>
      <c r="C66" s="2">
        <f>C11*'Output-Calculation-sheet'!C55/10^9</f>
        <v>2.0839609168734676</v>
      </c>
      <c r="D66" s="2">
        <f>D11*'Output-Calculation-sheet'!D55/10^9</f>
        <v>0.94312278581424003</v>
      </c>
      <c r="E66" s="2">
        <f>E11*'Output-Calculation-sheet'!E55/10^9</f>
        <v>1.0505132888433169</v>
      </c>
      <c r="F66" s="2">
        <f>F11*'Output-Calculation-sheet'!F55/10^9</f>
        <v>0.48375485792305412</v>
      </c>
      <c r="G66" s="2">
        <f>G11*'Output-Calculation-sheet'!G55/10^9</f>
        <v>0.33512309712099186</v>
      </c>
      <c r="H66" s="2">
        <f>H11*'Output-Calculation-sheet'!H55/10^9</f>
        <v>0.62318233890220198</v>
      </c>
      <c r="I66" s="2">
        <f>I11*'Output-Calculation-sheet'!I55/10^9</f>
        <v>0.33055366703333217</v>
      </c>
      <c r="J66" s="2">
        <f>J11*'Output-Calculation-sheet'!J55/10^9</f>
        <v>0.29833723232851084</v>
      </c>
      <c r="K66" s="2">
        <f>K11*'Output-Calculation-sheet'!K55/10^9</f>
        <v>0.3852947969157634</v>
      </c>
      <c r="L66" s="2">
        <f>L11*'Output-Calculation-sheet'!L55/10^9</f>
        <v>0.31829660500259932</v>
      </c>
      <c r="M66" s="2">
        <f>M11*'Output-Calculation-sheet'!M55/10^9</f>
        <v>0.43060387463268335</v>
      </c>
      <c r="N66" s="2">
        <f>N11*'Output-Calculation-sheet'!N55/10^9</f>
        <v>0.45152428982650228</v>
      </c>
      <c r="O66" s="2">
        <f>O11*'Output-Calculation-sheet'!O55/10^9</f>
        <v>0.40915913199213649</v>
      </c>
      <c r="P66" s="2">
        <f>P11*'Output-Calculation-sheet'!P55/10^9</f>
        <v>0.3390638329003226</v>
      </c>
      <c r="Q66" s="2">
        <f>Q11*'Output-Calculation-sheet'!Q55/10^9</f>
        <v>0.34940676764922768</v>
      </c>
      <c r="R66" s="2">
        <f>R11*'Output-Calculation-sheet'!R55/10^9</f>
        <v>0.27915045201467903</v>
      </c>
      <c r="S66" s="2">
        <f>S11*'Output-Calculation-sheet'!S55/10^9</f>
        <v>0.25538829640016819</v>
      </c>
      <c r="T66" s="2">
        <f>T11*'Output-Calculation-sheet'!T55/10^9</f>
        <v>8.707282365242143E-2</v>
      </c>
      <c r="U66" s="2">
        <f>U11*'Output-Calculation-sheet'!U55/10^9</f>
        <v>8.7845329066389949E-2</v>
      </c>
      <c r="V66" s="2">
        <f>V11*'Output-Calculation-sheet'!V55/10^9</f>
        <v>6.5201730692391435E-2</v>
      </c>
      <c r="W66" s="2">
        <f>W11*'Output-Calculation-sheet'!W55/10^9</f>
        <v>4.0700217681696148E-2</v>
      </c>
      <c r="X66" s="2">
        <f>X11*'Output-Calculation-sheet'!X55/10^9</f>
        <v>5.1352292213797425E-2</v>
      </c>
      <c r="Y66" s="2">
        <f>Y11*'Output-Calculation-sheet'!Y55/10^9</f>
        <v>3.4182189630717355E-2</v>
      </c>
      <c r="AA66" s="2">
        <f t="shared" si="4"/>
        <v>14.046106468012555</v>
      </c>
    </row>
    <row r="67" spans="1:27" x14ac:dyDescent="0.25">
      <c r="A67" s="2">
        <v>2035</v>
      </c>
      <c r="B67" s="2">
        <f>B12*'Output-Calculation-sheet'!B56/10^9</f>
        <v>3.5272304050388046</v>
      </c>
      <c r="C67" s="2">
        <f>C12*'Output-Calculation-sheet'!C56/10^9</f>
        <v>1.7018089315662335</v>
      </c>
      <c r="D67" s="2">
        <f>D12*'Output-Calculation-sheet'!D56/10^9</f>
        <v>0.77289578324133634</v>
      </c>
      <c r="E67" s="2">
        <f>E12*'Output-Calculation-sheet'!E56/10^9</f>
        <v>0.86121015046907579</v>
      </c>
      <c r="F67" s="2">
        <f>F12*'Output-Calculation-sheet'!F56/10^9</f>
        <v>0.39617469762854701</v>
      </c>
      <c r="G67" s="2">
        <f>G12*'Output-Calculation-sheet'!G56/10^9</f>
        <v>0.27466651183504526</v>
      </c>
      <c r="H67" s="2">
        <f>H12*'Output-Calculation-sheet'!H56/10^9</f>
        <v>0.50802198250116559</v>
      </c>
      <c r="I67" s="2">
        <f>I12*'Output-Calculation-sheet'!I56/10^9</f>
        <v>0.27087475367973746</v>
      </c>
      <c r="J67" s="2">
        <f>J12*'Output-Calculation-sheet'!J56/10^9</f>
        <v>0.24446717499081508</v>
      </c>
      <c r="K67" s="2">
        <f>K12*'Output-Calculation-sheet'!K56/10^9</f>
        <v>0.31577988828161796</v>
      </c>
      <c r="L67" s="2">
        <f>L12*'Output-Calculation-sheet'!L56/10^9</f>
        <v>0.26087611050104254</v>
      </c>
      <c r="M67" s="2">
        <f>M12*'Output-Calculation-sheet'!M56/10^9</f>
        <v>0.35104613453311811</v>
      </c>
      <c r="N67" s="2">
        <f>N12*'Output-Calculation-sheet'!N56/10^9</f>
        <v>0.36842691596569133</v>
      </c>
      <c r="O67" s="2">
        <f>O12*'Output-Calculation-sheet'!O56/10^9</f>
        <v>0.3351129305144307</v>
      </c>
      <c r="P67" s="2">
        <f>P12*'Output-Calculation-sheet'!P56/10^9</f>
        <v>0.27822790865572927</v>
      </c>
      <c r="Q67" s="2">
        <f>Q12*'Output-Calculation-sheet'!Q56/10^9</f>
        <v>0.28663322826069476</v>
      </c>
      <c r="R67" s="2">
        <f>R12*'Output-Calculation-sheet'!R56/10^9</f>
        <v>0.2289341713789658</v>
      </c>
      <c r="S67" s="2">
        <f>S12*'Output-Calculation-sheet'!S56/10^9</f>
        <v>0.20862403012482281</v>
      </c>
      <c r="T67" s="2">
        <f>T12*'Output-Calculation-sheet'!T56/10^9</f>
        <v>7.135724861562584E-2</v>
      </c>
      <c r="U67" s="2">
        <f>U12*'Output-Calculation-sheet'!U56/10^9</f>
        <v>7.2077747220401417E-2</v>
      </c>
      <c r="V67" s="2">
        <f>V12*'Output-Calculation-sheet'!V56/10^9</f>
        <v>5.3435493994488541E-2</v>
      </c>
      <c r="W67" s="2">
        <f>W12*'Output-Calculation-sheet'!W56/10^9</f>
        <v>3.3338615079359535E-2</v>
      </c>
      <c r="X67" s="2">
        <f>X12*'Output-Calculation-sheet'!X56/10^9</f>
        <v>4.1902355287013103E-2</v>
      </c>
      <c r="Y67" s="2">
        <f>Y12*'Output-Calculation-sheet'!Y56/10^9</f>
        <v>2.8032808781071481E-2</v>
      </c>
      <c r="AA67" s="2">
        <f t="shared" si="4"/>
        <v>11.491155978144832</v>
      </c>
    </row>
    <row r="68" spans="1:27" x14ac:dyDescent="0.25">
      <c r="B68" s="2">
        <f>SUM(B60:B67)</f>
        <v>33.868443408414407</v>
      </c>
      <c r="C68" s="2">
        <f t="shared" ref="C68:Y68" si="5">SUM(C60:C67)</f>
        <v>16.282885149666104</v>
      </c>
      <c r="D68" s="2">
        <f t="shared" si="5"/>
        <v>7.4184660070302773</v>
      </c>
      <c r="E68" s="2">
        <f t="shared" si="5"/>
        <v>8.255250791170246</v>
      </c>
      <c r="F68" s="2">
        <f t="shared" si="5"/>
        <v>3.8116601992025769</v>
      </c>
      <c r="G68" s="2">
        <f t="shared" si="5"/>
        <v>2.6354365428202882</v>
      </c>
      <c r="H68" s="2">
        <f t="shared" si="5"/>
        <v>4.9446003343698326</v>
      </c>
      <c r="I68" s="2">
        <f t="shared" si="5"/>
        <v>2.6003717975502649</v>
      </c>
      <c r="J68" s="2">
        <f t="shared" si="5"/>
        <v>2.3473124501562608</v>
      </c>
      <c r="K68" s="2">
        <f t="shared" si="5"/>
        <v>3.0297309051211059</v>
      </c>
      <c r="L68" s="2">
        <f t="shared" si="5"/>
        <v>2.5028739672180706</v>
      </c>
      <c r="M68" s="2">
        <f t="shared" si="5"/>
        <v>3.415863634138494</v>
      </c>
      <c r="N68" s="2">
        <f t="shared" si="5"/>
        <v>3.5735565481506102</v>
      </c>
      <c r="O68" s="2">
        <f t="shared" si="5"/>
        <v>3.1734876577105213</v>
      </c>
      <c r="P68" s="2">
        <f t="shared" si="5"/>
        <v>2.6576020329320111</v>
      </c>
      <c r="Q68" s="2">
        <f t="shared" si="5"/>
        <v>2.740345763541403</v>
      </c>
      <c r="R68" s="2">
        <f t="shared" si="5"/>
        <v>2.1914350512840888</v>
      </c>
      <c r="S68" s="2">
        <f t="shared" si="5"/>
        <v>2.0129002628433112</v>
      </c>
      <c r="T68" s="2">
        <f t="shared" si="5"/>
        <v>0.68486793998584172</v>
      </c>
      <c r="U68" s="2">
        <f t="shared" si="5"/>
        <v>0.68876844804773396</v>
      </c>
      <c r="V68" s="2">
        <f t="shared" si="5"/>
        <v>0.51273884137619374</v>
      </c>
      <c r="W68" s="2">
        <f t="shared" si="5"/>
        <v>0.3205239431696762</v>
      </c>
      <c r="X68" s="2">
        <f t="shared" si="5"/>
        <v>0.40631534188578783</v>
      </c>
      <c r="Y68" s="2">
        <f t="shared" si="5"/>
        <v>0.26836049174950133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10170098293.369987</v>
      </c>
      <c r="C96" s="2">
        <f>C8/'Output-Calculation-sheet'!C7*'Output-Calculation-sheet'!C79</f>
        <v>0</v>
      </c>
      <c r="D96" s="2">
        <f>D8/'Output-Calculation-sheet'!D7*'Output-Calculation-sheet'!D79</f>
        <v>6190433983.1647272</v>
      </c>
      <c r="E96" s="2">
        <f>E8/'Output-Calculation-sheet'!E7*'Output-Calculation-sheet'!E79</f>
        <v>9696436775.7403507</v>
      </c>
      <c r="F96" s="2">
        <f>F8/'Output-Calculation-sheet'!F7*'Output-Calculation-sheet'!F79</f>
        <v>4641460779.5559893</v>
      </c>
      <c r="G96" s="2">
        <f>G8/'Output-Calculation-sheet'!G7*'Output-Calculation-sheet'!G79</f>
        <v>3538430406.5461454</v>
      </c>
      <c r="H96" s="2">
        <f>H8/'Output-Calculation-sheet'!H7*'Output-Calculation-sheet'!H79</f>
        <v>956312948.22695649</v>
      </c>
      <c r="I96" s="2">
        <f>I8/'Output-Calculation-sheet'!I7*'Output-Calculation-sheet'!I79</f>
        <v>2426595651.9296002</v>
      </c>
      <c r="J96" s="2">
        <f>J8/'Output-Calculation-sheet'!J7*'Output-Calculation-sheet'!J79</f>
        <v>1727305873.9512961</v>
      </c>
      <c r="K96" s="2">
        <f>K8/'Output-Calculation-sheet'!K7*'Output-Calculation-sheet'!K79</f>
        <v>2152786740.109025</v>
      </c>
      <c r="L96" s="2">
        <f>L8/'Output-Calculation-sheet'!L7*'Output-Calculation-sheet'!L79</f>
        <v>1498039236.6475425</v>
      </c>
      <c r="M96" s="2">
        <f>M8/'Output-Calculation-sheet'!M7*'Output-Calculation-sheet'!M79</f>
        <v>708939581.14923799</v>
      </c>
      <c r="N96" s="2">
        <f>N8/'Output-Calculation-sheet'!N7*'Output-Calculation-sheet'!N79</f>
        <v>790115792.57882237</v>
      </c>
      <c r="O96" s="2">
        <f>O8/'Output-Calculation-sheet'!O7*'Output-Calculation-sheet'!O79</f>
        <v>0</v>
      </c>
      <c r="P96" s="2">
        <f>P8/'Output-Calculation-sheet'!P7*'Output-Calculation-sheet'!P79</f>
        <v>1827356811.265116</v>
      </c>
      <c r="Q96" s="2">
        <f>Q8/'Output-Calculation-sheet'!Q7*'Output-Calculation-sheet'!Q79</f>
        <v>848350910.06261766</v>
      </c>
      <c r="R96" s="2">
        <f>R8/'Output-Calculation-sheet'!R7*'Output-Calculation-sheet'!R79</f>
        <v>1308894824.1934836</v>
      </c>
      <c r="S96" s="2">
        <f>S8/'Output-Calculation-sheet'!S7*'Output-Calculation-sheet'!S79</f>
        <v>479429461.05850261</v>
      </c>
      <c r="T96" s="2">
        <f>T8/'Output-Calculation-sheet'!T7*'Output-Calculation-sheet'!T79</f>
        <v>686064812.59869778</v>
      </c>
      <c r="U96" s="2">
        <f>U8/'Output-Calculation-sheet'!U7*'Output-Calculation-sheet'!U79</f>
        <v>348339565.44354296</v>
      </c>
      <c r="V96" s="2">
        <f>V8/'Output-Calculation-sheet'!V7*'Output-Calculation-sheet'!V79</f>
        <v>211165779.26361096</v>
      </c>
      <c r="W96" s="2">
        <f>W8/'Output-Calculation-sheet'!W7*'Output-Calculation-sheet'!W79</f>
        <v>735379948.40429771</v>
      </c>
      <c r="X96" s="2">
        <f>X8/'Output-Calculation-sheet'!X7*'Output-Calculation-sheet'!X79</f>
        <v>68561338.804005966</v>
      </c>
      <c r="Y96" s="2">
        <f>Y8/'Output-Calculation-sheet'!Y7*'Output-Calculation-sheet'!Y79</f>
        <v>312810257.47302955</v>
      </c>
      <c r="AA96" s="2">
        <f t="shared" si="8"/>
        <v>51.323309771536586</v>
      </c>
    </row>
    <row r="97" spans="1:27" x14ac:dyDescent="0.25">
      <c r="A97" s="2">
        <v>2032</v>
      </c>
      <c r="B97" s="2">
        <f>B9/'Output-Calculation-sheet'!B8*'Output-Calculation-sheet'!B80</f>
        <v>10506659667.804741</v>
      </c>
      <c r="C97" s="2">
        <f>C9/'Output-Calculation-sheet'!C8*'Output-Calculation-sheet'!C80</f>
        <v>0</v>
      </c>
      <c r="D97" s="2">
        <f>D9/'Output-Calculation-sheet'!D8*'Output-Calculation-sheet'!D80</f>
        <v>6099428217.4358253</v>
      </c>
      <c r="E97" s="2">
        <f>E9/'Output-Calculation-sheet'!E8*'Output-Calculation-sheet'!E80</f>
        <v>9840374241.7919464</v>
      </c>
      <c r="F97" s="2">
        <f>F9/'Output-Calculation-sheet'!F8*'Output-Calculation-sheet'!F80</f>
        <v>4694013458.4689379</v>
      </c>
      <c r="G97" s="2">
        <f>G9/'Output-Calculation-sheet'!G8*'Output-Calculation-sheet'!G80</f>
        <v>3475809444.2390299</v>
      </c>
      <c r="H97" s="2">
        <f>H9/'Output-Calculation-sheet'!H8*'Output-Calculation-sheet'!H80</f>
        <v>992626980.33225226</v>
      </c>
      <c r="I97" s="2">
        <f>I9/'Output-Calculation-sheet'!I8*'Output-Calculation-sheet'!I80</f>
        <v>2478512343.3093019</v>
      </c>
      <c r="J97" s="2">
        <f>J9/'Output-Calculation-sheet'!J8*'Output-Calculation-sheet'!J80</f>
        <v>1714114564.855778</v>
      </c>
      <c r="K97" s="2">
        <f>K9/'Output-Calculation-sheet'!K8*'Output-Calculation-sheet'!K80</f>
        <v>2156211263.5878897</v>
      </c>
      <c r="L97" s="2">
        <f>L9/'Output-Calculation-sheet'!L8*'Output-Calculation-sheet'!L80</f>
        <v>1548129287.4916763</v>
      </c>
      <c r="M97" s="2">
        <f>M9/'Output-Calculation-sheet'!M8*'Output-Calculation-sheet'!M80</f>
        <v>737162945.34375906</v>
      </c>
      <c r="N97" s="2">
        <f>N9/'Output-Calculation-sheet'!N8*'Output-Calculation-sheet'!N80</f>
        <v>784631242.64839339</v>
      </c>
      <c r="O97" s="2">
        <f>O9/'Output-Calculation-sheet'!O8*'Output-Calculation-sheet'!O80</f>
        <v>0</v>
      </c>
      <c r="P97" s="2">
        <f>P9/'Output-Calculation-sheet'!P8*'Output-Calculation-sheet'!P80</f>
        <v>1836176912.932493</v>
      </c>
      <c r="Q97" s="2">
        <f>Q9/'Output-Calculation-sheet'!Q8*'Output-Calculation-sheet'!Q80</f>
        <v>856114933.64669549</v>
      </c>
      <c r="R97" s="2">
        <f>R9/'Output-Calculation-sheet'!R8*'Output-Calculation-sheet'!R80</f>
        <v>1326912578.7281556</v>
      </c>
      <c r="S97" s="2">
        <f>S9/'Output-Calculation-sheet'!S8*'Output-Calculation-sheet'!S80</f>
        <v>499968398.24862492</v>
      </c>
      <c r="T97" s="2">
        <f>T9/'Output-Calculation-sheet'!T8*'Output-Calculation-sheet'!T80</f>
        <v>682339841.66234028</v>
      </c>
      <c r="U97" s="2">
        <f>U9/'Output-Calculation-sheet'!U8*'Output-Calculation-sheet'!U80</f>
        <v>353288797.51955807</v>
      </c>
      <c r="V97" s="2">
        <f>V9/'Output-Calculation-sheet'!V8*'Output-Calculation-sheet'!V80</f>
        <v>216578228.47733048</v>
      </c>
      <c r="W97" s="2">
        <f>W9/'Output-Calculation-sheet'!W8*'Output-Calculation-sheet'!W80</f>
        <v>737341678.97971666</v>
      </c>
      <c r="X97" s="2">
        <f>X9/'Output-Calculation-sheet'!X8*'Output-Calculation-sheet'!X80</f>
        <v>72999354.419040933</v>
      </c>
      <c r="Y97" s="2">
        <f>Y9/'Output-Calculation-sheet'!Y8*'Output-Calculation-sheet'!Y80</f>
        <v>313962239.47978717</v>
      </c>
      <c r="AA97" s="2">
        <f t="shared" si="8"/>
        <v>51.923356621403293</v>
      </c>
    </row>
    <row r="98" spans="1:27" x14ac:dyDescent="0.25">
      <c r="A98" s="2">
        <v>2033</v>
      </c>
      <c r="B98" s="2">
        <f>B10/'Output-Calculation-sheet'!B9*'Output-Calculation-sheet'!B81</f>
        <v>10519456730.584314</v>
      </c>
      <c r="C98" s="2">
        <f>C10/'Output-Calculation-sheet'!C9*'Output-Calculation-sheet'!C81</f>
        <v>1377738120.5529263</v>
      </c>
      <c r="D98" s="2">
        <f>D10/'Output-Calculation-sheet'!D9*'Output-Calculation-sheet'!D81</f>
        <v>5608265084.3721962</v>
      </c>
      <c r="E98" s="2">
        <f>E10/'Output-Calculation-sheet'!E9*'Output-Calculation-sheet'!E81</f>
        <v>9311681137.5825729</v>
      </c>
      <c r="F98" s="2">
        <f>F10/'Output-Calculation-sheet'!F9*'Output-Calculation-sheet'!F81</f>
        <v>4433198284.1413631</v>
      </c>
      <c r="G98" s="2">
        <f>G10/'Output-Calculation-sheet'!G9*'Output-Calculation-sheet'!G81</f>
        <v>3183378751.0546474</v>
      </c>
      <c r="H98" s="2">
        <f>H10/'Output-Calculation-sheet'!H9*'Output-Calculation-sheet'!H81</f>
        <v>959389606.88447225</v>
      </c>
      <c r="I98" s="2">
        <f>I10/'Output-Calculation-sheet'!I9*'Output-Calculation-sheet'!I81</f>
        <v>2362787259.1220894</v>
      </c>
      <c r="J98" s="2">
        <f>J10/'Output-Calculation-sheet'!J9*'Output-Calculation-sheet'!J81</f>
        <v>1588801782.0142243</v>
      </c>
      <c r="K98" s="2">
        <f>K10/'Output-Calculation-sheet'!K9*'Output-Calculation-sheet'!K81</f>
        <v>2017726372.6530826</v>
      </c>
      <c r="L98" s="2">
        <f>L10/'Output-Calculation-sheet'!L9*'Output-Calculation-sheet'!L81</f>
        <v>1491795238.1163404</v>
      </c>
      <c r="M98" s="2">
        <f>M10/'Output-Calculation-sheet'!M9*'Output-Calculation-sheet'!M81</f>
        <v>715324436.09561622</v>
      </c>
      <c r="N98" s="2">
        <f>N10/'Output-Calculation-sheet'!N9*'Output-Calculation-sheet'!N81</f>
        <v>727916342.66182482</v>
      </c>
      <c r="O98" s="2">
        <f>O10/'Output-Calculation-sheet'!O9*'Output-Calculation-sheet'!O81</f>
        <v>0</v>
      </c>
      <c r="P98" s="2">
        <f>P10/'Output-Calculation-sheet'!P9*'Output-Calculation-sheet'!P81</f>
        <v>1716592979.8790755</v>
      </c>
      <c r="Q98" s="2">
        <f>Q10/'Output-Calculation-sheet'!Q9*'Output-Calculation-sheet'!Q81</f>
        <v>805743967.44098771</v>
      </c>
      <c r="R98" s="2">
        <f>R10/'Output-Calculation-sheet'!R9*'Output-Calculation-sheet'!R81</f>
        <v>1257329960.7705469</v>
      </c>
      <c r="S98" s="2">
        <f>S10/'Output-Calculation-sheet'!S9*'Output-Calculation-sheet'!S81</f>
        <v>477428819.69409907</v>
      </c>
      <c r="T98" s="2">
        <f>T10/'Output-Calculation-sheet'!T9*'Output-Calculation-sheet'!T81</f>
        <v>633696003.03271449</v>
      </c>
      <c r="U98" s="2">
        <f>U10/'Output-Calculation-sheet'!U9*'Output-Calculation-sheet'!U81</f>
        <v>334022435.80543417</v>
      </c>
      <c r="V98" s="2">
        <f>V10/'Output-Calculation-sheet'!V9*'Output-Calculation-sheet'!V81</f>
        <v>206991407.72090399</v>
      </c>
      <c r="W98" s="2">
        <f>W10/'Output-Calculation-sheet'!W9*'Output-Calculation-sheet'!W81</f>
        <v>688178335.174739</v>
      </c>
      <c r="X98" s="2">
        <f>X10/'Output-Calculation-sheet'!X9*'Output-Calculation-sheet'!X81</f>
        <v>71588343.501821816</v>
      </c>
      <c r="Y98" s="2">
        <f>Y10/'Output-Calculation-sheet'!Y9*'Output-Calculation-sheet'!Y81</f>
        <v>293785740.87771654</v>
      </c>
      <c r="AA98" s="2">
        <f t="shared" si="8"/>
        <v>50.782817139733709</v>
      </c>
    </row>
    <row r="99" spans="1:27" x14ac:dyDescent="0.25">
      <c r="A99" s="2">
        <v>2034</v>
      </c>
      <c r="B99" s="2">
        <f>B11/'Output-Calculation-sheet'!B10*'Output-Calculation-sheet'!B82</f>
        <v>9634635160.8524723</v>
      </c>
      <c r="C99" s="2">
        <f>C11/'Output-Calculation-sheet'!C10*'Output-Calculation-sheet'!C82</f>
        <v>1306695649.6094596</v>
      </c>
      <c r="D99" s="2">
        <f>D11/'Output-Calculation-sheet'!D10*'Output-Calculation-sheet'!D82</f>
        <v>4807226970.2933683</v>
      </c>
      <c r="E99" s="2">
        <f>E11/'Output-Calculation-sheet'!E10*'Output-Calculation-sheet'!E82</f>
        <v>8221178066.5062227</v>
      </c>
      <c r="F99" s="2">
        <f>F11/'Output-Calculation-sheet'!F10*'Output-Calculation-sheet'!F82</f>
        <v>3904304662.8438807</v>
      </c>
      <c r="G99" s="2">
        <f>G11/'Output-Calculation-sheet'!G10*'Output-Calculation-sheet'!G82</f>
        <v>2712152871.3629465</v>
      </c>
      <c r="H99" s="2">
        <f>H11/'Output-Calculation-sheet'!H10*'Output-Calculation-sheet'!H82</f>
        <v>865429999.15647507</v>
      </c>
      <c r="I99" s="2">
        <f>I11/'Output-Calculation-sheet'!I10*'Output-Calculation-sheet'!I82</f>
        <v>2102404073.3710499</v>
      </c>
      <c r="J99" s="2">
        <f>J11/'Output-Calculation-sheet'!J10*'Output-Calculation-sheet'!J82</f>
        <v>1373570720.3333287</v>
      </c>
      <c r="K99" s="2">
        <f>K11/'Output-Calculation-sheet'!K10*'Output-Calculation-sheet'!K82</f>
        <v>1761163542.6487129</v>
      </c>
      <c r="L99" s="2">
        <f>L11/'Output-Calculation-sheet'!L10*'Output-Calculation-sheet'!L82</f>
        <v>1339194788.8594093</v>
      </c>
      <c r="M99" s="2">
        <f>M11/'Output-Calculation-sheet'!M10*'Output-Calculation-sheet'!M82</f>
        <v>647368474.1017499</v>
      </c>
      <c r="N99" s="2">
        <f>N11/'Output-Calculation-sheet'!N10*'Output-Calculation-sheet'!N82</f>
        <v>631802611.24316549</v>
      </c>
      <c r="O99" s="2">
        <f>O11/'Output-Calculation-sheet'!O10*'Output-Calculation-sheet'!O82</f>
        <v>0</v>
      </c>
      <c r="P99" s="2">
        <f>P11/'Output-Calculation-sheet'!P10*'Output-Calculation-sheet'!P82</f>
        <v>1494365684.5229242</v>
      </c>
      <c r="Q99" s="2">
        <f>Q11/'Output-Calculation-sheet'!Q10*'Output-Calculation-sheet'!Q82</f>
        <v>707591996.79180658</v>
      </c>
      <c r="R99" s="2">
        <f>R11/'Output-Calculation-sheet'!R10*'Output-Calculation-sheet'!R82</f>
        <v>1110447916.2827315</v>
      </c>
      <c r="S99" s="2">
        <f>S11/'Output-Calculation-sheet'!S10*'Output-Calculation-sheet'!S82</f>
        <v>432667689.70743293</v>
      </c>
      <c r="T99" s="2">
        <f>T11/'Output-Calculation-sheet'!T10*'Output-Calculation-sheet'!T82</f>
        <v>548645656.40981627</v>
      </c>
      <c r="U99" s="2">
        <f>U11/'Output-Calculation-sheet'!U10*'Output-Calculation-sheet'!U82</f>
        <v>294912050.09436929</v>
      </c>
      <c r="V99" s="2">
        <f>V11/'Output-Calculation-sheet'!V10*'Output-Calculation-sheet'!V82</f>
        <v>184489476.03494316</v>
      </c>
      <c r="W99" s="2">
        <f>W11/'Output-Calculation-sheet'!W10*'Output-Calculation-sheet'!W82</f>
        <v>598042917.53889048</v>
      </c>
      <c r="X99" s="2">
        <f>X11/'Output-Calculation-sheet'!X10*'Output-Calculation-sheet'!X82</f>
        <v>65804960.653810412</v>
      </c>
      <c r="Y99" s="2">
        <f>Y11/'Output-Calculation-sheet'!Y10*'Output-Calculation-sheet'!Y82</f>
        <v>255886417.517914</v>
      </c>
      <c r="AA99" s="2">
        <f t="shared" si="8"/>
        <v>44.999982356736879</v>
      </c>
    </row>
    <row r="100" spans="1:27" x14ac:dyDescent="0.25">
      <c r="A100" s="2">
        <v>2035</v>
      </c>
      <c r="B100" s="2">
        <f>B12/'Output-Calculation-sheet'!B11*'Output-Calculation-sheet'!B83</f>
        <v>8032813698.0539227</v>
      </c>
      <c r="C100" s="2">
        <f>C12/'Output-Calculation-sheet'!C11*'Output-Calculation-sheet'!C83</f>
        <v>1136525920.4908102</v>
      </c>
      <c r="D100" s="2">
        <f>D12/'Output-Calculation-sheet'!D11*'Output-Calculation-sheet'!D83</f>
        <v>3820438673.0682507</v>
      </c>
      <c r="E100" s="2">
        <f>E12/'Output-Calculation-sheet'!E11*'Output-Calculation-sheet'!E83</f>
        <v>6721366776.3405724</v>
      </c>
      <c r="F100" s="2">
        <f>F12/'Output-Calculation-sheet'!F11*'Output-Calculation-sheet'!F83</f>
        <v>3185300890.9056544</v>
      </c>
      <c r="G100" s="2">
        <f>G12/'Output-Calculation-sheet'!G11*'Output-Calculation-sheet'!G83</f>
        <v>2136302719.2038038</v>
      </c>
      <c r="H100" s="2">
        <f>H12/'Output-Calculation-sheet'!H11*'Output-Calculation-sheet'!H83</f>
        <v>719846125.79029036</v>
      </c>
      <c r="I100" s="2">
        <f>I12/'Output-Calculation-sheet'!I11*'Output-Calculation-sheet'!I83</f>
        <v>1730898282.3636372</v>
      </c>
      <c r="J100" s="2">
        <f>J12/'Output-Calculation-sheet'!J11*'Output-Calculation-sheet'!J83</f>
        <v>1099669459.1678076</v>
      </c>
      <c r="K100" s="2">
        <f>K12/'Output-Calculation-sheet'!K11*'Output-Calculation-sheet'!K83</f>
        <v>1423427995.3601286</v>
      </c>
      <c r="L100" s="2">
        <f>L12/'Output-Calculation-sheet'!L11*'Output-Calculation-sheet'!L83</f>
        <v>1112177105.7551358</v>
      </c>
      <c r="M100" s="2">
        <f>M12/'Output-Calculation-sheet'!M11*'Output-Calculation-sheet'!M83</f>
        <v>539559460.6910845</v>
      </c>
      <c r="N100" s="2">
        <f>N12/'Output-Calculation-sheet'!N11*'Output-Calculation-sheet'!N83</f>
        <v>508280775.05655366</v>
      </c>
      <c r="O100" s="2">
        <f>O12/'Output-Calculation-sheet'!O11*'Output-Calculation-sheet'!O83</f>
        <v>137127673.63318118</v>
      </c>
      <c r="P100" s="2">
        <f>P12/'Output-Calculation-sheet'!P11*'Output-Calculation-sheet'!P83</f>
        <v>1204033160.7800837</v>
      </c>
      <c r="Q100" s="2">
        <f>Q12/'Output-Calculation-sheet'!Q11*'Output-Calculation-sheet'!Q83</f>
        <v>577426051.02575314</v>
      </c>
      <c r="R100" s="2">
        <f>R12/'Output-Calculation-sheet'!R11*'Output-Calculation-sheet'!R83</f>
        <v>909562044.01539695</v>
      </c>
      <c r="S100" s="2">
        <f>S12/'Output-Calculation-sheet'!S11*'Output-Calculation-sheet'!S83</f>
        <v>352774960.84745085</v>
      </c>
      <c r="T100" s="2">
        <f>T12/'Output-Calculation-sheet'!T11*'Output-Calculation-sheet'!T83</f>
        <v>439712194.15002102</v>
      </c>
      <c r="U100" s="2">
        <f>U12/'Output-Calculation-sheet'!U11*'Output-Calculation-sheet'!U83</f>
        <v>240872216.64853325</v>
      </c>
      <c r="V100" s="2">
        <f>V12/'Output-Calculation-sheet'!V11*'Output-Calculation-sheet'!V83</f>
        <v>152241563.07892123</v>
      </c>
      <c r="W100" s="2">
        <f>W12/'Output-Calculation-sheet'!W11*'Output-Calculation-sheet'!W83</f>
        <v>480402754.62764943</v>
      </c>
      <c r="X100" s="2">
        <f>X12/'Output-Calculation-sheet'!X11*'Output-Calculation-sheet'!X83</f>
        <v>55900608.137770198</v>
      </c>
      <c r="Y100" s="2">
        <f>Y12/'Output-Calculation-sheet'!Y11*'Output-Calculation-sheet'!Y83</f>
        <v>206260872.68591198</v>
      </c>
      <c r="AA100" s="2">
        <f t="shared" si="8"/>
        <v>36.922921981878332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3.6876030160428401E-4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3318934072.7522035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2273963696.3312273</v>
      </c>
      <c r="N118" s="2">
        <f>N8/'Output-Calculation-sheet'!N7*'Output-Calculation-sheet'!N97</f>
        <v>1503231818.557308</v>
      </c>
      <c r="O118" s="2">
        <f>O8/'Output-Calculation-sheet'!O7*'Output-Calculation-sheet'!O97</f>
        <v>2.028910886318654E-5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372652138.84505486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216119180.22493139</v>
      </c>
      <c r="Y118" s="2">
        <f>Y8/'Output-Calculation-sheet'!Y7*'Output-Calculation-sheet'!Y97</f>
        <v>0</v>
      </c>
      <c r="AA118" s="2">
        <f t="shared" si="10"/>
        <v>7684.9009067111137</v>
      </c>
    </row>
    <row r="119" spans="1:27" x14ac:dyDescent="0.25">
      <c r="A119" s="2">
        <v>2032</v>
      </c>
      <c r="B119" s="2">
        <f>B9/'Output-Calculation-sheet'!B8*'Output-Calculation-sheet'!B98</f>
        <v>3257087.2008104748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3497637352.2383795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2393555383.8090787</v>
      </c>
      <c r="N119" s="2">
        <f>N9/'Output-Calculation-sheet'!N8*'Output-Calculation-sheet'!N98</f>
        <v>1746307321.9929473</v>
      </c>
      <c r="O119" s="2">
        <f>O9/'Output-Calculation-sheet'!O8*'Output-Calculation-sheet'!O98</f>
        <v>1.7811140334816395E-4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549458941.89761341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230523730.25850776</v>
      </c>
      <c r="Y119" s="2">
        <f>Y9/'Output-Calculation-sheet'!Y8*'Output-Calculation-sheet'!Y98</f>
        <v>0</v>
      </c>
      <c r="AA119" s="2">
        <f t="shared" si="10"/>
        <v>8420.7398173975162</v>
      </c>
    </row>
    <row r="120" spans="1:27" x14ac:dyDescent="0.25">
      <c r="A120" s="2">
        <v>2033</v>
      </c>
      <c r="B120" s="2">
        <f>B10/'Output-Calculation-sheet'!B9*'Output-Calculation-sheet'!B99</f>
        <v>4165398391.1961803</v>
      </c>
      <c r="C120" s="2">
        <f>C10/'Output-Calculation-sheet'!C9*'Output-Calculation-sheet'!C99</f>
        <v>7752951723.6747961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3429488095.7785106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2349178356.6131411</v>
      </c>
      <c r="N120" s="2">
        <f>N10/'Output-Calculation-sheet'!N9*'Output-Calculation-sheet'!N99</f>
        <v>1856860531.0211432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649535200.90914965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226373291.42686313</v>
      </c>
      <c r="Y120" s="2">
        <f>Y10/'Output-Calculation-sheet'!Y9*'Output-Calculation-sheet'!Y99</f>
        <v>0</v>
      </c>
      <c r="AA120" s="2">
        <f t="shared" si="10"/>
        <v>20429.785590619784</v>
      </c>
    </row>
    <row r="121" spans="1:27" x14ac:dyDescent="0.25">
      <c r="A121" s="2">
        <v>2034</v>
      </c>
      <c r="B121" s="2">
        <f>B11/'Output-Calculation-sheet'!B10*'Output-Calculation-sheet'!B100</f>
        <v>6308656824.9997911</v>
      </c>
      <c r="C121" s="2">
        <f>C11/'Output-Calculation-sheet'!C10*'Output-Calculation-sheet'!C100</f>
        <v>7308951977.5697861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3135977105.2143698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2148470729.8615985</v>
      </c>
      <c r="N121" s="2">
        <f>N11/'Output-Calculation-sheet'!N10*'Output-Calculation-sheet'!N100</f>
        <v>1754095375.4746675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673375279.43868732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208278345.81161863</v>
      </c>
      <c r="Y121" s="2">
        <f>Y11/'Output-Calculation-sheet'!Y10*'Output-Calculation-sheet'!Y100</f>
        <v>0</v>
      </c>
      <c r="AA121" s="2">
        <f t="shared" si="10"/>
        <v>21537.805638370519</v>
      </c>
    </row>
    <row r="122" spans="1:27" x14ac:dyDescent="0.25">
      <c r="A122" s="2">
        <v>2035</v>
      </c>
      <c r="B122" s="2">
        <f>B12/'Output-Calculation-sheet'!B11*'Output-Calculation-sheet'!B101</f>
        <v>6465523999.1202707</v>
      </c>
      <c r="C122" s="2">
        <f>C12/'Output-Calculation-sheet'!C11*'Output-Calculation-sheet'!C101</f>
        <v>6319473270.0224371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2642142154.5403919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1808094733.9125459</v>
      </c>
      <c r="N122" s="2">
        <f>N12/'Output-Calculation-sheet'!N11*'Output-Calculation-sheet'!N101</f>
        <v>1511206708.0883794</v>
      </c>
      <c r="O122" s="2">
        <f>O12/'Output-Calculation-sheet'!O11*'Output-Calculation-sheet'!O101</f>
        <v>1080051306.6118631</v>
      </c>
      <c r="P122" s="2">
        <f>P12/'Output-Calculation-sheet'!P11*'Output-Calculation-sheet'!P101</f>
        <v>0</v>
      </c>
      <c r="Q122" s="2">
        <f>Q12/'Output-Calculation-sheet'!Q11*'Output-Calculation-sheet'!Q101</f>
        <v>19715914.803011145</v>
      </c>
      <c r="R122" s="2">
        <f>R12/'Output-Calculation-sheet'!R11*'Output-Calculation-sheet'!R101</f>
        <v>0</v>
      </c>
      <c r="S122" s="2">
        <f>S12/'Output-Calculation-sheet'!S11*'Output-Calculation-sheet'!S101</f>
        <v>636263913.70900154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177024504.5826039</v>
      </c>
      <c r="Y122" s="2">
        <f>Y12/'Output-Calculation-sheet'!Y11*'Output-Calculation-sheet'!Y101</f>
        <v>0</v>
      </c>
      <c r="AA122" s="2">
        <f t="shared" si="10"/>
        <v>20659.496505390503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41595061588.923958</v>
      </c>
      <c r="C129" s="2">
        <f>C8/'Output-Calculation-sheet'!C7*'Output-Calculation-sheet'!C106</f>
        <v>0</v>
      </c>
      <c r="D129" s="2">
        <f>D8/'Output-Calculation-sheet'!D7*'Output-Calculation-sheet'!D106</f>
        <v>30110515165.306522</v>
      </c>
      <c r="E129" s="2">
        <f>E8/'Output-Calculation-sheet'!E7*'Output-Calculation-sheet'!E106</f>
        <v>21046965734.576454</v>
      </c>
      <c r="F129" s="2">
        <f>F8/'Output-Calculation-sheet'!F7*'Output-Calculation-sheet'!F106</f>
        <v>15669486958.556545</v>
      </c>
      <c r="G129" s="2">
        <f>G8/'Output-Calculation-sheet'!G7*'Output-Calculation-sheet'!G106</f>
        <v>10775666565.786615</v>
      </c>
      <c r="H129" s="2">
        <f>H8/'Output-Calculation-sheet'!H7*'Output-Calculation-sheet'!H106</f>
        <v>0</v>
      </c>
      <c r="I129" s="2">
        <f>I8/'Output-Calculation-sheet'!I7*'Output-Calculation-sheet'!I106</f>
        <v>9664944061.3158016</v>
      </c>
      <c r="J129" s="2">
        <f>J8/'Output-Calculation-sheet'!J7*'Output-Calculation-sheet'!J106</f>
        <v>9902393253.7548122</v>
      </c>
      <c r="K129" s="2">
        <f>K8/'Output-Calculation-sheet'!K7*'Output-Calculation-sheet'!K106</f>
        <v>8543567399.874465</v>
      </c>
      <c r="L129" s="2">
        <f>L8/'Output-Calculation-sheet'!L7*'Output-Calculation-sheet'!L106</f>
        <v>6759164269.7393503</v>
      </c>
      <c r="M129" s="2">
        <f>M8/'Output-Calculation-sheet'!M7*'Output-Calculation-sheet'!M106</f>
        <v>0</v>
      </c>
      <c r="N129" s="2">
        <f>N8/'Output-Calculation-sheet'!N7*'Output-Calculation-sheet'!N106</f>
        <v>1839754517.841116</v>
      </c>
      <c r="O129" s="2">
        <f>O8/'Output-Calculation-sheet'!O7*'Output-Calculation-sheet'!O106</f>
        <v>0</v>
      </c>
      <c r="P129" s="2">
        <f>P8/'Output-Calculation-sheet'!P7*'Output-Calculation-sheet'!P106</f>
        <v>4162499239.6999669</v>
      </c>
      <c r="Q129" s="2">
        <f>Q8/'Output-Calculation-sheet'!Q7*'Output-Calculation-sheet'!Q106</f>
        <v>4079473484.9633813</v>
      </c>
      <c r="R129" s="2">
        <f>R8/'Output-Calculation-sheet'!R7*'Output-Calculation-sheet'!R106</f>
        <v>4853413664.6072617</v>
      </c>
      <c r="S129" s="2">
        <f>S8/'Output-Calculation-sheet'!S7*'Output-Calculation-sheet'!S106</f>
        <v>1655162192.9826205</v>
      </c>
      <c r="T129" s="2">
        <f>T8/'Output-Calculation-sheet'!T7*'Output-Calculation-sheet'!T106</f>
        <v>2101249648.1956179</v>
      </c>
      <c r="U129" s="2">
        <f>U8/'Output-Calculation-sheet'!U7*'Output-Calculation-sheet'!U106</f>
        <v>1479232057.5824878</v>
      </c>
      <c r="V129" s="2">
        <f>V8/'Output-Calculation-sheet'!V7*'Output-Calculation-sheet'!V106</f>
        <v>1330808603.7906239</v>
      </c>
      <c r="W129" s="2">
        <f>W8/'Output-Calculation-sheet'!W7*'Output-Calculation-sheet'!W106</f>
        <v>1357890514.7457962</v>
      </c>
      <c r="X129" s="2">
        <f>X8/'Output-Calculation-sheet'!X7*'Output-Calculation-sheet'!X106</f>
        <v>0</v>
      </c>
      <c r="Y129" s="2">
        <f>Y8/'Output-Calculation-sheet'!Y7*'Output-Calculation-sheet'!Y106</f>
        <v>613122764.53745437</v>
      </c>
      <c r="AA129" s="2">
        <f t="shared" si="11"/>
        <v>177540.37168678088</v>
      </c>
    </row>
    <row r="130" spans="1:27" x14ac:dyDescent="0.25">
      <c r="A130" s="2">
        <v>2032</v>
      </c>
      <c r="B130" s="2">
        <f>B9/'Output-Calculation-sheet'!B8*'Output-Calculation-sheet'!B107</f>
        <v>42992435927.045792</v>
      </c>
      <c r="C130" s="2">
        <f>C9/'Output-Calculation-sheet'!C8*'Output-Calculation-sheet'!C107</f>
        <v>0</v>
      </c>
      <c r="D130" s="2">
        <f>D9/'Output-Calculation-sheet'!D8*'Output-Calculation-sheet'!D107</f>
        <v>30890453589.778214</v>
      </c>
      <c r="E130" s="2">
        <f>E9/'Output-Calculation-sheet'!E8*'Output-Calculation-sheet'!E107</f>
        <v>21620211225.337276</v>
      </c>
      <c r="F130" s="2">
        <f>F9/'Output-Calculation-sheet'!F8*'Output-Calculation-sheet'!F107</f>
        <v>16071084812.022335</v>
      </c>
      <c r="G130" s="2">
        <f>G9/'Output-Calculation-sheet'!G8*'Output-Calculation-sheet'!G107</f>
        <v>11046316519.401802</v>
      </c>
      <c r="H130" s="2">
        <f>H9/'Output-Calculation-sheet'!H8*'Output-Calculation-sheet'!H107</f>
        <v>0</v>
      </c>
      <c r="I130" s="2">
        <f>I9/'Output-Calculation-sheet'!I8*'Output-Calculation-sheet'!I107</f>
        <v>9916096686.9049492</v>
      </c>
      <c r="J130" s="2">
        <f>J9/'Output-Calculation-sheet'!J8*'Output-Calculation-sheet'!J107</f>
        <v>10153488993.995686</v>
      </c>
      <c r="K130" s="2">
        <f>K9/'Output-Calculation-sheet'!K8*'Output-Calculation-sheet'!K107</f>
        <v>8774147076.5643234</v>
      </c>
      <c r="L130" s="2">
        <f>L9/'Output-Calculation-sheet'!L8*'Output-Calculation-sheet'!L107</f>
        <v>6943493599.4010515</v>
      </c>
      <c r="M130" s="2">
        <f>M9/'Output-Calculation-sheet'!M8*'Output-Calculation-sheet'!M107</f>
        <v>0</v>
      </c>
      <c r="N130" s="2">
        <f>N9/'Output-Calculation-sheet'!N8*'Output-Calculation-sheet'!N107</f>
        <v>1676126586.2932</v>
      </c>
      <c r="O130" s="2">
        <f>O9/'Output-Calculation-sheet'!O8*'Output-Calculation-sheet'!O107</f>
        <v>0</v>
      </c>
      <c r="P130" s="2">
        <f>P9/'Output-Calculation-sheet'!P8*'Output-Calculation-sheet'!P107</f>
        <v>4307553278.5068226</v>
      </c>
      <c r="Q130" s="2">
        <f>Q9/'Output-Calculation-sheet'!Q8*'Output-Calculation-sheet'!Q107</f>
        <v>4224226241.8566728</v>
      </c>
      <c r="R130" s="2">
        <f>R9/'Output-Calculation-sheet'!R8*'Output-Calculation-sheet'!R107</f>
        <v>4985157839.7698364</v>
      </c>
      <c r="S130" s="2">
        <f>S9/'Output-Calculation-sheet'!S8*'Output-Calculation-sheet'!S107</f>
        <v>1601577053.6432741</v>
      </c>
      <c r="T130" s="2">
        <f>T9/'Output-Calculation-sheet'!T8*'Output-Calculation-sheet'!T107</f>
        <v>2156065710.7535353</v>
      </c>
      <c r="U130" s="2">
        <f>U9/'Output-Calculation-sheet'!U8*'Output-Calculation-sheet'!U107</f>
        <v>1520871303.7008524</v>
      </c>
      <c r="V130" s="2">
        <f>V9/'Output-Calculation-sheet'!V8*'Output-Calculation-sheet'!V107</f>
        <v>1369198503.5772393</v>
      </c>
      <c r="W130" s="2">
        <f>W9/'Output-Calculation-sheet'!W8*'Output-Calculation-sheet'!W107</f>
        <v>1393559189.3372693</v>
      </c>
      <c r="X130" s="2">
        <f>X9/'Output-Calculation-sheet'!X8*'Output-Calculation-sheet'!X107</f>
        <v>0</v>
      </c>
      <c r="Y130" s="2">
        <f>Y9/'Output-Calculation-sheet'!Y8*'Output-Calculation-sheet'!Y107</f>
        <v>629901539.88987362</v>
      </c>
      <c r="AA130" s="2">
        <f t="shared" si="11"/>
        <v>182271.96567778007</v>
      </c>
    </row>
    <row r="131" spans="1:27" x14ac:dyDescent="0.25">
      <c r="A131" s="2">
        <v>2033</v>
      </c>
      <c r="B131" s="2">
        <f>B10/'Output-Calculation-sheet'!B9*'Output-Calculation-sheet'!B108</f>
        <v>38901730538.685699</v>
      </c>
      <c r="C131" s="2">
        <f>C10/'Output-Calculation-sheet'!C9*'Output-Calculation-sheet'!C108</f>
        <v>0</v>
      </c>
      <c r="D131" s="2">
        <f>D10/'Output-Calculation-sheet'!D9*'Output-Calculation-sheet'!D108</f>
        <v>29555645730.346027</v>
      </c>
      <c r="E131" s="2">
        <f>E10/'Output-Calculation-sheet'!E9*'Output-Calculation-sheet'!E108</f>
        <v>20697992320.371861</v>
      </c>
      <c r="F131" s="2">
        <f>F10/'Output-Calculation-sheet'!F9*'Output-Calculation-sheet'!F108</f>
        <v>15380862911.489235</v>
      </c>
      <c r="G131" s="2">
        <f>G10/'Output-Calculation-sheet'!G9*'Output-Calculation-sheet'!G108</f>
        <v>10569267044.932228</v>
      </c>
      <c r="H131" s="2">
        <f>H10/'Output-Calculation-sheet'!H9*'Output-Calculation-sheet'!H108</f>
        <v>0</v>
      </c>
      <c r="I131" s="2">
        <f>I10/'Output-Calculation-sheet'!I9*'Output-Calculation-sheet'!I108</f>
        <v>9489633996.0572128</v>
      </c>
      <c r="J131" s="2">
        <f>J10/'Output-Calculation-sheet'!J9*'Output-Calculation-sheet'!J108</f>
        <v>9713268764.8584003</v>
      </c>
      <c r="K131" s="2">
        <f>K10/'Output-Calculation-sheet'!K9*'Output-Calculation-sheet'!K108</f>
        <v>8410976391.0070744</v>
      </c>
      <c r="L131" s="2">
        <f>L10/'Output-Calculation-sheet'!L9*'Output-Calculation-sheet'!L108</f>
        <v>6651398585.1830587</v>
      </c>
      <c r="M131" s="2">
        <f>M10/'Output-Calculation-sheet'!M9*'Output-Calculation-sheet'!M108</f>
        <v>0</v>
      </c>
      <c r="N131" s="2">
        <f>N10/'Output-Calculation-sheet'!N9*'Output-Calculation-sheet'!N108</f>
        <v>1413599286.8771615</v>
      </c>
      <c r="O131" s="2">
        <f>O10/'Output-Calculation-sheet'!O9*'Output-Calculation-sheet'!O108</f>
        <v>0</v>
      </c>
      <c r="P131" s="2">
        <f>P10/'Output-Calculation-sheet'!P9*'Output-Calculation-sheet'!P108</f>
        <v>4148790046.2834849</v>
      </c>
      <c r="Q131" s="2">
        <f>Q10/'Output-Calculation-sheet'!Q9*'Output-Calculation-sheet'!Q108</f>
        <v>4074886722.9819875</v>
      </c>
      <c r="R131" s="2">
        <f>R10/'Output-Calculation-sheet'!R9*'Output-Calculation-sheet'!R108</f>
        <v>4782352469.0594358</v>
      </c>
      <c r="S131" s="2">
        <f>S10/'Output-Calculation-sheet'!S9*'Output-Calculation-sheet'!S108</f>
        <v>1437998153.0893657</v>
      </c>
      <c r="T131" s="2">
        <f>T10/'Output-Calculation-sheet'!T9*'Output-Calculation-sheet'!T108</f>
        <v>2065138453.6205728</v>
      </c>
      <c r="U131" s="2">
        <f>U10/'Output-Calculation-sheet'!U9*'Output-Calculation-sheet'!U108</f>
        <v>1457094465.0558214</v>
      </c>
      <c r="V131" s="2">
        <f>V10/'Output-Calculation-sheet'!V9*'Output-Calculation-sheet'!V108</f>
        <v>1312817857.1685038</v>
      </c>
      <c r="W131" s="2">
        <f>W10/'Output-Calculation-sheet'!W9*'Output-Calculation-sheet'!W108</f>
        <v>1332766459.6963713</v>
      </c>
      <c r="X131" s="2">
        <f>X10/'Output-Calculation-sheet'!X9*'Output-Calculation-sheet'!X108</f>
        <v>0</v>
      </c>
      <c r="Y131" s="2">
        <f>Y10/'Output-Calculation-sheet'!Y9*'Output-Calculation-sheet'!Y108</f>
        <v>603763130.35706973</v>
      </c>
      <c r="AA131" s="2">
        <f t="shared" si="11"/>
        <v>171999.98332712057</v>
      </c>
    </row>
    <row r="132" spans="1:27" x14ac:dyDescent="0.25">
      <c r="A132" s="2">
        <v>2034</v>
      </c>
      <c r="B132" s="2">
        <f>B11/'Output-Calculation-sheet'!B10*'Output-Calculation-sheet'!B109</f>
        <v>33149347446.548996</v>
      </c>
      <c r="C132" s="2">
        <f>C11/'Output-Calculation-sheet'!C10*'Output-Calculation-sheet'!C109</f>
        <v>0</v>
      </c>
      <c r="D132" s="2">
        <f>D11/'Output-Calculation-sheet'!D10*'Output-Calculation-sheet'!D109</f>
        <v>26343758645.105171</v>
      </c>
      <c r="E132" s="2">
        <f>E11/'Output-Calculation-sheet'!E10*'Output-Calculation-sheet'!E109</f>
        <v>18478191524.218441</v>
      </c>
      <c r="F132" s="2">
        <f>F11/'Output-Calculation-sheet'!F10*'Output-Calculation-sheet'!F109</f>
        <v>13716361734.064589</v>
      </c>
      <c r="G132" s="2">
        <f>G11/'Output-Calculation-sheet'!G10*'Output-Calculation-sheet'!G109</f>
        <v>9416915652.7318306</v>
      </c>
      <c r="H132" s="2">
        <f>H11/'Output-Calculation-sheet'!H10*'Output-Calculation-sheet'!H109</f>
        <v>0</v>
      </c>
      <c r="I132" s="2">
        <f>I11/'Output-Calculation-sheet'!I10*'Output-Calculation-sheet'!I109</f>
        <v>8471486133.9295826</v>
      </c>
      <c r="J132" s="2">
        <f>J11/'Output-Calculation-sheet'!J10*'Output-Calculation-sheet'!J109</f>
        <v>8656757609.385994</v>
      </c>
      <c r="K132" s="2">
        <f>K11/'Output-Calculation-sheet'!K10*'Output-Calculation-sheet'!K109</f>
        <v>7513414174.3603344</v>
      </c>
      <c r="L132" s="2">
        <f>L11/'Output-Calculation-sheet'!L10*'Output-Calculation-sheet'!L109</f>
        <v>5936257695.9626989</v>
      </c>
      <c r="M132" s="2">
        <f>M11/'Output-Calculation-sheet'!M10*'Output-Calculation-sheet'!M109</f>
        <v>0</v>
      </c>
      <c r="N132" s="2">
        <f>N11/'Output-Calculation-sheet'!N10*'Output-Calculation-sheet'!N109</f>
        <v>1167141645.007468</v>
      </c>
      <c r="O132" s="2">
        <f>O11/'Output-Calculation-sheet'!O10*'Output-Calculation-sheet'!O109</f>
        <v>0</v>
      </c>
      <c r="P132" s="2">
        <f>P11/'Output-Calculation-sheet'!P10*'Output-Calculation-sheet'!P109</f>
        <v>3721864146.6803875</v>
      </c>
      <c r="Q132" s="2">
        <f>Q11/'Output-Calculation-sheet'!Q10*'Output-Calculation-sheet'!Q109</f>
        <v>3663599133.8040466</v>
      </c>
      <c r="R132" s="2">
        <f>R11/'Output-Calculation-sheet'!R10*'Output-Calculation-sheet'!R109</f>
        <v>4272860637.5461245</v>
      </c>
      <c r="S132" s="2">
        <f>S11/'Output-Calculation-sheet'!S10*'Output-Calculation-sheet'!S109</f>
        <v>1247615547.4368892</v>
      </c>
      <c r="T132" s="2">
        <f>T11/'Output-Calculation-sheet'!T10*'Output-Calculation-sheet'!T109</f>
        <v>1843258025.1913393</v>
      </c>
      <c r="U132" s="2">
        <f>U11/'Output-Calculation-sheet'!U10*'Output-Calculation-sheet'!U109</f>
        <v>1303122436.456665</v>
      </c>
      <c r="V132" s="2">
        <f>V11/'Output-Calculation-sheet'!V10*'Output-Calculation-sheet'!V109</f>
        <v>1173996006.2603364</v>
      </c>
      <c r="W132" s="2">
        <f>W11/'Output-Calculation-sheet'!W10*'Output-Calculation-sheet'!W109</f>
        <v>1188170422.8603475</v>
      </c>
      <c r="X132" s="2">
        <f>X11/'Output-Calculation-sheet'!X10*'Output-Calculation-sheet'!X109</f>
        <v>0</v>
      </c>
      <c r="Y132" s="2">
        <f>Y11/'Output-Calculation-sheet'!Y10*'Output-Calculation-sheet'!Y109</f>
        <v>539034857.01097953</v>
      </c>
      <c r="AA132" s="2">
        <f t="shared" si="11"/>
        <v>151803.15347456219</v>
      </c>
    </row>
    <row r="133" spans="1:27" x14ac:dyDescent="0.25">
      <c r="A133" s="2">
        <v>2035</v>
      </c>
      <c r="B133" s="2">
        <f>B12/'Output-Calculation-sheet'!B11*'Output-Calculation-sheet'!B110</f>
        <v>26440587212.712994</v>
      </c>
      <c r="C133" s="2">
        <f>C12/'Output-Calculation-sheet'!C11*'Output-Calculation-sheet'!C110</f>
        <v>0</v>
      </c>
      <c r="D133" s="2">
        <f>D12/'Output-Calculation-sheet'!D11*'Output-Calculation-sheet'!D110</f>
        <v>21753010827.917412</v>
      </c>
      <c r="E133" s="2">
        <f>E12/'Output-Calculation-sheet'!E11*'Output-Calculation-sheet'!E110</f>
        <v>15267810933.381807</v>
      </c>
      <c r="F133" s="2">
        <f>F12/'Output-Calculation-sheet'!F11*'Output-Calculation-sheet'!F110</f>
        <v>11322836208.768208</v>
      </c>
      <c r="G133" s="2">
        <f>G12/'Output-Calculation-sheet'!G11*'Output-Calculation-sheet'!G110</f>
        <v>7764485182.9564667</v>
      </c>
      <c r="H133" s="2">
        <f>H12/'Output-Calculation-sheet'!H11*'Output-Calculation-sheet'!H110</f>
        <v>0</v>
      </c>
      <c r="I133" s="2">
        <f>I12/'Output-Calculation-sheet'!I11*'Output-Calculation-sheet'!I110</f>
        <v>6993458209.8454781</v>
      </c>
      <c r="J133" s="2">
        <f>J12/'Output-Calculation-sheet'!J11*'Output-Calculation-sheet'!J110</f>
        <v>7135750313.0509596</v>
      </c>
      <c r="K133" s="2">
        <f>K12/'Output-Calculation-sheet'!K11*'Output-Calculation-sheet'!K110</f>
        <v>6208708008.7364435</v>
      </c>
      <c r="L133" s="2">
        <f>L12/'Output-Calculation-sheet'!L11*'Output-Calculation-sheet'!L110</f>
        <v>4901627935.4799328</v>
      </c>
      <c r="M133" s="2">
        <f>M12/'Output-Calculation-sheet'!M11*'Output-Calculation-sheet'!M110</f>
        <v>0</v>
      </c>
      <c r="N133" s="2">
        <f>N12/'Output-Calculation-sheet'!N11*'Output-Calculation-sheet'!N110</f>
        <v>904909368.3234129</v>
      </c>
      <c r="O133" s="2">
        <f>O12/'Output-Calculation-sheet'!O11*'Output-Calculation-sheet'!O110</f>
        <v>0</v>
      </c>
      <c r="P133" s="2">
        <f>P12/'Output-Calculation-sheet'!P11*'Output-Calculation-sheet'!P110</f>
        <v>3090733442.5895333</v>
      </c>
      <c r="Q133" s="2">
        <f>Q12/'Output-Calculation-sheet'!Q11*'Output-Calculation-sheet'!Q110</f>
        <v>3037460268.5756698</v>
      </c>
      <c r="R133" s="2">
        <f>R12/'Output-Calculation-sheet'!R11*'Output-Calculation-sheet'!R110</f>
        <v>3538060550.6511488</v>
      </c>
      <c r="S133" s="2">
        <f>S12/'Output-Calculation-sheet'!S11*'Output-Calculation-sheet'!S110</f>
        <v>952836830.1032567</v>
      </c>
      <c r="T133" s="2">
        <f>T12/'Output-Calculation-sheet'!T11*'Output-Calculation-sheet'!T110</f>
        <v>1522194980.0739007</v>
      </c>
      <c r="U133" s="2">
        <f>U12/'Output-Calculation-sheet'!U11*'Output-Calculation-sheet'!U110</f>
        <v>1077712023.9921033</v>
      </c>
      <c r="V133" s="2">
        <f>V12/'Output-Calculation-sheet'!V11*'Output-Calculation-sheet'!V110</f>
        <v>972105182.0481894</v>
      </c>
      <c r="W133" s="2">
        <f>W12/'Output-Calculation-sheet'!W11*'Output-Calculation-sheet'!W110</f>
        <v>980265282.01044989</v>
      </c>
      <c r="X133" s="2">
        <f>X12/'Output-Calculation-sheet'!X11*'Output-Calculation-sheet'!X110</f>
        <v>0</v>
      </c>
      <c r="Y133" s="2">
        <f>Y12/'Output-Calculation-sheet'!Y11*'Output-Calculation-sheet'!Y110</f>
        <v>445648842.42599267</v>
      </c>
      <c r="AA133" s="2">
        <f t="shared" si="11"/>
        <v>124310.20160364336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51731170580.599556</v>
      </c>
      <c r="C151" s="2">
        <f>C8/'Output-Calculation-sheet'!C7*'Output-Calculation-sheet'!C124</f>
        <v>43979995377.888481</v>
      </c>
      <c r="D151" s="2">
        <f>D8/'Output-Calculation-sheet'!D7*'Output-Calculation-sheet'!D124</f>
        <v>9087462145.7037315</v>
      </c>
      <c r="E151" s="2">
        <f>E8/'Output-Calculation-sheet'!E7*'Output-Calculation-sheet'!E124</f>
        <v>10052681898.257719</v>
      </c>
      <c r="F151" s="2">
        <f>F8/'Output-Calculation-sheet'!F7*'Output-Calculation-sheet'!F124</f>
        <v>4350467065.293869</v>
      </c>
      <c r="G151" s="2">
        <f>G8/'Output-Calculation-sheet'!G7*'Output-Calculation-sheet'!G124</f>
        <v>3290936451.9317622</v>
      </c>
      <c r="H151" s="2">
        <f>H8/'Output-Calculation-sheet'!H7*'Output-Calculation-sheet'!H124</f>
        <v>10402511757.207254</v>
      </c>
      <c r="I151" s="2">
        <f>I8/'Output-Calculation-sheet'!I7*'Output-Calculation-sheet'!I124</f>
        <v>3150808768.5169687</v>
      </c>
      <c r="J151" s="2">
        <f>J8/'Output-Calculation-sheet'!J7*'Output-Calculation-sheet'!J124</f>
        <v>2571538415.9096017</v>
      </c>
      <c r="K151" s="2">
        <f>K8/'Output-Calculation-sheet'!K7*'Output-Calculation-sheet'!K124</f>
        <v>3810793687.1161408</v>
      </c>
      <c r="L151" s="2">
        <f>L8/'Output-Calculation-sheet'!L7*'Output-Calculation-sheet'!L124</f>
        <v>3151689262.6797457</v>
      </c>
      <c r="M151" s="2">
        <f>M8/'Output-Calculation-sheet'!M7*'Output-Calculation-sheet'!M124</f>
        <v>7192630410.1664829</v>
      </c>
      <c r="N151" s="2">
        <f>N8/'Output-Calculation-sheet'!N7*'Output-Calculation-sheet'!N124</f>
        <v>5948433151.1417713</v>
      </c>
      <c r="O151" s="2">
        <f>O8/'Output-Calculation-sheet'!O7*'Output-Calculation-sheet'!O124</f>
        <v>8545351294.9729757</v>
      </c>
      <c r="P151" s="2">
        <f>P8/'Output-Calculation-sheet'!P7*'Output-Calculation-sheet'!P124</f>
        <v>4295947283.0230503</v>
      </c>
      <c r="Q151" s="2">
        <f>Q8/'Output-Calculation-sheet'!Q7*'Output-Calculation-sheet'!Q124</f>
        <v>4242254560.9825397</v>
      </c>
      <c r="R151" s="2">
        <f>R8/'Output-Calculation-sheet'!R7*'Output-Calculation-sheet'!R124</f>
        <v>3152486948.7338424</v>
      </c>
      <c r="S151" s="2">
        <f>S8/'Output-Calculation-sheet'!S7*'Output-Calculation-sheet'!S124</f>
        <v>3293304930.2395501</v>
      </c>
      <c r="T151" s="2">
        <f>T8/'Output-Calculation-sheet'!T7*'Output-Calculation-sheet'!T124</f>
        <v>841630405.77067339</v>
      </c>
      <c r="U151" s="2">
        <f>U8/'Output-Calculation-sheet'!U7*'Output-Calculation-sheet'!U124</f>
        <v>1083920705.9768493</v>
      </c>
      <c r="V151" s="2">
        <f>V8/'Output-Calculation-sheet'!V7*'Output-Calculation-sheet'!V124</f>
        <v>642861748.32797146</v>
      </c>
      <c r="W151" s="2">
        <f>W8/'Output-Calculation-sheet'!W7*'Output-Calculation-sheet'!W124</f>
        <v>350883873.26777071</v>
      </c>
      <c r="X151" s="2">
        <f>X8/'Output-Calculation-sheet'!X7*'Output-Calculation-sheet'!X124</f>
        <v>809140117.79430807</v>
      </c>
      <c r="Y151" s="2">
        <f>Y8/'Output-Calculation-sheet'!Y7*'Output-Calculation-sheet'!Y124</f>
        <v>383932346.90653765</v>
      </c>
      <c r="AA151" s="2">
        <f t="shared" si="13"/>
        <v>186362.83318840916</v>
      </c>
    </row>
    <row r="152" spans="1:27" x14ac:dyDescent="0.25">
      <c r="A152" s="2">
        <v>2032</v>
      </c>
      <c r="B152" s="2">
        <f>B9/'Output-Calculation-sheet'!B8*'Output-Calculation-sheet'!B125</f>
        <v>52561757363.821152</v>
      </c>
      <c r="C152" s="2">
        <f>C9/'Output-Calculation-sheet'!C8*'Output-Calculation-sheet'!C125</f>
        <v>45031456362.045464</v>
      </c>
      <c r="D152" s="2">
        <f>D9/'Output-Calculation-sheet'!D8*'Output-Calculation-sheet'!D125</f>
        <v>9244657603.2678566</v>
      </c>
      <c r="E152" s="2">
        <f>E9/'Output-Calculation-sheet'!E8*'Output-Calculation-sheet'!E125</f>
        <v>10222960887.190142</v>
      </c>
      <c r="F152" s="2">
        <f>F9/'Output-Calculation-sheet'!F8*'Output-Calculation-sheet'!F125</f>
        <v>4427500470.877243</v>
      </c>
      <c r="G152" s="2">
        <f>G9/'Output-Calculation-sheet'!G8*'Output-Calculation-sheet'!G125</f>
        <v>3356586766.7834482</v>
      </c>
      <c r="H152" s="2">
        <f>H9/'Output-Calculation-sheet'!H8*'Output-Calculation-sheet'!H125</f>
        <v>10551856828.169054</v>
      </c>
      <c r="I152" s="2">
        <f>I9/'Output-Calculation-sheet'!I8*'Output-Calculation-sheet'!I125</f>
        <v>3206051447.5972567</v>
      </c>
      <c r="J152" s="2">
        <f>J9/'Output-Calculation-sheet'!J8*'Output-Calculation-sheet'!J125</f>
        <v>2618664566.8366213</v>
      </c>
      <c r="K152" s="2">
        <f>K9/'Output-Calculation-sheet'!K8*'Output-Calculation-sheet'!K125</f>
        <v>3875578495.0184898</v>
      </c>
      <c r="L152" s="2">
        <f>L9/'Output-Calculation-sheet'!L8*'Output-Calculation-sheet'!L125</f>
        <v>3204305747.1204309</v>
      </c>
      <c r="M152" s="2">
        <f>M9/'Output-Calculation-sheet'!M8*'Output-Calculation-sheet'!M125</f>
        <v>7299363311.1818151</v>
      </c>
      <c r="N152" s="2">
        <f>N9/'Output-Calculation-sheet'!N8*'Output-Calculation-sheet'!N125</f>
        <v>6091122143.7225399</v>
      </c>
      <c r="O152" s="2">
        <f>O9/'Output-Calculation-sheet'!O8*'Output-Calculation-sheet'!O125</f>
        <v>8749651077.30303</v>
      </c>
      <c r="P152" s="2">
        <f>P9/'Output-Calculation-sheet'!P8*'Output-Calculation-sheet'!P125</f>
        <v>4353114480.9840584</v>
      </c>
      <c r="Q152" s="2">
        <f>Q9/'Output-Calculation-sheet'!Q8*'Output-Calculation-sheet'!Q125</f>
        <v>4296455266.5872498</v>
      </c>
      <c r="R152" s="2">
        <f>R9/'Output-Calculation-sheet'!R8*'Output-Calculation-sheet'!R125</f>
        <v>3212145525.3368783</v>
      </c>
      <c r="S152" s="2">
        <f>S9/'Output-Calculation-sheet'!S8*'Output-Calculation-sheet'!S125</f>
        <v>3297299413.6205525</v>
      </c>
      <c r="T152" s="2">
        <f>T9/'Output-Calculation-sheet'!T8*'Output-Calculation-sheet'!T125</f>
        <v>857171866.70069623</v>
      </c>
      <c r="U152" s="2">
        <f>U9/'Output-Calculation-sheet'!U8*'Output-Calculation-sheet'!U125</f>
        <v>1103560573.3317838</v>
      </c>
      <c r="V152" s="2">
        <f>V9/'Output-Calculation-sheet'!V8*'Output-Calculation-sheet'!V125</f>
        <v>651657787.35306001</v>
      </c>
      <c r="W152" s="2">
        <f>W9/'Output-Calculation-sheet'!W8*'Output-Calculation-sheet'!W125</f>
        <v>356068253.5771513</v>
      </c>
      <c r="X152" s="2">
        <f>X9/'Output-Calculation-sheet'!X8*'Output-Calculation-sheet'!X125</f>
        <v>819247067.06557584</v>
      </c>
      <c r="Y152" s="2">
        <f>Y9/'Output-Calculation-sheet'!Y8*'Output-Calculation-sheet'!Y125</f>
        <v>390990876.21342528</v>
      </c>
      <c r="AA152" s="2">
        <f t="shared" si="13"/>
        <v>189779.22418170495</v>
      </c>
    </row>
    <row r="153" spans="1:27" x14ac:dyDescent="0.25">
      <c r="A153" s="2">
        <v>2033</v>
      </c>
      <c r="B153" s="2">
        <f>B10/'Output-Calculation-sheet'!B9*'Output-Calculation-sheet'!B126</f>
        <v>48201625200.760208</v>
      </c>
      <c r="C153" s="2">
        <f>C10/'Output-Calculation-sheet'!C9*'Output-Calculation-sheet'!C126</f>
        <v>35257551677.684891</v>
      </c>
      <c r="D153" s="2">
        <f>D10/'Output-Calculation-sheet'!D9*'Output-Calculation-sheet'!D126</f>
        <v>8778167399.3498592</v>
      </c>
      <c r="E153" s="2">
        <f>E10/'Output-Calculation-sheet'!E9*'Output-Calculation-sheet'!E126</f>
        <v>9716031035.5635834</v>
      </c>
      <c r="F153" s="2">
        <f>F10/'Output-Calculation-sheet'!F9*'Output-Calculation-sheet'!F126</f>
        <v>4197728359.3368611</v>
      </c>
      <c r="G153" s="2">
        <f>G10/'Output-Calculation-sheet'!G9*'Output-Calculation-sheet'!G126</f>
        <v>3187221642.5432348</v>
      </c>
      <c r="H153" s="2">
        <f>H10/'Output-Calculation-sheet'!H9*'Output-Calculation-sheet'!H126</f>
        <v>9989452788.3768768</v>
      </c>
      <c r="I153" s="2">
        <f>I10/'Output-Calculation-sheet'!I9*'Output-Calculation-sheet'!I126</f>
        <v>3043579716.0850854</v>
      </c>
      <c r="J153" s="2">
        <f>J10/'Output-Calculation-sheet'!J9*'Output-Calculation-sheet'!J126</f>
        <v>2485660833.562427</v>
      </c>
      <c r="K153" s="2">
        <f>K10/'Output-Calculation-sheet'!K9*'Output-Calculation-sheet'!K126</f>
        <v>3671018694.8071723</v>
      </c>
      <c r="L153" s="2">
        <f>L10/'Output-Calculation-sheet'!L9*'Output-Calculation-sheet'!L126</f>
        <v>3040958861.0473251</v>
      </c>
      <c r="M153" s="2">
        <f>M10/'Output-Calculation-sheet'!M9*'Output-Calculation-sheet'!M126</f>
        <v>6908713870.1684637</v>
      </c>
      <c r="N153" s="2">
        <f>N10/'Output-Calculation-sheet'!N9*'Output-Calculation-sheet'!N126</f>
        <v>5816119714.4832029</v>
      </c>
      <c r="O153" s="2">
        <f>O10/'Output-Calculation-sheet'!O9*'Output-Calculation-sheet'!O126</f>
        <v>8356959265.2702141</v>
      </c>
      <c r="P153" s="2">
        <f>P10/'Output-Calculation-sheet'!P9*'Output-Calculation-sheet'!P126</f>
        <v>4123179548.4644694</v>
      </c>
      <c r="Q153" s="2">
        <f>Q10/'Output-Calculation-sheet'!Q9*'Output-Calculation-sheet'!Q126</f>
        <v>4063379323.2059579</v>
      </c>
      <c r="R153" s="2">
        <f>R10/'Output-Calculation-sheet'!R9*'Output-Calculation-sheet'!R126</f>
        <v>3047048921.0100427</v>
      </c>
      <c r="S153" s="2">
        <f>S10/'Output-Calculation-sheet'!S9*'Output-Calculation-sheet'!S126</f>
        <v>3116276109.4442253</v>
      </c>
      <c r="T153" s="2">
        <f>T10/'Output-Calculation-sheet'!T9*'Output-Calculation-sheet'!T126</f>
        <v>812862448.23120713</v>
      </c>
      <c r="U153" s="2">
        <f>U10/'Output-Calculation-sheet'!U9*'Output-Calculation-sheet'!U126</f>
        <v>1049550668.2263087</v>
      </c>
      <c r="V153" s="2">
        <f>V10/'Output-Calculation-sheet'!V9*'Output-Calculation-sheet'!V126</f>
        <v>617340677.73334074</v>
      </c>
      <c r="W153" s="2">
        <f>W10/'Output-Calculation-sheet'!W9*'Output-Calculation-sheet'!W126</f>
        <v>338336045.19036037</v>
      </c>
      <c r="X153" s="2">
        <f>X10/'Output-Calculation-sheet'!X9*'Output-Calculation-sheet'!X126</f>
        <v>776282994.32778978</v>
      </c>
      <c r="Y153" s="2">
        <f>Y10/'Output-Calculation-sheet'!Y9*'Output-Calculation-sheet'!Y126</f>
        <v>371310762.32989484</v>
      </c>
      <c r="AA153" s="2">
        <f t="shared" si="13"/>
        <v>170966.35655720299</v>
      </c>
    </row>
    <row r="154" spans="1:27" x14ac:dyDescent="0.25">
      <c r="A154" s="2">
        <v>2034</v>
      </c>
      <c r="B154" s="2">
        <f>B11/'Output-Calculation-sheet'!B10*'Output-Calculation-sheet'!B127</f>
        <v>41787973608.229446</v>
      </c>
      <c r="C154" s="2">
        <f>C11/'Output-Calculation-sheet'!C10*'Output-Calculation-sheet'!C127</f>
        <v>30978307923.830154</v>
      </c>
      <c r="D154" s="2">
        <f>D11/'Output-Calculation-sheet'!D10*'Output-Calculation-sheet'!D127</f>
        <v>7780383292.9606075</v>
      </c>
      <c r="E154" s="2">
        <f>E11/'Output-Calculation-sheet'!E10*'Output-Calculation-sheet'!E127</f>
        <v>8595883987.279438</v>
      </c>
      <c r="F154" s="2">
        <f>F11/'Output-Calculation-sheet'!F10*'Output-Calculation-sheet'!F127</f>
        <v>3712186020.7543297</v>
      </c>
      <c r="G154" s="2">
        <f>G11/'Output-Calculation-sheet'!G10*'Output-Calculation-sheet'!G127</f>
        <v>2828889814.6692023</v>
      </c>
      <c r="H154" s="2">
        <f>H11/'Output-Calculation-sheet'!H10*'Output-Calculation-sheet'!H127</f>
        <v>8809348724.5906582</v>
      </c>
      <c r="I154" s="2">
        <f>I11/'Output-Calculation-sheet'!I10*'Output-Calculation-sheet'!I127</f>
        <v>2685380657.2029176</v>
      </c>
      <c r="J154" s="2">
        <f>J11/'Output-Calculation-sheet'!J10*'Output-Calculation-sheet'!J127</f>
        <v>2202533752.4271169</v>
      </c>
      <c r="K154" s="2">
        <f>K11/'Output-Calculation-sheet'!K10*'Output-Calculation-sheet'!K127</f>
        <v>3241785018.2474566</v>
      </c>
      <c r="L154" s="2">
        <f>L11/'Output-Calculation-sheet'!L10*'Output-Calculation-sheet'!L127</f>
        <v>2691723361.0867372</v>
      </c>
      <c r="M154" s="2">
        <f>M11/'Output-Calculation-sheet'!M10*'Output-Calculation-sheet'!M127</f>
        <v>6092756361.0710802</v>
      </c>
      <c r="N154" s="2">
        <f>N11/'Output-Calculation-sheet'!N10*'Output-Calculation-sheet'!N127</f>
        <v>5167490259.0975246</v>
      </c>
      <c r="O154" s="2">
        <f>O11/'Output-Calculation-sheet'!O10*'Output-Calculation-sheet'!O127</f>
        <v>7439231026.6402969</v>
      </c>
      <c r="P154" s="2">
        <f>P11/'Output-Calculation-sheet'!P10*'Output-Calculation-sheet'!P127</f>
        <v>3641710439.1632347</v>
      </c>
      <c r="Q154" s="2">
        <f>Q11/'Output-Calculation-sheet'!Q10*'Output-Calculation-sheet'!Q127</f>
        <v>3580954698.7671385</v>
      </c>
      <c r="R154" s="2">
        <f>R11/'Output-Calculation-sheet'!R10*'Output-Calculation-sheet'!R127</f>
        <v>2696746834.7648277</v>
      </c>
      <c r="S154" s="2">
        <f>S11/'Output-Calculation-sheet'!S10*'Output-Calculation-sheet'!S127</f>
        <v>2711356847.4810615</v>
      </c>
      <c r="T154" s="2">
        <f>T11/'Output-Calculation-sheet'!T10*'Output-Calculation-sheet'!T127</f>
        <v>718692191.88468492</v>
      </c>
      <c r="U154" s="2">
        <f>U11/'Output-Calculation-sheet'!U10*'Output-Calculation-sheet'!U127</f>
        <v>928252834.90363824</v>
      </c>
      <c r="V154" s="2">
        <f>V11/'Output-Calculation-sheet'!V10*'Output-Calculation-sheet'!V127</f>
        <v>544200146.59743369</v>
      </c>
      <c r="W154" s="2">
        <f>W11/'Output-Calculation-sheet'!W10*'Output-Calculation-sheet'!W127</f>
        <v>299418355.64009356</v>
      </c>
      <c r="X154" s="2">
        <f>X11/'Output-Calculation-sheet'!X10*'Output-Calculation-sheet'!X127</f>
        <v>684270189.2805593</v>
      </c>
      <c r="Y154" s="2">
        <f>Y11/'Output-Calculation-sheet'!Y10*'Output-Calculation-sheet'!Y127</f>
        <v>328960274.41069472</v>
      </c>
      <c r="AA154" s="2">
        <f t="shared" si="13"/>
        <v>150148.43662098033</v>
      </c>
    </row>
    <row r="155" spans="1:27" x14ac:dyDescent="0.25">
      <c r="A155" s="2">
        <v>2035</v>
      </c>
      <c r="B155" s="2">
        <f>B12/'Output-Calculation-sheet'!B11*'Output-Calculation-sheet'!B128</f>
        <v>34024888164.440205</v>
      </c>
      <c r="C155" s="2">
        <f>C12/'Output-Calculation-sheet'!C11*'Output-Calculation-sheet'!C128</f>
        <v>25221840988.846176</v>
      </c>
      <c r="D155" s="2">
        <f>D12/'Output-Calculation-sheet'!D11*'Output-Calculation-sheet'!D128</f>
        <v>6358697526.4764328</v>
      </c>
      <c r="E155" s="2">
        <f>E12/'Output-Calculation-sheet'!E11*'Output-Calculation-sheet'!E128</f>
        <v>7036000888.6528931</v>
      </c>
      <c r="F155" s="2">
        <f>F12/'Output-Calculation-sheet'!F11*'Output-Calculation-sheet'!F128</f>
        <v>3034922721.5318441</v>
      </c>
      <c r="G155" s="2">
        <f>G12/'Output-Calculation-sheet'!G11*'Output-Calculation-sheet'!G128</f>
        <v>2323694582.8923688</v>
      </c>
      <c r="H155" s="2">
        <f>H12/'Output-Calculation-sheet'!H11*'Output-Calculation-sheet'!H128</f>
        <v>7198500394.7394638</v>
      </c>
      <c r="I155" s="2">
        <f>I12/'Output-Calculation-sheet'!I11*'Output-Calculation-sheet'!I128</f>
        <v>2197646296.2806592</v>
      </c>
      <c r="J155" s="2">
        <f>J12/'Output-Calculation-sheet'!J11*'Output-Calculation-sheet'!J128</f>
        <v>1810209483.4956281</v>
      </c>
      <c r="K155" s="2">
        <f>K12/'Output-Calculation-sheet'!K11*'Output-Calculation-sheet'!K128</f>
        <v>2651499063.3463011</v>
      </c>
      <c r="L155" s="2">
        <f>L12/'Output-Calculation-sheet'!L11*'Output-Calculation-sheet'!L128</f>
        <v>2206162903.7229104</v>
      </c>
      <c r="M155" s="2">
        <f>M12/'Output-Calculation-sheet'!M11*'Output-Calculation-sheet'!M128</f>
        <v>4981085496.4800215</v>
      </c>
      <c r="N155" s="2">
        <f>N12/'Output-Calculation-sheet'!N11*'Output-Calculation-sheet'!N128</f>
        <v>4247433748.1015782</v>
      </c>
      <c r="O155" s="2">
        <f>O12/'Output-Calculation-sheet'!O11*'Output-Calculation-sheet'!O128</f>
        <v>5048425731.4489679</v>
      </c>
      <c r="P155" s="2">
        <f>P12/'Output-Calculation-sheet'!P11*'Output-Calculation-sheet'!P128</f>
        <v>2975431142.6743126</v>
      </c>
      <c r="Q155" s="2">
        <f>Q12/'Output-Calculation-sheet'!Q11*'Output-Calculation-sheet'!Q128</f>
        <v>2910937154.6494088</v>
      </c>
      <c r="R155" s="2">
        <f>R12/'Output-Calculation-sheet'!R11*'Output-Calculation-sheet'!R128</f>
        <v>2203550588.3830934</v>
      </c>
      <c r="S155" s="2">
        <f>S12/'Output-Calculation-sheet'!S11*'Output-Calculation-sheet'!S128</f>
        <v>2227059508.0572019</v>
      </c>
      <c r="T155" s="2">
        <f>T12/'Output-Calculation-sheet'!T11*'Output-Calculation-sheet'!T128</f>
        <v>588357438.04348671</v>
      </c>
      <c r="U155" s="2">
        <f>U12/'Output-Calculation-sheet'!U11*'Output-Calculation-sheet'!U128</f>
        <v>760510453.28606474</v>
      </c>
      <c r="V155" s="2">
        <f>V12/'Output-Calculation-sheet'!V11*'Output-Calculation-sheet'!V128</f>
        <v>443356905.21026105</v>
      </c>
      <c r="W155" s="2">
        <f>W12/'Output-Calculation-sheet'!W11*'Output-Calculation-sheet'!W128</f>
        <v>245220585.74636176</v>
      </c>
      <c r="X155" s="2">
        <f>X12/'Output-Calculation-sheet'!X11*'Output-Calculation-sheet'!X128</f>
        <v>558263118.05259299</v>
      </c>
      <c r="Y155" s="2">
        <f>Y12/'Output-Calculation-sheet'!Y11*'Output-Calculation-sheet'!Y128</f>
        <v>269411587.44721287</v>
      </c>
      <c r="AA155" s="2">
        <f t="shared" si="13"/>
        <v>121523.10647200547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2.3089560494345907E-10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2090.9589616102448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1431.9837924623073</v>
      </c>
      <c r="N19" s="2">
        <f>N8/'Output-Calculation-sheet'!N7*'Output-Calculation-sheet'!N25</f>
        <v>963.21649618912659</v>
      </c>
      <c r="O19" s="2">
        <f>O8/'Output-Calculation-sheet'!O7*'Output-Calculation-sheet'!O25</f>
        <v>1.2707654808749033E-11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255.48802845687302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135.89990085458948</v>
      </c>
      <c r="Y19" s="2">
        <f>Y8/'Output-Calculation-sheet'!Y7*'Output-Calculation-sheet'!Y25</f>
        <v>0</v>
      </c>
      <c r="AA19" s="2">
        <f t="shared" si="0"/>
        <v>4.8775471795733845</v>
      </c>
    </row>
    <row r="20" spans="1:27" x14ac:dyDescent="0.25">
      <c r="A20" s="2">
        <v>2032</v>
      </c>
      <c r="B20" s="2">
        <f>B9/'Output-Calculation-sheet'!B8*'Output-Calculation-sheet'!B26</f>
        <v>2.2459331662062714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2331.7263972992914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1594.5924247519579</v>
      </c>
      <c r="N20" s="2">
        <f>N9/'Output-Calculation-sheet'!N8*'Output-Calculation-sheet'!N26</f>
        <v>1161.307545434888</v>
      </c>
      <c r="O20" s="2">
        <f>O9/'Output-Calculation-sheet'!O8*'Output-Calculation-sheet'!O26</f>
        <v>1.17573696035117E-10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399.54815548377786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153.48552359283133</v>
      </c>
      <c r="Y20" s="2">
        <f>Y9/'Output-Calculation-sheet'!Y8*'Output-Calculation-sheet'!Y26</f>
        <v>0</v>
      </c>
      <c r="AA20" s="2">
        <f t="shared" si="0"/>
        <v>5.6429059797290702</v>
      </c>
    </row>
    <row r="21" spans="1:27" x14ac:dyDescent="0.25">
      <c r="A21" s="2">
        <v>2033</v>
      </c>
      <c r="B21" s="2">
        <f>B10/'Output-Calculation-sheet'!B9*'Output-Calculation-sheet'!B27</f>
        <v>3590.0247479812315</v>
      </c>
      <c r="C21" s="2">
        <f>C10/'Output-Calculation-sheet'!C9*'Output-Calculation-sheet'!C27</f>
        <v>5602.1129220302664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2513.4617074022917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1720.5974256746438</v>
      </c>
      <c r="N21" s="2">
        <f>N10/'Output-Calculation-sheet'!N9*'Output-Calculation-sheet'!N27</f>
        <v>1344.3515343779359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512.85687077416878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165.61639731090193</v>
      </c>
      <c r="Y21" s="2">
        <f>Y10/'Output-Calculation-sheet'!Y9*'Output-Calculation-sheet'!Y27</f>
        <v>0</v>
      </c>
      <c r="AA21" s="2">
        <f t="shared" si="0"/>
        <v>15.449021605551438</v>
      </c>
    </row>
    <row r="22" spans="1:27" x14ac:dyDescent="0.25">
      <c r="A22" s="2">
        <v>2034</v>
      </c>
      <c r="B22" s="2">
        <f>B11/'Output-Calculation-sheet'!B10*'Output-Calculation-sheet'!B28</f>
        <v>6256.6325672048442</v>
      </c>
      <c r="C22" s="2">
        <f>C11/'Output-Calculation-sheet'!C10*'Output-Calculation-sheet'!C28</f>
        <v>6061.7232412648937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2648.3816497168409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1813.1047658470968</v>
      </c>
      <c r="N22" s="2">
        <f>N11/'Output-Calculation-sheet'!N10*'Output-Calculation-sheet'!N28</f>
        <v>1453.8825804028261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593.0841378338971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175.66535313164997</v>
      </c>
      <c r="Y22" s="2">
        <f>Y11/'Output-Calculation-sheet'!Y10*'Output-Calculation-sheet'!Y28</f>
        <v>0</v>
      </c>
      <c r="AA22" s="2">
        <f t="shared" si="0"/>
        <v>19.002474295402052</v>
      </c>
    </row>
    <row r="23" spans="1:27" x14ac:dyDescent="0.25">
      <c r="A23" s="2">
        <v>2035</v>
      </c>
      <c r="B23" s="2">
        <f>B12/'Output-Calculation-sheet'!B11*'Output-Calculation-sheet'!B29</f>
        <v>7778.9845560109679</v>
      </c>
      <c r="C23" s="2">
        <f>C12/'Output-Calculation-sheet'!C11*'Output-Calculation-sheet'!C29</f>
        <v>6374.2822462013519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2719.5310799359249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1858.917775546425</v>
      </c>
      <c r="N23" s="2">
        <f>N12/'Output-Calculation-sheet'!N11*'Output-Calculation-sheet'!N29</f>
        <v>1519.4975128130334</v>
      </c>
      <c r="O23" s="2">
        <f>O12/'Output-Calculation-sheet'!O11*'Output-Calculation-sheet'!O29</f>
        <v>1083.7741236083511</v>
      </c>
      <c r="P23" s="2">
        <f>P12/'Output-Calculation-sheet'!P11*'Output-Calculation-sheet'!P29</f>
        <v>0</v>
      </c>
      <c r="Q23" s="2">
        <f>Q12/'Output-Calculation-sheet'!Q11*'Output-Calculation-sheet'!Q29</f>
        <v>20.743164921414781</v>
      </c>
      <c r="R23" s="2">
        <f>R12/'Output-Calculation-sheet'!R11*'Output-Calculation-sheet'!R29</f>
        <v>0</v>
      </c>
      <c r="S23" s="2">
        <f>S12/'Output-Calculation-sheet'!S11*'Output-Calculation-sheet'!S29</f>
        <v>667.30029472529122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182.22279991660869</v>
      </c>
      <c r="Y23" s="2">
        <f>Y12/'Output-Calculation-sheet'!Y11*'Output-Calculation-sheet'!Y29</f>
        <v>0</v>
      </c>
      <c r="AA23" s="2">
        <f t="shared" si="0"/>
        <v>22.205253553679373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16434.623238100146</v>
      </c>
      <c r="C30" s="2">
        <f>C8/'Output-Calculation-sheet'!C7*'Output-Calculation-sheet'!C16</f>
        <v>0</v>
      </c>
      <c r="D30" s="2">
        <f>D8/'Output-Calculation-sheet'!D7*'Output-Calculation-sheet'!D16</f>
        <v>5130.2998948314998</v>
      </c>
      <c r="E30" s="2">
        <f>E8/'Output-Calculation-sheet'!E7*'Output-Calculation-sheet'!E16</f>
        <v>5306.4270054388608</v>
      </c>
      <c r="F30" s="2">
        <f>F8/'Output-Calculation-sheet'!F7*'Output-Calculation-sheet'!F16</f>
        <v>2972.8842374928627</v>
      </c>
      <c r="G30" s="2">
        <f>G8/'Output-Calculation-sheet'!G7*'Output-Calculation-sheet'!G16</f>
        <v>1792.9760076920486</v>
      </c>
      <c r="H30" s="2">
        <f>H8/'Output-Calculation-sheet'!H7*'Output-Calculation-sheet'!H16</f>
        <v>0</v>
      </c>
      <c r="I30" s="2">
        <f>I8/'Output-Calculation-sheet'!I7*'Output-Calculation-sheet'!I16</f>
        <v>1814.6844857650383</v>
      </c>
      <c r="J30" s="2">
        <f>J8/'Output-Calculation-sheet'!J7*'Output-Calculation-sheet'!J16</f>
        <v>1656.3513226931088</v>
      </c>
      <c r="K30" s="2">
        <f>K8/'Output-Calculation-sheet'!K7*'Output-Calculation-sheet'!K16</f>
        <v>2048.4717770010211</v>
      </c>
      <c r="L30" s="2">
        <f>L8/'Output-Calculation-sheet'!L7*'Output-Calculation-sheet'!L16</f>
        <v>1690.5260329859236</v>
      </c>
      <c r="M30" s="2">
        <f>M8/'Output-Calculation-sheet'!M7*'Output-Calculation-sheet'!M16</f>
        <v>0</v>
      </c>
      <c r="N30" s="2">
        <f>N8/'Output-Calculation-sheet'!N7*'Output-Calculation-sheet'!N16</f>
        <v>829.46288793780025</v>
      </c>
      <c r="O30" s="2">
        <f>O8/'Output-Calculation-sheet'!O7*'Output-Calculation-sheet'!O16</f>
        <v>0</v>
      </c>
      <c r="P30" s="2">
        <f>P8/'Output-Calculation-sheet'!P7*'Output-Calculation-sheet'!P16</f>
        <v>1347.4372479021204</v>
      </c>
      <c r="Q30" s="2">
        <f>Q8/'Output-Calculation-sheet'!Q7*'Output-Calculation-sheet'!Q16</f>
        <v>1477.8945412407365</v>
      </c>
      <c r="R30" s="2">
        <f>R8/'Output-Calculation-sheet'!R7*'Output-Calculation-sheet'!R16</f>
        <v>1294.8409440402761</v>
      </c>
      <c r="S30" s="2">
        <f>S8/'Output-Calculation-sheet'!S7*'Output-Calculation-sheet'!S16</f>
        <v>691.49003289019015</v>
      </c>
      <c r="T30" s="2">
        <f>T8/'Output-Calculation-sheet'!T7*'Output-Calculation-sheet'!T16</f>
        <v>472.37866803599815</v>
      </c>
      <c r="U30" s="2">
        <f>U8/'Output-Calculation-sheet'!U7*'Output-Calculation-sheet'!U16</f>
        <v>363.05588376169254</v>
      </c>
      <c r="V30" s="2">
        <f>V8/'Output-Calculation-sheet'!V7*'Output-Calculation-sheet'!V16</f>
        <v>347.65635487813427</v>
      </c>
      <c r="W30" s="2">
        <f>W8/'Output-Calculation-sheet'!W7*'Output-Calculation-sheet'!W16</f>
        <v>241.36012900340751</v>
      </c>
      <c r="X30" s="2">
        <f>X8/'Output-Calculation-sheet'!X7*'Output-Calculation-sheet'!X16</f>
        <v>0</v>
      </c>
      <c r="Y30" s="2">
        <f>Y8/'Output-Calculation-sheet'!Y7*'Output-Calculation-sheet'!Y16</f>
        <v>159.56278523713391</v>
      </c>
      <c r="AA30" s="2">
        <f t="shared" si="1"/>
        <v>46.072383476927996</v>
      </c>
    </row>
    <row r="31" spans="1:27" x14ac:dyDescent="0.25">
      <c r="A31" s="2">
        <v>2032</v>
      </c>
      <c r="B31" s="2">
        <f>B9/'Output-Calculation-sheet'!B8*'Output-Calculation-sheet'!B17</f>
        <v>17960.807742050343</v>
      </c>
      <c r="C31" s="2">
        <f>C9/'Output-Calculation-sheet'!C8*'Output-Calculation-sheet'!C17</f>
        <v>0</v>
      </c>
      <c r="D31" s="2">
        <f>D9/'Output-Calculation-sheet'!D8*'Output-Calculation-sheet'!D17</f>
        <v>5568.1991730700383</v>
      </c>
      <c r="E31" s="2">
        <f>E9/'Output-Calculation-sheet'!E8*'Output-Calculation-sheet'!E17</f>
        <v>5766.5113780976644</v>
      </c>
      <c r="F31" s="2">
        <f>F9/'Output-Calculation-sheet'!F8*'Output-Calculation-sheet'!F17</f>
        <v>3221.5307404743698</v>
      </c>
      <c r="G31" s="2">
        <f>G9/'Output-Calculation-sheet'!G8*'Output-Calculation-sheet'!G17</f>
        <v>1942.0656550623767</v>
      </c>
      <c r="H31" s="2">
        <f>H9/'Output-Calculation-sheet'!H8*'Output-Calculation-sheet'!H17</f>
        <v>0</v>
      </c>
      <c r="I31" s="2">
        <f>I9/'Output-Calculation-sheet'!I8*'Output-Calculation-sheet'!I17</f>
        <v>1969.0087534389359</v>
      </c>
      <c r="J31" s="2">
        <f>J9/'Output-Calculation-sheet'!J8*'Output-Calculation-sheet'!J17</f>
        <v>1795.8689572854926</v>
      </c>
      <c r="K31" s="2">
        <f>K9/'Output-Calculation-sheet'!K8*'Output-Calculation-sheet'!K17</f>
        <v>2224.50947638364</v>
      </c>
      <c r="L31" s="2">
        <f>L9/'Output-Calculation-sheet'!L8*'Output-Calculation-sheet'!L17</f>
        <v>1836.2991033989772</v>
      </c>
      <c r="M31" s="2">
        <f>M9/'Output-Calculation-sheet'!M8*'Output-Calculation-sheet'!M17</f>
        <v>0</v>
      </c>
      <c r="N31" s="2">
        <f>N9/'Output-Calculation-sheet'!N8*'Output-Calculation-sheet'!N17</f>
        <v>812.28123429665573</v>
      </c>
      <c r="O31" s="2">
        <f>O9/'Output-Calculation-sheet'!O8*'Output-Calculation-sheet'!O17</f>
        <v>0</v>
      </c>
      <c r="P31" s="2">
        <f>P9/'Output-Calculation-sheet'!P8*'Output-Calculation-sheet'!P17</f>
        <v>1477.2614437249224</v>
      </c>
      <c r="Q31" s="2">
        <f>Q9/'Output-Calculation-sheet'!Q8*'Output-Calculation-sheet'!Q17</f>
        <v>1618.9363491646661</v>
      </c>
      <c r="R31" s="2">
        <f>R9/'Output-Calculation-sheet'!R8*'Output-Calculation-sheet'!R17</f>
        <v>1405.6464523621853</v>
      </c>
      <c r="S31" s="2">
        <f>S9/'Output-Calculation-sheet'!S8*'Output-Calculation-sheet'!S17</f>
        <v>701.34543923022261</v>
      </c>
      <c r="T31" s="2">
        <f>T9/'Output-Calculation-sheet'!T8*'Output-Calculation-sheet'!T17</f>
        <v>512.22919375494712</v>
      </c>
      <c r="U31" s="2">
        <f>U9/'Output-Calculation-sheet'!U8*'Output-Calculation-sheet'!U17</f>
        <v>395.05671012853298</v>
      </c>
      <c r="V31" s="2">
        <f>V9/'Output-Calculation-sheet'!V8*'Output-Calculation-sheet'!V17</f>
        <v>378.5802347273866</v>
      </c>
      <c r="W31" s="2">
        <f>W9/'Output-Calculation-sheet'!W8*'Output-Calculation-sheet'!W17</f>
        <v>262.15301204565026</v>
      </c>
      <c r="X31" s="2">
        <f>X9/'Output-Calculation-sheet'!X8*'Output-Calculation-sheet'!X17</f>
        <v>0</v>
      </c>
      <c r="Y31" s="2">
        <f>Y9/'Output-Calculation-sheet'!Y8*'Output-Calculation-sheet'!Y17</f>
        <v>173.30856924270947</v>
      </c>
      <c r="AA31" s="2">
        <f t="shared" si="1"/>
        <v>50.021599617939721</v>
      </c>
    </row>
    <row r="32" spans="1:27" x14ac:dyDescent="0.25">
      <c r="A32" s="2">
        <v>2033</v>
      </c>
      <c r="B32" s="2">
        <f>B10/'Output-Calculation-sheet'!B9*'Output-Calculation-sheet'!B18</f>
        <v>17519.916501369655</v>
      </c>
      <c r="C32" s="2">
        <f>C10/'Output-Calculation-sheet'!C9*'Output-Calculation-sheet'!C18</f>
        <v>0</v>
      </c>
      <c r="D32" s="2">
        <f>D10/'Output-Calculation-sheet'!D9*'Output-Calculation-sheet'!D18</f>
        <v>5848.8908048647718</v>
      </c>
      <c r="E32" s="2">
        <f>E10/'Output-Calculation-sheet'!E9*'Output-Calculation-sheet'!E18</f>
        <v>6056.6989894985527</v>
      </c>
      <c r="F32" s="2">
        <f>F10/'Output-Calculation-sheet'!F9*'Output-Calculation-sheet'!F18</f>
        <v>3383.0488794080889</v>
      </c>
      <c r="G32" s="2">
        <f>G10/'Output-Calculation-sheet'!G9*'Output-Calculation-sheet'!G18</f>
        <v>2040.3716857362228</v>
      </c>
      <c r="H32" s="2">
        <f>H10/'Output-Calculation-sheet'!H9*'Output-Calculation-sheet'!H18</f>
        <v>0</v>
      </c>
      <c r="I32" s="2">
        <f>I10/'Output-Calculation-sheet'!I9*'Output-Calculation-sheet'!I18</f>
        <v>2068.4638999819858</v>
      </c>
      <c r="J32" s="2">
        <f>J10/'Output-Calculation-sheet'!J9*'Output-Calculation-sheet'!J18</f>
        <v>1886.5324622305386</v>
      </c>
      <c r="K32" s="2">
        <f>K10/'Output-Calculation-sheet'!K9*'Output-Calculation-sheet'!K18</f>
        <v>2342.1598715979658</v>
      </c>
      <c r="L32" s="2">
        <f>L10/'Output-Calculation-sheet'!L9*'Output-Calculation-sheet'!L18</f>
        <v>1930.2579079024592</v>
      </c>
      <c r="M32" s="2">
        <f>M10/'Output-Calculation-sheet'!M9*'Output-Calculation-sheet'!M18</f>
        <v>0</v>
      </c>
      <c r="N32" s="2">
        <f>N10/'Output-Calculation-sheet'!N9*'Output-Calculation-sheet'!N18</f>
        <v>764.02565975774075</v>
      </c>
      <c r="O32" s="2">
        <f>O10/'Output-Calculation-sheet'!O9*'Output-Calculation-sheet'!O18</f>
        <v>0</v>
      </c>
      <c r="P32" s="2">
        <f>P10/'Output-Calculation-sheet'!P9*'Output-Calculation-sheet'!P18</f>
        <v>1563.2201085703061</v>
      </c>
      <c r="Q32" s="2">
        <f>Q10/'Output-Calculation-sheet'!Q9*'Output-Calculation-sheet'!Q18</f>
        <v>1714.4368599716759</v>
      </c>
      <c r="R32" s="2">
        <f>R10/'Output-Calculation-sheet'!R9*'Output-Calculation-sheet'!R18</f>
        <v>1480.8518392390038</v>
      </c>
      <c r="S32" s="2">
        <f>S10/'Output-Calculation-sheet'!S9*'Output-Calculation-sheet'!S18</f>
        <v>689.28369005484433</v>
      </c>
      <c r="T32" s="2">
        <f>T10/'Output-Calculation-sheet'!T9*'Output-Calculation-sheet'!T18</f>
        <v>538.64996540417872</v>
      </c>
      <c r="U32" s="2">
        <f>U10/'Output-Calculation-sheet'!U9*'Output-Calculation-sheet'!U18</f>
        <v>415.42230704186989</v>
      </c>
      <c r="V32" s="2">
        <f>V10/'Output-Calculation-sheet'!V9*'Output-Calculation-sheet'!V18</f>
        <v>398.52441429166907</v>
      </c>
      <c r="W32" s="2">
        <f>W10/'Output-Calculation-sheet'!W9*'Output-Calculation-sheet'!W18</f>
        <v>274.99606564025538</v>
      </c>
      <c r="X32" s="2">
        <f>X10/'Output-Calculation-sheet'!X9*'Output-Calculation-sheet'!X18</f>
        <v>0</v>
      </c>
      <c r="Y32" s="2">
        <f>Y10/'Output-Calculation-sheet'!Y9*'Output-Calculation-sheet'!Y18</f>
        <v>182.33497802216436</v>
      </c>
      <c r="AA32" s="2">
        <f t="shared" si="1"/>
        <v>51.098086890583936</v>
      </c>
    </row>
    <row r="33" spans="1:27" x14ac:dyDescent="0.25">
      <c r="A33" s="2">
        <v>2034</v>
      </c>
      <c r="B33" s="2">
        <f>B11/'Output-Calculation-sheet'!B10*'Output-Calculation-sheet'!B19</f>
        <v>16929.529958446012</v>
      </c>
      <c r="C33" s="2">
        <f>C11/'Output-Calculation-sheet'!C10*'Output-Calculation-sheet'!C19</f>
        <v>0</v>
      </c>
      <c r="D33" s="2">
        <f>D11/'Output-Calculation-sheet'!D10*'Output-Calculation-sheet'!D19</f>
        <v>5985.9305081743742</v>
      </c>
      <c r="E33" s="2">
        <f>E11/'Output-Calculation-sheet'!E10*'Output-Calculation-sheet'!E19</f>
        <v>6213.2430485442255</v>
      </c>
      <c r="F33" s="2">
        <f>F11/'Output-Calculation-sheet'!F10*'Output-Calculation-sheet'!F19</f>
        <v>3464.078710877352</v>
      </c>
      <c r="G33" s="2">
        <f>G11/'Output-Calculation-sheet'!G10*'Output-Calculation-sheet'!G19</f>
        <v>2085.9688583553962</v>
      </c>
      <c r="H33" s="2">
        <f>H11/'Output-Calculation-sheet'!H10*'Output-Calculation-sheet'!H19</f>
        <v>0</v>
      </c>
      <c r="I33" s="2">
        <f>I11/'Output-Calculation-sheet'!I10*'Output-Calculation-sheet'!I19</f>
        <v>2124.5748626778914</v>
      </c>
      <c r="J33" s="2">
        <f>J11/'Output-Calculation-sheet'!J10*'Output-Calculation-sheet'!J19</f>
        <v>1930.8553681964827</v>
      </c>
      <c r="K33" s="2">
        <f>K11/'Output-Calculation-sheet'!K10*'Output-Calculation-sheet'!K19</f>
        <v>2405.0230448299944</v>
      </c>
      <c r="L33" s="2">
        <f>L11/'Output-Calculation-sheet'!L10*'Output-Calculation-sheet'!L19</f>
        <v>1978.1039340382601</v>
      </c>
      <c r="M33" s="2">
        <f>M11/'Output-Calculation-sheet'!M10*'Output-Calculation-sheet'!M19</f>
        <v>0</v>
      </c>
      <c r="N33" s="2">
        <f>N11/'Output-Calculation-sheet'!N10*'Output-Calculation-sheet'!N19</f>
        <v>733.05106996655036</v>
      </c>
      <c r="O33" s="2">
        <f>O11/'Output-Calculation-sheet'!O10*'Output-Calculation-sheet'!O19</f>
        <v>0</v>
      </c>
      <c r="P33" s="2">
        <f>P11/'Output-Calculation-sheet'!P10*'Output-Calculation-sheet'!P19</f>
        <v>1612.3523072786966</v>
      </c>
      <c r="Q33" s="2">
        <f>Q11/'Output-Calculation-sheet'!Q10*'Output-Calculation-sheet'!Q19</f>
        <v>1771.3296414054796</v>
      </c>
      <c r="R33" s="2">
        <f>R11/'Output-Calculation-sheet'!R10*'Output-Calculation-sheet'!R19</f>
        <v>1520.0765196980569</v>
      </c>
      <c r="S33" s="2">
        <f>S11/'Output-Calculation-sheet'!S10*'Output-Calculation-sheet'!S19</f>
        <v>701.08541349039695</v>
      </c>
      <c r="T33" s="2">
        <f>T11/'Output-Calculation-sheet'!T10*'Output-Calculation-sheet'!T19</f>
        <v>552.40871459448147</v>
      </c>
      <c r="U33" s="2">
        <f>U11/'Output-Calculation-sheet'!U10*'Output-Calculation-sheet'!U19</f>
        <v>427.47011558457973</v>
      </c>
      <c r="V33" s="2">
        <f>V11/'Output-Calculation-sheet'!V10*'Output-Calculation-sheet'!V19</f>
        <v>409.79882128587747</v>
      </c>
      <c r="W33" s="2">
        <f>W11/'Output-Calculation-sheet'!W10*'Output-Calculation-sheet'!W19</f>
        <v>281.55048227761102</v>
      </c>
      <c r="X33" s="2">
        <f>X11/'Output-Calculation-sheet'!X10*'Output-Calculation-sheet'!X19</f>
        <v>0</v>
      </c>
      <c r="Y33" s="2">
        <f>Y11/'Output-Calculation-sheet'!Y10*'Output-Calculation-sheet'!Y19</f>
        <v>186.93848186273377</v>
      </c>
      <c r="AA33" s="2">
        <f t="shared" si="1"/>
        <v>51.313369861584469</v>
      </c>
    </row>
    <row r="34" spans="1:27" x14ac:dyDescent="0.25">
      <c r="A34" s="2">
        <v>2035</v>
      </c>
      <c r="B34" s="2">
        <f>B12/'Output-Calculation-sheet'!B11*'Output-Calculation-sheet'!B20</f>
        <v>16259.973448427878</v>
      </c>
      <c r="C34" s="2">
        <f>C12/'Output-Calculation-sheet'!C11*'Output-Calculation-sheet'!C20</f>
        <v>0</v>
      </c>
      <c r="D34" s="2">
        <f>D12/'Output-Calculation-sheet'!D11*'Output-Calculation-sheet'!D20</f>
        <v>6013.4117724193939</v>
      </c>
      <c r="E34" s="2">
        <f>E12/'Output-Calculation-sheet'!E11*'Output-Calculation-sheet'!E20</f>
        <v>6239.1751324113802</v>
      </c>
      <c r="F34" s="2">
        <f>F12/'Output-Calculation-sheet'!F11*'Output-Calculation-sheet'!F20</f>
        <v>3473.4869481415967</v>
      </c>
      <c r="G34" s="2">
        <f>G12/'Output-Calculation-sheet'!G11*'Output-Calculation-sheet'!G20</f>
        <v>2087.0272850169886</v>
      </c>
      <c r="H34" s="2">
        <f>H12/'Output-Calculation-sheet'!H11*'Output-Calculation-sheet'!H20</f>
        <v>0</v>
      </c>
      <c r="I34" s="2">
        <f>I12/'Output-Calculation-sheet'!I11*'Output-Calculation-sheet'!I20</f>
        <v>2131.6513737043892</v>
      </c>
      <c r="J34" s="2">
        <f>J12/'Output-Calculation-sheet'!J11*'Output-Calculation-sheet'!J20</f>
        <v>1930.5713683977006</v>
      </c>
      <c r="K34" s="2">
        <f>K12/'Output-Calculation-sheet'!K11*'Output-Calculation-sheet'!K20</f>
        <v>2415.0407154697032</v>
      </c>
      <c r="L34" s="2">
        <f>L12/'Output-Calculation-sheet'!L11*'Output-Calculation-sheet'!L20</f>
        <v>1982.9030673653217</v>
      </c>
      <c r="M34" s="2">
        <f>M12/'Output-Calculation-sheet'!M11*'Output-Calculation-sheet'!M20</f>
        <v>0</v>
      </c>
      <c r="N34" s="2">
        <f>N12/'Output-Calculation-sheet'!N11*'Output-Calculation-sheet'!N20</f>
        <v>697.60379675535705</v>
      </c>
      <c r="O34" s="2">
        <f>O12/'Output-Calculation-sheet'!O11*'Output-Calculation-sheet'!O20</f>
        <v>0</v>
      </c>
      <c r="P34" s="2">
        <f>P12/'Output-Calculation-sheet'!P11*'Output-Calculation-sheet'!P20</f>
        <v>1628.2647589841238</v>
      </c>
      <c r="Q34" s="2">
        <f>Q12/'Output-Calculation-sheet'!Q11*'Output-Calculation-sheet'!Q20</f>
        <v>1785.4671818940778</v>
      </c>
      <c r="R34" s="2">
        <f>R12/'Output-Calculation-sheet'!R11*'Output-Calculation-sheet'!R20</f>
        <v>1531.041634796622</v>
      </c>
      <c r="S34" s="2">
        <f>S12/'Output-Calculation-sheet'!S11*'Output-Calculation-sheet'!S20</f>
        <v>658.42179869094309</v>
      </c>
      <c r="T34" s="2">
        <f>T12/'Output-Calculation-sheet'!T11*'Output-Calculation-sheet'!T20</f>
        <v>554.17837791449529</v>
      </c>
      <c r="U34" s="2">
        <f>U12/'Output-Calculation-sheet'!U11*'Output-Calculation-sheet'!U20</f>
        <v>429.86651370914689</v>
      </c>
      <c r="V34" s="2">
        <f>V12/'Output-Calculation-sheet'!V11*'Output-Calculation-sheet'!V20</f>
        <v>412.82824585236716</v>
      </c>
      <c r="W34" s="2">
        <f>W12/'Output-Calculation-sheet'!W11*'Output-Calculation-sheet'!W20</f>
        <v>282.10476350751821</v>
      </c>
      <c r="X34" s="2">
        <f>X12/'Output-Calculation-sheet'!X11*'Output-Calculation-sheet'!X20</f>
        <v>0</v>
      </c>
      <c r="Y34" s="2">
        <f>Y12/'Output-Calculation-sheet'!Y11*'Output-Calculation-sheet'!Y20</f>
        <v>187.79602270679905</v>
      </c>
      <c r="AA34" s="2">
        <f t="shared" si="1"/>
        <v>50.700814206165795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5.1251467628066427</v>
      </c>
      <c r="C63" s="2">
        <f>C8*'Output-Calculation-sheet'!C52/10^9</f>
        <v>2.4661080637415482</v>
      </c>
      <c r="D63" s="2">
        <f>D8*'Output-Calculation-sheet'!D52/10^9</f>
        <v>1.1216354753361468</v>
      </c>
      <c r="E63" s="2">
        <f>E8*'Output-Calculation-sheet'!E52/10^9</f>
        <v>1.2480094249976927</v>
      </c>
      <c r="F63" s="2">
        <f>F8*'Output-Calculation-sheet'!F52/10^9</f>
        <v>0.57644415469823174</v>
      </c>
      <c r="G63" s="2">
        <f>G8*'Output-Calculation-sheet'!G52/10^9</f>
        <v>0.3984421033354118</v>
      </c>
      <c r="H63" s="2">
        <f>H8*'Output-Calculation-sheet'!H52/10^9</f>
        <v>0.75132465208036092</v>
      </c>
      <c r="I63" s="2">
        <f>I8*'Output-Calculation-sheet'!I52/10^9</f>
        <v>0.39317539618809316</v>
      </c>
      <c r="J63" s="2">
        <f>J8*'Output-Calculation-sheet'!J52/10^9</f>
        <v>0.35491325918804228</v>
      </c>
      <c r="K63" s="2">
        <f>K8*'Output-Calculation-sheet'!K52/10^9</f>
        <v>0.4580764919202242</v>
      </c>
      <c r="L63" s="2">
        <f>L8*'Output-Calculation-sheet'!L52/10^9</f>
        <v>0.37841273572000922</v>
      </c>
      <c r="M63" s="2">
        <f>M8*'Output-Calculation-sheet'!M52/10^9</f>
        <v>0.51907668146992958</v>
      </c>
      <c r="N63" s="2">
        <f>N8*'Output-Calculation-sheet'!N52/10^9</f>
        <v>0.54253843202901519</v>
      </c>
      <c r="O63" s="2">
        <f>O8*'Output-Calculation-sheet'!O52/10^9</f>
        <v>0.47917041666366678</v>
      </c>
      <c r="P63" s="2">
        <f>P8*'Output-Calculation-sheet'!P52/10^9</f>
        <v>0.40164079720175916</v>
      </c>
      <c r="Q63" s="2">
        <f>Q8*'Output-Calculation-sheet'!Q52/10^9</f>
        <v>0.41419595560395528</v>
      </c>
      <c r="R63" s="2">
        <f>R8*'Output-Calculation-sheet'!R52/10^9</f>
        <v>0.33124981603422532</v>
      </c>
      <c r="S63" s="2">
        <f>S8*'Output-Calculation-sheet'!S52/10^9</f>
        <v>0.30535431439958849</v>
      </c>
      <c r="T63" s="2">
        <f>T8*'Output-Calculation-sheet'!T52/10^9</f>
        <v>0.10354977681096404</v>
      </c>
      <c r="U63" s="2">
        <f>U8*'Output-Calculation-sheet'!U52/10^9</f>
        <v>0.10409315418783395</v>
      </c>
      <c r="V63" s="2">
        <f>V8*'Output-Calculation-sheet'!V52/10^9</f>
        <v>7.7524417236056534E-2</v>
      </c>
      <c r="W63" s="2">
        <f>W8*'Output-Calculation-sheet'!W52/10^9</f>
        <v>4.847012944270418E-2</v>
      </c>
      <c r="X63" s="2">
        <f>X8*'Output-Calculation-sheet'!X52/10^9</f>
        <v>6.172751712901136E-2</v>
      </c>
      <c r="Y63" s="2">
        <f>Y8*'Output-Calculation-sheet'!Y52/10^9</f>
        <v>4.0564829337094536E-2</v>
      </c>
      <c r="AA63" s="2">
        <f t="shared" si="4"/>
        <v>16.700844757558205</v>
      </c>
    </row>
    <row r="64" spans="1:27" x14ac:dyDescent="0.25">
      <c r="A64" s="2">
        <v>2032</v>
      </c>
      <c r="B64" s="2">
        <f>B9*'Output-Calculation-sheet'!B53/10^9</f>
        <v>5.5130480472430685</v>
      </c>
      <c r="C64" s="2">
        <f>C9*'Output-Calculation-sheet'!C53/10^9</f>
        <v>2.6622451622550529</v>
      </c>
      <c r="D64" s="2">
        <f>D9*'Output-Calculation-sheet'!D53/10^9</f>
        <v>1.204703984458886</v>
      </c>
      <c r="E64" s="2">
        <f>E9*'Output-Calculation-sheet'!E53/10^9</f>
        <v>1.340917574196256</v>
      </c>
      <c r="F64" s="2">
        <f>F9*'Output-Calculation-sheet'!F53/10^9</f>
        <v>0.61873793642089703</v>
      </c>
      <c r="G64" s="2">
        <f>G9*'Output-Calculation-sheet'!G53/10^9</f>
        <v>0.42798969615630233</v>
      </c>
      <c r="H64" s="2">
        <f>H9*'Output-Calculation-sheet'!H53/10^9</f>
        <v>0.80357865266794049</v>
      </c>
      <c r="I64" s="2">
        <f>I9*'Output-Calculation-sheet'!I53/10^9</f>
        <v>0.42227566470085537</v>
      </c>
      <c r="J64" s="2">
        <f>J9*'Output-Calculation-sheet'!J53/10^9</f>
        <v>0.38115957344160806</v>
      </c>
      <c r="K64" s="2">
        <f>K9*'Output-Calculation-sheet'!K53/10^9</f>
        <v>0.49205980608721017</v>
      </c>
      <c r="L64" s="2">
        <f>L9*'Output-Calculation-sheet'!L53/10^9</f>
        <v>0.40648703313439161</v>
      </c>
      <c r="M64" s="2">
        <f>M9*'Output-Calculation-sheet'!M53/10^9</f>
        <v>0.55520506410477743</v>
      </c>
      <c r="N64" s="2">
        <f>N9*'Output-Calculation-sheet'!N53/10^9</f>
        <v>0.58104597719663076</v>
      </c>
      <c r="O64" s="2">
        <f>O9*'Output-Calculation-sheet'!O53/10^9</f>
        <v>0.51728030187093899</v>
      </c>
      <c r="P64" s="2">
        <f>P9*'Output-Calculation-sheet'!P53/10^9</f>
        <v>0.4319634088484377</v>
      </c>
      <c r="Q64" s="2">
        <f>Q9*'Output-Calculation-sheet'!Q53/10^9</f>
        <v>0.44536168593109721</v>
      </c>
      <c r="R64" s="2">
        <f>R9*'Output-Calculation-sheet'!R53/10^9</f>
        <v>0.35604674050137647</v>
      </c>
      <c r="S64" s="2">
        <f>S9*'Output-Calculation-sheet'!S53/10^9</f>
        <v>0.32766346407727365</v>
      </c>
      <c r="T64" s="2">
        <f>T9*'Output-Calculation-sheet'!T53/10^9</f>
        <v>0.11122089017216574</v>
      </c>
      <c r="U64" s="2">
        <f>U9*'Output-Calculation-sheet'!U53/10^9</f>
        <v>0.11193758157011542</v>
      </c>
      <c r="V64" s="2">
        <f>V9*'Output-Calculation-sheet'!V53/10^9</f>
        <v>8.3273896500156472E-2</v>
      </c>
      <c r="W64" s="2">
        <f>W9*'Output-Calculation-sheet'!W53/10^9</f>
        <v>5.2036545172100018E-2</v>
      </c>
      <c r="X64" s="2">
        <f>X9*'Output-Calculation-sheet'!X53/10^9</f>
        <v>6.6087523805571285E-2</v>
      </c>
      <c r="Y64" s="2">
        <f>Y9*'Output-Calculation-sheet'!Y53/10^9</f>
        <v>4.3600144723796953E-2</v>
      </c>
      <c r="AA64" s="2">
        <f t="shared" si="4"/>
        <v>17.955926355236905</v>
      </c>
    </row>
    <row r="65" spans="1:27" x14ac:dyDescent="0.25">
      <c r="A65" s="2">
        <v>2033</v>
      </c>
      <c r="B65" s="2">
        <f>B10*'Output-Calculation-sheet'!B54/10^9</f>
        <v>5.7361280079368333</v>
      </c>
      <c r="C65" s="2">
        <f>C10*'Output-Calculation-sheet'!C54/10^9</f>
        <v>2.7768014011217779</v>
      </c>
      <c r="D65" s="2">
        <f>D10*'Output-Calculation-sheet'!D54/10^9</f>
        <v>1.2528495498662133</v>
      </c>
      <c r="E65" s="2">
        <f>E10*'Output-Calculation-sheet'!E54/10^9</f>
        <v>1.3950082150727832</v>
      </c>
      <c r="F65" s="2">
        <f>F10*'Output-Calculation-sheet'!F54/10^9</f>
        <v>0.64304771718087161</v>
      </c>
      <c r="G65" s="2">
        <f>G10*'Output-Calculation-sheet'!G54/10^9</f>
        <v>0.44513672156255635</v>
      </c>
      <c r="H65" s="2">
        <f>H10*'Output-Calculation-sheet'!H54/10^9</f>
        <v>0.83190631710537721</v>
      </c>
      <c r="I65" s="2">
        <f>I10*'Output-Calculation-sheet'!I54/10^9</f>
        <v>0.43913306170332211</v>
      </c>
      <c r="J65" s="2">
        <f>J10*'Output-Calculation-sheet'!J54/10^9</f>
        <v>0.39635261683726186</v>
      </c>
      <c r="K65" s="2">
        <f>K10*'Output-Calculation-sheet'!K54/10^9</f>
        <v>0.51178015049051351</v>
      </c>
      <c r="L65" s="2">
        <f>L10*'Output-Calculation-sheet'!L54/10^9</f>
        <v>0.42278108987251523</v>
      </c>
      <c r="M65" s="2">
        <f>M10*'Output-Calculation-sheet'!M54/10^9</f>
        <v>0.57480194224995229</v>
      </c>
      <c r="N65" s="2">
        <f>N10*'Output-Calculation-sheet'!N54/10^9</f>
        <v>0.60219210171684956</v>
      </c>
      <c r="O65" s="2">
        <f>O10*'Output-Calculation-sheet'!O54/10^9</f>
        <v>0.54072123155552088</v>
      </c>
      <c r="P65" s="2">
        <f>P10*'Output-Calculation-sheet'!P54/10^9</f>
        <v>0.44982259302364269</v>
      </c>
      <c r="Q65" s="2">
        <f>Q10*'Output-Calculation-sheet'!Q54/10^9</f>
        <v>0.46366198741930537</v>
      </c>
      <c r="R65" s="2">
        <f>R10*'Output-Calculation-sheet'!R54/10^9</f>
        <v>0.37055101128091095</v>
      </c>
      <c r="S65" s="2">
        <f>S10*'Output-Calculation-sheet'!S54/10^9</f>
        <v>0.34013877793331848</v>
      </c>
      <c r="T65" s="2">
        <f>T10*'Output-Calculation-sheet'!T54/10^9</f>
        <v>0.11566735915693759</v>
      </c>
      <c r="U65" s="2">
        <f>U10*'Output-Calculation-sheet'!U54/10^9</f>
        <v>0.116552387815184</v>
      </c>
      <c r="V65" s="2">
        <f>V10*'Output-Calculation-sheet'!V54/10^9</f>
        <v>8.6608821428182589E-2</v>
      </c>
      <c r="W65" s="2">
        <f>W10*'Output-Calculation-sheet'!W54/10^9</f>
        <v>5.4091379344615879E-2</v>
      </c>
      <c r="X65" s="2">
        <f>X10*'Output-Calculation-sheet'!X54/10^9</f>
        <v>6.8483744330892063E-2</v>
      </c>
      <c r="Y65" s="2">
        <f>Y10*'Output-Calculation-sheet'!Y54/10^9</f>
        <v>4.5375166567392822E-2</v>
      </c>
      <c r="AA65" s="2">
        <f t="shared" si="4"/>
        <v>18.679593352572724</v>
      </c>
    </row>
    <row r="66" spans="1:27" x14ac:dyDescent="0.25">
      <c r="A66" s="2">
        <v>2034</v>
      </c>
      <c r="B66" s="2">
        <f>B11*'Output-Calculation-sheet'!B55/10^9</f>
        <v>5.812831923107562</v>
      </c>
      <c r="C66" s="2">
        <f>C11*'Output-Calculation-sheet'!C55/10^9</f>
        <v>2.8084461047873122</v>
      </c>
      <c r="D66" s="2">
        <f>D11*'Output-Calculation-sheet'!D55/10^9</f>
        <v>1.2709976913242576</v>
      </c>
      <c r="E66" s="2">
        <f>E11*'Output-Calculation-sheet'!E55/10^9</f>
        <v>1.4157223056301953</v>
      </c>
      <c r="F66" s="2">
        <f>F11*'Output-Calculation-sheet'!F55/10^9</f>
        <v>0.65193134641134509</v>
      </c>
      <c r="G66" s="2">
        <f>G11*'Output-Calculation-sheet'!G55/10^9</f>
        <v>0.45162802676056868</v>
      </c>
      <c r="H66" s="2">
        <f>H11*'Output-Calculation-sheet'!H55/10^9</f>
        <v>0.83983053525202034</v>
      </c>
      <c r="I66" s="2">
        <f>I11*'Output-Calculation-sheet'!I55/10^9</f>
        <v>0.44547004268952428</v>
      </c>
      <c r="J66" s="2">
        <f>J11*'Output-Calculation-sheet'!J55/10^9</f>
        <v>0.40205362358861657</v>
      </c>
      <c r="K66" s="2">
        <f>K11*'Output-Calculation-sheet'!K55/10^9</f>
        <v>0.51924182590541124</v>
      </c>
      <c r="L66" s="2">
        <f>L11*'Output-Calculation-sheet'!L55/10^9</f>
        <v>0.42895183554003846</v>
      </c>
      <c r="M66" s="2">
        <f>M11*'Output-Calculation-sheet'!M55/10^9</f>
        <v>0.58030252133174276</v>
      </c>
      <c r="N66" s="2">
        <f>N11*'Output-Calculation-sheet'!N55/10^9</f>
        <v>0.60849588047101177</v>
      </c>
      <c r="O66" s="2">
        <f>O11*'Output-Calculation-sheet'!O55/10^9</f>
        <v>0.551402553271225</v>
      </c>
      <c r="P66" s="2">
        <f>P11*'Output-Calculation-sheet'!P55/10^9</f>
        <v>0.45693875210087948</v>
      </c>
      <c r="Q66" s="2">
        <f>Q11*'Output-Calculation-sheet'!Q55/10^9</f>
        <v>0.47087738913213995</v>
      </c>
      <c r="R66" s="2">
        <f>R11*'Output-Calculation-sheet'!R55/10^9</f>
        <v>0.37619659431350255</v>
      </c>
      <c r="S66" s="2">
        <f>S11*'Output-Calculation-sheet'!S55/10^9</f>
        <v>0.34417356891193024</v>
      </c>
      <c r="T66" s="2">
        <f>T11*'Output-Calculation-sheet'!T55/10^9</f>
        <v>0.11734353098442644</v>
      </c>
      <c r="U66" s="2">
        <f>U11*'Output-Calculation-sheet'!U55/10^9</f>
        <v>0.11838459648772864</v>
      </c>
      <c r="V66" s="2">
        <f>V11*'Output-Calculation-sheet'!V55/10^9</f>
        <v>8.7868992698367537E-2</v>
      </c>
      <c r="W66" s="2">
        <f>W11*'Output-Calculation-sheet'!W55/10^9</f>
        <v>5.4849573658820899E-2</v>
      </c>
      <c r="X66" s="2">
        <f>X11*'Output-Calculation-sheet'!X55/10^9</f>
        <v>6.9204822351520062E-2</v>
      </c>
      <c r="Y66" s="2">
        <f>Y11*'Output-Calculation-sheet'!Y55/10^9</f>
        <v>4.6065565118905819E-2</v>
      </c>
      <c r="AA66" s="2">
        <f t="shared" si="4"/>
        <v>18.929209601829051</v>
      </c>
    </row>
    <row r="67" spans="1:27" x14ac:dyDescent="0.25">
      <c r="A67" s="2">
        <v>2035</v>
      </c>
      <c r="B67" s="2">
        <f>B12*'Output-Calculation-sheet'!B56/10^9</f>
        <v>5.758483996421619</v>
      </c>
      <c r="C67" s="2">
        <f>C12*'Output-Calculation-sheet'!C56/10^9</f>
        <v>2.7783383482383299</v>
      </c>
      <c r="D67" s="2">
        <f>D12*'Output-Calculation-sheet'!D56/10^9</f>
        <v>1.2618137993874612</v>
      </c>
      <c r="E67" s="2">
        <f>E12*'Output-Calculation-sheet'!E56/10^9</f>
        <v>1.405994023511336</v>
      </c>
      <c r="F67" s="2">
        <f>F12*'Output-Calculation-sheet'!F56/10^9</f>
        <v>0.6467866836320445</v>
      </c>
      <c r="G67" s="2">
        <f>G12*'Output-Calculation-sheet'!G56/10^9</f>
        <v>0.44841491230501468</v>
      </c>
      <c r="H67" s="2">
        <f>H12*'Output-Calculation-sheet'!H56/10^9</f>
        <v>0.82938626631371459</v>
      </c>
      <c r="I67" s="2">
        <f>I12*'Output-Calculation-sheet'!I56/10^9</f>
        <v>0.44222456573041918</v>
      </c>
      <c r="J67" s="2">
        <f>J12*'Output-Calculation-sheet'!J56/10^9</f>
        <v>0.39911209452718605</v>
      </c>
      <c r="K67" s="2">
        <f>K12*'Output-Calculation-sheet'!K56/10^9</f>
        <v>0.51553576723080496</v>
      </c>
      <c r="L67" s="2">
        <f>L12*'Output-Calculation-sheet'!L56/10^9</f>
        <v>0.42590098600390247</v>
      </c>
      <c r="M67" s="2">
        <f>M12*'Output-Calculation-sheet'!M56/10^9</f>
        <v>0.5731107173568355</v>
      </c>
      <c r="N67" s="2">
        <f>N12*'Output-Calculation-sheet'!N56/10^9</f>
        <v>0.60148622454848266</v>
      </c>
      <c r="O67" s="2">
        <f>O12*'Output-Calculation-sheet'!O56/10^9</f>
        <v>0.54709849535334487</v>
      </c>
      <c r="P67" s="2">
        <f>P12*'Output-Calculation-sheet'!P56/10^9</f>
        <v>0.45422917569067811</v>
      </c>
      <c r="Q67" s="2">
        <f>Q12*'Output-Calculation-sheet'!Q56/10^9</f>
        <v>0.46795152803853113</v>
      </c>
      <c r="R67" s="2">
        <f>R12*'Output-Calculation-sheet'!R56/10^9</f>
        <v>0.37375323149759343</v>
      </c>
      <c r="S67" s="2">
        <f>S12*'Output-Calculation-sheet'!S56/10^9</f>
        <v>0.34059531155849088</v>
      </c>
      <c r="T67" s="2">
        <f>T12*'Output-Calculation-sheet'!T56/10^9</f>
        <v>0.11649638016126125</v>
      </c>
      <c r="U67" s="2">
        <f>U12*'Output-Calculation-sheet'!U56/10^9</f>
        <v>0.11767265140203909</v>
      </c>
      <c r="V67" s="2">
        <f>V12*'Output-Calculation-sheet'!V56/10^9</f>
        <v>8.7237691240292098E-2</v>
      </c>
      <c r="W67" s="2">
        <f>W12*'Output-Calculation-sheet'!W56/10^9</f>
        <v>5.4427939020683345E-2</v>
      </c>
      <c r="X67" s="2">
        <f>X12*'Output-Calculation-sheet'!X56/10^9</f>
        <v>6.8408925594409323E-2</v>
      </c>
      <c r="Y67" s="2">
        <f>Y12*'Output-Calculation-sheet'!Y56/10^9</f>
        <v>4.5765788509291215E-2</v>
      </c>
      <c r="AA67" s="2">
        <f t="shared" si="4"/>
        <v>18.760225503273773</v>
      </c>
    </row>
    <row r="68" spans="1:27" x14ac:dyDescent="0.25">
      <c r="B68" s="2">
        <f>SUM(B60:B67)</f>
        <v>38.941724101000752</v>
      </c>
      <c r="C68" s="2">
        <f t="shared" ref="C68:Y68" si="5">SUM(C60:C67)</f>
        <v>18.733052369274088</v>
      </c>
      <c r="D68" s="2">
        <f t="shared" si="5"/>
        <v>8.5285648682780106</v>
      </c>
      <c r="E68" s="2">
        <f t="shared" si="5"/>
        <v>9.4917797849834606</v>
      </c>
      <c r="F68" s="2">
        <f t="shared" si="5"/>
        <v>4.3810355120555649</v>
      </c>
      <c r="G68" s="2">
        <f t="shared" si="5"/>
        <v>3.029897028096598</v>
      </c>
      <c r="H68" s="2">
        <f t="shared" si="5"/>
        <v>5.6777503877780795</v>
      </c>
      <c r="I68" s="2">
        <f t="shared" si="5"/>
        <v>2.9894457939974908</v>
      </c>
      <c r="J68" s="2">
        <f t="shared" si="5"/>
        <v>2.6984683362689168</v>
      </c>
      <c r="K68" s="2">
        <f t="shared" si="5"/>
        <v>3.4832415147019873</v>
      </c>
      <c r="L68" s="2">
        <f t="shared" si="5"/>
        <v>2.8775268113131647</v>
      </c>
      <c r="M68" s="2">
        <f t="shared" si="5"/>
        <v>3.9224537089902056</v>
      </c>
      <c r="N68" s="2">
        <f t="shared" si="5"/>
        <v>4.1047717293102535</v>
      </c>
      <c r="O68" s="2">
        <f t="shared" si="5"/>
        <v>3.6540257883506841</v>
      </c>
      <c r="P68" s="2">
        <f t="shared" si="5"/>
        <v>3.0567262311940016</v>
      </c>
      <c r="Q68" s="2">
        <f t="shared" si="5"/>
        <v>3.1516321367904245</v>
      </c>
      <c r="R68" s="2">
        <f t="shared" si="5"/>
        <v>2.5200224890342517</v>
      </c>
      <c r="S68" s="2">
        <f t="shared" si="5"/>
        <v>2.3133446554528656</v>
      </c>
      <c r="T68" s="2">
        <f t="shared" si="5"/>
        <v>0.78735661627033438</v>
      </c>
      <c r="U68" s="2">
        <f t="shared" si="5"/>
        <v>0.79217452448661663</v>
      </c>
      <c r="V68" s="2">
        <f t="shared" si="5"/>
        <v>0.58948365934169733</v>
      </c>
      <c r="W68" s="2">
        <f t="shared" si="5"/>
        <v>0.36842851447521252</v>
      </c>
      <c r="X68" s="2">
        <f t="shared" si="5"/>
        <v>0.46673162767965998</v>
      </c>
      <c r="Y68" s="2">
        <f t="shared" si="5"/>
        <v>0.30859638170026399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10368621573.123175</v>
      </c>
      <c r="C96" s="2">
        <f>C8/'Output-Calculation-sheet'!C7*'Output-Calculation-sheet'!C79</f>
        <v>0</v>
      </c>
      <c r="D96" s="2">
        <f>D8/'Output-Calculation-sheet'!D7*'Output-Calculation-sheet'!D79</f>
        <v>6311273056.8868189</v>
      </c>
      <c r="E96" s="2">
        <f>E8/'Output-Calculation-sheet'!E7*'Output-Calculation-sheet'!E79</f>
        <v>9885714044.7608757</v>
      </c>
      <c r="F96" s="2">
        <f>F8/'Output-Calculation-sheet'!F7*'Output-Calculation-sheet'!F79</f>
        <v>4732063445.3536177</v>
      </c>
      <c r="G96" s="2">
        <f>G8/'Output-Calculation-sheet'!G7*'Output-Calculation-sheet'!G79</f>
        <v>3607501598.3107209</v>
      </c>
      <c r="H96" s="2">
        <f>H8/'Output-Calculation-sheet'!H7*'Output-Calculation-sheet'!H79</f>
        <v>974980455.41085672</v>
      </c>
      <c r="I96" s="2">
        <f>I8/'Output-Calculation-sheet'!I7*'Output-Calculation-sheet'!I79</f>
        <v>2473963505.568727</v>
      </c>
      <c r="J96" s="2">
        <f>J8/'Output-Calculation-sheet'!J7*'Output-Calculation-sheet'!J79</f>
        <v>1761023387.5231466</v>
      </c>
      <c r="K96" s="2">
        <f>K8/'Output-Calculation-sheet'!K7*'Output-Calculation-sheet'!K79</f>
        <v>2194809764.0688057</v>
      </c>
      <c r="L96" s="2">
        <f>L8/'Output-Calculation-sheet'!L7*'Output-Calculation-sheet'!L79</f>
        <v>1527281398.707284</v>
      </c>
      <c r="M96" s="2">
        <f>M8/'Output-Calculation-sheet'!M7*'Output-Calculation-sheet'!M79</f>
        <v>722778288.18399179</v>
      </c>
      <c r="N96" s="2">
        <f>N8/'Output-Calculation-sheet'!N7*'Output-Calculation-sheet'!N79</f>
        <v>805539082.89547455</v>
      </c>
      <c r="O96" s="2">
        <f>O8/'Output-Calculation-sheet'!O7*'Output-Calculation-sheet'!O79</f>
        <v>0</v>
      </c>
      <c r="P96" s="2">
        <f>P8/'Output-Calculation-sheet'!P7*'Output-Calculation-sheet'!P79</f>
        <v>1863027348.2635806</v>
      </c>
      <c r="Q96" s="2">
        <f>Q8/'Output-Calculation-sheet'!Q7*'Output-Calculation-sheet'!Q79</f>
        <v>864910966.82795155</v>
      </c>
      <c r="R96" s="2">
        <f>R8/'Output-Calculation-sheet'!R7*'Output-Calculation-sheet'!R79</f>
        <v>1334444832.2519367</v>
      </c>
      <c r="S96" s="2">
        <f>S8/'Output-Calculation-sheet'!S7*'Output-Calculation-sheet'!S79</f>
        <v>488788063.72625494</v>
      </c>
      <c r="T96" s="2">
        <f>T8/'Output-Calculation-sheet'!T7*'Output-Calculation-sheet'!T79</f>
        <v>699456997.49126065</v>
      </c>
      <c r="U96" s="2">
        <f>U8/'Output-Calculation-sheet'!U7*'Output-Calculation-sheet'!U79</f>
        <v>355139255.18152064</v>
      </c>
      <c r="V96" s="2">
        <f>V8/'Output-Calculation-sheet'!V7*'Output-Calculation-sheet'!V79</f>
        <v>215287796.75663543</v>
      </c>
      <c r="W96" s="2">
        <f>W8/'Output-Calculation-sheet'!W7*'Output-Calculation-sheet'!W79</f>
        <v>749734779.10609376</v>
      </c>
      <c r="X96" s="2">
        <f>X8/'Output-Calculation-sheet'!X7*'Output-Calculation-sheet'!X79</f>
        <v>69899676.099380344</v>
      </c>
      <c r="Y96" s="2">
        <f>Y8/'Output-Calculation-sheet'!Y7*'Output-Calculation-sheet'!Y79</f>
        <v>318916404.77491629</v>
      </c>
      <c r="AA96" s="2">
        <f t="shared" si="8"/>
        <v>52.325155721273035</v>
      </c>
    </row>
    <row r="97" spans="1:27" x14ac:dyDescent="0.25">
      <c r="A97" s="2">
        <v>2032</v>
      </c>
      <c r="B97" s="2">
        <f>B9/'Output-Calculation-sheet'!B8*'Output-Calculation-sheet'!B80</f>
        <v>11293684952.755585</v>
      </c>
      <c r="C97" s="2">
        <f>C9/'Output-Calculation-sheet'!C8*'Output-Calculation-sheet'!C80</f>
        <v>0</v>
      </c>
      <c r="D97" s="2">
        <f>D9/'Output-Calculation-sheet'!D8*'Output-Calculation-sheet'!D80</f>
        <v>6556319787.4154253</v>
      </c>
      <c r="E97" s="2">
        <f>E9/'Output-Calculation-sheet'!E8*'Output-Calculation-sheet'!E80</f>
        <v>10577489898.578745</v>
      </c>
      <c r="F97" s="2">
        <f>F9/'Output-Calculation-sheet'!F8*'Output-Calculation-sheet'!F80</f>
        <v>5045629233.2746038</v>
      </c>
      <c r="G97" s="2">
        <f>G9/'Output-Calculation-sheet'!G8*'Output-Calculation-sheet'!G80</f>
        <v>3736172871.3203816</v>
      </c>
      <c r="H97" s="2">
        <f>H9/'Output-Calculation-sheet'!H8*'Output-Calculation-sheet'!H80</f>
        <v>1066981966.2884232</v>
      </c>
      <c r="I97" s="2">
        <f>I9/'Output-Calculation-sheet'!I8*'Output-Calculation-sheet'!I80</f>
        <v>2664170958.4088764</v>
      </c>
      <c r="J97" s="2">
        <f>J9/'Output-Calculation-sheet'!J8*'Output-Calculation-sheet'!J80</f>
        <v>1842514222.4536986</v>
      </c>
      <c r="K97" s="2">
        <f>K9/'Output-Calculation-sheet'!K8*'Output-Calculation-sheet'!K80</f>
        <v>2317727181.8525243</v>
      </c>
      <c r="L97" s="2">
        <f>L9/'Output-Calculation-sheet'!L8*'Output-Calculation-sheet'!L80</f>
        <v>1664095439.6420543</v>
      </c>
      <c r="M97" s="2">
        <f>M9/'Output-Calculation-sheet'!M8*'Output-Calculation-sheet'!M80</f>
        <v>792381815.60869789</v>
      </c>
      <c r="N97" s="2">
        <f>N9/'Output-Calculation-sheet'!N8*'Output-Calculation-sheet'!N80</f>
        <v>843405833.89350164</v>
      </c>
      <c r="O97" s="2">
        <f>O9/'Output-Calculation-sheet'!O8*'Output-Calculation-sheet'!O80</f>
        <v>0</v>
      </c>
      <c r="P97" s="2">
        <f>P9/'Output-Calculation-sheet'!P8*'Output-Calculation-sheet'!P80</f>
        <v>1973719928.8682895</v>
      </c>
      <c r="Q97" s="2">
        <f>Q9/'Output-Calculation-sheet'!Q8*'Output-Calculation-sheet'!Q80</f>
        <v>920244173.66277993</v>
      </c>
      <c r="R97" s="2">
        <f>R9/'Output-Calculation-sheet'!R8*'Output-Calculation-sheet'!R80</f>
        <v>1426307989.2008529</v>
      </c>
      <c r="S97" s="2">
        <f>S9/'Output-Calculation-sheet'!S8*'Output-Calculation-sheet'!S80</f>
        <v>537419670.44541991</v>
      </c>
      <c r="T97" s="2">
        <f>T9/'Output-Calculation-sheet'!T8*'Output-Calculation-sheet'!T80</f>
        <v>733452062.41535366</v>
      </c>
      <c r="U97" s="2">
        <f>U9/'Output-Calculation-sheet'!U8*'Output-Calculation-sheet'!U80</f>
        <v>379752699.97085601</v>
      </c>
      <c r="V97" s="2">
        <f>V9/'Output-Calculation-sheet'!V8*'Output-Calculation-sheet'!V80</f>
        <v>232801514.21902367</v>
      </c>
      <c r="W97" s="2">
        <f>W9/'Output-Calculation-sheet'!W8*'Output-Calculation-sheet'!W80</f>
        <v>792573937.6949544</v>
      </c>
      <c r="X97" s="2">
        <f>X9/'Output-Calculation-sheet'!X8*'Output-Calculation-sheet'!X80</f>
        <v>78467537.412435398</v>
      </c>
      <c r="Y97" s="2">
        <f>Y9/'Output-Calculation-sheet'!Y8*'Output-Calculation-sheet'!Y80</f>
        <v>337480296.4839133</v>
      </c>
      <c r="AA97" s="2">
        <f t="shared" si="8"/>
        <v>55.812793971866377</v>
      </c>
    </row>
    <row r="98" spans="1:27" x14ac:dyDescent="0.25">
      <c r="A98" s="2">
        <v>2033</v>
      </c>
      <c r="B98" s="2">
        <f>B10/'Output-Calculation-sheet'!B9*'Output-Calculation-sheet'!B81</f>
        <v>12375257556.020575</v>
      </c>
      <c r="C98" s="2">
        <f>C10/'Output-Calculation-sheet'!C9*'Output-Calculation-sheet'!C81</f>
        <v>1620793214.255955</v>
      </c>
      <c r="D98" s="2">
        <f>D10/'Output-Calculation-sheet'!D9*'Output-Calculation-sheet'!D81</f>
        <v>6597652962.4157009</v>
      </c>
      <c r="E98" s="2">
        <f>E10/'Output-Calculation-sheet'!E9*'Output-Calculation-sheet'!E81</f>
        <v>10954410984.180378</v>
      </c>
      <c r="F98" s="2">
        <f>F10/'Output-Calculation-sheet'!F9*'Output-Calculation-sheet'!F81</f>
        <v>5215285538.8103771</v>
      </c>
      <c r="G98" s="2">
        <f>G10/'Output-Calculation-sheet'!G9*'Output-Calculation-sheet'!G81</f>
        <v>3744977801.7648759</v>
      </c>
      <c r="H98" s="2">
        <f>H10/'Output-Calculation-sheet'!H9*'Output-Calculation-sheet'!H81</f>
        <v>1128641315.406142</v>
      </c>
      <c r="I98" s="2">
        <f>I10/'Output-Calculation-sheet'!I9*'Output-Calculation-sheet'!I81</f>
        <v>2779620814.1345344</v>
      </c>
      <c r="J98" s="2">
        <f>J10/'Output-Calculation-sheet'!J9*'Output-Calculation-sheet'!J81</f>
        <v>1869091889.57692</v>
      </c>
      <c r="K98" s="2">
        <f>K10/'Output-Calculation-sheet'!K9*'Output-Calculation-sheet'!K81</f>
        <v>2373685654.9406691</v>
      </c>
      <c r="L98" s="2">
        <f>L10/'Output-Calculation-sheet'!L9*'Output-Calculation-sheet'!L81</f>
        <v>1754971836.0321922</v>
      </c>
      <c r="M98" s="2">
        <f>M10/'Output-Calculation-sheet'!M9*'Output-Calculation-sheet'!M81</f>
        <v>841519135.39994395</v>
      </c>
      <c r="N98" s="2">
        <f>N10/'Output-Calculation-sheet'!N9*'Output-Calculation-sheet'!N81</f>
        <v>856332456.17012417</v>
      </c>
      <c r="O98" s="2">
        <f>O10/'Output-Calculation-sheet'!O9*'Output-Calculation-sheet'!O81</f>
        <v>0</v>
      </c>
      <c r="P98" s="2">
        <f>P10/'Output-Calculation-sheet'!P9*'Output-Calculation-sheet'!P81</f>
        <v>2019427503.6179006</v>
      </c>
      <c r="Q98" s="2">
        <f>Q10/'Output-Calculation-sheet'!Q9*'Output-Calculation-sheet'!Q81</f>
        <v>947890121.7685045</v>
      </c>
      <c r="R98" s="2">
        <f>R10/'Output-Calculation-sheet'!R9*'Output-Calculation-sheet'!R81</f>
        <v>1479143124.5872407</v>
      </c>
      <c r="S98" s="2">
        <f>S10/'Output-Calculation-sheet'!S9*'Output-Calculation-sheet'!S81</f>
        <v>561654918.09130728</v>
      </c>
      <c r="T98" s="2">
        <f>T10/'Output-Calculation-sheet'!T9*'Output-Calculation-sheet'!T81</f>
        <v>745490137.99831831</v>
      </c>
      <c r="U98" s="2">
        <f>U10/'Output-Calculation-sheet'!U9*'Output-Calculation-sheet'!U81</f>
        <v>392949348.85406309</v>
      </c>
      <c r="V98" s="2">
        <f>V10/'Output-Calculation-sheet'!V9*'Output-Calculation-sheet'!V81</f>
        <v>243508010.7304332</v>
      </c>
      <c r="W98" s="2">
        <f>W10/'Output-Calculation-sheet'!W9*'Output-Calculation-sheet'!W81</f>
        <v>809584027.04393256</v>
      </c>
      <c r="X98" s="2">
        <f>X10/'Output-Calculation-sheet'!X9*'Output-Calculation-sheet'!X81</f>
        <v>84217675.069490716</v>
      </c>
      <c r="Y98" s="2">
        <f>Y10/'Output-Calculation-sheet'!Y9*'Output-Calculation-sheet'!Y81</f>
        <v>345614255.82727003</v>
      </c>
      <c r="AA98" s="2">
        <f t="shared" si="8"/>
        <v>59.741720282696839</v>
      </c>
    </row>
    <row r="99" spans="1:27" x14ac:dyDescent="0.25">
      <c r="A99" s="2">
        <v>2034</v>
      </c>
      <c r="B99" s="2">
        <f>B11/'Output-Calculation-sheet'!B10*'Output-Calculation-sheet'!B82</f>
        <v>12984098391.412354</v>
      </c>
      <c r="C99" s="2">
        <f>C11/'Output-Calculation-sheet'!C10*'Output-Calculation-sheet'!C82</f>
        <v>1760965993.9275303</v>
      </c>
      <c r="D99" s="2">
        <f>D11/'Output-Calculation-sheet'!D10*'Output-Calculation-sheet'!D82</f>
        <v>6478450603.4806089</v>
      </c>
      <c r="E99" s="2">
        <f>E11/'Output-Calculation-sheet'!E10*'Output-Calculation-sheet'!E82</f>
        <v>11079255532.431929</v>
      </c>
      <c r="F99" s="2">
        <f>F11/'Output-Calculation-sheet'!F10*'Output-Calculation-sheet'!F82</f>
        <v>5261629013.0419006</v>
      </c>
      <c r="G99" s="2">
        <f>G11/'Output-Calculation-sheet'!G10*'Output-Calculation-sheet'!G82</f>
        <v>3655027839.2910333</v>
      </c>
      <c r="H99" s="2">
        <f>H11/'Output-Calculation-sheet'!H10*'Output-Calculation-sheet'!H82</f>
        <v>1166295149.9798508</v>
      </c>
      <c r="I99" s="2">
        <f>I11/'Output-Calculation-sheet'!I10*'Output-Calculation-sheet'!I82</f>
        <v>2833300990.7912817</v>
      </c>
      <c r="J99" s="2">
        <f>J11/'Output-Calculation-sheet'!J10*'Output-Calculation-sheet'!J82</f>
        <v>1851090060.2481217</v>
      </c>
      <c r="K99" s="2">
        <f>K11/'Output-Calculation-sheet'!K10*'Output-Calculation-sheet'!K82</f>
        <v>2373428815.8656077</v>
      </c>
      <c r="L99" s="2">
        <f>L11/'Output-Calculation-sheet'!L10*'Output-Calculation-sheet'!L82</f>
        <v>1804763399.2898128</v>
      </c>
      <c r="M99" s="2">
        <f>M11/'Output-Calculation-sheet'!M10*'Output-Calculation-sheet'!M82</f>
        <v>872424935.96320891</v>
      </c>
      <c r="N99" s="2">
        <f>N11/'Output-Calculation-sheet'!N10*'Output-Calculation-sheet'!N82</f>
        <v>851447629.45093954</v>
      </c>
      <c r="O99" s="2">
        <f>O11/'Output-Calculation-sheet'!O10*'Output-Calculation-sheet'!O82</f>
        <v>0</v>
      </c>
      <c r="P99" s="2">
        <f>P11/'Output-Calculation-sheet'!P10*'Output-Calculation-sheet'!P82</f>
        <v>2013879172.0349007</v>
      </c>
      <c r="Q99" s="2">
        <f>Q11/'Output-Calculation-sheet'!Q10*'Output-Calculation-sheet'!Q82</f>
        <v>953585055.78407884</v>
      </c>
      <c r="R99" s="2">
        <f>R11/'Output-Calculation-sheet'!R10*'Output-Calculation-sheet'!R82</f>
        <v>1496493096.2967665</v>
      </c>
      <c r="S99" s="2">
        <f>S11/'Output-Calculation-sheet'!S10*'Output-Calculation-sheet'!S82</f>
        <v>583083817.92936671</v>
      </c>
      <c r="T99" s="2">
        <f>T11/'Output-Calculation-sheet'!T10*'Output-Calculation-sheet'!T82</f>
        <v>739381311.8934716</v>
      </c>
      <c r="U99" s="2">
        <f>U11/'Output-Calculation-sheet'!U10*'Output-Calculation-sheet'!U82</f>
        <v>397437683.03724903</v>
      </c>
      <c r="V99" s="2">
        <f>V11/'Output-Calculation-sheet'!V10*'Output-Calculation-sheet'!V82</f>
        <v>248626903.77223018</v>
      </c>
      <c r="W99" s="2">
        <f>W11/'Output-Calculation-sheet'!W10*'Output-Calculation-sheet'!W82</f>
        <v>805951440.19186759</v>
      </c>
      <c r="X99" s="2">
        <f>X11/'Output-Calculation-sheet'!X10*'Output-Calculation-sheet'!X82</f>
        <v>88681934.44872427</v>
      </c>
      <c r="Y99" s="2">
        <f>Y11/'Output-Calculation-sheet'!Y10*'Output-Calculation-sheet'!Y82</f>
        <v>344844860.92202437</v>
      </c>
      <c r="AA99" s="2">
        <f t="shared" si="8"/>
        <v>60.644143631484859</v>
      </c>
    </row>
    <row r="100" spans="1:27" x14ac:dyDescent="0.25">
      <c r="A100" s="2">
        <v>2035</v>
      </c>
      <c r="B100" s="2">
        <f>B12/'Output-Calculation-sheet'!B11*'Output-Calculation-sheet'!B83</f>
        <v>13114206846.36874</v>
      </c>
      <c r="C100" s="2">
        <f>C12/'Output-Calculation-sheet'!C11*'Output-Calculation-sheet'!C83</f>
        <v>1855468901.4120917</v>
      </c>
      <c r="D100" s="2">
        <f>D12/'Output-Calculation-sheet'!D11*'Output-Calculation-sheet'!D83</f>
        <v>6237169799.496479</v>
      </c>
      <c r="E100" s="2">
        <f>E12/'Output-Calculation-sheet'!E11*'Output-Calculation-sheet'!E83</f>
        <v>10973165506.950018</v>
      </c>
      <c r="F100" s="2">
        <f>F12/'Output-Calculation-sheet'!F11*'Output-Calculation-sheet'!F83</f>
        <v>5200256886.4978752</v>
      </c>
      <c r="G100" s="2">
        <f>G12/'Output-Calculation-sheet'!G11*'Output-Calculation-sheet'!G83</f>
        <v>3487683992.0843649</v>
      </c>
      <c r="H100" s="2">
        <f>H12/'Output-Calculation-sheet'!H11*'Output-Calculation-sheet'!H83</f>
        <v>1175206016.9723694</v>
      </c>
      <c r="I100" s="2">
        <f>I12/'Output-Calculation-sheet'!I11*'Output-Calculation-sheet'!I83</f>
        <v>2825829025.5680127</v>
      </c>
      <c r="J100" s="2">
        <f>J12/'Output-Calculation-sheet'!J11*'Output-Calculation-sheet'!J83</f>
        <v>1795297798.7843614</v>
      </c>
      <c r="K100" s="2">
        <f>K12/'Output-Calculation-sheet'!K11*'Output-Calculation-sheet'!K83</f>
        <v>2323859342.9083433</v>
      </c>
      <c r="L100" s="2">
        <f>L12/'Output-Calculation-sheet'!L11*'Output-Calculation-sheet'!L83</f>
        <v>1815717526.0023892</v>
      </c>
      <c r="M100" s="2">
        <f>M12/'Output-Calculation-sheet'!M11*'Output-Calculation-sheet'!M83</f>
        <v>880873706.19989514</v>
      </c>
      <c r="N100" s="2">
        <f>N12/'Output-Calculation-sheet'!N11*'Output-Calculation-sheet'!N83</f>
        <v>829808765.73038602</v>
      </c>
      <c r="O100" s="2">
        <f>O12/'Output-Calculation-sheet'!O11*'Output-Calculation-sheet'!O83</f>
        <v>223871826.73271197</v>
      </c>
      <c r="P100" s="2">
        <f>P12/'Output-Calculation-sheet'!P11*'Output-Calculation-sheet'!P83</f>
        <v>1965679836.964541</v>
      </c>
      <c r="Q100" s="2">
        <f>Q12/'Output-Calculation-sheet'!Q11*'Output-Calculation-sheet'!Q83</f>
        <v>942693924.72878516</v>
      </c>
      <c r="R100" s="2">
        <f>R12/'Output-Calculation-sheet'!R11*'Output-Calculation-sheet'!R83</f>
        <v>1484932332.9524815</v>
      </c>
      <c r="S100" s="2">
        <f>S12/'Output-Calculation-sheet'!S11*'Output-Calculation-sheet'!S83</f>
        <v>575933163.72990382</v>
      </c>
      <c r="T100" s="2">
        <f>T12/'Output-Calculation-sheet'!T11*'Output-Calculation-sheet'!T83</f>
        <v>717865107.26011825</v>
      </c>
      <c r="U100" s="2">
        <f>U12/'Output-Calculation-sheet'!U11*'Output-Calculation-sheet'!U83</f>
        <v>393243039.28989297</v>
      </c>
      <c r="V100" s="2">
        <f>V12/'Output-Calculation-sheet'!V11*'Output-Calculation-sheet'!V83</f>
        <v>248546452.57304513</v>
      </c>
      <c r="W100" s="2">
        <f>W12/'Output-Calculation-sheet'!W11*'Output-Calculation-sheet'!W83</f>
        <v>784295681.50928497</v>
      </c>
      <c r="X100" s="2">
        <f>X12/'Output-Calculation-sheet'!X11*'Output-Calculation-sheet'!X83</f>
        <v>91262186.017599955</v>
      </c>
      <c r="Y100" s="2">
        <f>Y12/'Output-Calculation-sheet'!Y11*'Output-Calculation-sheet'!Y83</f>
        <v>336737269.20504761</v>
      </c>
      <c r="AA100" s="2">
        <f t="shared" si="8"/>
        <v>60.279604935938735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3.7595861005770197E-4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3383720632.1738467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2318352129.7576427</v>
      </c>
      <c r="N118" s="2">
        <f>N8/'Output-Calculation-sheet'!N7*'Output-Calculation-sheet'!N97</f>
        <v>1532575341.32777</v>
      </c>
      <c r="O118" s="2">
        <f>O8/'Output-Calculation-sheet'!O7*'Output-Calculation-sheet'!O97</f>
        <v>2.0685158175454748E-5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379926417.09453726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220337889.54692417</v>
      </c>
      <c r="Y118" s="2">
        <f>Y8/'Output-Calculation-sheet'!Y7*'Output-Calculation-sheet'!Y97</f>
        <v>0</v>
      </c>
      <c r="AA118" s="2">
        <f t="shared" si="10"/>
        <v>7834.9124099011196</v>
      </c>
    </row>
    <row r="119" spans="1:27" x14ac:dyDescent="0.25">
      <c r="A119" s="2">
        <v>2032</v>
      </c>
      <c r="B119" s="2">
        <f>B9/'Output-Calculation-sheet'!B8*'Output-Calculation-sheet'!B98</f>
        <v>3501066.7398244389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3759635848.5097723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2572850104.2577105</v>
      </c>
      <c r="N119" s="2">
        <f>N9/'Output-Calculation-sheet'!N8*'Output-Calculation-sheet'!N98</f>
        <v>1877118451.4249539</v>
      </c>
      <c r="O119" s="2">
        <f>O9/'Output-Calculation-sheet'!O8*'Output-Calculation-sheet'!O98</f>
        <v>1.9145324389551011E-4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590617416.04528832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247791635.59007365</v>
      </c>
      <c r="Y119" s="2">
        <f>Y9/'Output-Calculation-sheet'!Y8*'Output-Calculation-sheet'!Y98</f>
        <v>0</v>
      </c>
      <c r="AA119" s="2">
        <f t="shared" si="10"/>
        <v>9051.5145225678152</v>
      </c>
    </row>
    <row r="120" spans="1:27" x14ac:dyDescent="0.25">
      <c r="A120" s="2">
        <v>2033</v>
      </c>
      <c r="B120" s="2">
        <f>B10/'Output-Calculation-sheet'!B9*'Output-Calculation-sheet'!B99</f>
        <v>4900241451.1213255</v>
      </c>
      <c r="C120" s="2">
        <f>C10/'Output-Calculation-sheet'!C9*'Output-Calculation-sheet'!C99</f>
        <v>9120696710.5933342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4034504780.7624002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2763611083.0318475</v>
      </c>
      <c r="N120" s="2">
        <f>N10/'Output-Calculation-sheet'!N9*'Output-Calculation-sheet'!N99</f>
        <v>2184440499.6872287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764123624.3295815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266309169.47133327</v>
      </c>
      <c r="Y120" s="2">
        <f>Y10/'Output-Calculation-sheet'!Y9*'Output-Calculation-sheet'!Y99</f>
        <v>0</v>
      </c>
      <c r="AA120" s="2">
        <f t="shared" si="10"/>
        <v>24033.927318997055</v>
      </c>
    </row>
    <row r="121" spans="1:27" x14ac:dyDescent="0.25">
      <c r="A121" s="2">
        <v>2034</v>
      </c>
      <c r="B121" s="2">
        <f>B11/'Output-Calculation-sheet'!B10*'Output-Calculation-sheet'!B100</f>
        <v>8501849791.4979439</v>
      </c>
      <c r="C121" s="2">
        <f>C11/'Output-Calculation-sheet'!C10*'Output-Calculation-sheet'!C100</f>
        <v>9849895717.9482059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4226193790.1670513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2895382635.8614569</v>
      </c>
      <c r="N121" s="2">
        <f>N11/'Output-Calculation-sheet'!N10*'Output-Calculation-sheet'!N100</f>
        <v>2363903413.3462005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907472959.4434489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280685930.46541327</v>
      </c>
      <c r="Y121" s="2">
        <f>Y11/'Output-Calculation-sheet'!Y10*'Output-Calculation-sheet'!Y100</f>
        <v>0</v>
      </c>
      <c r="AA121" s="2">
        <f t="shared" si="10"/>
        <v>29025.384238729723</v>
      </c>
    </row>
    <row r="122" spans="1:27" x14ac:dyDescent="0.25">
      <c r="A122" s="2">
        <v>2035</v>
      </c>
      <c r="B122" s="2">
        <f>B12/'Output-Calculation-sheet'!B11*'Output-Calculation-sheet'!B101</f>
        <v>10555481837.598976</v>
      </c>
      <c r="C122" s="2">
        <f>C12/'Output-Calculation-sheet'!C11*'Output-Calculation-sheet'!C101</f>
        <v>10317042413.575489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4313507076.6732063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2951858368.6440678</v>
      </c>
      <c r="N122" s="2">
        <f>N12/'Output-Calculation-sheet'!N11*'Output-Calculation-sheet'!N101</f>
        <v>2467165068.4855642</v>
      </c>
      <c r="O122" s="2">
        <f>O12/'Output-Calculation-sheet'!O11*'Output-Calculation-sheet'!O101</f>
        <v>1763269605.3974535</v>
      </c>
      <c r="P122" s="2">
        <f>P12/'Output-Calculation-sheet'!P11*'Output-Calculation-sheet'!P101</f>
        <v>0</v>
      </c>
      <c r="Q122" s="2">
        <f>Q12/'Output-Calculation-sheet'!Q11*'Output-Calculation-sheet'!Q101</f>
        <v>32187798.025828924</v>
      </c>
      <c r="R122" s="2">
        <f>R12/'Output-Calculation-sheet'!R11*'Output-Calculation-sheet'!R101</f>
        <v>0</v>
      </c>
      <c r="S122" s="2">
        <f>S12/'Output-Calculation-sheet'!S11*'Output-Calculation-sheet'!S101</f>
        <v>1038751412.2581291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289006574.43787694</v>
      </c>
      <c r="Y122" s="2">
        <f>Y12/'Output-Calculation-sheet'!Y11*'Output-Calculation-sheet'!Y101</f>
        <v>0</v>
      </c>
      <c r="AA122" s="2">
        <f t="shared" si="10"/>
        <v>33728.270155096594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42407009301.715698</v>
      </c>
      <c r="C129" s="2">
        <f>C8/'Output-Calculation-sheet'!C7*'Output-Calculation-sheet'!C106</f>
        <v>0</v>
      </c>
      <c r="D129" s="2">
        <f>D8/'Output-Calculation-sheet'!D7*'Output-Calculation-sheet'!D106</f>
        <v>30698281188.13559</v>
      </c>
      <c r="E129" s="2">
        <f>E8/'Output-Calculation-sheet'!E7*'Output-Calculation-sheet'!E106</f>
        <v>21457808633.627384</v>
      </c>
      <c r="F129" s="2">
        <f>F8/'Output-Calculation-sheet'!F7*'Output-Calculation-sheet'!F106</f>
        <v>15975359906.224155</v>
      </c>
      <c r="G129" s="2">
        <f>G8/'Output-Calculation-sheet'!G7*'Output-Calculation-sheet'!G106</f>
        <v>10986010714.531107</v>
      </c>
      <c r="H129" s="2">
        <f>H8/'Output-Calculation-sheet'!H7*'Output-Calculation-sheet'!H106</f>
        <v>0</v>
      </c>
      <c r="I129" s="2">
        <f>I8/'Output-Calculation-sheet'!I7*'Output-Calculation-sheet'!I106</f>
        <v>9853606583.381525</v>
      </c>
      <c r="J129" s="2">
        <f>J8/'Output-Calculation-sheet'!J7*'Output-Calculation-sheet'!J106</f>
        <v>10095690853.191271</v>
      </c>
      <c r="K129" s="2">
        <f>K8/'Output-Calculation-sheet'!K7*'Output-Calculation-sheet'!K106</f>
        <v>8710340323.0153542</v>
      </c>
      <c r="L129" s="2">
        <f>L8/'Output-Calculation-sheet'!L7*'Output-Calculation-sheet'!L106</f>
        <v>6891105124.2435741</v>
      </c>
      <c r="M129" s="2">
        <f>M8/'Output-Calculation-sheet'!M7*'Output-Calculation-sheet'!M106</f>
        <v>0</v>
      </c>
      <c r="N129" s="2">
        <f>N8/'Output-Calculation-sheet'!N7*'Output-Calculation-sheet'!N106</f>
        <v>1875667061.6815877</v>
      </c>
      <c r="O129" s="2">
        <f>O8/'Output-Calculation-sheet'!O7*'Output-Calculation-sheet'!O106</f>
        <v>0</v>
      </c>
      <c r="P129" s="2">
        <f>P8/'Output-Calculation-sheet'!P7*'Output-Calculation-sheet'!P106</f>
        <v>4243752436.7879529</v>
      </c>
      <c r="Q129" s="2">
        <f>Q8/'Output-Calculation-sheet'!Q7*'Output-Calculation-sheet'!Q106</f>
        <v>4159105995.1456141</v>
      </c>
      <c r="R129" s="2">
        <f>R8/'Output-Calculation-sheet'!R7*'Output-Calculation-sheet'!R106</f>
        <v>4948153712.4320602</v>
      </c>
      <c r="S129" s="2">
        <f>S8/'Output-Calculation-sheet'!S7*'Output-Calculation-sheet'!S106</f>
        <v>1687471440.897028</v>
      </c>
      <c r="T129" s="2">
        <f>T8/'Output-Calculation-sheet'!T7*'Output-Calculation-sheet'!T106</f>
        <v>2142266653.1160095</v>
      </c>
      <c r="U129" s="2">
        <f>U8/'Output-Calculation-sheet'!U7*'Output-Calculation-sheet'!U106</f>
        <v>1508107098.0310915</v>
      </c>
      <c r="V129" s="2">
        <f>V8/'Output-Calculation-sheet'!V7*'Output-Calculation-sheet'!V106</f>
        <v>1356786375.2071013</v>
      </c>
      <c r="W129" s="2">
        <f>W8/'Output-Calculation-sheet'!W7*'Output-Calculation-sheet'!W106</f>
        <v>1384396932.9491303</v>
      </c>
      <c r="X129" s="2">
        <f>X8/'Output-Calculation-sheet'!X7*'Output-Calculation-sheet'!X106</f>
        <v>0</v>
      </c>
      <c r="Y129" s="2">
        <f>Y8/'Output-Calculation-sheet'!Y7*'Output-Calculation-sheet'!Y106</f>
        <v>625091099.41447961</v>
      </c>
      <c r="AA129" s="2">
        <f t="shared" si="11"/>
        <v>181006.01143372769</v>
      </c>
    </row>
    <row r="130" spans="1:27" x14ac:dyDescent="0.25">
      <c r="A130" s="2">
        <v>2032</v>
      </c>
      <c r="B130" s="2">
        <f>B9/'Output-Calculation-sheet'!B8*'Output-Calculation-sheet'!B107</f>
        <v>46212882311.151787</v>
      </c>
      <c r="C130" s="2">
        <f>C9/'Output-Calculation-sheet'!C8*'Output-Calculation-sheet'!C107</f>
        <v>0</v>
      </c>
      <c r="D130" s="2">
        <f>D9/'Output-Calculation-sheet'!D8*'Output-Calculation-sheet'!D107</f>
        <v>33204373408.962357</v>
      </c>
      <c r="E130" s="2">
        <f>E9/'Output-Calculation-sheet'!E8*'Output-Calculation-sheet'!E107</f>
        <v>23239722415.221828</v>
      </c>
      <c r="F130" s="2">
        <f>F9/'Output-Calculation-sheet'!F8*'Output-Calculation-sheet'!F107</f>
        <v>17274926042.590508</v>
      </c>
      <c r="G130" s="2">
        <f>G9/'Output-Calculation-sheet'!G8*'Output-Calculation-sheet'!G107</f>
        <v>11873766030.589394</v>
      </c>
      <c r="H130" s="2">
        <f>H9/'Output-Calculation-sheet'!H8*'Output-Calculation-sheet'!H107</f>
        <v>0</v>
      </c>
      <c r="I130" s="2">
        <f>I9/'Output-Calculation-sheet'!I8*'Output-Calculation-sheet'!I107</f>
        <v>10658884505.998941</v>
      </c>
      <c r="J130" s="2">
        <f>J9/'Output-Calculation-sheet'!J8*'Output-Calculation-sheet'!J107</f>
        <v>10914059224.820948</v>
      </c>
      <c r="K130" s="2">
        <f>K9/'Output-Calculation-sheet'!K8*'Output-Calculation-sheet'!K107</f>
        <v>9431394557.8255577</v>
      </c>
      <c r="L130" s="2">
        <f>L9/'Output-Calculation-sheet'!L8*'Output-Calculation-sheet'!L107</f>
        <v>7463611810.2695656</v>
      </c>
      <c r="M130" s="2">
        <f>M9/'Output-Calculation-sheet'!M8*'Output-Calculation-sheet'!M107</f>
        <v>0</v>
      </c>
      <c r="N130" s="2">
        <f>N9/'Output-Calculation-sheet'!N8*'Output-Calculation-sheet'!N107</f>
        <v>1801680667.7900379</v>
      </c>
      <c r="O130" s="2">
        <f>O9/'Output-Calculation-sheet'!O8*'Output-Calculation-sheet'!O107</f>
        <v>0</v>
      </c>
      <c r="P130" s="2">
        <f>P9/'Output-Calculation-sheet'!P8*'Output-Calculation-sheet'!P107</f>
        <v>4630220372.8685198</v>
      </c>
      <c r="Q130" s="2">
        <f>Q9/'Output-Calculation-sheet'!Q8*'Output-Calculation-sheet'!Q107</f>
        <v>4540651534.6527719</v>
      </c>
      <c r="R130" s="2">
        <f>R9/'Output-Calculation-sheet'!R8*'Output-Calculation-sheet'!R107</f>
        <v>5358582447.9154949</v>
      </c>
      <c r="S130" s="2">
        <f>S9/'Output-Calculation-sheet'!S8*'Output-Calculation-sheet'!S107</f>
        <v>1721546832.5137932</v>
      </c>
      <c r="T130" s="2">
        <f>T9/'Output-Calculation-sheet'!T8*'Output-Calculation-sheet'!T107</f>
        <v>2317570726.0514274</v>
      </c>
      <c r="U130" s="2">
        <f>U9/'Output-Calculation-sheet'!U8*'Output-Calculation-sheet'!U107</f>
        <v>1634795634.4599943</v>
      </c>
      <c r="V130" s="2">
        <f>V9/'Output-Calculation-sheet'!V8*'Output-Calculation-sheet'!V107</f>
        <v>1471761437.611753</v>
      </c>
      <c r="W130" s="2">
        <f>W9/'Output-Calculation-sheet'!W8*'Output-Calculation-sheet'!W107</f>
        <v>1497946916.0516713</v>
      </c>
      <c r="X130" s="2">
        <f>X9/'Output-Calculation-sheet'!X8*'Output-Calculation-sheet'!X107</f>
        <v>0</v>
      </c>
      <c r="Y130" s="2">
        <f>Y9/'Output-Calculation-sheet'!Y8*'Output-Calculation-sheet'!Y107</f>
        <v>677085750.15242851</v>
      </c>
      <c r="AA130" s="2">
        <f t="shared" si="11"/>
        <v>195925.46262749878</v>
      </c>
    </row>
    <row r="131" spans="1:27" x14ac:dyDescent="0.25">
      <c r="A131" s="2">
        <v>2033</v>
      </c>
      <c r="B131" s="2">
        <f>B10/'Output-Calculation-sheet'!B9*'Output-Calculation-sheet'!B108</f>
        <v>45764619516.088409</v>
      </c>
      <c r="C131" s="2">
        <f>C10/'Output-Calculation-sheet'!C9*'Output-Calculation-sheet'!C108</f>
        <v>0</v>
      </c>
      <c r="D131" s="2">
        <f>D10/'Output-Calculation-sheet'!D9*'Output-Calculation-sheet'!D108</f>
        <v>34769735502.036278</v>
      </c>
      <c r="E131" s="2">
        <f>E10/'Output-Calculation-sheet'!E9*'Output-Calculation-sheet'!E108</f>
        <v>24349450016.028538</v>
      </c>
      <c r="F131" s="2">
        <f>F10/'Output-Calculation-sheet'!F9*'Output-Calculation-sheet'!F108</f>
        <v>18094293730.029064</v>
      </c>
      <c r="G131" s="2">
        <f>G10/'Output-Calculation-sheet'!G9*'Output-Calculation-sheet'!G108</f>
        <v>12433855208.426865</v>
      </c>
      <c r="H131" s="2">
        <f>H10/'Output-Calculation-sheet'!H9*'Output-Calculation-sheet'!H108</f>
        <v>0</v>
      </c>
      <c r="I131" s="2">
        <f>I10/'Output-Calculation-sheet'!I9*'Output-Calculation-sheet'!I108</f>
        <v>11163757580.003241</v>
      </c>
      <c r="J131" s="2">
        <f>J10/'Output-Calculation-sheet'!J9*'Output-Calculation-sheet'!J108</f>
        <v>11426845107.551071</v>
      </c>
      <c r="K131" s="2">
        <f>K10/'Output-Calculation-sheet'!K9*'Output-Calculation-sheet'!K108</f>
        <v>9894807479.3344707</v>
      </c>
      <c r="L131" s="2">
        <f>L10/'Output-Calculation-sheet'!L9*'Output-Calculation-sheet'!L108</f>
        <v>7824811937.3004026</v>
      </c>
      <c r="M131" s="2">
        <f>M10/'Output-Calculation-sheet'!M9*'Output-Calculation-sheet'!M108</f>
        <v>0</v>
      </c>
      <c r="N131" s="2">
        <f>N10/'Output-Calculation-sheet'!N9*'Output-Calculation-sheet'!N108</f>
        <v>1662980865.2808809</v>
      </c>
      <c r="O131" s="2">
        <f>O10/'Output-Calculation-sheet'!O9*'Output-Calculation-sheet'!O108</f>
        <v>0</v>
      </c>
      <c r="P131" s="2">
        <f>P10/'Output-Calculation-sheet'!P9*'Output-Calculation-sheet'!P108</f>
        <v>4880703127.8848925</v>
      </c>
      <c r="Q131" s="2">
        <f>Q10/'Output-Calculation-sheet'!Q9*'Output-Calculation-sheet'!Q108</f>
        <v>4793762073.4630566</v>
      </c>
      <c r="R131" s="2">
        <f>R10/'Output-Calculation-sheet'!R9*'Output-Calculation-sheet'!R108</f>
        <v>5626036119.9274654</v>
      </c>
      <c r="S131" s="2">
        <f>S10/'Output-Calculation-sheet'!S9*'Output-Calculation-sheet'!S108</f>
        <v>1691684082.6792707</v>
      </c>
      <c r="T131" s="2">
        <f>T10/'Output-Calculation-sheet'!T9*'Output-Calculation-sheet'!T108</f>
        <v>2429461987.1474175</v>
      </c>
      <c r="U131" s="2">
        <f>U10/'Output-Calculation-sheet'!U9*'Output-Calculation-sheet'!U108</f>
        <v>1714149290.2472553</v>
      </c>
      <c r="V131" s="2">
        <f>V10/'Output-Calculation-sheet'!V9*'Output-Calculation-sheet'!V108</f>
        <v>1544419975.5457182</v>
      </c>
      <c r="W131" s="2">
        <f>W10/'Output-Calculation-sheet'!W9*'Output-Calculation-sheet'!W108</f>
        <v>1567887831.3948987</v>
      </c>
      <c r="X131" s="2">
        <f>X10/'Output-Calculation-sheet'!X9*'Output-Calculation-sheet'!X108</f>
        <v>0</v>
      </c>
      <c r="Y131" s="2">
        <f>Y10/'Output-Calculation-sheet'!Y9*'Output-Calculation-sheet'!Y108</f>
        <v>710276626.66976321</v>
      </c>
      <c r="AA131" s="2">
        <f t="shared" si="11"/>
        <v>202343.53805703894</v>
      </c>
    </row>
    <row r="132" spans="1:27" x14ac:dyDescent="0.25">
      <c r="A132" s="2">
        <v>2034</v>
      </c>
      <c r="B132" s="2">
        <f>B11/'Output-Calculation-sheet'!B10*'Output-Calculation-sheet'!B109</f>
        <v>44673657245.057831</v>
      </c>
      <c r="C132" s="2">
        <f>C11/'Output-Calculation-sheet'!C10*'Output-Calculation-sheet'!C109</f>
        <v>0</v>
      </c>
      <c r="D132" s="2">
        <f>D11/'Output-Calculation-sheet'!D10*'Output-Calculation-sheet'!D109</f>
        <v>35502117987.558624</v>
      </c>
      <c r="E132" s="2">
        <f>E11/'Output-Calculation-sheet'!E10*'Output-Calculation-sheet'!E109</f>
        <v>24902100893.313499</v>
      </c>
      <c r="F132" s="2">
        <f>F11/'Output-Calculation-sheet'!F10*'Output-Calculation-sheet'!F109</f>
        <v>18484829716.327339</v>
      </c>
      <c r="G132" s="2">
        <f>G11/'Output-Calculation-sheet'!G10*'Output-Calculation-sheet'!G109</f>
        <v>12690689095.8892</v>
      </c>
      <c r="H132" s="2">
        <f>H11/'Output-Calculation-sheet'!H10*'Output-Calculation-sheet'!H109</f>
        <v>0</v>
      </c>
      <c r="I132" s="2">
        <f>I11/'Output-Calculation-sheet'!I10*'Output-Calculation-sheet'!I109</f>
        <v>11416582740.087362</v>
      </c>
      <c r="J132" s="2">
        <f>J11/'Output-Calculation-sheet'!J10*'Output-Calculation-sheet'!J109</f>
        <v>11666263503.944672</v>
      </c>
      <c r="K132" s="2">
        <f>K11/'Output-Calculation-sheet'!K10*'Output-Calculation-sheet'!K109</f>
        <v>10125438822.189415</v>
      </c>
      <c r="L132" s="2">
        <f>L11/'Output-Calculation-sheet'!L10*'Output-Calculation-sheet'!L109</f>
        <v>7999986788.7409153</v>
      </c>
      <c r="M132" s="2">
        <f>M11/'Output-Calculation-sheet'!M10*'Output-Calculation-sheet'!M109</f>
        <v>0</v>
      </c>
      <c r="N132" s="2">
        <f>N11/'Output-Calculation-sheet'!N10*'Output-Calculation-sheet'!N109</f>
        <v>1572896295.7587469</v>
      </c>
      <c r="O132" s="2">
        <f>O11/'Output-Calculation-sheet'!O10*'Output-Calculation-sheet'!O109</f>
        <v>0</v>
      </c>
      <c r="P132" s="2">
        <f>P11/'Output-Calculation-sheet'!P10*'Output-Calculation-sheet'!P109</f>
        <v>5015763386.2798319</v>
      </c>
      <c r="Q132" s="2">
        <f>Q11/'Output-Calculation-sheet'!Q10*'Output-Calculation-sheet'!Q109</f>
        <v>4937242648.61483</v>
      </c>
      <c r="R132" s="2">
        <f>R11/'Output-Calculation-sheet'!R10*'Output-Calculation-sheet'!R109</f>
        <v>5758312795.9131756</v>
      </c>
      <c r="S132" s="2">
        <f>S11/'Output-Calculation-sheet'!S10*'Output-Calculation-sheet'!S109</f>
        <v>1681346802.668452</v>
      </c>
      <c r="T132" s="2">
        <f>T11/'Output-Calculation-sheet'!T10*'Output-Calculation-sheet'!T109</f>
        <v>2484063294.5905118</v>
      </c>
      <c r="U132" s="2">
        <f>U11/'Output-Calculation-sheet'!U10*'Output-Calculation-sheet'!U109</f>
        <v>1756150559.7803311</v>
      </c>
      <c r="V132" s="2">
        <f>V11/'Output-Calculation-sheet'!V10*'Output-Calculation-sheet'!V109</f>
        <v>1582133563.1208928</v>
      </c>
      <c r="W132" s="2">
        <f>W11/'Output-Calculation-sheet'!W10*'Output-Calculation-sheet'!W109</f>
        <v>1601235689.6366131</v>
      </c>
      <c r="X132" s="2">
        <f>X11/'Output-Calculation-sheet'!X10*'Output-Calculation-sheet'!X109</f>
        <v>0</v>
      </c>
      <c r="Y132" s="2">
        <f>Y11/'Output-Calculation-sheet'!Y10*'Output-Calculation-sheet'!Y109</f>
        <v>726429335.72299242</v>
      </c>
      <c r="AA132" s="2">
        <f t="shared" si="11"/>
        <v>204577.24116519527</v>
      </c>
    </row>
    <row r="133" spans="1:27" x14ac:dyDescent="0.25">
      <c r="A133" s="2">
        <v>2035</v>
      </c>
      <c r="B133" s="2">
        <f>B12/'Output-Calculation-sheet'!B11*'Output-Calculation-sheet'!B110</f>
        <v>43166360241.987877</v>
      </c>
      <c r="C133" s="2">
        <f>C12/'Output-Calculation-sheet'!C11*'Output-Calculation-sheet'!C110</f>
        <v>0</v>
      </c>
      <c r="D133" s="2">
        <f>D12/'Output-Calculation-sheet'!D11*'Output-Calculation-sheet'!D110</f>
        <v>35513519204.076637</v>
      </c>
      <c r="E133" s="2">
        <f>E12/'Output-Calculation-sheet'!E11*'Output-Calculation-sheet'!E110</f>
        <v>24925914903.283138</v>
      </c>
      <c r="F133" s="2">
        <f>F12/'Output-Calculation-sheet'!F11*'Output-Calculation-sheet'!F110</f>
        <v>18485430100.951298</v>
      </c>
      <c r="G133" s="2">
        <f>G12/'Output-Calculation-sheet'!G11*'Output-Calculation-sheet'!G110</f>
        <v>12676139217.510429</v>
      </c>
      <c r="H133" s="2">
        <f>H12/'Output-Calculation-sheet'!H11*'Output-Calculation-sheet'!H110</f>
        <v>0</v>
      </c>
      <c r="I133" s="2">
        <f>I12/'Output-Calculation-sheet'!I11*'Output-Calculation-sheet'!I110</f>
        <v>11417376399.202227</v>
      </c>
      <c r="J133" s="2">
        <f>J12/'Output-Calculation-sheet'!J11*'Output-Calculation-sheet'!J110</f>
        <v>11649679567.703899</v>
      </c>
      <c r="K133" s="2">
        <f>K12/'Output-Calculation-sheet'!K11*'Output-Calculation-sheet'!K110</f>
        <v>10136209320.403103</v>
      </c>
      <c r="L133" s="2">
        <f>L12/'Output-Calculation-sheet'!L11*'Output-Calculation-sheet'!L110</f>
        <v>8002297208.1870012</v>
      </c>
      <c r="M133" s="2">
        <f>M12/'Output-Calculation-sheet'!M11*'Output-Calculation-sheet'!M110</f>
        <v>0</v>
      </c>
      <c r="N133" s="2">
        <f>N12/'Output-Calculation-sheet'!N11*'Output-Calculation-sheet'!N110</f>
        <v>1477336470.0696495</v>
      </c>
      <c r="O133" s="2">
        <f>O12/'Output-Calculation-sheet'!O11*'Output-Calculation-sheet'!O110</f>
        <v>0</v>
      </c>
      <c r="P133" s="2">
        <f>P12/'Output-Calculation-sheet'!P11*'Output-Calculation-sheet'!P110</f>
        <v>5045868010.4741049</v>
      </c>
      <c r="Q133" s="2">
        <f>Q12/'Output-Calculation-sheet'!Q11*'Output-Calculation-sheet'!Q110</f>
        <v>4958895319.5041084</v>
      </c>
      <c r="R133" s="2">
        <f>R12/'Output-Calculation-sheet'!R11*'Output-Calculation-sheet'!R110</f>
        <v>5776165069.9626341</v>
      </c>
      <c r="S133" s="2">
        <f>S12/'Output-Calculation-sheet'!S11*'Output-Calculation-sheet'!S110</f>
        <v>1555581860.9162691</v>
      </c>
      <c r="T133" s="2">
        <f>T12/'Output-Calculation-sheet'!T11*'Output-Calculation-sheet'!T110</f>
        <v>2485104295.8993912</v>
      </c>
      <c r="U133" s="2">
        <f>U12/'Output-Calculation-sheet'!U11*'Output-Calculation-sheet'!U110</f>
        <v>1759450540.5839529</v>
      </c>
      <c r="V133" s="2">
        <f>V12/'Output-Calculation-sheet'!V11*'Output-Calculation-sheet'!V110</f>
        <v>1587038977.0019679</v>
      </c>
      <c r="W133" s="2">
        <f>W12/'Output-Calculation-sheet'!W11*'Output-Calculation-sheet'!W110</f>
        <v>1600360988.7919409</v>
      </c>
      <c r="X133" s="2">
        <f>X12/'Output-Calculation-sheet'!X11*'Output-Calculation-sheet'!X110</f>
        <v>0</v>
      </c>
      <c r="Y133" s="2">
        <f>Y12/'Output-Calculation-sheet'!Y11*'Output-Calculation-sheet'!Y110</f>
        <v>727557157.44224703</v>
      </c>
      <c r="AA133" s="2">
        <f t="shared" si="11"/>
        <v>202946.28485395186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52740978092.079285</v>
      </c>
      <c r="C151" s="2">
        <f>C8/'Output-Calculation-sheet'!C7*'Output-Calculation-sheet'!C124</f>
        <v>44838497692.624245</v>
      </c>
      <c r="D151" s="2">
        <f>D8/'Output-Calculation-sheet'!D7*'Output-Calculation-sheet'!D124</f>
        <v>9264852052.6404381</v>
      </c>
      <c r="E151" s="2">
        <f>E8/'Output-Calculation-sheet'!E7*'Output-Calculation-sheet'!E124</f>
        <v>10248913175.79204</v>
      </c>
      <c r="F151" s="2">
        <f>F8/'Output-Calculation-sheet'!F7*'Output-Calculation-sheet'!F124</f>
        <v>4435389449.0650654</v>
      </c>
      <c r="G151" s="2">
        <f>G8/'Output-Calculation-sheet'!G7*'Output-Calculation-sheet'!G124</f>
        <v>3355176489.6433663</v>
      </c>
      <c r="H151" s="2">
        <f>H8/'Output-Calculation-sheet'!H7*'Output-Calculation-sheet'!H124</f>
        <v>10605571815.442696</v>
      </c>
      <c r="I151" s="2">
        <f>I8/'Output-Calculation-sheet'!I7*'Output-Calculation-sheet'!I124</f>
        <v>3212313473.0495558</v>
      </c>
      <c r="J151" s="2">
        <f>J8/'Output-Calculation-sheet'!J7*'Output-Calculation-sheet'!J124</f>
        <v>2621735594.5023098</v>
      </c>
      <c r="K151" s="2">
        <f>K8/'Output-Calculation-sheet'!K7*'Output-Calculation-sheet'!K124</f>
        <v>3885181489.4171495</v>
      </c>
      <c r="L151" s="2">
        <f>L8/'Output-Calculation-sheet'!L7*'Output-Calculation-sheet'!L124</f>
        <v>3213211154.7147484</v>
      </c>
      <c r="M151" s="2">
        <f>M8/'Output-Calculation-sheet'!M7*'Output-Calculation-sheet'!M124</f>
        <v>7333032649.9373236</v>
      </c>
      <c r="N151" s="2">
        <f>N8/'Output-Calculation-sheet'!N7*'Output-Calculation-sheet'!N124</f>
        <v>6064548298.1632195</v>
      </c>
      <c r="O151" s="2">
        <f>O8/'Output-Calculation-sheet'!O7*'Output-Calculation-sheet'!O124</f>
        <v>8712159040.2655773</v>
      </c>
      <c r="P151" s="2">
        <f>P8/'Output-Calculation-sheet'!P7*'Output-Calculation-sheet'!P124</f>
        <v>4379805424.7706575</v>
      </c>
      <c r="Q151" s="2">
        <f>Q8/'Output-Calculation-sheet'!Q7*'Output-Calculation-sheet'!Q124</f>
        <v>4325064605.1630573</v>
      </c>
      <c r="R151" s="2">
        <f>R8/'Output-Calculation-sheet'!R7*'Output-Calculation-sheet'!R124</f>
        <v>3214024411.8328724</v>
      </c>
      <c r="S151" s="2">
        <f>S8/'Output-Calculation-sheet'!S7*'Output-Calculation-sheet'!S124</f>
        <v>3357591201.3373137</v>
      </c>
      <c r="T151" s="2">
        <f>T8/'Output-Calculation-sheet'!T7*'Output-Calculation-sheet'!T124</f>
        <v>858059276.33552551</v>
      </c>
      <c r="U151" s="2">
        <f>U8/'Output-Calculation-sheet'!U7*'Output-Calculation-sheet'!U124</f>
        <v>1105079153.7455592</v>
      </c>
      <c r="V151" s="2">
        <f>V8/'Output-Calculation-sheet'!V7*'Output-Calculation-sheet'!V124</f>
        <v>655410596.82721698</v>
      </c>
      <c r="W151" s="2">
        <f>W8/'Output-Calculation-sheet'!W7*'Output-Calculation-sheet'!W124</f>
        <v>357733228.63526314</v>
      </c>
      <c r="X151" s="2">
        <f>X8/'Output-Calculation-sheet'!X7*'Output-Calculation-sheet'!X124</f>
        <v>824934768.47817826</v>
      </c>
      <c r="Y151" s="2">
        <f>Y8/'Output-Calculation-sheet'!Y7*'Output-Calculation-sheet'!Y124</f>
        <v>391426818.10165995</v>
      </c>
      <c r="AA151" s="2">
        <f t="shared" si="13"/>
        <v>190000.68995256428</v>
      </c>
    </row>
    <row r="152" spans="1:27" x14ac:dyDescent="0.25">
      <c r="A152" s="2">
        <v>2032</v>
      </c>
      <c r="B152" s="2">
        <f>B9/'Output-Calculation-sheet'!B8*'Output-Calculation-sheet'!B125</f>
        <v>56499015576.68013</v>
      </c>
      <c r="C152" s="2">
        <f>C9/'Output-Calculation-sheet'!C8*'Output-Calculation-sheet'!C125</f>
        <v>48404640218.34671</v>
      </c>
      <c r="D152" s="2">
        <f>D9/'Output-Calculation-sheet'!D8*'Output-Calculation-sheet'!D125</f>
        <v>9937149747.7293205</v>
      </c>
      <c r="E152" s="2">
        <f>E9/'Output-Calculation-sheet'!E8*'Output-Calculation-sheet'!E125</f>
        <v>10988735068.487406</v>
      </c>
      <c r="F152" s="2">
        <f>F9/'Output-Calculation-sheet'!F8*'Output-Calculation-sheet'!F125</f>
        <v>4759152483.0186253</v>
      </c>
      <c r="G152" s="2">
        <f>G9/'Output-Calculation-sheet'!G8*'Output-Calculation-sheet'!G125</f>
        <v>3608019547.5258303</v>
      </c>
      <c r="H152" s="2">
        <f>H9/'Output-Calculation-sheet'!H8*'Output-Calculation-sheet'!H125</f>
        <v>11342267709.412096</v>
      </c>
      <c r="I152" s="2">
        <f>I9/'Output-Calculation-sheet'!I8*'Output-Calculation-sheet'!I125</f>
        <v>3446208037.2167153</v>
      </c>
      <c r="J152" s="2">
        <f>J9/'Output-Calculation-sheet'!J8*'Output-Calculation-sheet'!J125</f>
        <v>2814821603.617835</v>
      </c>
      <c r="K152" s="2">
        <f>K9/'Output-Calculation-sheet'!K8*'Output-Calculation-sheet'!K125</f>
        <v>4165887533.8405871</v>
      </c>
      <c r="L152" s="2">
        <f>L9/'Output-Calculation-sheet'!L8*'Output-Calculation-sheet'!L125</f>
        <v>3444331571.0675774</v>
      </c>
      <c r="M152" s="2">
        <f>M9/'Output-Calculation-sheet'!M8*'Output-Calculation-sheet'!M125</f>
        <v>7846138753.7657394</v>
      </c>
      <c r="N152" s="2">
        <f>N9/'Output-Calculation-sheet'!N8*'Output-Calculation-sheet'!N125</f>
        <v>6547391528.3227997</v>
      </c>
      <c r="O152" s="2">
        <f>O9/'Output-Calculation-sheet'!O8*'Output-Calculation-sheet'!O125</f>
        <v>9405063629.9182129</v>
      </c>
      <c r="P152" s="2">
        <f>P9/'Output-Calculation-sheet'!P8*'Output-Calculation-sheet'!P125</f>
        <v>4679194441.0419979</v>
      </c>
      <c r="Q152" s="2">
        <f>Q9/'Output-Calculation-sheet'!Q8*'Output-Calculation-sheet'!Q125</f>
        <v>4618291039.0760059</v>
      </c>
      <c r="R152" s="2">
        <f>R9/'Output-Calculation-sheet'!R8*'Output-Calculation-sheet'!R125</f>
        <v>3452758605.7365828</v>
      </c>
      <c r="S152" s="2">
        <f>S9/'Output-Calculation-sheet'!S8*'Output-Calculation-sheet'!S125</f>
        <v>3544291140.0704856</v>
      </c>
      <c r="T152" s="2">
        <f>T9/'Output-Calculation-sheet'!T8*'Output-Calculation-sheet'!T125</f>
        <v>921380278.69572556</v>
      </c>
      <c r="U152" s="2">
        <f>U9/'Output-Calculation-sheet'!U8*'Output-Calculation-sheet'!U125</f>
        <v>1186225292.8666115</v>
      </c>
      <c r="V152" s="2">
        <f>V9/'Output-Calculation-sheet'!V8*'Output-Calculation-sheet'!V125</f>
        <v>700471698.90989423</v>
      </c>
      <c r="W152" s="2">
        <f>W9/'Output-Calculation-sheet'!W8*'Output-Calculation-sheet'!W125</f>
        <v>382740357.5182566</v>
      </c>
      <c r="X152" s="2">
        <f>X9/'Output-Calculation-sheet'!X8*'Output-Calculation-sheet'!X125</f>
        <v>880614635.52105486</v>
      </c>
      <c r="Y152" s="2">
        <f>Y9/'Output-Calculation-sheet'!Y8*'Output-Calculation-sheet'!Y125</f>
        <v>420278938.78463316</v>
      </c>
      <c r="AA152" s="2">
        <f t="shared" si="13"/>
        <v>203995.06943717084</v>
      </c>
    </row>
    <row r="153" spans="1:27" x14ac:dyDescent="0.25">
      <c r="A153" s="2">
        <v>2033</v>
      </c>
      <c r="B153" s="2">
        <f>B10/'Output-Calculation-sheet'!B9*'Output-Calculation-sheet'!B126</f>
        <v>56705164701.508858</v>
      </c>
      <c r="C153" s="2">
        <f>C10/'Output-Calculation-sheet'!C9*'Output-Calculation-sheet'!C126</f>
        <v>41477549076.987366</v>
      </c>
      <c r="D153" s="2">
        <f>D10/'Output-Calculation-sheet'!D9*'Output-Calculation-sheet'!D126</f>
        <v>10326776868.71228</v>
      </c>
      <c r="E153" s="2">
        <f>E10/'Output-Calculation-sheet'!E9*'Output-Calculation-sheet'!E126</f>
        <v>11430094687.096062</v>
      </c>
      <c r="F153" s="2">
        <f>F10/'Output-Calculation-sheet'!F9*'Output-Calculation-sheet'!F126</f>
        <v>4938274943.9875164</v>
      </c>
      <c r="G153" s="2">
        <f>G10/'Output-Calculation-sheet'!G9*'Output-Calculation-sheet'!G126</f>
        <v>3749498640.9250236</v>
      </c>
      <c r="H153" s="2">
        <f>H10/'Output-Calculation-sheet'!H9*'Output-Calculation-sheet'!H126</f>
        <v>11751752420.86908</v>
      </c>
      <c r="I153" s="2">
        <f>I10/'Output-Calculation-sheet'!I9*'Output-Calculation-sheet'!I126</f>
        <v>3580515975.6325893</v>
      </c>
      <c r="J153" s="2">
        <f>J10/'Output-Calculation-sheet'!J9*'Output-Calculation-sheet'!J126</f>
        <v>2924171257.1347966</v>
      </c>
      <c r="K153" s="2">
        <f>K10/'Output-Calculation-sheet'!K9*'Output-Calculation-sheet'!K126</f>
        <v>4318645249.913188</v>
      </c>
      <c r="L153" s="2">
        <f>L10/'Output-Calculation-sheet'!L9*'Output-Calculation-sheet'!L126</f>
        <v>3577432759.7460723</v>
      </c>
      <c r="M153" s="2">
        <f>M10/'Output-Calculation-sheet'!M9*'Output-Calculation-sheet'!M126</f>
        <v>8127521764.0861406</v>
      </c>
      <c r="N153" s="2">
        <f>N10/'Output-Calculation-sheet'!N9*'Output-Calculation-sheet'!N126</f>
        <v>6842176481.805872</v>
      </c>
      <c r="O153" s="2">
        <f>O10/'Output-Calculation-sheet'!O9*'Output-Calculation-sheet'!O126</f>
        <v>9831260866.5625286</v>
      </c>
      <c r="P153" s="2">
        <f>P10/'Output-Calculation-sheet'!P9*'Output-Calculation-sheet'!P126</f>
        <v>4850574527.6381941</v>
      </c>
      <c r="Q153" s="2">
        <f>Q10/'Output-Calculation-sheet'!Q9*'Output-Calculation-sheet'!Q126</f>
        <v>4780224583.8687105</v>
      </c>
      <c r="R153" s="2">
        <f>R10/'Output-Calculation-sheet'!R9*'Output-Calculation-sheet'!R126</f>
        <v>3584597203.9279771</v>
      </c>
      <c r="S153" s="2">
        <f>S10/'Output-Calculation-sheet'!S9*'Output-Calculation-sheet'!S126</f>
        <v>3666037178.3195624</v>
      </c>
      <c r="T153" s="2">
        <f>T10/'Output-Calculation-sheet'!T9*'Output-Calculation-sheet'!T126</f>
        <v>956264416.700526</v>
      </c>
      <c r="U153" s="2">
        <f>U10/'Output-Calculation-sheet'!U9*'Output-Calculation-sheet'!U126</f>
        <v>1234708233.5185018</v>
      </c>
      <c r="V153" s="2">
        <f>V10/'Output-Calculation-sheet'!V9*'Output-Calculation-sheet'!V126</f>
        <v>726249471.09165311</v>
      </c>
      <c r="W153" s="2">
        <f>W10/'Output-Calculation-sheet'!W9*'Output-Calculation-sheet'!W126</f>
        <v>398023948.09447116</v>
      </c>
      <c r="X153" s="2">
        <f>X10/'Output-Calculation-sheet'!X9*'Output-Calculation-sheet'!X126</f>
        <v>913231760.65116465</v>
      </c>
      <c r="Y153" s="2">
        <f>Y10/'Output-Calculation-sheet'!Y9*'Output-Calculation-sheet'!Y126</f>
        <v>436815934.02015483</v>
      </c>
      <c r="AA153" s="2">
        <f t="shared" si="13"/>
        <v>201127.56295279824</v>
      </c>
    </row>
    <row r="154" spans="1:27" x14ac:dyDescent="0.25">
      <c r="A154" s="2">
        <v>2034</v>
      </c>
      <c r="B154" s="2">
        <f>B11/'Output-Calculation-sheet'!B10*'Output-Calculation-sheet'!B127</f>
        <v>56315485936.780029</v>
      </c>
      <c r="C154" s="2">
        <f>C11/'Output-Calculation-sheet'!C10*'Output-Calculation-sheet'!C127</f>
        <v>41747859816.924377</v>
      </c>
      <c r="D154" s="2">
        <f>D11/'Output-Calculation-sheet'!D10*'Output-Calculation-sheet'!D127</f>
        <v>10485219264.884235</v>
      </c>
      <c r="E154" s="2">
        <f>E11/'Output-Calculation-sheet'!E10*'Output-Calculation-sheet'!E127</f>
        <v>11584227278.838331</v>
      </c>
      <c r="F154" s="2">
        <f>F11/'Output-Calculation-sheet'!F10*'Output-Calculation-sheet'!F127</f>
        <v>5002720677.6385136</v>
      </c>
      <c r="G154" s="2">
        <f>G11/'Output-Calculation-sheet'!G10*'Output-Calculation-sheet'!G127</f>
        <v>3812348166.6823449</v>
      </c>
      <c r="H154" s="2">
        <f>H11/'Output-Calculation-sheet'!H10*'Output-Calculation-sheet'!H127</f>
        <v>11871902640.289238</v>
      </c>
      <c r="I154" s="2">
        <f>I11/'Output-Calculation-sheet'!I10*'Output-Calculation-sheet'!I127</f>
        <v>3618948314.0151615</v>
      </c>
      <c r="J154" s="2">
        <f>J11/'Output-Calculation-sheet'!J10*'Output-Calculation-sheet'!J127</f>
        <v>2968240568.9962826</v>
      </c>
      <c r="K154" s="2">
        <f>K11/'Output-Calculation-sheet'!K10*'Output-Calculation-sheet'!K127</f>
        <v>4368785629.9695311</v>
      </c>
      <c r="L154" s="2">
        <f>L11/'Output-Calculation-sheet'!L10*'Output-Calculation-sheet'!L127</f>
        <v>3627496047.2629886</v>
      </c>
      <c r="M154" s="2">
        <f>M11/'Output-Calculation-sheet'!M10*'Output-Calculation-sheet'!M127</f>
        <v>8210891927.5414305</v>
      </c>
      <c r="N154" s="2">
        <f>N11/'Output-Calculation-sheet'!N10*'Output-Calculation-sheet'!N127</f>
        <v>6963958763.4214678</v>
      </c>
      <c r="O154" s="2">
        <f>O11/'Output-Calculation-sheet'!O10*'Output-Calculation-sheet'!O127</f>
        <v>10025466039.317953</v>
      </c>
      <c r="P154" s="2">
        <f>P11/'Output-Calculation-sheet'!P10*'Output-Calculation-sheet'!P127</f>
        <v>4907744389.4559689</v>
      </c>
      <c r="Q154" s="2">
        <f>Q11/'Output-Calculation-sheet'!Q10*'Output-Calculation-sheet'!Q127</f>
        <v>4825867027.420372</v>
      </c>
      <c r="R154" s="2">
        <f>R11/'Output-Calculation-sheet'!R10*'Output-Calculation-sheet'!R127</f>
        <v>3634265922.3453398</v>
      </c>
      <c r="S154" s="2">
        <f>S11/'Output-Calculation-sheet'!S10*'Output-Calculation-sheet'!S127</f>
        <v>3653955079.1676078</v>
      </c>
      <c r="T154" s="2">
        <f>T11/'Output-Calculation-sheet'!T10*'Output-Calculation-sheet'!T127</f>
        <v>968544213.32804251</v>
      </c>
      <c r="U154" s="2">
        <f>U11/'Output-Calculation-sheet'!U10*'Output-Calculation-sheet'!U127</f>
        <v>1250958229.2714319</v>
      </c>
      <c r="V154" s="2">
        <f>V11/'Output-Calculation-sheet'!V10*'Output-Calculation-sheet'!V127</f>
        <v>733390328.7539649</v>
      </c>
      <c r="W154" s="2">
        <f>W11/'Output-Calculation-sheet'!W10*'Output-Calculation-sheet'!W127</f>
        <v>403510597.43521082</v>
      </c>
      <c r="X154" s="2">
        <f>X11/'Output-Calculation-sheet'!X10*'Output-Calculation-sheet'!X127</f>
        <v>922155464.69566834</v>
      </c>
      <c r="Y154" s="2">
        <f>Y11/'Output-Calculation-sheet'!Y10*'Output-Calculation-sheet'!Y127</f>
        <v>443322710.0460903</v>
      </c>
      <c r="AA154" s="2">
        <f t="shared" si="13"/>
        <v>202347.26503448162</v>
      </c>
    </row>
    <row r="155" spans="1:27" x14ac:dyDescent="0.25">
      <c r="A155" s="2">
        <v>2035</v>
      </c>
      <c r="B155" s="2">
        <f>B12/'Output-Calculation-sheet'!B11*'Output-Calculation-sheet'!B128</f>
        <v>55548334380.160446</v>
      </c>
      <c r="C155" s="2">
        <f>C12/'Output-Calculation-sheet'!C11*'Output-Calculation-sheet'!C128</f>
        <v>41176660160.07357</v>
      </c>
      <c r="D155" s="2">
        <f>D12/'Output-Calculation-sheet'!D11*'Output-Calculation-sheet'!D128</f>
        <v>10381079129.957613</v>
      </c>
      <c r="E155" s="2">
        <f>E12/'Output-Calculation-sheet'!E11*'Output-Calculation-sheet'!E128</f>
        <v>11486830703.839499</v>
      </c>
      <c r="F155" s="2">
        <f>F12/'Output-Calculation-sheet'!F11*'Output-Calculation-sheet'!F128</f>
        <v>4954752572.2593679</v>
      </c>
      <c r="G155" s="2">
        <f>G12/'Output-Calculation-sheet'!G11*'Output-Calculation-sheet'!G128</f>
        <v>3793616104.3072271</v>
      </c>
      <c r="H155" s="2">
        <f>H12/'Output-Calculation-sheet'!H11*'Output-Calculation-sheet'!H128</f>
        <v>11752124063.72015</v>
      </c>
      <c r="I155" s="2">
        <f>I12/'Output-Calculation-sheet'!I11*'Output-Calculation-sheet'!I128</f>
        <v>3587832257.5267644</v>
      </c>
      <c r="J155" s="2">
        <f>J12/'Output-Calculation-sheet'!J11*'Output-Calculation-sheet'!J128</f>
        <v>2955310865.4282937</v>
      </c>
      <c r="K155" s="2">
        <f>K12/'Output-Calculation-sheet'!K11*'Output-Calculation-sheet'!K128</f>
        <v>4328782974.028204</v>
      </c>
      <c r="L155" s="2">
        <f>L12/'Output-Calculation-sheet'!L11*'Output-Calculation-sheet'!L128</f>
        <v>3601736296.114646</v>
      </c>
      <c r="M155" s="2">
        <f>M12/'Output-Calculation-sheet'!M11*'Output-Calculation-sheet'!M128</f>
        <v>8132017992.1652927</v>
      </c>
      <c r="N155" s="2">
        <f>N12/'Output-Calculation-sheet'!N11*'Output-Calculation-sheet'!N128</f>
        <v>6934273198.9845572</v>
      </c>
      <c r="O155" s="2">
        <f>O12/'Output-Calculation-sheet'!O11*'Output-Calculation-sheet'!O128</f>
        <v>8241956278.2579737</v>
      </c>
      <c r="P155" s="2">
        <f>P12/'Output-Calculation-sheet'!P11*'Output-Calculation-sheet'!P128</f>
        <v>4857627841.1151934</v>
      </c>
      <c r="Q155" s="2">
        <f>Q12/'Output-Calculation-sheet'!Q11*'Output-Calculation-sheet'!Q128</f>
        <v>4752336279.391222</v>
      </c>
      <c r="R155" s="2">
        <f>R12/'Output-Calculation-sheet'!R11*'Output-Calculation-sheet'!R128</f>
        <v>3597471483.6837783</v>
      </c>
      <c r="S155" s="2">
        <f>S12/'Output-Calculation-sheet'!S11*'Output-Calculation-sheet'!S128</f>
        <v>3635851663.6468248</v>
      </c>
      <c r="T155" s="2">
        <f>T12/'Output-Calculation-sheet'!T11*'Output-Calculation-sheet'!T128</f>
        <v>960540282.91122341</v>
      </c>
      <c r="U155" s="2">
        <f>U12/'Output-Calculation-sheet'!U11*'Output-Calculation-sheet'!U128</f>
        <v>1241593763.7935438</v>
      </c>
      <c r="V155" s="2">
        <f>V12/'Output-Calculation-sheet'!V11*'Output-Calculation-sheet'!V128</f>
        <v>723815387.76404846</v>
      </c>
      <c r="W155" s="2">
        <f>W12/'Output-Calculation-sheet'!W11*'Output-Calculation-sheet'!W128</f>
        <v>400342097.47010398</v>
      </c>
      <c r="X155" s="2">
        <f>X12/'Output-Calculation-sheet'!X11*'Output-Calculation-sheet'!X128</f>
        <v>911408913.49368012</v>
      </c>
      <c r="Y155" s="2">
        <f>Y12/'Output-Calculation-sheet'!Y11*'Output-Calculation-sheet'!Y128</f>
        <v>439835830.55676538</v>
      </c>
      <c r="AA155" s="2">
        <f t="shared" si="13"/>
        <v>198396.13052064992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2.3188294133721371E-10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2099.9001447096407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1438.1071212883849</v>
      </c>
      <c r="N19" s="2">
        <f>N8/'Output-Calculation-sheet'!N7*'Output-Calculation-sheet'!N25</f>
        <v>967.33532167298654</v>
      </c>
      <c r="O19" s="2">
        <f>O8/'Output-Calculation-sheet'!O7*'Output-Calculation-sheet'!O25</f>
        <v>1.2761994214971259E-11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256.58052490662516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136.48102459687226</v>
      </c>
      <c r="Y19" s="2">
        <f>Y8/'Output-Calculation-sheet'!Y7*'Output-Calculation-sheet'!Y25</f>
        <v>0</v>
      </c>
      <c r="AA19" s="2">
        <f t="shared" si="0"/>
        <v>4.8984041371747544</v>
      </c>
    </row>
    <row r="20" spans="1:27" x14ac:dyDescent="0.25">
      <c r="A20" s="2">
        <v>2032</v>
      </c>
      <c r="B20" s="2">
        <f>B9/'Output-Calculation-sheet'!B8*'Output-Calculation-sheet'!B26</f>
        <v>2.2762649352501598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2363.2168207992408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1616.1277090046092</v>
      </c>
      <c r="N20" s="2">
        <f>N9/'Output-Calculation-sheet'!N8*'Output-Calculation-sheet'!N26</f>
        <v>1176.9912321923862</v>
      </c>
      <c r="O20" s="2">
        <f>O9/'Output-Calculation-sheet'!O8*'Output-Calculation-sheet'!O26</f>
        <v>1.1916155191944739E-10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404.94413188966365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155.55837576993409</v>
      </c>
      <c r="Y20" s="2">
        <f>Y9/'Output-Calculation-sheet'!Y8*'Output-Calculation-sheet'!Y26</f>
        <v>0</v>
      </c>
      <c r="AA20" s="2">
        <f t="shared" si="0"/>
        <v>5.7191145345912036</v>
      </c>
    </row>
    <row r="21" spans="1:27" x14ac:dyDescent="0.25">
      <c r="A21" s="2">
        <v>2033</v>
      </c>
      <c r="B21" s="2">
        <f>B10/'Output-Calculation-sheet'!B9*'Output-Calculation-sheet'!B27</f>
        <v>3688.9936979915892</v>
      </c>
      <c r="C21" s="2">
        <f>C10/'Output-Calculation-sheet'!C9*'Output-Calculation-sheet'!C27</f>
        <v>5756.5506411698243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2582.7522230770724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1768.0304470501369</v>
      </c>
      <c r="N21" s="2">
        <f>N10/'Output-Calculation-sheet'!N9*'Output-Calculation-sheet'!N27</f>
        <v>1381.4122983398036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526.99518723971937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170.18207083601487</v>
      </c>
      <c r="Y21" s="2">
        <f>Y10/'Output-Calculation-sheet'!Y9*'Output-Calculation-sheet'!Y27</f>
        <v>0</v>
      </c>
      <c r="AA21" s="2">
        <f t="shared" si="0"/>
        <v>15.874916565704162</v>
      </c>
    </row>
    <row r="22" spans="1:27" x14ac:dyDescent="0.25">
      <c r="A22" s="2">
        <v>2034</v>
      </c>
      <c r="B22" s="2">
        <f>B11/'Output-Calculation-sheet'!B10*'Output-Calculation-sheet'!B28</f>
        <v>6558.2975491687757</v>
      </c>
      <c r="C22" s="2">
        <f>C11/'Output-Calculation-sheet'!C10*'Output-Calculation-sheet'!C28</f>
        <v>6353.9906251338907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2776.0739816564105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1900.5240302218199</v>
      </c>
      <c r="N22" s="2">
        <f>N11/'Output-Calculation-sheet'!N10*'Output-Calculation-sheet'!N28</f>
        <v>1523.9818642722053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621.67982630065433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184.13509864010661</v>
      </c>
      <c r="Y22" s="2">
        <f>Y11/'Output-Calculation-sheet'!Y10*'Output-Calculation-sheet'!Y28</f>
        <v>0</v>
      </c>
      <c r="AA22" s="2">
        <f t="shared" si="0"/>
        <v>19.91868297539386</v>
      </c>
    </row>
    <row r="23" spans="1:27" x14ac:dyDescent="0.25">
      <c r="A23" s="2">
        <v>2035</v>
      </c>
      <c r="B23" s="2">
        <f>B12/'Output-Calculation-sheet'!B11*'Output-Calculation-sheet'!B29</f>
        <v>8377.8810653808378</v>
      </c>
      <c r="C23" s="2">
        <f>C12/'Output-Calculation-sheet'!C11*'Output-Calculation-sheet'!C29</f>
        <v>6865.0320811574402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2928.9051517275902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2002.0340600645748</v>
      </c>
      <c r="N23" s="2">
        <f>N12/'Output-Calculation-sheet'!N11*'Output-Calculation-sheet'!N29</f>
        <v>1636.4821590567053</v>
      </c>
      <c r="O23" s="2">
        <f>O12/'Output-Calculation-sheet'!O11*'Output-Calculation-sheet'!O29</f>
        <v>1167.2128468634171</v>
      </c>
      <c r="P23" s="2">
        <f>P12/'Output-Calculation-sheet'!P11*'Output-Calculation-sheet'!P29</f>
        <v>0</v>
      </c>
      <c r="Q23" s="2">
        <f>Q12/'Output-Calculation-sheet'!Q11*'Output-Calculation-sheet'!Q29</f>
        <v>22.340161158554668</v>
      </c>
      <c r="R23" s="2">
        <f>R12/'Output-Calculation-sheet'!R11*'Output-Calculation-sheet'!R29</f>
        <v>0</v>
      </c>
      <c r="S23" s="2">
        <f>S12/'Output-Calculation-sheet'!S11*'Output-Calculation-sheet'!S29</f>
        <v>718.6751000530187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196.2519573229352</v>
      </c>
      <c r="Y23" s="2">
        <f>Y12/'Output-Calculation-sheet'!Y11*'Output-Calculation-sheet'!Y29</f>
        <v>0</v>
      </c>
      <c r="AA23" s="2">
        <f t="shared" si="0"/>
        <v>23.914814582785077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16504.899593705075</v>
      </c>
      <c r="C30" s="2">
        <f>C8/'Output-Calculation-sheet'!C7*'Output-Calculation-sheet'!C16</f>
        <v>0</v>
      </c>
      <c r="D30" s="2">
        <f>D8/'Output-Calculation-sheet'!D7*'Output-Calculation-sheet'!D16</f>
        <v>5152.2376523660496</v>
      </c>
      <c r="E30" s="2">
        <f>E8/'Output-Calculation-sheet'!E7*'Output-Calculation-sheet'!E16</f>
        <v>5329.1179029314972</v>
      </c>
      <c r="F30" s="2">
        <f>F8/'Output-Calculation-sheet'!F7*'Output-Calculation-sheet'!F16</f>
        <v>2985.5966353872059</v>
      </c>
      <c r="G30" s="2">
        <f>G8/'Output-Calculation-sheet'!G7*'Output-Calculation-sheet'!G16</f>
        <v>1800.6429811104331</v>
      </c>
      <c r="H30" s="2">
        <f>H8/'Output-Calculation-sheet'!H7*'Output-Calculation-sheet'!H16</f>
        <v>0</v>
      </c>
      <c r="I30" s="2">
        <f>I8/'Output-Calculation-sheet'!I7*'Output-Calculation-sheet'!I16</f>
        <v>1822.4442871541401</v>
      </c>
      <c r="J30" s="2">
        <f>J8/'Output-Calculation-sheet'!J7*'Output-Calculation-sheet'!J16</f>
        <v>1663.4340731081243</v>
      </c>
      <c r="K30" s="2">
        <f>K8/'Output-Calculation-sheet'!K7*'Output-Calculation-sheet'!K16</f>
        <v>2057.2312799699394</v>
      </c>
      <c r="L30" s="2">
        <f>L8/'Output-Calculation-sheet'!L7*'Output-Calculation-sheet'!L16</f>
        <v>1697.7549184268807</v>
      </c>
      <c r="M30" s="2">
        <f>M8/'Output-Calculation-sheet'!M7*'Output-Calculation-sheet'!M16</f>
        <v>0</v>
      </c>
      <c r="N30" s="2">
        <f>N8/'Output-Calculation-sheet'!N7*'Output-Calculation-sheet'!N16</f>
        <v>833.00976747554796</v>
      </c>
      <c r="O30" s="2">
        <f>O8/'Output-Calculation-sheet'!O7*'Output-Calculation-sheet'!O16</f>
        <v>0</v>
      </c>
      <c r="P30" s="2">
        <f>P8/'Output-Calculation-sheet'!P7*'Output-Calculation-sheet'!P16</f>
        <v>1353.1990458951145</v>
      </c>
      <c r="Q30" s="2">
        <f>Q8/'Output-Calculation-sheet'!Q7*'Output-Calculation-sheet'!Q16</f>
        <v>1484.214189754859</v>
      </c>
      <c r="R30" s="2">
        <f>R8/'Output-Calculation-sheet'!R7*'Output-Calculation-sheet'!R16</f>
        <v>1300.3778341360735</v>
      </c>
      <c r="S30" s="2">
        <f>S8/'Output-Calculation-sheet'!S7*'Output-Calculation-sheet'!S16</f>
        <v>694.446924493035</v>
      </c>
      <c r="T30" s="2">
        <f>T8/'Output-Calculation-sheet'!T7*'Output-Calculation-sheet'!T16</f>
        <v>474.39861402284151</v>
      </c>
      <c r="U30" s="2">
        <f>U8/'Output-Calculation-sheet'!U7*'Output-Calculation-sheet'!U16</f>
        <v>364.60835284005572</v>
      </c>
      <c r="V30" s="2">
        <f>V8/'Output-Calculation-sheet'!V7*'Output-Calculation-sheet'!V16</f>
        <v>349.1429737844374</v>
      </c>
      <c r="W30" s="2">
        <f>W8/'Output-Calculation-sheet'!W7*'Output-Calculation-sheet'!W16</f>
        <v>242.39221291606896</v>
      </c>
      <c r="X30" s="2">
        <f>X8/'Output-Calculation-sheet'!X7*'Output-Calculation-sheet'!X16</f>
        <v>0</v>
      </c>
      <c r="Y30" s="2">
        <f>Y8/'Output-Calculation-sheet'!Y7*'Output-Calculation-sheet'!Y16</f>
        <v>160.24509421825144</v>
      </c>
      <c r="AA30" s="2">
        <f t="shared" si="1"/>
        <v>46.269394333695629</v>
      </c>
    </row>
    <row r="31" spans="1:27" x14ac:dyDescent="0.25">
      <c r="A31" s="2">
        <v>2032</v>
      </c>
      <c r="B31" s="2">
        <f>B9/'Output-Calculation-sheet'!B8*'Output-Calculation-sheet'!B17</f>
        <v>18203.371982371787</v>
      </c>
      <c r="C31" s="2">
        <f>C9/'Output-Calculation-sheet'!C8*'Output-Calculation-sheet'!C17</f>
        <v>0</v>
      </c>
      <c r="D31" s="2">
        <f>D9/'Output-Calculation-sheet'!D8*'Output-Calculation-sheet'!D17</f>
        <v>5643.3987978180949</v>
      </c>
      <c r="E31" s="2">
        <f>E9/'Output-Calculation-sheet'!E8*'Output-Calculation-sheet'!E17</f>
        <v>5844.3892481701996</v>
      </c>
      <c r="F31" s="2">
        <f>F9/'Output-Calculation-sheet'!F8*'Output-Calculation-sheet'!F17</f>
        <v>3265.0381465976384</v>
      </c>
      <c r="G31" s="2">
        <f>G9/'Output-Calculation-sheet'!G8*'Output-Calculation-sheet'!G17</f>
        <v>1968.293633616574</v>
      </c>
      <c r="H31" s="2">
        <f>H9/'Output-Calculation-sheet'!H8*'Output-Calculation-sheet'!H17</f>
        <v>0</v>
      </c>
      <c r="I31" s="2">
        <f>I9/'Output-Calculation-sheet'!I8*'Output-Calculation-sheet'!I17</f>
        <v>1995.6006038347275</v>
      </c>
      <c r="J31" s="2">
        <f>J9/'Output-Calculation-sheet'!J8*'Output-Calculation-sheet'!J17</f>
        <v>1820.1225206884867</v>
      </c>
      <c r="K31" s="2">
        <f>K9/'Output-Calculation-sheet'!K8*'Output-Calculation-sheet'!K17</f>
        <v>2254.5519142837766</v>
      </c>
      <c r="L31" s="2">
        <f>L9/'Output-Calculation-sheet'!L8*'Output-Calculation-sheet'!L17</f>
        <v>1861.0986838753092</v>
      </c>
      <c r="M31" s="2">
        <f>M9/'Output-Calculation-sheet'!M8*'Output-Calculation-sheet'!M17</f>
        <v>0</v>
      </c>
      <c r="N31" s="2">
        <f>N9/'Output-Calculation-sheet'!N8*'Output-Calculation-sheet'!N17</f>
        <v>823.25125209063469</v>
      </c>
      <c r="O31" s="2">
        <f>O9/'Output-Calculation-sheet'!O8*'Output-Calculation-sheet'!O17</f>
        <v>0</v>
      </c>
      <c r="P31" s="2">
        <f>P9/'Output-Calculation-sheet'!P8*'Output-Calculation-sheet'!P17</f>
        <v>1497.2121500071544</v>
      </c>
      <c r="Q31" s="2">
        <f>Q9/'Output-Calculation-sheet'!Q8*'Output-Calculation-sheet'!Q17</f>
        <v>1640.8004029034353</v>
      </c>
      <c r="R31" s="2">
        <f>R9/'Output-Calculation-sheet'!R8*'Output-Calculation-sheet'!R17</f>
        <v>1424.6299841038838</v>
      </c>
      <c r="S31" s="2">
        <f>S9/'Output-Calculation-sheet'!S8*'Output-Calculation-sheet'!S17</f>
        <v>710.81724729771224</v>
      </c>
      <c r="T31" s="2">
        <f>T9/'Output-Calculation-sheet'!T8*'Output-Calculation-sheet'!T17</f>
        <v>519.14694973998212</v>
      </c>
      <c r="U31" s="2">
        <f>U9/'Output-Calculation-sheet'!U8*'Output-Calculation-sheet'!U17</f>
        <v>400.39202868171049</v>
      </c>
      <c r="V31" s="2">
        <f>V9/'Output-Calculation-sheet'!V8*'Output-Calculation-sheet'!V17</f>
        <v>383.69303524038156</v>
      </c>
      <c r="W31" s="2">
        <f>W9/'Output-Calculation-sheet'!W8*'Output-Calculation-sheet'!W17</f>
        <v>265.69344002239171</v>
      </c>
      <c r="X31" s="2">
        <f>X9/'Output-Calculation-sheet'!X8*'Output-Calculation-sheet'!X17</f>
        <v>0</v>
      </c>
      <c r="Y31" s="2">
        <f>Y9/'Output-Calculation-sheet'!Y8*'Output-Calculation-sheet'!Y17</f>
        <v>175.64913554926437</v>
      </c>
      <c r="AA31" s="2">
        <f t="shared" si="1"/>
        <v>50.697151156893121</v>
      </c>
    </row>
    <row r="32" spans="1:27" x14ac:dyDescent="0.25">
      <c r="A32" s="2">
        <v>2033</v>
      </c>
      <c r="B32" s="2">
        <f>B10/'Output-Calculation-sheet'!B9*'Output-Calculation-sheet'!B18</f>
        <v>18002.901400397088</v>
      </c>
      <c r="C32" s="2">
        <f>C10/'Output-Calculation-sheet'!C9*'Output-Calculation-sheet'!C18</f>
        <v>0</v>
      </c>
      <c r="D32" s="2">
        <f>D10/'Output-Calculation-sheet'!D9*'Output-Calculation-sheet'!D18</f>
        <v>6010.1316380952976</v>
      </c>
      <c r="E32" s="2">
        <f>E10/'Output-Calculation-sheet'!E9*'Output-Calculation-sheet'!E18</f>
        <v>6223.6686294311285</v>
      </c>
      <c r="F32" s="2">
        <f>F10/'Output-Calculation-sheet'!F9*'Output-Calculation-sheet'!F18</f>
        <v>3476.3119678079697</v>
      </c>
      <c r="G32" s="2">
        <f>G10/'Output-Calculation-sheet'!G9*'Output-Calculation-sheet'!G18</f>
        <v>2096.6201680013464</v>
      </c>
      <c r="H32" s="2">
        <f>H10/'Output-Calculation-sheet'!H9*'Output-Calculation-sheet'!H18</f>
        <v>0</v>
      </c>
      <c r="I32" s="2">
        <f>I10/'Output-Calculation-sheet'!I9*'Output-Calculation-sheet'!I18</f>
        <v>2125.4868217405792</v>
      </c>
      <c r="J32" s="2">
        <f>J10/'Output-Calculation-sheet'!J9*'Output-Calculation-sheet'!J18</f>
        <v>1938.5399413022085</v>
      </c>
      <c r="K32" s="2">
        <f>K10/'Output-Calculation-sheet'!K9*'Output-Calculation-sheet'!K18</f>
        <v>2406.7279789289223</v>
      </c>
      <c r="L32" s="2">
        <f>L10/'Output-Calculation-sheet'!L9*'Output-Calculation-sheet'!L18</f>
        <v>1983.4707996803559</v>
      </c>
      <c r="M32" s="2">
        <f>M10/'Output-Calculation-sheet'!M9*'Output-Calculation-sheet'!M18</f>
        <v>0</v>
      </c>
      <c r="N32" s="2">
        <f>N10/'Output-Calculation-sheet'!N9*'Output-Calculation-sheet'!N18</f>
        <v>785.08813777261071</v>
      </c>
      <c r="O32" s="2">
        <f>O10/'Output-Calculation-sheet'!O9*'Output-Calculation-sheet'!O18</f>
        <v>0</v>
      </c>
      <c r="P32" s="2">
        <f>P10/'Output-Calculation-sheet'!P9*'Output-Calculation-sheet'!P18</f>
        <v>1606.3145894279321</v>
      </c>
      <c r="Q32" s="2">
        <f>Q10/'Output-Calculation-sheet'!Q9*'Output-Calculation-sheet'!Q18</f>
        <v>1761.7000483343363</v>
      </c>
      <c r="R32" s="2">
        <f>R10/'Output-Calculation-sheet'!R9*'Output-Calculation-sheet'!R18</f>
        <v>1521.6756112012458</v>
      </c>
      <c r="S32" s="2">
        <f>S10/'Output-Calculation-sheet'!S9*'Output-Calculation-sheet'!S18</f>
        <v>708.28569919206655</v>
      </c>
      <c r="T32" s="2">
        <f>T10/'Output-Calculation-sheet'!T9*'Output-Calculation-sheet'!T18</f>
        <v>553.49933977942339</v>
      </c>
      <c r="U32" s="2">
        <f>U10/'Output-Calculation-sheet'!U9*'Output-Calculation-sheet'!U18</f>
        <v>426.87457058460262</v>
      </c>
      <c r="V32" s="2">
        <f>V10/'Output-Calculation-sheet'!V9*'Output-Calculation-sheet'!V18</f>
        <v>409.51084073848341</v>
      </c>
      <c r="W32" s="2">
        <f>W10/'Output-Calculation-sheet'!W9*'Output-Calculation-sheet'!W18</f>
        <v>282.57709189604918</v>
      </c>
      <c r="X32" s="2">
        <f>X10/'Output-Calculation-sheet'!X9*'Output-Calculation-sheet'!X18</f>
        <v>0</v>
      </c>
      <c r="Y32" s="2">
        <f>Y10/'Output-Calculation-sheet'!Y9*'Output-Calculation-sheet'!Y18</f>
        <v>187.36154541147351</v>
      </c>
      <c r="AA32" s="2">
        <f t="shared" si="1"/>
        <v>52.506746819723119</v>
      </c>
    </row>
    <row r="33" spans="1:27" x14ac:dyDescent="0.25">
      <c r="A33" s="2">
        <v>2034</v>
      </c>
      <c r="B33" s="2">
        <f>B11/'Output-Calculation-sheet'!B10*'Output-Calculation-sheet'!B19</f>
        <v>17745.791149224875</v>
      </c>
      <c r="C33" s="2">
        <f>C11/'Output-Calculation-sheet'!C10*'Output-Calculation-sheet'!C19</f>
        <v>0</v>
      </c>
      <c r="D33" s="2">
        <f>D11/'Output-Calculation-sheet'!D10*'Output-Calculation-sheet'!D19</f>
        <v>6274.5435279401308</v>
      </c>
      <c r="E33" s="2">
        <f>E11/'Output-Calculation-sheet'!E10*'Output-Calculation-sheet'!E19</f>
        <v>6512.8159948606135</v>
      </c>
      <c r="F33" s="2">
        <f>F11/'Output-Calculation-sheet'!F10*'Output-Calculation-sheet'!F19</f>
        <v>3631.1000647148694</v>
      </c>
      <c r="G33" s="2">
        <f>G11/'Output-Calculation-sheet'!G10*'Output-Calculation-sheet'!G19</f>
        <v>2186.5443278709777</v>
      </c>
      <c r="H33" s="2">
        <f>H11/'Output-Calculation-sheet'!H10*'Output-Calculation-sheet'!H19</f>
        <v>0</v>
      </c>
      <c r="I33" s="2">
        <f>I11/'Output-Calculation-sheet'!I10*'Output-Calculation-sheet'!I19</f>
        <v>2227.0117295941591</v>
      </c>
      <c r="J33" s="2">
        <f>J11/'Output-Calculation-sheet'!J10*'Output-Calculation-sheet'!J19</f>
        <v>2023.9520050159554</v>
      </c>
      <c r="K33" s="2">
        <f>K11/'Output-Calculation-sheet'!K10*'Output-Calculation-sheet'!K19</f>
        <v>2520.981785518135</v>
      </c>
      <c r="L33" s="2">
        <f>L11/'Output-Calculation-sheet'!L10*'Output-Calculation-sheet'!L19</f>
        <v>2073.4786713549861</v>
      </c>
      <c r="M33" s="2">
        <f>M11/'Output-Calculation-sheet'!M10*'Output-Calculation-sheet'!M19</f>
        <v>0</v>
      </c>
      <c r="N33" s="2">
        <f>N11/'Output-Calculation-sheet'!N10*'Output-Calculation-sheet'!N19</f>
        <v>768.39529634148892</v>
      </c>
      <c r="O33" s="2">
        <f>O11/'Output-Calculation-sheet'!O10*'Output-Calculation-sheet'!O19</f>
        <v>0</v>
      </c>
      <c r="P33" s="2">
        <f>P11/'Output-Calculation-sheet'!P10*'Output-Calculation-sheet'!P19</f>
        <v>1690.0922455714176</v>
      </c>
      <c r="Q33" s="2">
        <f>Q11/'Output-Calculation-sheet'!Q10*'Output-Calculation-sheet'!Q19</f>
        <v>1856.7347085221954</v>
      </c>
      <c r="R33" s="2">
        <f>R11/'Output-Calculation-sheet'!R10*'Output-Calculation-sheet'!R19</f>
        <v>1593.3673596144192</v>
      </c>
      <c r="S33" s="2">
        <f>S11/'Output-Calculation-sheet'!S10*'Output-Calculation-sheet'!S19</f>
        <v>734.88840836727877</v>
      </c>
      <c r="T33" s="2">
        <f>T11/'Output-Calculation-sheet'!T10*'Output-Calculation-sheet'!T19</f>
        <v>579.04322815027933</v>
      </c>
      <c r="U33" s="2">
        <f>U11/'Output-Calculation-sheet'!U10*'Output-Calculation-sheet'!U19</f>
        <v>448.08068577913917</v>
      </c>
      <c r="V33" s="2">
        <f>V11/'Output-Calculation-sheet'!V10*'Output-Calculation-sheet'!V19</f>
        <v>429.55736595094697</v>
      </c>
      <c r="W33" s="2">
        <f>W11/'Output-Calculation-sheet'!W10*'Output-Calculation-sheet'!W19</f>
        <v>295.12550370421792</v>
      </c>
      <c r="X33" s="2">
        <f>X11/'Output-Calculation-sheet'!X10*'Output-Calculation-sheet'!X19</f>
        <v>0</v>
      </c>
      <c r="Y33" s="2">
        <f>Y11/'Output-Calculation-sheet'!Y10*'Output-Calculation-sheet'!Y19</f>
        <v>195.95176387246505</v>
      </c>
      <c r="AA33" s="2">
        <f t="shared" si="1"/>
        <v>53.787455821968564</v>
      </c>
    </row>
    <row r="34" spans="1:27" x14ac:dyDescent="0.25">
      <c r="A34" s="2">
        <v>2035</v>
      </c>
      <c r="B34" s="2">
        <f>B12/'Output-Calculation-sheet'!B11*'Output-Calculation-sheet'!B20</f>
        <v>17511.813103153178</v>
      </c>
      <c r="C34" s="2">
        <f>C12/'Output-Calculation-sheet'!C11*'Output-Calculation-sheet'!C20</f>
        <v>0</v>
      </c>
      <c r="D34" s="2">
        <f>D12/'Output-Calculation-sheet'!D11*'Output-Calculation-sheet'!D20</f>
        <v>6476.3785380652753</v>
      </c>
      <c r="E34" s="2">
        <f>E12/'Output-Calculation-sheet'!E11*'Output-Calculation-sheet'!E20</f>
        <v>6719.5232011398521</v>
      </c>
      <c r="F34" s="2">
        <f>F12/'Output-Calculation-sheet'!F11*'Output-Calculation-sheet'!F20</f>
        <v>3740.9073541862849</v>
      </c>
      <c r="G34" s="2">
        <f>G12/'Output-Calculation-sheet'!G11*'Output-Calculation-sheet'!G20</f>
        <v>2247.7055004005792</v>
      </c>
      <c r="H34" s="2">
        <f>H12/'Output-Calculation-sheet'!H11*'Output-Calculation-sheet'!H20</f>
        <v>0</v>
      </c>
      <c r="I34" s="2">
        <f>I12/'Output-Calculation-sheet'!I11*'Output-Calculation-sheet'!I20</f>
        <v>2295.7651545857989</v>
      </c>
      <c r="J34" s="2">
        <f>J12/'Output-Calculation-sheet'!J11*'Output-Calculation-sheet'!J20</f>
        <v>2079.204193838827</v>
      </c>
      <c r="K34" s="2">
        <f>K12/'Output-Calculation-sheet'!K11*'Output-Calculation-sheet'!K20</f>
        <v>2600.9723681252281</v>
      </c>
      <c r="L34" s="2">
        <f>L12/'Output-Calculation-sheet'!L11*'Output-Calculation-sheet'!L20</f>
        <v>2135.5648597770646</v>
      </c>
      <c r="M34" s="2">
        <f>M12/'Output-Calculation-sheet'!M11*'Output-Calculation-sheet'!M20</f>
        <v>0</v>
      </c>
      <c r="N34" s="2">
        <f>N12/'Output-Calculation-sheet'!N11*'Output-Calculation-sheet'!N20</f>
        <v>751.31163944250034</v>
      </c>
      <c r="O34" s="2">
        <f>O12/'Output-Calculation-sheet'!O11*'Output-Calculation-sheet'!O20</f>
        <v>0</v>
      </c>
      <c r="P34" s="2">
        <f>P12/'Output-Calculation-sheet'!P11*'Output-Calculation-sheet'!P20</f>
        <v>1753.6232904819194</v>
      </c>
      <c r="Q34" s="2">
        <f>Q12/'Output-Calculation-sheet'!Q11*'Output-Calculation-sheet'!Q20</f>
        <v>1922.9285761328083</v>
      </c>
      <c r="R34" s="2">
        <f>R12/'Output-Calculation-sheet'!R11*'Output-Calculation-sheet'!R20</f>
        <v>1648.915051844494</v>
      </c>
      <c r="S34" s="2">
        <f>S12/'Output-Calculation-sheet'!S11*'Output-Calculation-sheet'!S20</f>
        <v>709.11305718230153</v>
      </c>
      <c r="T34" s="2">
        <f>T12/'Output-Calculation-sheet'!T11*'Output-Calculation-sheet'!T20</f>
        <v>596.84403610053539</v>
      </c>
      <c r="U34" s="2">
        <f>U12/'Output-Calculation-sheet'!U11*'Output-Calculation-sheet'!U20</f>
        <v>462.96152150890794</v>
      </c>
      <c r="V34" s="2">
        <f>V12/'Output-Calculation-sheet'!V11*'Output-Calculation-sheet'!V20</f>
        <v>444.61149386244603</v>
      </c>
      <c r="W34" s="2">
        <f>W12/'Output-Calculation-sheet'!W11*'Output-Calculation-sheet'!W20</f>
        <v>303.82373684198944</v>
      </c>
      <c r="X34" s="2">
        <f>X12/'Output-Calculation-sheet'!X11*'Output-Calculation-sheet'!X20</f>
        <v>0</v>
      </c>
      <c r="Y34" s="2">
        <f>Y12/'Output-Calculation-sheet'!Y11*'Output-Calculation-sheet'!Y20</f>
        <v>202.25425715408807</v>
      </c>
      <c r="AA34" s="2">
        <f t="shared" si="1"/>
        <v>54.604220933824074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5.1470624849508209</v>
      </c>
      <c r="C63" s="2">
        <f>C8*'Output-Calculation-sheet'!C52/10^9</f>
        <v>2.4766534279240324</v>
      </c>
      <c r="D63" s="2">
        <f>D8*'Output-Calculation-sheet'!D52/10^9</f>
        <v>1.1264317187535857</v>
      </c>
      <c r="E63" s="2">
        <f>E8*'Output-Calculation-sheet'!E52/10^9</f>
        <v>1.253346058084974</v>
      </c>
      <c r="F63" s="2">
        <f>F8*'Output-Calculation-sheet'!F52/10^9</f>
        <v>0.57890909677904823</v>
      </c>
      <c r="G63" s="2">
        <f>G8*'Output-Calculation-sheet'!G52/10^9</f>
        <v>0.40014588799395273</v>
      </c>
      <c r="H63" s="2">
        <f>H8*'Output-Calculation-sheet'!H52/10^9</f>
        <v>0.7545374034564889</v>
      </c>
      <c r="I63" s="2">
        <f>I8*'Output-Calculation-sheet'!I52/10^9</f>
        <v>0.39485665979586293</v>
      </c>
      <c r="J63" s="2">
        <f>J8*'Output-Calculation-sheet'!J52/10^9</f>
        <v>0.35643090945907385</v>
      </c>
      <c r="K63" s="2">
        <f>K8*'Output-Calculation-sheet'!K52/10^9</f>
        <v>0.46003528014275036</v>
      </c>
      <c r="L63" s="2">
        <f>L8*'Output-Calculation-sheet'!L52/10^9</f>
        <v>0.38003087247894901</v>
      </c>
      <c r="M63" s="2">
        <f>M8*'Output-Calculation-sheet'!M52/10^9</f>
        <v>0.52129631357981809</v>
      </c>
      <c r="N63" s="2">
        <f>N8*'Output-Calculation-sheet'!N52/10^9</f>
        <v>0.54485838930617525</v>
      </c>
      <c r="O63" s="2">
        <f>O8*'Output-Calculation-sheet'!O52/10^9</f>
        <v>0.48121940495557664</v>
      </c>
      <c r="P63" s="2">
        <f>P8*'Output-Calculation-sheet'!P52/10^9</f>
        <v>0.40335825984636453</v>
      </c>
      <c r="Q63" s="2">
        <f>Q8*'Output-Calculation-sheet'!Q52/10^9</f>
        <v>0.41596710556245681</v>
      </c>
      <c r="R63" s="2">
        <f>R8*'Output-Calculation-sheet'!R52/10^9</f>
        <v>0.33266627867705134</v>
      </c>
      <c r="S63" s="2">
        <f>S8*'Output-Calculation-sheet'!S52/10^9</f>
        <v>0.30666004487319598</v>
      </c>
      <c r="T63" s="2">
        <f>T8*'Output-Calculation-sheet'!T52/10^9</f>
        <v>0.10399256766978388</v>
      </c>
      <c r="U63" s="2">
        <f>U8*'Output-Calculation-sheet'!U52/10^9</f>
        <v>0.1045382685913564</v>
      </c>
      <c r="V63" s="2">
        <f>V8*'Output-Calculation-sheet'!V52/10^9</f>
        <v>7.7855920638039963E-2</v>
      </c>
      <c r="W63" s="2">
        <f>W8*'Output-Calculation-sheet'!W52/10^9</f>
        <v>4.8677393339392465E-2</v>
      </c>
      <c r="X63" s="2">
        <f>X8*'Output-Calculation-sheet'!X52/10^9</f>
        <v>6.1991471153482781E-2</v>
      </c>
      <c r="Y63" s="2">
        <f>Y8*'Output-Calculation-sheet'!Y52/10^9</f>
        <v>4.0738289253409402E-2</v>
      </c>
      <c r="AA63" s="2">
        <f t="shared" si="4"/>
        <v>16.772259507265641</v>
      </c>
    </row>
    <row r="64" spans="1:27" x14ac:dyDescent="0.25">
      <c r="A64" s="2">
        <v>2032</v>
      </c>
      <c r="B64" s="2">
        <f>B9*'Output-Calculation-sheet'!B53/10^9</f>
        <v>5.5875028451920645</v>
      </c>
      <c r="C64" s="2">
        <f>C9*'Output-Calculation-sheet'!C53/10^9</f>
        <v>2.698199306668053</v>
      </c>
      <c r="D64" s="2">
        <f>D9*'Output-Calculation-sheet'!D53/10^9</f>
        <v>1.2209737486587626</v>
      </c>
      <c r="E64" s="2">
        <f>E9*'Output-Calculation-sheet'!E53/10^9</f>
        <v>1.3590269297102109</v>
      </c>
      <c r="F64" s="2">
        <f>F9*'Output-Calculation-sheet'!F53/10^9</f>
        <v>0.62709411391922898</v>
      </c>
      <c r="G64" s="2">
        <f>G9*'Output-Calculation-sheet'!G53/10^9</f>
        <v>0.43376978116163878</v>
      </c>
      <c r="H64" s="2">
        <f>H9*'Output-Calculation-sheet'!H53/10^9</f>
        <v>0.81443114038577136</v>
      </c>
      <c r="I64" s="2">
        <f>I9*'Output-Calculation-sheet'!I53/10^9</f>
        <v>0.4279785805877942</v>
      </c>
      <c r="J64" s="2">
        <f>J9*'Output-Calculation-sheet'!J53/10^9</f>
        <v>0.38630720843113281</v>
      </c>
      <c r="K64" s="2">
        <f>K9*'Output-Calculation-sheet'!K53/10^9</f>
        <v>0.4987051705257381</v>
      </c>
      <c r="L64" s="2">
        <f>L9*'Output-Calculation-sheet'!L53/10^9</f>
        <v>0.4119767204473912</v>
      </c>
      <c r="M64" s="2">
        <f>M9*'Output-Calculation-sheet'!M53/10^9</f>
        <v>0.56270321766954656</v>
      </c>
      <c r="N64" s="2">
        <f>N9*'Output-Calculation-sheet'!N53/10^9</f>
        <v>0.5888931173739933</v>
      </c>
      <c r="O64" s="2">
        <f>O9*'Output-Calculation-sheet'!O53/10^9</f>
        <v>0.52426627406431681</v>
      </c>
      <c r="P64" s="2">
        <f>P9*'Output-Calculation-sheet'!P53/10^9</f>
        <v>0.43779715962506172</v>
      </c>
      <c r="Q64" s="2">
        <f>Q9*'Output-Calculation-sheet'!Q53/10^9</f>
        <v>0.45137638307432371</v>
      </c>
      <c r="R64" s="2">
        <f>R9*'Output-Calculation-sheet'!R53/10^9</f>
        <v>0.36085522174392332</v>
      </c>
      <c r="S64" s="2">
        <f>S9*'Output-Calculation-sheet'!S53/10^9</f>
        <v>0.33208862359050179</v>
      </c>
      <c r="T64" s="2">
        <f>T9*'Output-Calculation-sheet'!T53/10^9</f>
        <v>0.11272295016411828</v>
      </c>
      <c r="U64" s="2">
        <f>U9*'Output-Calculation-sheet'!U53/10^9</f>
        <v>0.11344932062032555</v>
      </c>
      <c r="V64" s="2">
        <f>V9*'Output-Calculation-sheet'!V53/10^9</f>
        <v>8.4398526847146674E-2</v>
      </c>
      <c r="W64" s="2">
        <f>W9*'Output-Calculation-sheet'!W53/10^9</f>
        <v>5.2739308946975857E-2</v>
      </c>
      <c r="X64" s="2">
        <f>X9*'Output-Calculation-sheet'!X53/10^9</f>
        <v>6.6980048809838905E-2</v>
      </c>
      <c r="Y64" s="2">
        <f>Y9*'Output-Calculation-sheet'!Y53/10^9</f>
        <v>4.4188973251707321E-2</v>
      </c>
      <c r="AA64" s="2">
        <f t="shared" si="4"/>
        <v>18.198424671469564</v>
      </c>
    </row>
    <row r="65" spans="1:27" x14ac:dyDescent="0.25">
      <c r="A65" s="2">
        <v>2033</v>
      </c>
      <c r="B65" s="2">
        <f>B10*'Output-Calculation-sheet'!B54/10^9</f>
        <v>5.8942602231505994</v>
      </c>
      <c r="C65" s="2">
        <f>C10*'Output-Calculation-sheet'!C54/10^9</f>
        <v>2.8533516029583663</v>
      </c>
      <c r="D65" s="2">
        <f>D10*'Output-Calculation-sheet'!D54/10^9</f>
        <v>1.2873878088408717</v>
      </c>
      <c r="E65" s="2">
        <f>E10*'Output-Calculation-sheet'!E54/10^9</f>
        <v>1.4334654703825727</v>
      </c>
      <c r="F65" s="2">
        <f>F10*'Output-Calculation-sheet'!F54/10^9</f>
        <v>0.66077510399393891</v>
      </c>
      <c r="G65" s="2">
        <f>G10*'Output-Calculation-sheet'!G54/10^9</f>
        <v>0.45740814503084076</v>
      </c>
      <c r="H65" s="2">
        <f>H10*'Output-Calculation-sheet'!H54/10^9</f>
        <v>0.8548401129677039</v>
      </c>
      <c r="I65" s="2">
        <f>I10*'Output-Calculation-sheet'!I54/10^9</f>
        <v>0.45123897770182608</v>
      </c>
      <c r="J65" s="2">
        <f>J10*'Output-Calculation-sheet'!J54/10^9</f>
        <v>0.40727917168741984</v>
      </c>
      <c r="K65" s="2">
        <f>K10*'Output-Calculation-sheet'!K54/10^9</f>
        <v>0.52588878418688867</v>
      </c>
      <c r="L65" s="2">
        <f>L10*'Output-Calculation-sheet'!L54/10^9</f>
        <v>0.43443621859340947</v>
      </c>
      <c r="M65" s="2">
        <f>M10*'Output-Calculation-sheet'!M54/10^9</f>
        <v>0.5906479457407029</v>
      </c>
      <c r="N65" s="2">
        <f>N10*'Output-Calculation-sheet'!N54/10^9</f>
        <v>0.61879319062158777</v>
      </c>
      <c r="O65" s="2">
        <f>O10*'Output-Calculation-sheet'!O54/10^9</f>
        <v>0.55562770610432455</v>
      </c>
      <c r="P65" s="2">
        <f>P10*'Output-Calculation-sheet'!P54/10^9</f>
        <v>0.46222319548397967</v>
      </c>
      <c r="Q65" s="2">
        <f>Q10*'Output-Calculation-sheet'!Q54/10^9</f>
        <v>0.47644411101898476</v>
      </c>
      <c r="R65" s="2">
        <f>R10*'Output-Calculation-sheet'!R54/10^9</f>
        <v>0.38076627359417781</v>
      </c>
      <c r="S65" s="2">
        <f>S10*'Output-Calculation-sheet'!S54/10^9</f>
        <v>0.34951564301726989</v>
      </c>
      <c r="T65" s="2">
        <f>T10*'Output-Calculation-sheet'!T54/10^9</f>
        <v>0.11885604945570789</v>
      </c>
      <c r="U65" s="2">
        <f>U10*'Output-Calculation-sheet'!U54/10^9</f>
        <v>0.11976547637390637</v>
      </c>
      <c r="V65" s="2">
        <f>V10*'Output-Calculation-sheet'!V54/10^9</f>
        <v>8.8996432857101501E-2</v>
      </c>
      <c r="W65" s="2">
        <f>W10*'Output-Calculation-sheet'!W54/10^9</f>
        <v>5.5582557649545089E-2</v>
      </c>
      <c r="X65" s="2">
        <f>X10*'Output-Calculation-sheet'!X54/10^9</f>
        <v>7.0371687937135288E-2</v>
      </c>
      <c r="Y65" s="2">
        <f>Y10*'Output-Calculation-sheet'!Y54/10^9</f>
        <v>4.6626058387635901E-2</v>
      </c>
      <c r="AA65" s="2">
        <f t="shared" si="4"/>
        <v>19.194547947736496</v>
      </c>
    </row>
    <row r="66" spans="1:27" x14ac:dyDescent="0.25">
      <c r="A66" s="2">
        <v>2034</v>
      </c>
      <c r="B66" s="2">
        <f>B11*'Output-Calculation-sheet'!B55/10^9</f>
        <v>6.0930989546789869</v>
      </c>
      <c r="C66" s="2">
        <f>C11*'Output-Calculation-sheet'!C55/10^9</f>
        <v>2.9438559813378591</v>
      </c>
      <c r="D66" s="2">
        <f>D11*'Output-Calculation-sheet'!D55/10^9</f>
        <v>1.3322791380947241</v>
      </c>
      <c r="E66" s="2">
        <f>E11*'Output-Calculation-sheet'!E55/10^9</f>
        <v>1.4839816830519168</v>
      </c>
      <c r="F66" s="2">
        <f>F11*'Output-Calculation-sheet'!F55/10^9</f>
        <v>0.68336436660942279</v>
      </c>
      <c r="G66" s="2">
        <f>G11*'Output-Calculation-sheet'!G55/10^9</f>
        <v>0.47340337621312545</v>
      </c>
      <c r="H66" s="2">
        <f>H11*'Output-Calculation-sheet'!H55/10^9</f>
        <v>0.8803231581683032</v>
      </c>
      <c r="I66" s="2">
        <f>I11*'Output-Calculation-sheet'!I55/10^9</f>
        <v>0.4669484835201072</v>
      </c>
      <c r="J66" s="2">
        <f>J11*'Output-Calculation-sheet'!J55/10^9</f>
        <v>0.42143873176072361</v>
      </c>
      <c r="K66" s="2">
        <f>K11*'Output-Calculation-sheet'!K55/10^9</f>
        <v>0.54427719027501043</v>
      </c>
      <c r="L66" s="2">
        <f>L11*'Output-Calculation-sheet'!L55/10^9</f>
        <v>0.4496338472039248</v>
      </c>
      <c r="M66" s="2">
        <f>M11*'Output-Calculation-sheet'!M55/10^9</f>
        <v>0.60828194121149626</v>
      </c>
      <c r="N66" s="2">
        <f>N11*'Output-Calculation-sheet'!N55/10^9</f>
        <v>0.63783464966285863</v>
      </c>
      <c r="O66" s="2">
        <f>O11*'Output-Calculation-sheet'!O55/10^9</f>
        <v>0.5779885545268082</v>
      </c>
      <c r="P66" s="2">
        <f>P11*'Output-Calculation-sheet'!P55/10^9</f>
        <v>0.47897015940033599</v>
      </c>
      <c r="Q66" s="2">
        <f>Q11*'Output-Calculation-sheet'!Q55/10^9</f>
        <v>0.49358085103021171</v>
      </c>
      <c r="R66" s="2">
        <f>R11*'Output-Calculation-sheet'!R55/10^9</f>
        <v>0.39433499985665793</v>
      </c>
      <c r="S66" s="2">
        <f>S11*'Output-Calculation-sheet'!S55/10^9</f>
        <v>0.36076797690106099</v>
      </c>
      <c r="T66" s="2">
        <f>T11*'Output-Calculation-sheet'!T55/10^9</f>
        <v>0.12300127638944634</v>
      </c>
      <c r="U66" s="2">
        <f>U11*'Output-Calculation-sheet'!U55/10^9</f>
        <v>0.12409253710605275</v>
      </c>
      <c r="V66" s="2">
        <f>V11*'Output-Calculation-sheet'!V55/10^9</f>
        <v>9.2105616443300661E-2</v>
      </c>
      <c r="W66" s="2">
        <f>W11*'Output-Calculation-sheet'!W55/10^9</f>
        <v>5.7494158500712877E-2</v>
      </c>
      <c r="X66" s="2">
        <f>X11*'Output-Calculation-sheet'!X55/10^9</f>
        <v>7.2541548819351459E-2</v>
      </c>
      <c r="Y66" s="2">
        <f>Y11*'Output-Calculation-sheet'!Y55/10^9</f>
        <v>4.8286626963514233E-2</v>
      </c>
      <c r="AA66" s="2">
        <f t="shared" si="4"/>
        <v>19.841885807725919</v>
      </c>
    </row>
    <row r="67" spans="1:27" x14ac:dyDescent="0.25">
      <c r="A67" s="2">
        <v>2035</v>
      </c>
      <c r="B67" s="2">
        <f>B12*'Output-Calculation-sheet'!B56/10^9</f>
        <v>6.2018241187585712</v>
      </c>
      <c r="C67" s="2">
        <f>C12*'Output-Calculation-sheet'!C56/10^9</f>
        <v>2.9922399348307129</v>
      </c>
      <c r="D67" s="2">
        <f>D12*'Output-Calculation-sheet'!D56/10^9</f>
        <v>1.3589596253608456</v>
      </c>
      <c r="E67" s="2">
        <f>E12*'Output-Calculation-sheet'!E56/10^9</f>
        <v>1.5142401457157018</v>
      </c>
      <c r="F67" s="2">
        <f>F12*'Output-Calculation-sheet'!F56/10^9</f>
        <v>0.69658216585019961</v>
      </c>
      <c r="G67" s="2">
        <f>G12*'Output-Calculation-sheet'!G56/10^9</f>
        <v>0.48293794340183749</v>
      </c>
      <c r="H67" s="2">
        <f>H12*'Output-Calculation-sheet'!H56/10^9</f>
        <v>0.89323991407944658</v>
      </c>
      <c r="I67" s="2">
        <f>I12*'Output-Calculation-sheet'!I56/10^9</f>
        <v>0.47627100802202949</v>
      </c>
      <c r="J67" s="2">
        <f>J12*'Output-Calculation-sheet'!J56/10^9</f>
        <v>0.42983934929142503</v>
      </c>
      <c r="K67" s="2">
        <f>K12*'Output-Calculation-sheet'!K56/10^9</f>
        <v>0.55522636813465542</v>
      </c>
      <c r="L67" s="2">
        <f>L12*'Output-Calculation-sheet'!L56/10^9</f>
        <v>0.45869069165485737</v>
      </c>
      <c r="M67" s="2">
        <f>M12*'Output-Calculation-sheet'!M56/10^9</f>
        <v>0.6172339580749634</v>
      </c>
      <c r="N67" s="2">
        <f>N12*'Output-Calculation-sheet'!N56/10^9</f>
        <v>0.64779406816514018</v>
      </c>
      <c r="O67" s="2">
        <f>O12*'Output-Calculation-sheet'!O56/10^9</f>
        <v>0.58921908021752756</v>
      </c>
      <c r="P67" s="2">
        <f>P12*'Output-Calculation-sheet'!P56/10^9</f>
        <v>0.48919984131115352</v>
      </c>
      <c r="Q67" s="2">
        <f>Q12*'Output-Calculation-sheet'!Q56/10^9</f>
        <v>0.50397866431559379</v>
      </c>
      <c r="R67" s="2">
        <f>R12*'Output-Calculation-sheet'!R56/10^9</f>
        <v>0.40252813188438652</v>
      </c>
      <c r="S67" s="2">
        <f>S12*'Output-Calculation-sheet'!S56/10^9</f>
        <v>0.36681741570735482</v>
      </c>
      <c r="T67" s="2">
        <f>T12*'Output-Calculation-sheet'!T56/10^9</f>
        <v>0.12546532397782825</v>
      </c>
      <c r="U67" s="2">
        <f>U12*'Output-Calculation-sheet'!U56/10^9</f>
        <v>0.1267321552055943</v>
      </c>
      <c r="V67" s="2">
        <f>V12*'Output-Calculation-sheet'!V56/10^9</f>
        <v>9.3954036849813308E-2</v>
      </c>
      <c r="W67" s="2">
        <f>W12*'Output-Calculation-sheet'!W56/10^9</f>
        <v>5.8618293488799038E-2</v>
      </c>
      <c r="X67" s="2">
        <f>X12*'Output-Calculation-sheet'!X56/10^9</f>
        <v>7.3675662718418217E-2</v>
      </c>
      <c r="Y67" s="2">
        <f>Y12*'Output-Calculation-sheet'!Y56/10^9</f>
        <v>4.9289252373941106E-2</v>
      </c>
      <c r="AA67" s="2">
        <f t="shared" si="4"/>
        <v>20.204557149390801</v>
      </c>
    </row>
    <row r="68" spans="1:27" x14ac:dyDescent="0.25">
      <c r="B68" s="2">
        <f>SUM(B60:B67)</f>
        <v>39.919833990216077</v>
      </c>
      <c r="C68" s="2">
        <f t="shared" ref="C68:Y68" si="5">SUM(C60:C67)</f>
        <v>19.20541354284909</v>
      </c>
      <c r="D68" s="2">
        <f t="shared" si="5"/>
        <v>8.7425964076138349</v>
      </c>
      <c r="E68" s="2">
        <f t="shared" si="5"/>
        <v>9.7301885285205731</v>
      </c>
      <c r="F68" s="2">
        <f t="shared" si="5"/>
        <v>4.4908125208640133</v>
      </c>
      <c r="G68" s="2">
        <f t="shared" si="5"/>
        <v>3.1059507017781396</v>
      </c>
      <c r="H68" s="2">
        <f t="shared" si="5"/>
        <v>5.8190956934163793</v>
      </c>
      <c r="I68" s="2">
        <f t="shared" si="5"/>
        <v>3.0644607726128963</v>
      </c>
      <c r="J68" s="2">
        <f t="shared" si="5"/>
        <v>2.7661725393159768</v>
      </c>
      <c r="K68" s="2">
        <f t="shared" si="5"/>
        <v>3.5706802663328663</v>
      </c>
      <c r="L68" s="2">
        <f t="shared" si="5"/>
        <v>2.9497614814208393</v>
      </c>
      <c r="M68" s="2">
        <f t="shared" si="5"/>
        <v>4.0201201587534952</v>
      </c>
      <c r="N68" s="2">
        <f t="shared" si="5"/>
        <v>4.2071865284780188</v>
      </c>
      <c r="O68" s="2">
        <f t="shared" si="5"/>
        <v>3.7466738095045411</v>
      </c>
      <c r="P68" s="2">
        <f t="shared" si="5"/>
        <v>3.1336801199954998</v>
      </c>
      <c r="Q68" s="2">
        <f t="shared" si="5"/>
        <v>3.2309307056669661</v>
      </c>
      <c r="R68" s="2">
        <f t="shared" si="5"/>
        <v>2.5833760011628399</v>
      </c>
      <c r="S68" s="2">
        <f t="shared" si="5"/>
        <v>2.3712689226616472</v>
      </c>
      <c r="T68" s="2">
        <f t="shared" si="5"/>
        <v>0.80711684664146399</v>
      </c>
      <c r="U68" s="2">
        <f t="shared" si="5"/>
        <v>0.81211191092095092</v>
      </c>
      <c r="V68" s="2">
        <f t="shared" si="5"/>
        <v>0.6042803738740441</v>
      </c>
      <c r="W68" s="2">
        <f t="shared" si="5"/>
        <v>0.37766465976171348</v>
      </c>
      <c r="X68" s="2">
        <f t="shared" si="5"/>
        <v>0.47837951390648248</v>
      </c>
      <c r="Y68" s="2">
        <f t="shared" si="5"/>
        <v>0.31635408767399059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10412959001.870338</v>
      </c>
      <c r="C96" s="2">
        <f>C8/'Output-Calculation-sheet'!C7*'Output-Calculation-sheet'!C79</f>
        <v>0</v>
      </c>
      <c r="D96" s="2">
        <f>D8/'Output-Calculation-sheet'!D7*'Output-Calculation-sheet'!D79</f>
        <v>6338260792.6711941</v>
      </c>
      <c r="E96" s="2">
        <f>E8/'Output-Calculation-sheet'!E7*'Output-Calculation-sheet'!E79</f>
        <v>9927986504.892952</v>
      </c>
      <c r="F96" s="2">
        <f>F8/'Output-Calculation-sheet'!F7*'Output-Calculation-sheet'!F79</f>
        <v>4752298297.6293793</v>
      </c>
      <c r="G96" s="2">
        <f>G8/'Output-Calculation-sheet'!G7*'Output-Calculation-sheet'!G79</f>
        <v>3622927693.6641278</v>
      </c>
      <c r="H96" s="2">
        <f>H8/'Output-Calculation-sheet'!H7*'Output-Calculation-sheet'!H79</f>
        <v>979149584.94912732</v>
      </c>
      <c r="I96" s="2">
        <f>I8/'Output-Calculation-sheet'!I7*'Output-Calculation-sheet'!I79</f>
        <v>2484542460.5318027</v>
      </c>
      <c r="J96" s="2">
        <f>J8/'Output-Calculation-sheet'!J7*'Output-Calculation-sheet'!J79</f>
        <v>1768553727.8307521</v>
      </c>
      <c r="K96" s="2">
        <f>K8/'Output-Calculation-sheet'!K7*'Output-Calculation-sheet'!K79</f>
        <v>2204195025.2476134</v>
      </c>
      <c r="L96" s="2">
        <f>L8/'Output-Calculation-sheet'!L7*'Output-Calculation-sheet'!L79</f>
        <v>1533812231.1534777</v>
      </c>
      <c r="M96" s="2">
        <f>M8/'Output-Calculation-sheet'!M7*'Output-Calculation-sheet'!M79</f>
        <v>725868971.99633408</v>
      </c>
      <c r="N96" s="2">
        <f>N8/'Output-Calculation-sheet'!N7*'Output-Calculation-sheet'!N79</f>
        <v>808983661.46737611</v>
      </c>
      <c r="O96" s="2">
        <f>O8/'Output-Calculation-sheet'!O7*'Output-Calculation-sheet'!O79</f>
        <v>0</v>
      </c>
      <c r="P96" s="2">
        <f>P8/'Output-Calculation-sheet'!P7*'Output-Calculation-sheet'!P79</f>
        <v>1870993869.3411531</v>
      </c>
      <c r="Q96" s="2">
        <f>Q8/'Output-Calculation-sheet'!Q7*'Output-Calculation-sheet'!Q79</f>
        <v>868609426.46349061</v>
      </c>
      <c r="R96" s="2">
        <f>R8/'Output-Calculation-sheet'!R7*'Output-Calculation-sheet'!R79</f>
        <v>1340151073.1683142</v>
      </c>
      <c r="S96" s="2">
        <f>S8/'Output-Calculation-sheet'!S7*'Output-Calculation-sheet'!S79</f>
        <v>490878178.19278187</v>
      </c>
      <c r="T96" s="2">
        <f>T8/'Output-Calculation-sheet'!T7*'Output-Calculation-sheet'!T79</f>
        <v>702447956.75901544</v>
      </c>
      <c r="U96" s="2">
        <f>U8/'Output-Calculation-sheet'!U7*'Output-Calculation-sheet'!U79</f>
        <v>356657871.83763891</v>
      </c>
      <c r="V96" s="2">
        <f>V8/'Output-Calculation-sheet'!V7*'Output-Calculation-sheet'!V79</f>
        <v>216208392.35186613</v>
      </c>
      <c r="W96" s="2">
        <f>W8/'Output-Calculation-sheet'!W7*'Output-Calculation-sheet'!W79</f>
        <v>752940732.00093687</v>
      </c>
      <c r="X96" s="2">
        <f>X8/'Output-Calculation-sheet'!X7*'Output-Calculation-sheet'!X79</f>
        <v>70198575.223690152</v>
      </c>
      <c r="Y96" s="2">
        <f>Y8/'Output-Calculation-sheet'!Y7*'Output-Calculation-sheet'!Y79</f>
        <v>320280128.32035488</v>
      </c>
      <c r="AA96" s="2">
        <f t="shared" si="8"/>
        <v>52.548904157563733</v>
      </c>
    </row>
    <row r="97" spans="1:27" x14ac:dyDescent="0.25">
      <c r="A97" s="2">
        <v>2032</v>
      </c>
      <c r="B97" s="2">
        <f>B9/'Output-Calculation-sheet'!B8*'Output-Calculation-sheet'!B80</f>
        <v>11446208388.80246</v>
      </c>
      <c r="C97" s="2">
        <f>C9/'Output-Calculation-sheet'!C8*'Output-Calculation-sheet'!C80</f>
        <v>0</v>
      </c>
      <c r="D97" s="2">
        <f>D9/'Output-Calculation-sheet'!D8*'Output-Calculation-sheet'!D80</f>
        <v>6644864175.3616028</v>
      </c>
      <c r="E97" s="2">
        <f>E9/'Output-Calculation-sheet'!E8*'Output-Calculation-sheet'!E80</f>
        <v>10720340979.588285</v>
      </c>
      <c r="F97" s="2">
        <f>F9/'Output-Calculation-sheet'!F8*'Output-Calculation-sheet'!F80</f>
        <v>5113771448.2289734</v>
      </c>
      <c r="G97" s="2">
        <f>G9/'Output-Calculation-sheet'!G8*'Output-Calculation-sheet'!G80</f>
        <v>3786630620.6185727</v>
      </c>
      <c r="H97" s="2">
        <f>H9/'Output-Calculation-sheet'!H8*'Output-Calculation-sheet'!H80</f>
        <v>1081391767.5516195</v>
      </c>
      <c r="I97" s="2">
        <f>I9/'Output-Calculation-sheet'!I8*'Output-Calculation-sheet'!I80</f>
        <v>2700151111.0776181</v>
      </c>
      <c r="J97" s="2">
        <f>J9/'Output-Calculation-sheet'!J8*'Output-Calculation-sheet'!J80</f>
        <v>1867397739.3349893</v>
      </c>
      <c r="K97" s="2">
        <f>K9/'Output-Calculation-sheet'!K8*'Output-Calculation-sheet'!K80</f>
        <v>2349028543.1950974</v>
      </c>
      <c r="L97" s="2">
        <f>L9/'Output-Calculation-sheet'!L8*'Output-Calculation-sheet'!L80</f>
        <v>1686569375.7776828</v>
      </c>
      <c r="M97" s="2">
        <f>M9/'Output-Calculation-sheet'!M8*'Output-Calculation-sheet'!M80</f>
        <v>803083087.84032762</v>
      </c>
      <c r="N97" s="2">
        <f>N9/'Output-Calculation-sheet'!N8*'Output-Calculation-sheet'!N80</f>
        <v>854796195.52529371</v>
      </c>
      <c r="O97" s="2">
        <f>O9/'Output-Calculation-sheet'!O8*'Output-Calculation-sheet'!O80</f>
        <v>0</v>
      </c>
      <c r="P97" s="2">
        <f>P9/'Output-Calculation-sheet'!P8*'Output-Calculation-sheet'!P80</f>
        <v>2000375404.6146474</v>
      </c>
      <c r="Q97" s="2">
        <f>Q9/'Output-Calculation-sheet'!Q8*'Output-Calculation-sheet'!Q80</f>
        <v>932672252.18244112</v>
      </c>
      <c r="R97" s="2">
        <f>R9/'Output-Calculation-sheet'!R8*'Output-Calculation-sheet'!R80</f>
        <v>1445570559.0603869</v>
      </c>
      <c r="S97" s="2">
        <f>S9/'Output-Calculation-sheet'!S8*'Output-Calculation-sheet'!S80</f>
        <v>544677628.77154744</v>
      </c>
      <c r="T97" s="2">
        <f>T9/'Output-Calculation-sheet'!T8*'Output-Calculation-sheet'!T80</f>
        <v>743357476.74231887</v>
      </c>
      <c r="U97" s="2">
        <f>U9/'Output-Calculation-sheet'!U8*'Output-Calculation-sheet'!U80</f>
        <v>384881334.85751456</v>
      </c>
      <c r="V97" s="2">
        <f>V9/'Output-Calculation-sheet'!V8*'Output-Calculation-sheet'!V80</f>
        <v>235945544.44601673</v>
      </c>
      <c r="W97" s="2">
        <f>W9/'Output-Calculation-sheet'!W8*'Output-Calculation-sheet'!W80</f>
        <v>803277804.5731374</v>
      </c>
      <c r="X97" s="2">
        <f>X9/'Output-Calculation-sheet'!X8*'Output-Calculation-sheet'!X80</f>
        <v>79527256.934836373</v>
      </c>
      <c r="Y97" s="2">
        <f>Y9/'Output-Calculation-sheet'!Y8*'Output-Calculation-sheet'!Y80</f>
        <v>342038034.24914867</v>
      </c>
      <c r="AA97" s="2">
        <f t="shared" si="8"/>
        <v>56.566556729334508</v>
      </c>
    </row>
    <row r="98" spans="1:27" x14ac:dyDescent="0.25">
      <c r="A98" s="2">
        <v>2033</v>
      </c>
      <c r="B98" s="2">
        <f>B10/'Output-Calculation-sheet'!B9*'Output-Calculation-sheet'!B81</f>
        <v>12716415718.541826</v>
      </c>
      <c r="C98" s="2">
        <f>C10/'Output-Calculation-sheet'!C9*'Output-Calculation-sheet'!C81</f>
        <v>1665474856.8237464</v>
      </c>
      <c r="D98" s="2">
        <f>D10/'Output-Calculation-sheet'!D9*'Output-Calculation-sheet'!D81</f>
        <v>6779535493.0556879</v>
      </c>
      <c r="E98" s="2">
        <f>E10/'Output-Calculation-sheet'!E9*'Output-Calculation-sheet'!E81</f>
        <v>11256399585.706287</v>
      </c>
      <c r="F98" s="2">
        <f>F10/'Output-Calculation-sheet'!F9*'Output-Calculation-sheet'!F81</f>
        <v>5359059292.4789305</v>
      </c>
      <c r="G98" s="2">
        <f>G10/'Output-Calculation-sheet'!G9*'Output-Calculation-sheet'!G81</f>
        <v>3848218460.7773752</v>
      </c>
      <c r="H98" s="2">
        <f>H10/'Output-Calculation-sheet'!H9*'Output-Calculation-sheet'!H81</f>
        <v>1159755431.2592058</v>
      </c>
      <c r="I98" s="2">
        <f>I10/'Output-Calculation-sheet'!I9*'Output-Calculation-sheet'!I81</f>
        <v>2856248740.8797536</v>
      </c>
      <c r="J98" s="2">
        <f>J10/'Output-Calculation-sheet'!J9*'Output-Calculation-sheet'!J81</f>
        <v>1920618571.0819218</v>
      </c>
      <c r="K98" s="2">
        <f>K10/'Output-Calculation-sheet'!K9*'Output-Calculation-sheet'!K81</f>
        <v>2439122857.5828586</v>
      </c>
      <c r="L98" s="2">
        <f>L10/'Output-Calculation-sheet'!L9*'Output-Calculation-sheet'!L81</f>
        <v>1803352482.9922235</v>
      </c>
      <c r="M98" s="2">
        <f>M10/'Output-Calculation-sheet'!M9*'Output-Calculation-sheet'!M81</f>
        <v>864717935.15501225</v>
      </c>
      <c r="N98" s="2">
        <f>N10/'Output-Calculation-sheet'!N9*'Output-Calculation-sheet'!N81</f>
        <v>879939626.03562558</v>
      </c>
      <c r="O98" s="2">
        <f>O10/'Output-Calculation-sheet'!O9*'Output-Calculation-sheet'!O81</f>
        <v>0</v>
      </c>
      <c r="P98" s="2">
        <f>P10/'Output-Calculation-sheet'!P9*'Output-Calculation-sheet'!P81</f>
        <v>2075098601.6423612</v>
      </c>
      <c r="Q98" s="2">
        <f>Q10/'Output-Calculation-sheet'!Q9*'Output-Calculation-sheet'!Q81</f>
        <v>974021331.6241945</v>
      </c>
      <c r="R98" s="2">
        <f>R10/'Output-Calculation-sheet'!R9*'Output-Calculation-sheet'!R81</f>
        <v>1519919791.1095977</v>
      </c>
      <c r="S98" s="2">
        <f>S10/'Output-Calculation-sheet'!S9*'Output-Calculation-sheet'!S81</f>
        <v>577138487.54104662</v>
      </c>
      <c r="T98" s="2">
        <f>T10/'Output-Calculation-sheet'!T9*'Output-Calculation-sheet'!T81</f>
        <v>766041633.14950311</v>
      </c>
      <c r="U98" s="2">
        <f>U10/'Output-Calculation-sheet'!U9*'Output-Calculation-sheet'!U81</f>
        <v>403782083.22036755</v>
      </c>
      <c r="V98" s="2">
        <f>V10/'Output-Calculation-sheet'!V9*'Output-Calculation-sheet'!V81</f>
        <v>250220981.76347515</v>
      </c>
      <c r="W98" s="2">
        <f>W10/'Output-Calculation-sheet'!W9*'Output-Calculation-sheet'!W81</f>
        <v>831902447.31297123</v>
      </c>
      <c r="X98" s="2">
        <f>X10/'Output-Calculation-sheet'!X9*'Output-Calculation-sheet'!X81</f>
        <v>86539367.943231463</v>
      </c>
      <c r="Y98" s="2">
        <f>Y10/'Output-Calculation-sheet'!Y9*'Output-Calculation-sheet'!Y81</f>
        <v>355142067.58596903</v>
      </c>
      <c r="AA98" s="2">
        <f t="shared" si="8"/>
        <v>61.388665845263176</v>
      </c>
    </row>
    <row r="99" spans="1:27" x14ac:dyDescent="0.25">
      <c r="A99" s="2">
        <v>2034</v>
      </c>
      <c r="B99" s="2">
        <f>B11/'Output-Calculation-sheet'!B10*'Output-Calculation-sheet'!B82</f>
        <v>13610129689.397488</v>
      </c>
      <c r="C99" s="2">
        <f>C11/'Output-Calculation-sheet'!C10*'Output-Calculation-sheet'!C82</f>
        <v>1845871375.3913121</v>
      </c>
      <c r="D99" s="2">
        <f>D11/'Output-Calculation-sheet'!D10*'Output-Calculation-sheet'!D82</f>
        <v>6790810593.2132797</v>
      </c>
      <c r="E99" s="2">
        <f>E11/'Output-Calculation-sheet'!E10*'Output-Calculation-sheet'!E82</f>
        <v>11613444392.727751</v>
      </c>
      <c r="F99" s="2">
        <f>F11/'Output-Calculation-sheet'!F10*'Output-Calculation-sheet'!F82</f>
        <v>5515319669.2009354</v>
      </c>
      <c r="G99" s="2">
        <f>G11/'Output-Calculation-sheet'!G10*'Output-Calculation-sheet'!G82</f>
        <v>3831255849.3865638</v>
      </c>
      <c r="H99" s="2">
        <f>H11/'Output-Calculation-sheet'!H10*'Output-Calculation-sheet'!H82</f>
        <v>1222528339.575716</v>
      </c>
      <c r="I99" s="2">
        <f>I11/'Output-Calculation-sheet'!I10*'Output-Calculation-sheet'!I82</f>
        <v>2969909251.4018745</v>
      </c>
      <c r="J99" s="2">
        <f>J11/'Output-Calculation-sheet'!J10*'Output-Calculation-sheet'!J82</f>
        <v>1940340794.3515365</v>
      </c>
      <c r="K99" s="2">
        <f>K11/'Output-Calculation-sheet'!K10*'Output-Calculation-sheet'!K82</f>
        <v>2487864233.5188198</v>
      </c>
      <c r="L99" s="2">
        <f>L11/'Output-Calculation-sheet'!L10*'Output-Calculation-sheet'!L82</f>
        <v>1891780482.7525153</v>
      </c>
      <c r="M99" s="2">
        <f>M11/'Output-Calculation-sheet'!M10*'Output-Calculation-sheet'!M82</f>
        <v>914489105.42582476</v>
      </c>
      <c r="N99" s="2">
        <f>N11/'Output-Calculation-sheet'!N10*'Output-Calculation-sheet'!N82</f>
        <v>892500373.24284482</v>
      </c>
      <c r="O99" s="2">
        <f>O11/'Output-Calculation-sheet'!O10*'Output-Calculation-sheet'!O82</f>
        <v>0</v>
      </c>
      <c r="P99" s="2">
        <f>P11/'Output-Calculation-sheet'!P10*'Output-Calculation-sheet'!P82</f>
        <v>2110978820.7011571</v>
      </c>
      <c r="Q99" s="2">
        <f>Q11/'Output-Calculation-sheet'!Q10*'Output-Calculation-sheet'!Q82</f>
        <v>999562379.13881946</v>
      </c>
      <c r="R99" s="2">
        <f>R11/'Output-Calculation-sheet'!R10*'Output-Calculation-sheet'!R82</f>
        <v>1568646856.0156615</v>
      </c>
      <c r="S99" s="2">
        <f>S11/'Output-Calculation-sheet'!S10*'Output-Calculation-sheet'!S82</f>
        <v>611197338.66592252</v>
      </c>
      <c r="T99" s="2">
        <f>T11/'Output-Calculation-sheet'!T10*'Output-Calculation-sheet'!T82</f>
        <v>775030752.34262645</v>
      </c>
      <c r="U99" s="2">
        <f>U11/'Output-Calculation-sheet'!U10*'Output-Calculation-sheet'!U82</f>
        <v>416600232.5712679</v>
      </c>
      <c r="V99" s="2">
        <f>V11/'Output-Calculation-sheet'!V10*'Output-Calculation-sheet'!V82</f>
        <v>260614507.26925084</v>
      </c>
      <c r="W99" s="2">
        <f>W11/'Output-Calculation-sheet'!W10*'Output-Calculation-sheet'!W82</f>
        <v>844810574.72754061</v>
      </c>
      <c r="X99" s="2">
        <f>X11/'Output-Calculation-sheet'!X10*'Output-Calculation-sheet'!X82</f>
        <v>92957754.36760956</v>
      </c>
      <c r="Y99" s="2">
        <f>Y11/'Output-Calculation-sheet'!Y10*'Output-Calculation-sheet'!Y82</f>
        <v>361471635.41021711</v>
      </c>
      <c r="AA99" s="2">
        <f t="shared" si="8"/>
        <v>63.568115000796539</v>
      </c>
    </row>
    <row r="100" spans="1:27" x14ac:dyDescent="0.25">
      <c r="A100" s="2">
        <v>2035</v>
      </c>
      <c r="B100" s="2">
        <f>B12/'Output-Calculation-sheet'!B11*'Output-Calculation-sheet'!B83</f>
        <v>14123856968.038631</v>
      </c>
      <c r="C100" s="2">
        <f>C12/'Output-Calculation-sheet'!C11*'Output-Calculation-sheet'!C83</f>
        <v>1998319660.4409657</v>
      </c>
      <c r="D100" s="2">
        <f>D12/'Output-Calculation-sheet'!D11*'Output-Calculation-sheet'!D83</f>
        <v>6717363479.5802364</v>
      </c>
      <c r="E100" s="2">
        <f>E12/'Output-Calculation-sheet'!E11*'Output-Calculation-sheet'!E83</f>
        <v>11817978923.345362</v>
      </c>
      <c r="F100" s="2">
        <f>F12/'Output-Calculation-sheet'!F11*'Output-Calculation-sheet'!F83</f>
        <v>5600619642.6809616</v>
      </c>
      <c r="G100" s="2">
        <f>G12/'Output-Calculation-sheet'!G11*'Output-Calculation-sheet'!G83</f>
        <v>3756197414.8331585</v>
      </c>
      <c r="H100" s="2">
        <f>H12/'Output-Calculation-sheet'!H11*'Output-Calculation-sheet'!H83</f>
        <v>1265683993.4084275</v>
      </c>
      <c r="I100" s="2">
        <f>I12/'Output-Calculation-sheet'!I11*'Output-Calculation-sheet'!I83</f>
        <v>3043386873.5497284</v>
      </c>
      <c r="J100" s="2">
        <f>J12/'Output-Calculation-sheet'!J11*'Output-Calculation-sheet'!J83</f>
        <v>1933516042.7247663</v>
      </c>
      <c r="K100" s="2">
        <f>K12/'Output-Calculation-sheet'!K11*'Output-Calculation-sheet'!K83</f>
        <v>2502771029.7375627</v>
      </c>
      <c r="L100" s="2">
        <f>L12/'Output-Calculation-sheet'!L11*'Output-Calculation-sheet'!L83</f>
        <v>1955507865.0234706</v>
      </c>
      <c r="M100" s="2">
        <f>M12/'Output-Calculation-sheet'!M11*'Output-Calculation-sheet'!M83</f>
        <v>948691322.24480283</v>
      </c>
      <c r="N100" s="2">
        <f>N12/'Output-Calculation-sheet'!N11*'Output-Calculation-sheet'!N83</f>
        <v>893694941.31823111</v>
      </c>
      <c r="O100" s="2">
        <f>O12/'Output-Calculation-sheet'!O11*'Output-Calculation-sheet'!O83</f>
        <v>241107502.49618605</v>
      </c>
      <c r="P100" s="2">
        <f>P12/'Output-Calculation-sheet'!P11*'Output-Calculation-sheet'!P83</f>
        <v>2117015629.4989443</v>
      </c>
      <c r="Q100" s="2">
        <f>Q12/'Output-Calculation-sheet'!Q11*'Output-Calculation-sheet'!Q83</f>
        <v>1015271019.7029605</v>
      </c>
      <c r="R100" s="2">
        <f>R12/'Output-Calculation-sheet'!R11*'Output-Calculation-sheet'!R83</f>
        <v>1599255839.3757594</v>
      </c>
      <c r="S100" s="2">
        <f>S12/'Output-Calculation-sheet'!S11*'Output-Calculation-sheet'!S83</f>
        <v>620273701.86886382</v>
      </c>
      <c r="T100" s="2">
        <f>T12/'Output-Calculation-sheet'!T11*'Output-Calculation-sheet'!T83</f>
        <v>773132848.67815471</v>
      </c>
      <c r="U100" s="2">
        <f>U12/'Output-Calculation-sheet'!U11*'Output-Calculation-sheet'!U83</f>
        <v>423518441.15873092</v>
      </c>
      <c r="V100" s="2">
        <f>V12/'Output-Calculation-sheet'!V11*'Output-Calculation-sheet'!V83</f>
        <v>267681803.95348194</v>
      </c>
      <c r="W100" s="2">
        <f>W12/'Output-Calculation-sheet'!W11*'Output-Calculation-sheet'!W83</f>
        <v>844677848.69160962</v>
      </c>
      <c r="X100" s="2">
        <f>X12/'Output-Calculation-sheet'!X11*'Output-Calculation-sheet'!X83</f>
        <v>98288373.593865305</v>
      </c>
      <c r="Y100" s="2">
        <f>Y12/'Output-Calculation-sheet'!Y11*'Output-Calculation-sheet'!Y83</f>
        <v>362662346.3985498</v>
      </c>
      <c r="AA100" s="2">
        <f t="shared" si="8"/>
        <v>64.92047351234342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3.7756625269059774E-4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3398189814.1544304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2328265672.4247231</v>
      </c>
      <c r="N118" s="2">
        <f>N8/'Output-Calculation-sheet'!N7*'Output-Calculation-sheet'!N97</f>
        <v>1539128811.286778</v>
      </c>
      <c r="O118" s="2">
        <f>O8/'Output-Calculation-sheet'!O7*'Output-Calculation-sheet'!O97</f>
        <v>2.0773610311571408E-5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381551026.53064197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221280079.92480531</v>
      </c>
      <c r="Y118" s="2">
        <f>Y8/'Output-Calculation-sheet'!Y7*'Output-Calculation-sheet'!Y97</f>
        <v>0</v>
      </c>
      <c r="AA118" s="2">
        <f t="shared" si="10"/>
        <v>7868.4154043217768</v>
      </c>
    </row>
    <row r="119" spans="1:27" x14ac:dyDescent="0.25">
      <c r="A119" s="2">
        <v>2032</v>
      </c>
      <c r="B119" s="2">
        <f>B9/'Output-Calculation-sheet'!B8*'Output-Calculation-sheet'!B98</f>
        <v>3548349.3345861393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3810410469.9286032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2607596950.8340526</v>
      </c>
      <c r="N119" s="2">
        <f>N9/'Output-Calculation-sheet'!N8*'Output-Calculation-sheet'!N98</f>
        <v>1902469305.2229841</v>
      </c>
      <c r="O119" s="2">
        <f>O9/'Output-Calculation-sheet'!O8*'Output-Calculation-sheet'!O98</f>
        <v>1.940388576011712E-4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598593820.38640404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251138110.35380003</v>
      </c>
      <c r="Y119" s="2">
        <f>Y9/'Output-Calculation-sheet'!Y8*'Output-Calculation-sheet'!Y98</f>
        <v>0</v>
      </c>
      <c r="AA119" s="2">
        <f t="shared" si="10"/>
        <v>9173.7570060606249</v>
      </c>
    </row>
    <row r="120" spans="1:27" x14ac:dyDescent="0.25">
      <c r="A120" s="2">
        <v>2033</v>
      </c>
      <c r="B120" s="2">
        <f>B10/'Output-Calculation-sheet'!B9*'Output-Calculation-sheet'!B99</f>
        <v>5035330144.1693115</v>
      </c>
      <c r="C120" s="2">
        <f>C10/'Output-Calculation-sheet'!C9*'Output-Calculation-sheet'!C99</f>
        <v>9372133912.3334999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4145727050.8006091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2839797657.3106046</v>
      </c>
      <c r="N120" s="2">
        <f>N10/'Output-Calculation-sheet'!N9*'Output-Calculation-sheet'!N99</f>
        <v>2244660636.8146157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785188803.00851226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273650717.4357391</v>
      </c>
      <c r="Y120" s="2">
        <f>Y10/'Output-Calculation-sheet'!Y9*'Output-Calculation-sheet'!Y99</f>
        <v>0</v>
      </c>
      <c r="AA120" s="2">
        <f t="shared" si="10"/>
        <v>24696.488921872889</v>
      </c>
    </row>
    <row r="121" spans="1:27" x14ac:dyDescent="0.25">
      <c r="A121" s="2">
        <v>2034</v>
      </c>
      <c r="B121" s="2">
        <f>B11/'Output-Calculation-sheet'!B10*'Output-Calculation-sheet'!B100</f>
        <v>8911768439.662714</v>
      </c>
      <c r="C121" s="2">
        <f>C11/'Output-Calculation-sheet'!C10*'Output-Calculation-sheet'!C100</f>
        <v>10324810711.306833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4429960698.2909832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3034984177.3047056</v>
      </c>
      <c r="N121" s="2">
        <f>N11/'Output-Calculation-sheet'!N10*'Output-Calculation-sheet'!N100</f>
        <v>2477879561.5204477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951226977.43999624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294219267.32703531</v>
      </c>
      <c r="Y121" s="2">
        <f>Y11/'Output-Calculation-sheet'!Y10*'Output-Calculation-sheet'!Y100</f>
        <v>0</v>
      </c>
      <c r="AA121" s="2">
        <f t="shared" si="10"/>
        <v>30424.849832852709</v>
      </c>
    </row>
    <row r="122" spans="1:27" x14ac:dyDescent="0.25">
      <c r="A122" s="2">
        <v>2035</v>
      </c>
      <c r="B122" s="2">
        <f>B12/'Output-Calculation-sheet'!B11*'Output-Calculation-sheet'!B101</f>
        <v>11368138191.617605</v>
      </c>
      <c r="C122" s="2">
        <f>C12/'Output-Calculation-sheet'!C11*'Output-Calculation-sheet'!C101</f>
        <v>11111341546.582094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4645599821.267437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3179119094.0518737</v>
      </c>
      <c r="N122" s="2">
        <f>N12/'Output-Calculation-sheet'!N11*'Output-Calculation-sheet'!N101</f>
        <v>2657109724.7470994</v>
      </c>
      <c r="O122" s="2">
        <f>O12/'Output-Calculation-sheet'!O11*'Output-Calculation-sheet'!O101</f>
        <v>1899022029.6562879</v>
      </c>
      <c r="P122" s="2">
        <f>P12/'Output-Calculation-sheet'!P11*'Output-Calculation-sheet'!P101</f>
        <v>0</v>
      </c>
      <c r="Q122" s="2">
        <f>Q12/'Output-Calculation-sheet'!Q11*'Output-Calculation-sheet'!Q101</f>
        <v>34665905.514431082</v>
      </c>
      <c r="R122" s="2">
        <f>R12/'Output-Calculation-sheet'!R11*'Output-Calculation-sheet'!R101</f>
        <v>0</v>
      </c>
      <c r="S122" s="2">
        <f>S12/'Output-Calculation-sheet'!S11*'Output-Calculation-sheet'!S101</f>
        <v>1118723880.4414866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311256911.5313015</v>
      </c>
      <c r="Y122" s="2">
        <f>Y12/'Output-Calculation-sheet'!Y11*'Output-Calculation-sheet'!Y101</f>
        <v>0</v>
      </c>
      <c r="AA122" s="2">
        <f t="shared" si="10"/>
        <v>36324.97710540962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42588346593.277092</v>
      </c>
      <c r="C129" s="2">
        <f>C8/'Output-Calculation-sheet'!C7*'Output-Calculation-sheet'!C106</f>
        <v>0</v>
      </c>
      <c r="D129" s="2">
        <f>D8/'Output-Calculation-sheet'!D7*'Output-Calculation-sheet'!D106</f>
        <v>30829550599.912319</v>
      </c>
      <c r="E129" s="2">
        <f>E8/'Output-Calculation-sheet'!E7*'Output-Calculation-sheet'!E106</f>
        <v>21549564712.741108</v>
      </c>
      <c r="F129" s="2">
        <f>F8/'Output-Calculation-sheet'!F7*'Output-Calculation-sheet'!F106</f>
        <v>16043672398.54122</v>
      </c>
      <c r="G129" s="2">
        <f>G8/'Output-Calculation-sheet'!G7*'Output-Calculation-sheet'!G106</f>
        <v>11032988170.872433</v>
      </c>
      <c r="H129" s="2">
        <f>H8/'Output-Calculation-sheet'!H7*'Output-Calculation-sheet'!H106</f>
        <v>0</v>
      </c>
      <c r="I129" s="2">
        <f>I8/'Output-Calculation-sheet'!I7*'Output-Calculation-sheet'!I106</f>
        <v>9895741748.283844</v>
      </c>
      <c r="J129" s="2">
        <f>J8/'Output-Calculation-sheet'!J7*'Output-Calculation-sheet'!J106</f>
        <v>10138861198.516348</v>
      </c>
      <c r="K129" s="2">
        <f>K8/'Output-Calculation-sheet'!K7*'Output-Calculation-sheet'!K106</f>
        <v>8747586748.7539806</v>
      </c>
      <c r="L129" s="2">
        <f>L8/'Output-Calculation-sheet'!L7*'Output-Calculation-sheet'!L106</f>
        <v>6920572289.2163391</v>
      </c>
      <c r="M129" s="2">
        <f>M8/'Output-Calculation-sheet'!M7*'Output-Calculation-sheet'!M106</f>
        <v>0</v>
      </c>
      <c r="N129" s="2">
        <f>N8/'Output-Calculation-sheet'!N7*'Output-Calculation-sheet'!N106</f>
        <v>1883687631.6401136</v>
      </c>
      <c r="O129" s="2">
        <f>O8/'Output-Calculation-sheet'!O7*'Output-Calculation-sheet'!O106</f>
        <v>0</v>
      </c>
      <c r="P129" s="2">
        <f>P8/'Output-Calculation-sheet'!P7*'Output-Calculation-sheet'!P106</f>
        <v>4261899214.5404005</v>
      </c>
      <c r="Q129" s="2">
        <f>Q8/'Output-Calculation-sheet'!Q7*'Output-Calculation-sheet'!Q106</f>
        <v>4176890814.8934655</v>
      </c>
      <c r="R129" s="2">
        <f>R8/'Output-Calculation-sheet'!R7*'Output-Calculation-sheet'!R106</f>
        <v>4969312591.7592468</v>
      </c>
      <c r="S129" s="2">
        <f>S8/'Output-Calculation-sheet'!S7*'Output-Calculation-sheet'!S106</f>
        <v>1694687264.5478389</v>
      </c>
      <c r="T129" s="2">
        <f>T8/'Output-Calculation-sheet'!T7*'Output-Calculation-sheet'!T106</f>
        <v>2151427233.8566713</v>
      </c>
      <c r="U129" s="2">
        <f>U8/'Output-Calculation-sheet'!U7*'Output-Calculation-sheet'!U106</f>
        <v>1514555938.943115</v>
      </c>
      <c r="V129" s="2">
        <f>V8/'Output-Calculation-sheet'!V7*'Output-Calculation-sheet'!V106</f>
        <v>1362588151.1530766</v>
      </c>
      <c r="W129" s="2">
        <f>W8/'Output-Calculation-sheet'!W7*'Output-Calculation-sheet'!W106</f>
        <v>1390316774.8432093</v>
      </c>
      <c r="X129" s="2">
        <f>X8/'Output-Calculation-sheet'!X7*'Output-Calculation-sheet'!X106</f>
        <v>0</v>
      </c>
      <c r="Y129" s="2">
        <f>Y8/'Output-Calculation-sheet'!Y7*'Output-Calculation-sheet'!Y106</f>
        <v>627764061.47460711</v>
      </c>
      <c r="AA129" s="2">
        <f t="shared" si="11"/>
        <v>181780.01413776638</v>
      </c>
    </row>
    <row r="130" spans="1:27" x14ac:dyDescent="0.25">
      <c r="A130" s="2">
        <v>2032</v>
      </c>
      <c r="B130" s="2">
        <f>B9/'Output-Calculation-sheet'!B8*'Output-Calculation-sheet'!B107</f>
        <v>46836996373.941101</v>
      </c>
      <c r="C130" s="2">
        <f>C9/'Output-Calculation-sheet'!C8*'Output-Calculation-sheet'!C107</f>
        <v>0</v>
      </c>
      <c r="D130" s="2">
        <f>D9/'Output-Calculation-sheet'!D8*'Output-Calculation-sheet'!D107</f>
        <v>33652805001.06929</v>
      </c>
      <c r="E130" s="2">
        <f>E9/'Output-Calculation-sheet'!E8*'Output-Calculation-sheet'!E107</f>
        <v>23553579436.236065</v>
      </c>
      <c r="F130" s="2">
        <f>F9/'Output-Calculation-sheet'!F8*'Output-Calculation-sheet'!F107</f>
        <v>17508227315.690804</v>
      </c>
      <c r="G130" s="2">
        <f>G9/'Output-Calculation-sheet'!G8*'Output-Calculation-sheet'!G107</f>
        <v>12034123575.657999</v>
      </c>
      <c r="H130" s="2">
        <f>H9/'Output-Calculation-sheet'!H8*'Output-Calculation-sheet'!H107</f>
        <v>0</v>
      </c>
      <c r="I130" s="2">
        <f>I9/'Output-Calculation-sheet'!I8*'Output-Calculation-sheet'!I107</f>
        <v>10802834837.186911</v>
      </c>
      <c r="J130" s="2">
        <f>J9/'Output-Calculation-sheet'!J8*'Output-Calculation-sheet'!J107</f>
        <v>11061455740.763479</v>
      </c>
      <c r="K130" s="2">
        <f>K9/'Output-Calculation-sheet'!K8*'Output-Calculation-sheet'!K107</f>
        <v>9558767395.893116</v>
      </c>
      <c r="L130" s="2">
        <f>L9/'Output-Calculation-sheet'!L8*'Output-Calculation-sheet'!L107</f>
        <v>7564409355.3918571</v>
      </c>
      <c r="M130" s="2">
        <f>M9/'Output-Calculation-sheet'!M8*'Output-Calculation-sheet'!M107</f>
        <v>0</v>
      </c>
      <c r="N130" s="2">
        <f>N9/'Output-Calculation-sheet'!N8*'Output-Calculation-sheet'!N107</f>
        <v>1826012719.4861948</v>
      </c>
      <c r="O130" s="2">
        <f>O9/'Output-Calculation-sheet'!O8*'Output-Calculation-sheet'!O107</f>
        <v>0</v>
      </c>
      <c r="P130" s="2">
        <f>P9/'Output-Calculation-sheet'!P8*'Output-Calculation-sheet'!P107</f>
        <v>4692752409.4782209</v>
      </c>
      <c r="Q130" s="2">
        <f>Q9/'Output-Calculation-sheet'!Q8*'Output-Calculation-sheet'!Q107</f>
        <v>4601973926.4897938</v>
      </c>
      <c r="R130" s="2">
        <f>R9/'Output-Calculation-sheet'!R8*'Output-Calculation-sheet'!R107</f>
        <v>5430951157.5718699</v>
      </c>
      <c r="S130" s="2">
        <f>S9/'Output-Calculation-sheet'!S8*'Output-Calculation-sheet'!S107</f>
        <v>1744796661.0072424</v>
      </c>
      <c r="T130" s="2">
        <f>T9/'Output-Calculation-sheet'!T8*'Output-Calculation-sheet'!T107</f>
        <v>2348869974.4276419</v>
      </c>
      <c r="U130" s="2">
        <f>U9/'Output-Calculation-sheet'!U8*'Output-Calculation-sheet'!U107</f>
        <v>1656873870.9652045</v>
      </c>
      <c r="V130" s="2">
        <f>V9/'Output-Calculation-sheet'!V8*'Output-Calculation-sheet'!V107</f>
        <v>1491637865.2299201</v>
      </c>
      <c r="W130" s="2">
        <f>W9/'Output-Calculation-sheet'!W8*'Output-Calculation-sheet'!W107</f>
        <v>1518176983.7052119</v>
      </c>
      <c r="X130" s="2">
        <f>X9/'Output-Calculation-sheet'!X8*'Output-Calculation-sheet'!X107</f>
        <v>0</v>
      </c>
      <c r="Y130" s="2">
        <f>Y9/'Output-Calculation-sheet'!Y8*'Output-Calculation-sheet'!Y107</f>
        <v>686229926.34856248</v>
      </c>
      <c r="AA130" s="2">
        <f t="shared" si="11"/>
        <v>198571.47452654049</v>
      </c>
    </row>
    <row r="131" spans="1:27" x14ac:dyDescent="0.25">
      <c r="A131" s="2">
        <v>2033</v>
      </c>
      <c r="B131" s="2">
        <f>B10/'Output-Calculation-sheet'!B9*'Output-Calculation-sheet'!B108</f>
        <v>47026247682.76825</v>
      </c>
      <c r="C131" s="2">
        <f>C10/'Output-Calculation-sheet'!C9*'Output-Calculation-sheet'!C108</f>
        <v>0</v>
      </c>
      <c r="D131" s="2">
        <f>D10/'Output-Calculation-sheet'!D9*'Output-Calculation-sheet'!D108</f>
        <v>35728259316.310654</v>
      </c>
      <c r="E131" s="2">
        <f>E10/'Output-Calculation-sheet'!E9*'Output-Calculation-sheet'!E108</f>
        <v>25020709873.71368</v>
      </c>
      <c r="F131" s="2">
        <f>F10/'Output-Calculation-sheet'!F9*'Output-Calculation-sheet'!F108</f>
        <v>18593112924.143806</v>
      </c>
      <c r="G131" s="2">
        <f>G10/'Output-Calculation-sheet'!G9*'Output-Calculation-sheet'!G108</f>
        <v>12776628777.119059</v>
      </c>
      <c r="H131" s="2">
        <f>H10/'Output-Calculation-sheet'!H9*'Output-Calculation-sheet'!H108</f>
        <v>0</v>
      </c>
      <c r="I131" s="2">
        <f>I10/'Output-Calculation-sheet'!I9*'Output-Calculation-sheet'!I108</f>
        <v>11471517398.785654</v>
      </c>
      <c r="J131" s="2">
        <f>J10/'Output-Calculation-sheet'!J9*'Output-Calculation-sheet'!J108</f>
        <v>11741857660.838137</v>
      </c>
      <c r="K131" s="2">
        <f>K10/'Output-Calculation-sheet'!K9*'Output-Calculation-sheet'!K108</f>
        <v>10167585182.979836</v>
      </c>
      <c r="L131" s="2">
        <f>L10/'Output-Calculation-sheet'!L9*'Output-Calculation-sheet'!L108</f>
        <v>8040524495.2426863</v>
      </c>
      <c r="M131" s="2">
        <f>M10/'Output-Calculation-sheet'!M9*'Output-Calculation-sheet'!M108</f>
        <v>0</v>
      </c>
      <c r="N131" s="2">
        <f>N10/'Output-Calculation-sheet'!N9*'Output-Calculation-sheet'!N108</f>
        <v>1708825526.9971304</v>
      </c>
      <c r="O131" s="2">
        <f>O10/'Output-Calculation-sheet'!O9*'Output-Calculation-sheet'!O108</f>
        <v>0</v>
      </c>
      <c r="P131" s="2">
        <f>P10/'Output-Calculation-sheet'!P9*'Output-Calculation-sheet'!P108</f>
        <v>5015253193.0761318</v>
      </c>
      <c r="Q131" s="2">
        <f>Q10/'Output-Calculation-sheet'!Q9*'Output-Calculation-sheet'!Q108</f>
        <v>4925915368.3050756</v>
      </c>
      <c r="R131" s="2">
        <f>R10/'Output-Calculation-sheet'!R9*'Output-Calculation-sheet'!R108</f>
        <v>5781133348.1074867</v>
      </c>
      <c r="S131" s="2">
        <f>S10/'Output-Calculation-sheet'!S9*'Output-Calculation-sheet'!S108</f>
        <v>1738320027.8788548</v>
      </c>
      <c r="T131" s="2">
        <f>T10/'Output-Calculation-sheet'!T9*'Output-Calculation-sheet'!T108</f>
        <v>2496436818.4750462</v>
      </c>
      <c r="U131" s="2">
        <f>U10/'Output-Calculation-sheet'!U9*'Output-Calculation-sheet'!U108</f>
        <v>1761404550.9560194</v>
      </c>
      <c r="V131" s="2">
        <f>V10/'Output-Calculation-sheet'!V9*'Output-Calculation-sheet'!V108</f>
        <v>1586996178.7991171</v>
      </c>
      <c r="W131" s="2">
        <f>W10/'Output-Calculation-sheet'!W9*'Output-Calculation-sheet'!W108</f>
        <v>1611110990.9272742</v>
      </c>
      <c r="X131" s="2">
        <f>X10/'Output-Calculation-sheet'!X9*'Output-Calculation-sheet'!X108</f>
        <v>0</v>
      </c>
      <c r="Y131" s="2">
        <f>Y10/'Output-Calculation-sheet'!Y9*'Output-Calculation-sheet'!Y108</f>
        <v>729857364.10003698</v>
      </c>
      <c r="AA131" s="2">
        <f t="shared" si="11"/>
        <v>207921.69667952388</v>
      </c>
    </row>
    <row r="132" spans="1:27" x14ac:dyDescent="0.25">
      <c r="A132" s="2">
        <v>2034</v>
      </c>
      <c r="B132" s="2">
        <f>B11/'Output-Calculation-sheet'!B10*'Output-Calculation-sheet'!B109</f>
        <v>46827607930.564339</v>
      </c>
      <c r="C132" s="2">
        <f>C11/'Output-Calculation-sheet'!C10*'Output-Calculation-sheet'!C109</f>
        <v>0</v>
      </c>
      <c r="D132" s="2">
        <f>D11/'Output-Calculation-sheet'!D10*'Output-Calculation-sheet'!D109</f>
        <v>37213860792.871353</v>
      </c>
      <c r="E132" s="2">
        <f>E11/'Output-Calculation-sheet'!E10*'Output-Calculation-sheet'!E109</f>
        <v>26102761430.136658</v>
      </c>
      <c r="F132" s="2">
        <f>F11/'Output-Calculation-sheet'!F10*'Output-Calculation-sheet'!F109</f>
        <v>19376080043.573807</v>
      </c>
      <c r="G132" s="2">
        <f>G11/'Output-Calculation-sheet'!G10*'Output-Calculation-sheet'!G109</f>
        <v>13302573597.032537</v>
      </c>
      <c r="H132" s="2">
        <f>H11/'Output-Calculation-sheet'!H10*'Output-Calculation-sheet'!H109</f>
        <v>0</v>
      </c>
      <c r="I132" s="2">
        <f>I11/'Output-Calculation-sheet'!I10*'Output-Calculation-sheet'!I109</f>
        <v>11967035909.485607</v>
      </c>
      <c r="J132" s="2">
        <f>J11/'Output-Calculation-sheet'!J10*'Output-Calculation-sheet'!J109</f>
        <v>12228755088.946955</v>
      </c>
      <c r="K132" s="2">
        <f>K11/'Output-Calculation-sheet'!K10*'Output-Calculation-sheet'!K109</f>
        <v>10613639189.857365</v>
      </c>
      <c r="L132" s="2">
        <f>L11/'Output-Calculation-sheet'!L10*'Output-Calculation-sheet'!L109</f>
        <v>8385707996.5016212</v>
      </c>
      <c r="M132" s="2">
        <f>M11/'Output-Calculation-sheet'!M10*'Output-Calculation-sheet'!M109</f>
        <v>0</v>
      </c>
      <c r="N132" s="2">
        <f>N11/'Output-Calculation-sheet'!N10*'Output-Calculation-sheet'!N109</f>
        <v>1648733853.3577504</v>
      </c>
      <c r="O132" s="2">
        <f>O11/'Output-Calculation-sheet'!O10*'Output-Calculation-sheet'!O109</f>
        <v>0</v>
      </c>
      <c r="P132" s="2">
        <f>P11/'Output-Calculation-sheet'!P10*'Output-Calculation-sheet'!P109</f>
        <v>5257599574.5496235</v>
      </c>
      <c r="Q132" s="2">
        <f>Q11/'Output-Calculation-sheet'!Q10*'Output-Calculation-sheet'!Q109</f>
        <v>5175292941.4117632</v>
      </c>
      <c r="R132" s="2">
        <f>R11/'Output-Calculation-sheet'!R10*'Output-Calculation-sheet'!R109</f>
        <v>6035951175.1951904</v>
      </c>
      <c r="S132" s="2">
        <f>S11/'Output-Calculation-sheet'!S10*'Output-Calculation-sheet'!S109</f>
        <v>1762413326.4660432</v>
      </c>
      <c r="T132" s="2">
        <f>T11/'Output-Calculation-sheet'!T10*'Output-Calculation-sheet'!T109</f>
        <v>2603832979.1469898</v>
      </c>
      <c r="U132" s="2">
        <f>U11/'Output-Calculation-sheet'!U10*'Output-Calculation-sheet'!U109</f>
        <v>1840823763.9762995</v>
      </c>
      <c r="V132" s="2">
        <f>V11/'Output-Calculation-sheet'!V10*'Output-Calculation-sheet'!V109</f>
        <v>1658416497.6958122</v>
      </c>
      <c r="W132" s="2">
        <f>W11/'Output-Calculation-sheet'!W10*'Output-Calculation-sheet'!W109</f>
        <v>1678439637.6463063</v>
      </c>
      <c r="X132" s="2">
        <f>X11/'Output-Calculation-sheet'!X10*'Output-Calculation-sheet'!X109</f>
        <v>0</v>
      </c>
      <c r="Y132" s="2">
        <f>Y11/'Output-Calculation-sheet'!Y10*'Output-Calculation-sheet'!Y109</f>
        <v>761454293.65445173</v>
      </c>
      <c r="AA132" s="2">
        <f t="shared" si="11"/>
        <v>214440.98002207046</v>
      </c>
    </row>
    <row r="133" spans="1:27" x14ac:dyDescent="0.25">
      <c r="A133" s="2">
        <v>2035</v>
      </c>
      <c r="B133" s="2">
        <f>B12/'Output-Calculation-sheet'!B11*'Output-Calculation-sheet'!B110</f>
        <v>46489696634.416168</v>
      </c>
      <c r="C133" s="2">
        <f>C12/'Output-Calculation-sheet'!C11*'Output-Calculation-sheet'!C110</f>
        <v>0</v>
      </c>
      <c r="D133" s="2">
        <f>D12/'Output-Calculation-sheet'!D11*'Output-Calculation-sheet'!D110</f>
        <v>38247670754.78598</v>
      </c>
      <c r="E133" s="2">
        <f>E12/'Output-Calculation-sheet'!E11*'Output-Calculation-sheet'!E110</f>
        <v>26844937022.550816</v>
      </c>
      <c r="F133" s="2">
        <f>F12/'Output-Calculation-sheet'!F11*'Output-Calculation-sheet'!F110</f>
        <v>19908605514.393379</v>
      </c>
      <c r="G133" s="2">
        <f>G12/'Output-Calculation-sheet'!G11*'Output-Calculation-sheet'!G110</f>
        <v>13652062935.44445</v>
      </c>
      <c r="H133" s="2">
        <f>H12/'Output-Calculation-sheet'!H11*'Output-Calculation-sheet'!H110</f>
        <v>0</v>
      </c>
      <c r="I133" s="2">
        <f>I12/'Output-Calculation-sheet'!I11*'Output-Calculation-sheet'!I110</f>
        <v>12296389183.250044</v>
      </c>
      <c r="J133" s="2">
        <f>J12/'Output-Calculation-sheet'!J11*'Output-Calculation-sheet'!J110</f>
        <v>12546577148.37645</v>
      </c>
      <c r="K133" s="2">
        <f>K12/'Output-Calculation-sheet'!K11*'Output-Calculation-sheet'!K110</f>
        <v>10916586288.18368</v>
      </c>
      <c r="L133" s="2">
        <f>L12/'Output-Calculation-sheet'!L11*'Output-Calculation-sheet'!L110</f>
        <v>8618386343.0111809</v>
      </c>
      <c r="M133" s="2">
        <f>M12/'Output-Calculation-sheet'!M11*'Output-Calculation-sheet'!M110</f>
        <v>0</v>
      </c>
      <c r="N133" s="2">
        <f>N12/'Output-Calculation-sheet'!N11*'Output-Calculation-sheet'!N110</f>
        <v>1591075178.3443491</v>
      </c>
      <c r="O133" s="2">
        <f>O12/'Output-Calculation-sheet'!O11*'Output-Calculation-sheet'!O110</f>
        <v>0</v>
      </c>
      <c r="P133" s="2">
        <f>P12/'Output-Calculation-sheet'!P11*'Output-Calculation-sheet'!P110</f>
        <v>5434344516.1741867</v>
      </c>
      <c r="Q133" s="2">
        <f>Q12/'Output-Calculation-sheet'!Q11*'Output-Calculation-sheet'!Q110</f>
        <v>5340675881.7095861</v>
      </c>
      <c r="R133" s="2">
        <f>R12/'Output-Calculation-sheet'!R11*'Output-Calculation-sheet'!R110</f>
        <v>6220866441.0781879</v>
      </c>
      <c r="S133" s="2">
        <f>S12/'Output-Calculation-sheet'!S11*'Output-Calculation-sheet'!S110</f>
        <v>1675344606.2763882</v>
      </c>
      <c r="T133" s="2">
        <f>T12/'Output-Calculation-sheet'!T11*'Output-Calculation-sheet'!T110</f>
        <v>2676430075.9569135</v>
      </c>
      <c r="U133" s="2">
        <f>U12/'Output-Calculation-sheet'!U11*'Output-Calculation-sheet'!U110</f>
        <v>1894908938.7305882</v>
      </c>
      <c r="V133" s="2">
        <f>V12/'Output-Calculation-sheet'!V11*'Output-Calculation-sheet'!V110</f>
        <v>1709223575.3536849</v>
      </c>
      <c r="W133" s="2">
        <f>W12/'Output-Calculation-sheet'!W11*'Output-Calculation-sheet'!W110</f>
        <v>1723571235.967274</v>
      </c>
      <c r="X133" s="2">
        <f>X12/'Output-Calculation-sheet'!X11*'Output-Calculation-sheet'!X110</f>
        <v>0</v>
      </c>
      <c r="Y133" s="2">
        <f>Y12/'Output-Calculation-sheet'!Y11*'Output-Calculation-sheet'!Y110</f>
        <v>783571080.44490027</v>
      </c>
      <c r="AA133" s="2">
        <f t="shared" si="11"/>
        <v>218570.92335444826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52966504633.068573</v>
      </c>
      <c r="C151" s="2">
        <f>C8/'Output-Calculation-sheet'!C7*'Output-Calculation-sheet'!C124</f>
        <v>45030232310.630737</v>
      </c>
      <c r="D151" s="2">
        <f>D8/'Output-Calculation-sheet'!D7*'Output-Calculation-sheet'!D124</f>
        <v>9304469634.8658085</v>
      </c>
      <c r="E151" s="2">
        <f>E8/'Output-Calculation-sheet'!E7*'Output-Calculation-sheet'!E124</f>
        <v>10292738717.544422</v>
      </c>
      <c r="F151" s="2">
        <f>F8/'Output-Calculation-sheet'!F7*'Output-Calculation-sheet'!F124</f>
        <v>4454355688.9144974</v>
      </c>
      <c r="G151" s="2">
        <f>G8/'Output-Calculation-sheet'!G7*'Output-Calculation-sheet'!G124</f>
        <v>3369523613.5589824</v>
      </c>
      <c r="H151" s="2">
        <f>H8/'Output-Calculation-sheet'!H7*'Output-Calculation-sheet'!H124</f>
        <v>10650922470.915455</v>
      </c>
      <c r="I151" s="2">
        <f>I8/'Output-Calculation-sheet'!I7*'Output-Calculation-sheet'!I124</f>
        <v>3226049698.1321721</v>
      </c>
      <c r="J151" s="2">
        <f>J8/'Output-Calculation-sheet'!J7*'Output-Calculation-sheet'!J124</f>
        <v>2632946440.0612283</v>
      </c>
      <c r="K151" s="2">
        <f>K8/'Output-Calculation-sheet'!K7*'Output-Calculation-sheet'!K124</f>
        <v>3901794976.199554</v>
      </c>
      <c r="L151" s="2">
        <f>L8/'Output-Calculation-sheet'!L7*'Output-Calculation-sheet'!L124</f>
        <v>3226951218.388309</v>
      </c>
      <c r="M151" s="2">
        <f>M8/'Output-Calculation-sheet'!M7*'Output-Calculation-sheet'!M124</f>
        <v>7364389548.2795296</v>
      </c>
      <c r="N151" s="2">
        <f>N8/'Output-Calculation-sheet'!N7*'Output-Calculation-sheet'!N124</f>
        <v>6090481010.2558804</v>
      </c>
      <c r="O151" s="2">
        <f>O8/'Output-Calculation-sheet'!O7*'Output-Calculation-sheet'!O124</f>
        <v>8749413243.0501595</v>
      </c>
      <c r="P151" s="2">
        <f>P8/'Output-Calculation-sheet'!P7*'Output-Calculation-sheet'!P124</f>
        <v>4398533980.883708</v>
      </c>
      <c r="Q151" s="2">
        <f>Q8/'Output-Calculation-sheet'!Q7*'Output-Calculation-sheet'!Q124</f>
        <v>4343559083.180788</v>
      </c>
      <c r="R151" s="2">
        <f>R8/'Output-Calculation-sheet'!R7*'Output-Calculation-sheet'!R124</f>
        <v>3227767953.0882177</v>
      </c>
      <c r="S151" s="2">
        <f>S8/'Output-Calculation-sheet'!S7*'Output-Calculation-sheet'!S124</f>
        <v>3371948650.8402724</v>
      </c>
      <c r="T151" s="2">
        <f>T8/'Output-Calculation-sheet'!T7*'Output-Calculation-sheet'!T124</f>
        <v>861728437.34763026</v>
      </c>
      <c r="U151" s="2">
        <f>U8/'Output-Calculation-sheet'!U7*'Output-Calculation-sheet'!U124</f>
        <v>1109804600.4111195</v>
      </c>
      <c r="V151" s="2">
        <f>V8/'Output-Calculation-sheet'!V7*'Output-Calculation-sheet'!V124</f>
        <v>658213208.57575333</v>
      </c>
      <c r="W151" s="2">
        <f>W8/'Output-Calculation-sheet'!W7*'Output-Calculation-sheet'!W124</f>
        <v>359262937.42280561</v>
      </c>
      <c r="X151" s="2">
        <f>X8/'Output-Calculation-sheet'!X7*'Output-Calculation-sheet'!X124</f>
        <v>828462285.2517935</v>
      </c>
      <c r="Y151" s="2">
        <f>Y8/'Output-Calculation-sheet'!Y7*'Output-Calculation-sheet'!Y124</f>
        <v>393100604.58667338</v>
      </c>
      <c r="AA151" s="2">
        <f t="shared" si="13"/>
        <v>190813.15494545407</v>
      </c>
    </row>
    <row r="152" spans="1:27" x14ac:dyDescent="0.25">
      <c r="A152" s="2">
        <v>2032</v>
      </c>
      <c r="B152" s="2">
        <f>B9/'Output-Calculation-sheet'!B8*'Output-Calculation-sheet'!B125</f>
        <v>57262045891.858055</v>
      </c>
      <c r="C152" s="2">
        <f>C9/'Output-Calculation-sheet'!C8*'Output-Calculation-sheet'!C125</f>
        <v>49058354402.65406</v>
      </c>
      <c r="D152" s="2">
        <f>D9/'Output-Calculation-sheet'!D8*'Output-Calculation-sheet'!D125</f>
        <v>10071352909.08687</v>
      </c>
      <c r="E152" s="2">
        <f>E9/'Output-Calculation-sheet'!E8*'Output-Calculation-sheet'!E125</f>
        <v>11137140096.38271</v>
      </c>
      <c r="F152" s="2">
        <f>F9/'Output-Calculation-sheet'!F8*'Output-Calculation-sheet'!F125</f>
        <v>4823425773.128768</v>
      </c>
      <c r="G152" s="2">
        <f>G9/'Output-Calculation-sheet'!G8*'Output-Calculation-sheet'!G125</f>
        <v>3656746560.9864502</v>
      </c>
      <c r="H152" s="2">
        <f>H9/'Output-Calculation-sheet'!H8*'Output-Calculation-sheet'!H125</f>
        <v>11495447265.140799</v>
      </c>
      <c r="I152" s="2">
        <f>I9/'Output-Calculation-sheet'!I8*'Output-Calculation-sheet'!I125</f>
        <v>3492749754.4124298</v>
      </c>
      <c r="J152" s="2">
        <f>J9/'Output-Calculation-sheet'!J8*'Output-Calculation-sheet'!J125</f>
        <v>2852836322.873662</v>
      </c>
      <c r="K152" s="2">
        <f>K9/'Output-Calculation-sheet'!K8*'Output-Calculation-sheet'!K125</f>
        <v>4222148664.1540532</v>
      </c>
      <c r="L152" s="2">
        <f>L9/'Output-Calculation-sheet'!L8*'Output-Calculation-sheet'!L125</f>
        <v>3490847946.2189641</v>
      </c>
      <c r="M152" s="2">
        <f>M9/'Output-Calculation-sheet'!M8*'Output-Calculation-sheet'!M125</f>
        <v>7952102400.4790192</v>
      </c>
      <c r="N152" s="2">
        <f>N9/'Output-Calculation-sheet'!N8*'Output-Calculation-sheet'!N125</f>
        <v>6635815338.3743029</v>
      </c>
      <c r="O152" s="2">
        <f>O9/'Output-Calculation-sheet'!O8*'Output-Calculation-sheet'!O125</f>
        <v>9532080863.6267376</v>
      </c>
      <c r="P152" s="2">
        <f>P9/'Output-Calculation-sheet'!P8*'Output-Calculation-sheet'!P125</f>
        <v>4742387882.0725117</v>
      </c>
      <c r="Q152" s="2">
        <f>Q9/'Output-Calculation-sheet'!Q8*'Output-Calculation-sheet'!Q125</f>
        <v>4680661967.6870861</v>
      </c>
      <c r="R152" s="2">
        <f>R9/'Output-Calculation-sheet'!R8*'Output-Calculation-sheet'!R125</f>
        <v>3499388789.6482439</v>
      </c>
      <c r="S152" s="2">
        <f>S9/'Output-Calculation-sheet'!S8*'Output-Calculation-sheet'!S125</f>
        <v>3592157488.8570385</v>
      </c>
      <c r="T152" s="2">
        <f>T9/'Output-Calculation-sheet'!T8*'Output-Calculation-sheet'!T125</f>
        <v>933823700.53725743</v>
      </c>
      <c r="U152" s="2">
        <f>U9/'Output-Calculation-sheet'!U8*'Output-Calculation-sheet'!U125</f>
        <v>1202245498.7029343</v>
      </c>
      <c r="V152" s="2">
        <f>V9/'Output-Calculation-sheet'!V8*'Output-Calculation-sheet'!V125</f>
        <v>709931706.9425478</v>
      </c>
      <c r="W152" s="2">
        <f>W9/'Output-Calculation-sheet'!W8*'Output-Calculation-sheet'!W125</f>
        <v>387909341.30757767</v>
      </c>
      <c r="X152" s="2">
        <f>X9/'Output-Calculation-sheet'!X8*'Output-Calculation-sheet'!X125</f>
        <v>892507509.33546615</v>
      </c>
      <c r="Y152" s="2">
        <f>Y9/'Output-Calculation-sheet'!Y8*'Output-Calculation-sheet'!Y125</f>
        <v>425954888.49544263</v>
      </c>
      <c r="AA152" s="2">
        <f t="shared" si="13"/>
        <v>206750.06296296301</v>
      </c>
    </row>
    <row r="153" spans="1:27" x14ac:dyDescent="0.25">
      <c r="A153" s="2">
        <v>2033</v>
      </c>
      <c r="B153" s="2">
        <f>B10/'Output-Calculation-sheet'!B9*'Output-Calculation-sheet'!B126</f>
        <v>58268399220.666016</v>
      </c>
      <c r="C153" s="2">
        <f>C10/'Output-Calculation-sheet'!C9*'Output-Calculation-sheet'!C126</f>
        <v>42620992303.516884</v>
      </c>
      <c r="D153" s="2">
        <f>D10/'Output-Calculation-sheet'!D9*'Output-Calculation-sheet'!D126</f>
        <v>10611463001.93808</v>
      </c>
      <c r="E153" s="2">
        <f>E10/'Output-Calculation-sheet'!E9*'Output-Calculation-sheet'!E126</f>
        <v>11745196824.020599</v>
      </c>
      <c r="F153" s="2">
        <f>F10/'Output-Calculation-sheet'!F9*'Output-Calculation-sheet'!F126</f>
        <v>5074412135.3380022</v>
      </c>
      <c r="G153" s="2">
        <f>G10/'Output-Calculation-sheet'!G9*'Output-Calculation-sheet'!G126</f>
        <v>3852863929.3582807</v>
      </c>
      <c r="H153" s="2">
        <f>H10/'Output-Calculation-sheet'!H9*'Output-Calculation-sheet'!H126</f>
        <v>12075721941.839403</v>
      </c>
      <c r="I153" s="2">
        <f>I10/'Output-Calculation-sheet'!I9*'Output-Calculation-sheet'!I126</f>
        <v>3679222790.0641432</v>
      </c>
      <c r="J153" s="2">
        <f>J10/'Output-Calculation-sheet'!J9*'Output-Calculation-sheet'!J126</f>
        <v>3004784116.1775751</v>
      </c>
      <c r="K153" s="2">
        <f>K10/'Output-Calculation-sheet'!K9*'Output-Calculation-sheet'!K126</f>
        <v>4437700636.952363</v>
      </c>
      <c r="L153" s="2">
        <f>L10/'Output-Calculation-sheet'!L9*'Output-Calculation-sheet'!L126</f>
        <v>3676054576.8139958</v>
      </c>
      <c r="M153" s="2">
        <f>M10/'Output-Calculation-sheet'!M9*'Output-Calculation-sheet'!M126</f>
        <v>8351579354.6724586</v>
      </c>
      <c r="N153" s="2">
        <f>N10/'Output-Calculation-sheet'!N9*'Output-Calculation-sheet'!N126</f>
        <v>7030799978.7805576</v>
      </c>
      <c r="O153" s="2">
        <f>O10/'Output-Calculation-sheet'!O9*'Output-Calculation-sheet'!O126</f>
        <v>10102286732.272438</v>
      </c>
      <c r="P153" s="2">
        <f>P10/'Output-Calculation-sheet'!P9*'Output-Calculation-sheet'!P126</f>
        <v>4984294014.7301111</v>
      </c>
      <c r="Q153" s="2">
        <f>Q10/'Output-Calculation-sheet'!Q9*'Output-Calculation-sheet'!Q126</f>
        <v>4912004680.4112797</v>
      </c>
      <c r="R153" s="2">
        <f>R10/'Output-Calculation-sheet'!R9*'Output-Calculation-sheet'!R126</f>
        <v>3683416528.6923285</v>
      </c>
      <c r="S153" s="2">
        <f>S10/'Output-Calculation-sheet'!S9*'Output-Calculation-sheet'!S126</f>
        <v>3767101620.9647698</v>
      </c>
      <c r="T153" s="2">
        <f>T10/'Output-Calculation-sheet'!T9*'Output-Calculation-sheet'!T126</f>
        <v>982626487.13091409</v>
      </c>
      <c r="U153" s="2">
        <f>U10/'Output-Calculation-sheet'!U9*'Output-Calculation-sheet'!U126</f>
        <v>1268746376.9906836</v>
      </c>
      <c r="V153" s="2">
        <f>V10/'Output-Calculation-sheet'!V9*'Output-Calculation-sheet'!V126</f>
        <v>746270544.10512912</v>
      </c>
      <c r="W153" s="2">
        <f>W10/'Output-Calculation-sheet'!W9*'Output-Calculation-sheet'!W126</f>
        <v>408996577.80796766</v>
      </c>
      <c r="X153" s="2">
        <f>X10/'Output-Calculation-sheet'!X9*'Output-Calculation-sheet'!X126</f>
        <v>938407517.03517842</v>
      </c>
      <c r="Y153" s="2">
        <f>Y10/'Output-Calculation-sheet'!Y9*'Output-Calculation-sheet'!Y126</f>
        <v>448857971.99275613</v>
      </c>
      <c r="AA153" s="2">
        <f t="shared" si="13"/>
        <v>206672.19986227193</v>
      </c>
    </row>
    <row r="154" spans="1:27" x14ac:dyDescent="0.25">
      <c r="A154" s="2">
        <v>2034</v>
      </c>
      <c r="B154" s="2">
        <f>B11/'Output-Calculation-sheet'!B10*'Output-Calculation-sheet'!B127</f>
        <v>59030750077.183006</v>
      </c>
      <c r="C154" s="2">
        <f>C11/'Output-Calculation-sheet'!C10*'Output-Calculation-sheet'!C127</f>
        <v>43760742504.764809</v>
      </c>
      <c r="D154" s="2">
        <f>D11/'Output-Calculation-sheet'!D10*'Output-Calculation-sheet'!D127</f>
        <v>10990766529.559591</v>
      </c>
      <c r="E154" s="2">
        <f>E11/'Output-Calculation-sheet'!E10*'Output-Calculation-sheet'!E127</f>
        <v>12142763468.330126</v>
      </c>
      <c r="F154" s="2">
        <f>F11/'Output-Calculation-sheet'!F10*'Output-Calculation-sheet'!F127</f>
        <v>5243928008.7036037</v>
      </c>
      <c r="G154" s="2">
        <f>G11/'Output-Calculation-sheet'!G10*'Output-Calculation-sheet'!G127</f>
        <v>3996161412.6400256</v>
      </c>
      <c r="H154" s="2">
        <f>H11/'Output-Calculation-sheet'!H10*'Output-Calculation-sheet'!H127</f>
        <v>12444309163.669334</v>
      </c>
      <c r="I154" s="2">
        <f>I11/'Output-Calculation-sheet'!I10*'Output-Calculation-sheet'!I127</f>
        <v>3793436741.4798269</v>
      </c>
      <c r="J154" s="2">
        <f>J11/'Output-Calculation-sheet'!J10*'Output-Calculation-sheet'!J127</f>
        <v>3111354972.4861622</v>
      </c>
      <c r="K154" s="2">
        <f>K11/'Output-Calculation-sheet'!K10*'Output-Calculation-sheet'!K127</f>
        <v>4579427636.5302305</v>
      </c>
      <c r="L154" s="2">
        <f>L11/'Output-Calculation-sheet'!L10*'Output-Calculation-sheet'!L127</f>
        <v>3802396605.6572461</v>
      </c>
      <c r="M154" s="2">
        <f>M11/'Output-Calculation-sheet'!M10*'Output-Calculation-sheet'!M127</f>
        <v>8606781975.2026672</v>
      </c>
      <c r="N154" s="2">
        <f>N11/'Output-Calculation-sheet'!N10*'Output-Calculation-sheet'!N127</f>
        <v>7299727641.0405092</v>
      </c>
      <c r="O154" s="2">
        <f>O11/'Output-Calculation-sheet'!O10*'Output-Calculation-sheet'!O127</f>
        <v>10508846196.206722</v>
      </c>
      <c r="P154" s="2">
        <f>P11/'Output-Calculation-sheet'!P10*'Output-Calculation-sheet'!P127</f>
        <v>5144372416.8854647</v>
      </c>
      <c r="Q154" s="2">
        <f>Q11/'Output-Calculation-sheet'!Q10*'Output-Calculation-sheet'!Q127</f>
        <v>5058547318.9589682</v>
      </c>
      <c r="R154" s="2">
        <f>R11/'Output-Calculation-sheet'!R10*'Output-Calculation-sheet'!R127</f>
        <v>3809492891.8277788</v>
      </c>
      <c r="S154" s="2">
        <f>S11/'Output-Calculation-sheet'!S10*'Output-Calculation-sheet'!S127</f>
        <v>3830131365.8864169</v>
      </c>
      <c r="T154" s="2">
        <f>T11/'Output-Calculation-sheet'!T10*'Output-Calculation-sheet'!T127</f>
        <v>1015242795.9132437</v>
      </c>
      <c r="U154" s="2">
        <f>U11/'Output-Calculation-sheet'!U10*'Output-Calculation-sheet'!U127</f>
        <v>1311273468.75806</v>
      </c>
      <c r="V154" s="2">
        <f>V11/'Output-Calculation-sheet'!V10*'Output-Calculation-sheet'!V127</f>
        <v>768750912.56956935</v>
      </c>
      <c r="W154" s="2">
        <f>W11/'Output-Calculation-sheet'!W10*'Output-Calculation-sheet'!W127</f>
        <v>422965953.93729961</v>
      </c>
      <c r="X154" s="2">
        <f>X11/'Output-Calculation-sheet'!X10*'Output-Calculation-sheet'!X127</f>
        <v>966617403.06863511</v>
      </c>
      <c r="Y154" s="2">
        <f>Y11/'Output-Calculation-sheet'!Y10*'Output-Calculation-sheet'!Y127</f>
        <v>464697616.73811001</v>
      </c>
      <c r="AA154" s="2">
        <f t="shared" si="13"/>
        <v>212103.48507799741</v>
      </c>
    </row>
    <row r="155" spans="1:27" x14ac:dyDescent="0.25">
      <c r="A155" s="2">
        <v>2035</v>
      </c>
      <c r="B155" s="2">
        <f>B12/'Output-Calculation-sheet'!B11*'Output-Calculation-sheet'!B128</f>
        <v>59824947005.118263</v>
      </c>
      <c r="C155" s="2">
        <f>C12/'Output-Calculation-sheet'!C11*'Output-Calculation-sheet'!C128</f>
        <v>44346811464.503387</v>
      </c>
      <c r="D155" s="2">
        <f>D12/'Output-Calculation-sheet'!D11*'Output-Calculation-sheet'!D128</f>
        <v>11180308387.922894</v>
      </c>
      <c r="E155" s="2">
        <f>E12/'Output-Calculation-sheet'!E11*'Output-Calculation-sheet'!E128</f>
        <v>12371190707.734386</v>
      </c>
      <c r="F155" s="2">
        <f>F12/'Output-Calculation-sheet'!F11*'Output-Calculation-sheet'!F128</f>
        <v>5336214188.3548222</v>
      </c>
      <c r="G155" s="2">
        <f>G12/'Output-Calculation-sheet'!G11*'Output-Calculation-sheet'!G128</f>
        <v>4085682944.9597554</v>
      </c>
      <c r="H155" s="2">
        <f>H12/'Output-Calculation-sheet'!H11*'Output-Calculation-sheet'!H128</f>
        <v>12656908747.217821</v>
      </c>
      <c r="I155" s="2">
        <f>I12/'Output-Calculation-sheet'!I11*'Output-Calculation-sheet'!I128</f>
        <v>3864055998.5261002</v>
      </c>
      <c r="J155" s="2">
        <f>J12/'Output-Calculation-sheet'!J11*'Output-Calculation-sheet'!J128</f>
        <v>3182837395.2296934</v>
      </c>
      <c r="K155" s="2">
        <f>K12/'Output-Calculation-sheet'!K11*'Output-Calculation-sheet'!K128</f>
        <v>4662051795.2089777</v>
      </c>
      <c r="L155" s="2">
        <f>L12/'Output-Calculation-sheet'!L11*'Output-Calculation-sheet'!L128</f>
        <v>3879030495.6187477</v>
      </c>
      <c r="M155" s="2">
        <f>M12/'Output-Calculation-sheet'!M11*'Output-Calculation-sheet'!M128</f>
        <v>8758094204.8860722</v>
      </c>
      <c r="N155" s="2">
        <f>N12/'Output-Calculation-sheet'!N11*'Output-Calculation-sheet'!N128</f>
        <v>7468136196.6530485</v>
      </c>
      <c r="O155" s="2">
        <f>O12/'Output-Calculation-sheet'!O11*'Output-Calculation-sheet'!O128</f>
        <v>8876496533.4656506</v>
      </c>
      <c r="P155" s="2">
        <f>P12/'Output-Calculation-sheet'!P11*'Output-Calculation-sheet'!P128</f>
        <v>5231611917.9461203</v>
      </c>
      <c r="Q155" s="2">
        <f>Q12/'Output-Calculation-sheet'!Q11*'Output-Calculation-sheet'!Q128</f>
        <v>5118214060.5573921</v>
      </c>
      <c r="R155" s="2">
        <f>R12/'Output-Calculation-sheet'!R11*'Output-Calculation-sheet'!R128</f>
        <v>3874437339.3970451</v>
      </c>
      <c r="S155" s="2">
        <f>S12/'Output-Calculation-sheet'!S11*'Output-Calculation-sheet'!S128</f>
        <v>3915772372.3545084</v>
      </c>
      <c r="T155" s="2">
        <f>T12/'Output-Calculation-sheet'!T11*'Output-Calculation-sheet'!T128</f>
        <v>1034491351.76894</v>
      </c>
      <c r="U155" s="2">
        <f>U12/'Output-Calculation-sheet'!U11*'Output-Calculation-sheet'!U128</f>
        <v>1337182868.7515643</v>
      </c>
      <c r="V155" s="2">
        <f>V12/'Output-Calculation-sheet'!V11*'Output-Calculation-sheet'!V128</f>
        <v>779541235.53233111</v>
      </c>
      <c r="W155" s="2">
        <f>W12/'Output-Calculation-sheet'!W11*'Output-Calculation-sheet'!W128</f>
        <v>431164048.97319418</v>
      </c>
      <c r="X155" s="2">
        <f>X12/'Output-Calculation-sheet'!X11*'Output-Calculation-sheet'!X128</f>
        <v>981577405.66251576</v>
      </c>
      <c r="Y155" s="2">
        <f>Y12/'Output-Calculation-sheet'!Y11*'Output-Calculation-sheet'!Y128</f>
        <v>473698366.43398327</v>
      </c>
      <c r="AA155" s="2">
        <f t="shared" si="13"/>
        <v>213670.45703277722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2.2455572937203977E-10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2033.5459171098989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1392.6647284778576</v>
      </c>
      <c r="N19" s="2">
        <f>N8/'Output-Calculation-sheet'!N7*'Output-Calculation-sheet'!N25</f>
        <v>936.76873103710932</v>
      </c>
      <c r="O19" s="2">
        <f>O8/'Output-Calculation-sheet'!O7*'Output-Calculation-sheet'!O25</f>
        <v>1.2358731102246497E-11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248.47290007969821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132.16839430730246</v>
      </c>
      <c r="Y19" s="2">
        <f>Y8/'Output-Calculation-sheet'!Y7*'Output-Calculation-sheet'!Y25</f>
        <v>0</v>
      </c>
      <c r="AA19" s="2">
        <f t="shared" si="0"/>
        <v>4.7436206710121036</v>
      </c>
    </row>
    <row r="20" spans="1:27" x14ac:dyDescent="0.25">
      <c r="A20" s="2">
        <v>2032</v>
      </c>
      <c r="B20" s="2">
        <f>B9/'Output-Calculation-sheet'!B8*'Output-Calculation-sheet'!B26</f>
        <v>2.0195811536263664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2096.7278805331366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1433.8845239033501</v>
      </c>
      <c r="N20" s="2">
        <f>N9/'Output-Calculation-sheet'!N8*'Output-Calculation-sheet'!N26</f>
        <v>1044.2674197140343</v>
      </c>
      <c r="O20" s="2">
        <f>O9/'Output-Calculation-sheet'!O8*'Output-Calculation-sheet'!O26</f>
        <v>1.0572425940697354E-10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359.28047055123517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138.01678316463679</v>
      </c>
      <c r="Y20" s="2">
        <f>Y9/'Output-Calculation-sheet'!Y8*'Output-Calculation-sheet'!Y26</f>
        <v>0</v>
      </c>
      <c r="AA20" s="2">
        <f t="shared" si="0"/>
        <v>5.0741966590201244</v>
      </c>
    </row>
    <row r="21" spans="1:27" x14ac:dyDescent="0.25">
      <c r="A21" s="2">
        <v>2033</v>
      </c>
      <c r="B21" s="2">
        <f>B10/'Output-Calculation-sheet'!B9*'Output-Calculation-sheet'!B27</f>
        <v>2829.8718814866534</v>
      </c>
      <c r="C21" s="2">
        <f>C10/'Output-Calculation-sheet'!C9*'Output-Calculation-sheet'!C27</f>
        <v>4415.9199303239348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1981.2606068999623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1356.2776348583686</v>
      </c>
      <c r="N21" s="2">
        <f>N10/'Output-Calculation-sheet'!N9*'Output-Calculation-sheet'!N27</f>
        <v>1059.6981561502728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404.26441033510167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130.54873399599566</v>
      </c>
      <c r="Y21" s="2">
        <f>Y10/'Output-Calculation-sheet'!Y9*'Output-Calculation-sheet'!Y27</f>
        <v>0</v>
      </c>
      <c r="AA21" s="2">
        <f t="shared" si="0"/>
        <v>12.17784135405029</v>
      </c>
    </row>
    <row r="22" spans="1:27" x14ac:dyDescent="0.25">
      <c r="A22" s="2">
        <v>2034</v>
      </c>
      <c r="B22" s="2">
        <f>B11/'Output-Calculation-sheet'!B10*'Output-Calculation-sheet'!B28</f>
        <v>4066.4570820501299</v>
      </c>
      <c r="C22" s="2">
        <f>C11/'Output-Calculation-sheet'!C10*'Output-Calculation-sheet'!C28</f>
        <v>3939.7770508492217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1721.2981903257189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1178.4154873060772</v>
      </c>
      <c r="N22" s="2">
        <f>N11/'Output-Calculation-sheet'!N10*'Output-Calculation-sheet'!N28</f>
        <v>944.9413965170163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385.47112470497819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114.17253796512539</v>
      </c>
      <c r="Y22" s="2">
        <f>Y11/'Output-Calculation-sheet'!Y10*'Output-Calculation-sheet'!Y28</f>
        <v>0</v>
      </c>
      <c r="AA22" s="2">
        <f t="shared" si="0"/>
        <v>12.350532869718268</v>
      </c>
    </row>
    <row r="23" spans="1:27" x14ac:dyDescent="0.25">
      <c r="A23" s="2">
        <v>2035</v>
      </c>
      <c r="B23" s="2">
        <f>B12/'Output-Calculation-sheet'!B11*'Output-Calculation-sheet'!B29</f>
        <v>3856.4869278500591</v>
      </c>
      <c r="C23" s="2">
        <f>C12/'Output-Calculation-sheet'!C11*'Output-Calculation-sheet'!C29</f>
        <v>3160.0957657008066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1348.2268777035558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921.57171025662478</v>
      </c>
      <c r="N23" s="2">
        <f>N12/'Output-Calculation-sheet'!N11*'Output-Calculation-sheet'!N29</f>
        <v>753.30170061027695</v>
      </c>
      <c r="O23" s="2">
        <f>O12/'Output-Calculation-sheet'!O11*'Output-Calculation-sheet'!O29</f>
        <v>537.288730983292</v>
      </c>
      <c r="P23" s="2">
        <f>P12/'Output-Calculation-sheet'!P11*'Output-Calculation-sheet'!P29</f>
        <v>0</v>
      </c>
      <c r="Q23" s="2">
        <f>Q12/'Output-Calculation-sheet'!Q11*'Output-Calculation-sheet'!Q29</f>
        <v>10.283571562031161</v>
      </c>
      <c r="R23" s="2">
        <f>R12/'Output-Calculation-sheet'!R11*'Output-Calculation-sheet'!R29</f>
        <v>0</v>
      </c>
      <c r="S23" s="2">
        <f>S12/'Output-Calculation-sheet'!S11*'Output-Calculation-sheet'!S29</f>
        <v>330.81886781354194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90.338249263088954</v>
      </c>
      <c r="Y23" s="2">
        <f>Y12/'Output-Calculation-sheet'!Y11*'Output-Calculation-sheet'!Y29</f>
        <v>0</v>
      </c>
      <c r="AA23" s="2">
        <f t="shared" si="0"/>
        <v>11.008412401743275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15983.365335559183</v>
      </c>
      <c r="C30" s="2">
        <f>C8/'Output-Calculation-sheet'!C7*'Output-Calculation-sheet'!C16</f>
        <v>0</v>
      </c>
      <c r="D30" s="2">
        <f>D8/'Output-Calculation-sheet'!D7*'Output-Calculation-sheet'!D16</f>
        <v>4989.4333634600498</v>
      </c>
      <c r="E30" s="2">
        <f>E8/'Output-Calculation-sheet'!E7*'Output-Calculation-sheet'!E16</f>
        <v>5160.7244185423287</v>
      </c>
      <c r="F30" s="2">
        <f>F8/'Output-Calculation-sheet'!F7*'Output-Calculation-sheet'!F16</f>
        <v>2891.2555024697172</v>
      </c>
      <c r="G30" s="2">
        <f>G8/'Output-Calculation-sheet'!G7*'Output-Calculation-sheet'!G16</f>
        <v>1743.744906935101</v>
      </c>
      <c r="H30" s="2">
        <f>H8/'Output-Calculation-sheet'!H7*'Output-Calculation-sheet'!H16</f>
        <v>0</v>
      </c>
      <c r="I30" s="2">
        <f>I8/'Output-Calculation-sheet'!I7*'Output-Calculation-sheet'!I16</f>
        <v>1764.8573188774194</v>
      </c>
      <c r="J30" s="2">
        <f>J8/'Output-Calculation-sheet'!J7*'Output-Calculation-sheet'!J16</f>
        <v>1610.871629430859</v>
      </c>
      <c r="K30" s="2">
        <f>K8/'Output-Calculation-sheet'!K7*'Output-Calculation-sheet'!K16</f>
        <v>1992.2253353204576</v>
      </c>
      <c r="L30" s="2">
        <f>L8/'Output-Calculation-sheet'!L7*'Output-Calculation-sheet'!L16</f>
        <v>1644.1079788094471</v>
      </c>
      <c r="M30" s="2">
        <f>M8/'Output-Calculation-sheet'!M7*'Output-Calculation-sheet'!M16</f>
        <v>0</v>
      </c>
      <c r="N30" s="2">
        <f>N8/'Output-Calculation-sheet'!N7*'Output-Calculation-sheet'!N16</f>
        <v>806.68769695084529</v>
      </c>
      <c r="O30" s="2">
        <f>O8/'Output-Calculation-sheet'!O7*'Output-Calculation-sheet'!O16</f>
        <v>0</v>
      </c>
      <c r="P30" s="2">
        <f>P8/'Output-Calculation-sheet'!P7*'Output-Calculation-sheet'!P16</f>
        <v>1310.4396424514362</v>
      </c>
      <c r="Q30" s="2">
        <f>Q8/'Output-Calculation-sheet'!Q7*'Output-Calculation-sheet'!Q16</f>
        <v>1437.3148710411217</v>
      </c>
      <c r="R30" s="2">
        <f>R8/'Output-Calculation-sheet'!R7*'Output-Calculation-sheet'!R16</f>
        <v>1259.2875151562369</v>
      </c>
      <c r="S30" s="2">
        <f>S8/'Output-Calculation-sheet'!S7*'Output-Calculation-sheet'!S16</f>
        <v>672.50326712444951</v>
      </c>
      <c r="T30" s="2">
        <f>T8/'Output-Calculation-sheet'!T7*'Output-Calculation-sheet'!T16</f>
        <v>459.40820903278592</v>
      </c>
      <c r="U30" s="2">
        <f>U8/'Output-Calculation-sheet'!U7*'Output-Calculation-sheet'!U16</f>
        <v>353.08718327869963</v>
      </c>
      <c r="V30" s="2">
        <f>V8/'Output-Calculation-sheet'!V7*'Output-Calculation-sheet'!V16</f>
        <v>338.11049092771259</v>
      </c>
      <c r="W30" s="2">
        <f>W8/'Output-Calculation-sheet'!W7*'Output-Calculation-sheet'!W16</f>
        <v>234.73292106604535</v>
      </c>
      <c r="X30" s="2">
        <f>X8/'Output-Calculation-sheet'!X7*'Output-Calculation-sheet'!X16</f>
        <v>0</v>
      </c>
      <c r="Y30" s="2">
        <f>Y8/'Output-Calculation-sheet'!Y7*'Output-Calculation-sheet'!Y16</f>
        <v>155.18154894430688</v>
      </c>
      <c r="AA30" s="2">
        <f t="shared" si="1"/>
        <v>44.807339135378207</v>
      </c>
    </row>
    <row r="31" spans="1:27" x14ac:dyDescent="0.25">
      <c r="A31" s="2">
        <v>2032</v>
      </c>
      <c r="B31" s="2">
        <f>B9/'Output-Calculation-sheet'!B8*'Output-Calculation-sheet'!B17</f>
        <v>16150.662613448394</v>
      </c>
      <c r="C31" s="2">
        <f>C9/'Output-Calculation-sheet'!C8*'Output-Calculation-sheet'!C17</f>
        <v>0</v>
      </c>
      <c r="D31" s="2">
        <f>D9/'Output-Calculation-sheet'!D8*'Output-Calculation-sheet'!D17</f>
        <v>5007.0190327904711</v>
      </c>
      <c r="E31" s="2">
        <f>E9/'Output-Calculation-sheet'!E8*'Output-Calculation-sheet'!E17</f>
        <v>5185.3447273543934</v>
      </c>
      <c r="F31" s="2">
        <f>F9/'Output-Calculation-sheet'!F8*'Output-Calculation-sheet'!F17</f>
        <v>2896.8550209710434</v>
      </c>
      <c r="G31" s="2">
        <f>G9/'Output-Calculation-sheet'!G8*'Output-Calculation-sheet'!G17</f>
        <v>1746.338339485922</v>
      </c>
      <c r="H31" s="2">
        <f>H9/'Output-Calculation-sheet'!H8*'Output-Calculation-sheet'!H17</f>
        <v>0</v>
      </c>
      <c r="I31" s="2">
        <f>I9/'Output-Calculation-sheet'!I8*'Output-Calculation-sheet'!I17</f>
        <v>1770.5660300157847</v>
      </c>
      <c r="J31" s="2">
        <f>J9/'Output-Calculation-sheet'!J8*'Output-Calculation-sheet'!J17</f>
        <v>1614.8757919821874</v>
      </c>
      <c r="K31" s="2">
        <f>K9/'Output-Calculation-sheet'!K8*'Output-Calculation-sheet'!K17</f>
        <v>2000.3166087779514</v>
      </c>
      <c r="L31" s="2">
        <f>L9/'Output-Calculation-sheet'!L8*'Output-Calculation-sheet'!L17</f>
        <v>1651.2312643344999</v>
      </c>
      <c r="M31" s="2">
        <f>M9/'Output-Calculation-sheet'!M8*'Output-Calculation-sheet'!M17</f>
        <v>0</v>
      </c>
      <c r="N31" s="2">
        <f>N9/'Output-Calculation-sheet'!N8*'Output-Calculation-sheet'!N17</f>
        <v>730.41704753881538</v>
      </c>
      <c r="O31" s="2">
        <f>O9/'Output-Calculation-sheet'!O8*'Output-Calculation-sheet'!O17</f>
        <v>0</v>
      </c>
      <c r="P31" s="2">
        <f>P9/'Output-Calculation-sheet'!P8*'Output-Calculation-sheet'!P17</f>
        <v>1328.3785179437182</v>
      </c>
      <c r="Q31" s="2">
        <f>Q9/'Output-Calculation-sheet'!Q8*'Output-Calculation-sheet'!Q17</f>
        <v>1455.7749931697429</v>
      </c>
      <c r="R31" s="2">
        <f>R9/'Output-Calculation-sheet'!R8*'Output-Calculation-sheet'!R17</f>
        <v>1263.9811044099913</v>
      </c>
      <c r="S31" s="2">
        <f>S9/'Output-Calculation-sheet'!S8*'Output-Calculation-sheet'!S17</f>
        <v>630.66170114212366</v>
      </c>
      <c r="T31" s="2">
        <f>T9/'Output-Calculation-sheet'!T8*'Output-Calculation-sheet'!T17</f>
        <v>460.60516920551584</v>
      </c>
      <c r="U31" s="2">
        <f>U9/'Output-Calculation-sheet'!U8*'Output-Calculation-sheet'!U17</f>
        <v>355.24168679378391</v>
      </c>
      <c r="V31" s="2">
        <f>V9/'Output-Calculation-sheet'!V8*'Output-Calculation-sheet'!V17</f>
        <v>340.4257609688176</v>
      </c>
      <c r="W31" s="2">
        <f>W9/'Output-Calculation-sheet'!W8*'Output-Calculation-sheet'!W17</f>
        <v>235.73242982474224</v>
      </c>
      <c r="X31" s="2">
        <f>X9/'Output-Calculation-sheet'!X8*'Output-Calculation-sheet'!X17</f>
        <v>0</v>
      </c>
      <c r="Y31" s="2">
        <f>Y9/'Output-Calculation-sheet'!Y8*'Output-Calculation-sheet'!Y17</f>
        <v>155.84200165481698</v>
      </c>
      <c r="AA31" s="2">
        <f t="shared" si="1"/>
        <v>44.980269841812735</v>
      </c>
    </row>
    <row r="32" spans="1:27" x14ac:dyDescent="0.25">
      <c r="A32" s="2">
        <v>2033</v>
      </c>
      <c r="B32" s="2">
        <f>B10/'Output-Calculation-sheet'!B9*'Output-Calculation-sheet'!B18</f>
        <v>13810.244372577014</v>
      </c>
      <c r="C32" s="2">
        <f>C10/'Output-Calculation-sheet'!C9*'Output-Calculation-sheet'!C18</f>
        <v>0</v>
      </c>
      <c r="D32" s="2">
        <f>D10/'Output-Calculation-sheet'!D9*'Output-Calculation-sheet'!D18</f>
        <v>4610.4449936954006</v>
      </c>
      <c r="E32" s="2">
        <f>E10/'Output-Calculation-sheet'!E9*'Output-Calculation-sheet'!E18</f>
        <v>4774.2518139042604</v>
      </c>
      <c r="F32" s="2">
        <f>F10/'Output-Calculation-sheet'!F9*'Output-Calculation-sheet'!F18</f>
        <v>2666.7211424977982</v>
      </c>
      <c r="G32" s="2">
        <f>G10/'Output-Calculation-sheet'!G9*'Output-Calculation-sheet'!G18</f>
        <v>1608.3428016738135</v>
      </c>
      <c r="H32" s="2">
        <f>H10/'Output-Calculation-sheet'!H9*'Output-Calculation-sheet'!H18</f>
        <v>0</v>
      </c>
      <c r="I32" s="2">
        <f>I10/'Output-Calculation-sheet'!I9*'Output-Calculation-sheet'!I18</f>
        <v>1630.4867624438575</v>
      </c>
      <c r="J32" s="2">
        <f>J10/'Output-Calculation-sheet'!J9*'Output-Calculation-sheet'!J18</f>
        <v>1487.0775393345266</v>
      </c>
      <c r="K32" s="2">
        <f>K10/'Output-Calculation-sheet'!K9*'Output-Calculation-sheet'!K18</f>
        <v>1846.2302707825577</v>
      </c>
      <c r="L32" s="2">
        <f>L10/'Output-Calculation-sheet'!L9*'Output-Calculation-sheet'!L18</f>
        <v>1521.5445466391477</v>
      </c>
      <c r="M32" s="2">
        <f>M10/'Output-Calculation-sheet'!M9*'Output-Calculation-sheet'!M18</f>
        <v>0</v>
      </c>
      <c r="N32" s="2">
        <f>N10/'Output-Calculation-sheet'!N9*'Output-Calculation-sheet'!N18</f>
        <v>602.25064813230722</v>
      </c>
      <c r="O32" s="2">
        <f>O10/'Output-Calculation-sheet'!O9*'Output-Calculation-sheet'!O18</f>
        <v>0</v>
      </c>
      <c r="P32" s="2">
        <f>P10/'Output-Calculation-sheet'!P9*'Output-Calculation-sheet'!P18</f>
        <v>1232.2234358705177</v>
      </c>
      <c r="Q32" s="2">
        <f>Q10/'Output-Calculation-sheet'!Q9*'Output-Calculation-sheet'!Q18</f>
        <v>1351.4215090985997</v>
      </c>
      <c r="R32" s="2">
        <f>R10/'Output-Calculation-sheet'!R9*'Output-Calculation-sheet'!R18</f>
        <v>1167.2958474358013</v>
      </c>
      <c r="S32" s="2">
        <f>S10/'Output-Calculation-sheet'!S9*'Output-Calculation-sheet'!S18</f>
        <v>543.33456446238495</v>
      </c>
      <c r="T32" s="2">
        <f>T10/'Output-Calculation-sheet'!T9*'Output-Calculation-sheet'!T18</f>
        <v>424.59606773413054</v>
      </c>
      <c r="U32" s="2">
        <f>U10/'Output-Calculation-sheet'!U9*'Output-Calculation-sheet'!U18</f>
        <v>327.46066898317895</v>
      </c>
      <c r="V32" s="2">
        <f>V10/'Output-Calculation-sheet'!V9*'Output-Calculation-sheet'!V18</f>
        <v>314.14074087486705</v>
      </c>
      <c r="W32" s="2">
        <f>W10/'Output-Calculation-sheet'!W9*'Output-Calculation-sheet'!W18</f>
        <v>216.76832008259046</v>
      </c>
      <c r="X32" s="2">
        <f>X10/'Output-Calculation-sheet'!X9*'Output-Calculation-sheet'!X18</f>
        <v>0</v>
      </c>
      <c r="Y32" s="2">
        <f>Y10/'Output-Calculation-sheet'!Y9*'Output-Calculation-sheet'!Y18</f>
        <v>143.72731764775773</v>
      </c>
      <c r="AA32" s="2">
        <f t="shared" si="1"/>
        <v>40.278563363870504</v>
      </c>
    </row>
    <row r="33" spans="1:27" x14ac:dyDescent="0.25">
      <c r="A33" s="2">
        <v>2034</v>
      </c>
      <c r="B33" s="2">
        <f>B11/'Output-Calculation-sheet'!B10*'Output-Calculation-sheet'!B19</f>
        <v>11003.236366500963</v>
      </c>
      <c r="C33" s="2">
        <f>C11/'Output-Calculation-sheet'!C10*'Output-Calculation-sheet'!C19</f>
        <v>0</v>
      </c>
      <c r="D33" s="2">
        <f>D11/'Output-Calculation-sheet'!D10*'Output-Calculation-sheet'!D19</f>
        <v>3890.5160637394142</v>
      </c>
      <c r="E33" s="2">
        <f>E11/'Output-Calculation-sheet'!E10*'Output-Calculation-sheet'!E19</f>
        <v>4038.2563504986138</v>
      </c>
      <c r="F33" s="2">
        <f>F11/'Output-Calculation-sheet'!F10*'Output-Calculation-sheet'!F19</f>
        <v>2251.4551166809943</v>
      </c>
      <c r="G33" s="2">
        <f>G11/'Output-Calculation-sheet'!G10*'Output-Calculation-sheet'!G19</f>
        <v>1355.7617050196845</v>
      </c>
      <c r="H33" s="2">
        <f>H11/'Output-Calculation-sheet'!H10*'Output-Calculation-sheet'!H19</f>
        <v>0</v>
      </c>
      <c r="I33" s="2">
        <f>I11/'Output-Calculation-sheet'!I10*'Output-Calculation-sheet'!I19</f>
        <v>1380.8534229686904</v>
      </c>
      <c r="J33" s="2">
        <f>J11/'Output-Calculation-sheet'!J10*'Output-Calculation-sheet'!J19</f>
        <v>1254.9467148787469</v>
      </c>
      <c r="K33" s="2">
        <f>K11/'Output-Calculation-sheet'!K10*'Output-Calculation-sheet'!K19</f>
        <v>1563.1288697382922</v>
      </c>
      <c r="L33" s="2">
        <f>L11/'Output-Calculation-sheet'!L10*'Output-Calculation-sheet'!L19</f>
        <v>1285.6556086998592</v>
      </c>
      <c r="M33" s="2">
        <f>M11/'Output-Calculation-sheet'!M10*'Output-Calculation-sheet'!M19</f>
        <v>0</v>
      </c>
      <c r="N33" s="2">
        <f>N11/'Output-Calculation-sheet'!N10*'Output-Calculation-sheet'!N19</f>
        <v>476.44170933017296</v>
      </c>
      <c r="O33" s="2">
        <f>O11/'Output-Calculation-sheet'!O10*'Output-Calculation-sheet'!O19</f>
        <v>0</v>
      </c>
      <c r="P33" s="2">
        <f>P11/'Output-Calculation-sheet'!P10*'Output-Calculation-sheet'!P19</f>
        <v>1047.9377505817754</v>
      </c>
      <c r="Q33" s="2">
        <f>Q11/'Output-Calculation-sheet'!Q10*'Output-Calculation-sheet'!Q19</f>
        <v>1151.2640206322026</v>
      </c>
      <c r="R33" s="2">
        <f>R11/'Output-Calculation-sheet'!R10*'Output-Calculation-sheet'!R19</f>
        <v>987.96371089213403</v>
      </c>
      <c r="S33" s="2">
        <f>S11/'Output-Calculation-sheet'!S10*'Output-Calculation-sheet'!S19</f>
        <v>455.66584167874919</v>
      </c>
      <c r="T33" s="2">
        <f>T11/'Output-Calculation-sheet'!T10*'Output-Calculation-sheet'!T19</f>
        <v>359.0344015762613</v>
      </c>
      <c r="U33" s="2">
        <f>U11/'Output-Calculation-sheet'!U10*'Output-Calculation-sheet'!U19</f>
        <v>277.83138297032582</v>
      </c>
      <c r="V33" s="2">
        <f>V11/'Output-Calculation-sheet'!V10*'Output-Calculation-sheet'!V19</f>
        <v>266.34604176192357</v>
      </c>
      <c r="W33" s="2">
        <f>W11/'Output-Calculation-sheet'!W10*'Output-Calculation-sheet'!W19</f>
        <v>182.99187946782564</v>
      </c>
      <c r="X33" s="2">
        <f>X11/'Output-Calculation-sheet'!X10*'Output-Calculation-sheet'!X19</f>
        <v>0</v>
      </c>
      <c r="Y33" s="2">
        <f>Y11/'Output-Calculation-sheet'!Y10*'Output-Calculation-sheet'!Y19</f>
        <v>121.49943365109952</v>
      </c>
      <c r="AA33" s="2">
        <f t="shared" si="1"/>
        <v>33.350786391267732</v>
      </c>
    </row>
    <row r="34" spans="1:27" x14ac:dyDescent="0.25">
      <c r="A34" s="2">
        <v>2035</v>
      </c>
      <c r="B34" s="2">
        <f>B12/'Output-Calculation-sheet'!B11*'Output-Calculation-sheet'!B20</f>
        <v>8060.9974990369101</v>
      </c>
      <c r="C34" s="2">
        <f>C12/'Output-Calculation-sheet'!C11*'Output-Calculation-sheet'!C20</f>
        <v>0</v>
      </c>
      <c r="D34" s="2">
        <f>D12/'Output-Calculation-sheet'!D11*'Output-Calculation-sheet'!D20</f>
        <v>2981.1916613454646</v>
      </c>
      <c r="E34" s="2">
        <f>E12/'Output-Calculation-sheet'!E11*'Output-Calculation-sheet'!E20</f>
        <v>3093.1154529827454</v>
      </c>
      <c r="F34" s="2">
        <f>F12/'Output-Calculation-sheet'!F11*'Output-Calculation-sheet'!F20</f>
        <v>1722.0058624766064</v>
      </c>
      <c r="G34" s="2">
        <f>G12/'Output-Calculation-sheet'!G11*'Output-Calculation-sheet'!G20</f>
        <v>1034.6586221867631</v>
      </c>
      <c r="H34" s="2">
        <f>H12/'Output-Calculation-sheet'!H11*'Output-Calculation-sheet'!H20</f>
        <v>0</v>
      </c>
      <c r="I34" s="2">
        <f>I12/'Output-Calculation-sheet'!I11*'Output-Calculation-sheet'!I20</f>
        <v>1056.7813315778242</v>
      </c>
      <c r="J34" s="2">
        <f>J12/'Output-Calculation-sheet'!J11*'Output-Calculation-sheet'!J20</f>
        <v>957.09448860574844</v>
      </c>
      <c r="K34" s="2">
        <f>K12/'Output-Calculation-sheet'!K11*'Output-Calculation-sheet'!K20</f>
        <v>1197.2736135898087</v>
      </c>
      <c r="L34" s="2">
        <f>L12/'Output-Calculation-sheet'!L11*'Output-Calculation-sheet'!L20</f>
        <v>983.03830061973019</v>
      </c>
      <c r="M34" s="2">
        <f>M12/'Output-Calculation-sheet'!M11*'Output-Calculation-sheet'!M20</f>
        <v>0</v>
      </c>
      <c r="N34" s="2">
        <f>N12/'Output-Calculation-sheet'!N11*'Output-Calculation-sheet'!N20</f>
        <v>345.84204450267987</v>
      </c>
      <c r="O34" s="2">
        <f>O12/'Output-Calculation-sheet'!O11*'Output-Calculation-sheet'!O20</f>
        <v>0</v>
      </c>
      <c r="P34" s="2">
        <f>P12/'Output-Calculation-sheet'!P11*'Output-Calculation-sheet'!P20</f>
        <v>807.22383659304273</v>
      </c>
      <c r="Q34" s="2">
        <f>Q12/'Output-Calculation-sheet'!Q11*'Output-Calculation-sheet'!Q20</f>
        <v>885.15805597777376</v>
      </c>
      <c r="R34" s="2">
        <f>R12/'Output-Calculation-sheet'!R11*'Output-Calculation-sheet'!R20</f>
        <v>759.02478120037961</v>
      </c>
      <c r="S34" s="2">
        <f>S12/'Output-Calculation-sheet'!S11*'Output-Calculation-sheet'!S20</f>
        <v>326.41729024915736</v>
      </c>
      <c r="T34" s="2">
        <f>T12/'Output-Calculation-sheet'!T11*'Output-Calculation-sheet'!T20</f>
        <v>274.7378728850876</v>
      </c>
      <c r="U34" s="2">
        <f>U12/'Output-Calculation-sheet'!U11*'Output-Calculation-sheet'!U20</f>
        <v>213.10938193839317</v>
      </c>
      <c r="V34" s="2">
        <f>V12/'Output-Calculation-sheet'!V11*'Output-Calculation-sheet'!V20</f>
        <v>204.6625394501786</v>
      </c>
      <c r="W34" s="2">
        <f>W12/'Output-Calculation-sheet'!W11*'Output-Calculation-sheet'!W20</f>
        <v>139.85544320309904</v>
      </c>
      <c r="X34" s="2">
        <f>X12/'Output-Calculation-sheet'!X11*'Output-Calculation-sheet'!X20</f>
        <v>0</v>
      </c>
      <c r="Y34" s="2">
        <f>Y12/'Output-Calculation-sheet'!Y11*'Output-Calculation-sheet'!Y20</f>
        <v>93.101214105300556</v>
      </c>
      <c r="AA34" s="2">
        <f t="shared" si="1"/>
        <v>25.135289292526693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4.9844217248856584</v>
      </c>
      <c r="C63" s="2">
        <f>C8*'Output-Calculation-sheet'!C52/10^9</f>
        <v>2.398394266098566</v>
      </c>
      <c r="D63" s="2">
        <f>D8*'Output-Calculation-sheet'!D52/10^9</f>
        <v>1.0908378802417651</v>
      </c>
      <c r="E63" s="2">
        <f>E8*'Output-Calculation-sheet'!E52/10^9</f>
        <v>1.2137418846156163</v>
      </c>
      <c r="F63" s="2">
        <f>F8*'Output-Calculation-sheet'!F52/10^9</f>
        <v>0.56061629077871833</v>
      </c>
      <c r="G63" s="2">
        <f>G8*'Output-Calculation-sheet'!G52/10^9</f>
        <v>0.38750177660992174</v>
      </c>
      <c r="H63" s="2">
        <f>H8*'Output-Calculation-sheet'!H52/10^9</f>
        <v>0.73069496183963145</v>
      </c>
      <c r="I63" s="2">
        <f>I8*'Output-Calculation-sheet'!I52/10^9</f>
        <v>0.38237968143126005</v>
      </c>
      <c r="J63" s="2">
        <f>J8*'Output-Calculation-sheet'!J52/10^9</f>
        <v>0.34516813691752485</v>
      </c>
      <c r="K63" s="2">
        <f>K8*'Output-Calculation-sheet'!K52/10^9</f>
        <v>0.44549873860318873</v>
      </c>
      <c r="L63" s="2">
        <f>L8*'Output-Calculation-sheet'!L52/10^9</f>
        <v>0.36802237051711723</v>
      </c>
      <c r="M63" s="2">
        <f>M8*'Output-Calculation-sheet'!M52/10^9</f>
        <v>0.50482399972940672</v>
      </c>
      <c r="N63" s="2">
        <f>N8*'Output-Calculation-sheet'!N52/10^9</f>
        <v>0.52764154322673951</v>
      </c>
      <c r="O63" s="2">
        <f>O8*'Output-Calculation-sheet'!O52/10^9</f>
        <v>0.46601347147236827</v>
      </c>
      <c r="P63" s="2">
        <f>P8*'Output-Calculation-sheet'!P52/10^9</f>
        <v>0.39061264151517361</v>
      </c>
      <c r="Q63" s="2">
        <f>Q8*'Output-Calculation-sheet'!Q52/10^9</f>
        <v>0.40282306342024643</v>
      </c>
      <c r="R63" s="2">
        <f>R8*'Output-Calculation-sheet'!R52/10^9</f>
        <v>0.32215443885185419</v>
      </c>
      <c r="S63" s="2">
        <f>S8*'Output-Calculation-sheet'!S52/10^9</f>
        <v>0.29696996962627198</v>
      </c>
      <c r="T63" s="2">
        <f>T8*'Output-Calculation-sheet'!T52/10^9</f>
        <v>0.10070653213079565</v>
      </c>
      <c r="U63" s="2">
        <f>U8*'Output-Calculation-sheet'!U52/10^9</f>
        <v>0.10123498958331913</v>
      </c>
      <c r="V63" s="2">
        <f>V8*'Output-Calculation-sheet'!V52/10^9</f>
        <v>7.5395770572800433E-2</v>
      </c>
      <c r="W63" s="2">
        <f>W8*'Output-Calculation-sheet'!W52/10^9</f>
        <v>4.7139248373432273E-2</v>
      </c>
      <c r="X63" s="2">
        <f>X8*'Output-Calculation-sheet'!X52/10^9</f>
        <v>6.0032617921092622E-2</v>
      </c>
      <c r="Y63" s="2">
        <f>Y8*'Output-Calculation-sheet'!Y52/10^9</f>
        <v>3.9451010082561674E-2</v>
      </c>
      <c r="AA63" s="2">
        <f t="shared" si="4"/>
        <v>16.242277009045033</v>
      </c>
    </row>
    <row r="64" spans="1:27" x14ac:dyDescent="0.25">
      <c r="A64" s="2">
        <v>2032</v>
      </c>
      <c r="B64" s="2">
        <f>B9*'Output-Calculation-sheet'!B53/10^9</f>
        <v>4.957426206077125</v>
      </c>
      <c r="C64" s="2">
        <f>C9*'Output-Calculation-sheet'!C53/10^9</f>
        <v>2.3939359536264448</v>
      </c>
      <c r="D64" s="2">
        <f>D9*'Output-Calculation-sheet'!D53/10^9</f>
        <v>1.0832902329063809</v>
      </c>
      <c r="E64" s="2">
        <f>E9*'Output-Calculation-sheet'!E53/10^9</f>
        <v>1.2057758005272834</v>
      </c>
      <c r="F64" s="2">
        <f>F9*'Output-Calculation-sheet'!F53/10^9</f>
        <v>0.5563796350806226</v>
      </c>
      <c r="G64" s="2">
        <f>G9*'Output-Calculation-sheet'!G53/10^9</f>
        <v>0.38485558578022189</v>
      </c>
      <c r="H64" s="2">
        <f>H9*'Output-Calculation-sheet'!H53/10^9</f>
        <v>0.72259153869923753</v>
      </c>
      <c r="I64" s="2">
        <f>I9*'Output-Calculation-sheet'!I53/10^9</f>
        <v>0.37971743188842916</v>
      </c>
      <c r="J64" s="2">
        <f>J9*'Output-Calculation-sheet'!J53/10^9</f>
        <v>0.34274514603977213</v>
      </c>
      <c r="K64" s="2">
        <f>K9*'Output-Calculation-sheet'!K53/10^9</f>
        <v>0.44246851410515453</v>
      </c>
      <c r="L64" s="2">
        <f>L9*'Output-Calculation-sheet'!L53/10^9</f>
        <v>0.36552002689305191</v>
      </c>
      <c r="M64" s="2">
        <f>M9*'Output-Calculation-sheet'!M53/10^9</f>
        <v>0.49924979992078083</v>
      </c>
      <c r="N64" s="2">
        <f>N9*'Output-Calculation-sheet'!N53/10^9</f>
        <v>0.5224863867694256</v>
      </c>
      <c r="O64" s="2">
        <f>O9*'Output-Calculation-sheet'!O53/10^9</f>
        <v>0.46514721119923086</v>
      </c>
      <c r="P64" s="2">
        <f>P9*'Output-Calculation-sheet'!P53/10^9</f>
        <v>0.38842881555558434</v>
      </c>
      <c r="Q64" s="2">
        <f>Q9*'Output-Calculation-sheet'!Q53/10^9</f>
        <v>0.40047677330176701</v>
      </c>
      <c r="R64" s="2">
        <f>R9*'Output-Calculation-sheet'!R53/10^9</f>
        <v>0.32016326119859112</v>
      </c>
      <c r="S64" s="2">
        <f>S9*'Output-Calculation-sheet'!S53/10^9</f>
        <v>0.29464053816889751</v>
      </c>
      <c r="T64" s="2">
        <f>T9*'Output-Calculation-sheet'!T53/10^9</f>
        <v>0.10001170874584443</v>
      </c>
      <c r="U64" s="2">
        <f>U9*'Output-Calculation-sheet'!U53/10^9</f>
        <v>0.10065616979305815</v>
      </c>
      <c r="V64" s="2">
        <f>V9*'Output-Calculation-sheet'!V53/10^9</f>
        <v>7.4881298558330645E-2</v>
      </c>
      <c r="W64" s="2">
        <f>W9*'Output-Calculation-sheet'!W53/10^9</f>
        <v>4.6792143021297895E-2</v>
      </c>
      <c r="X64" s="2">
        <f>X9*'Output-Calculation-sheet'!X53/10^9</f>
        <v>5.9427021060032517E-2</v>
      </c>
      <c r="Y64" s="2">
        <f>Y9*'Output-Calculation-sheet'!Y53/10^9</f>
        <v>3.9205988808785112E-2</v>
      </c>
      <c r="AA64" s="2">
        <f t="shared" si="4"/>
        <v>16.146273187725349</v>
      </c>
    </row>
    <row r="65" spans="1:27" x14ac:dyDescent="0.25">
      <c r="A65" s="2">
        <v>2033</v>
      </c>
      <c r="B65" s="2">
        <f>B10*'Output-Calculation-sheet'!B54/10^9</f>
        <v>4.5215586236268912</v>
      </c>
      <c r="C65" s="2">
        <f>C10*'Output-Calculation-sheet'!C54/10^9</f>
        <v>2.188840678584743</v>
      </c>
      <c r="D65" s="2">
        <f>D10*'Output-Calculation-sheet'!D54/10^9</f>
        <v>0.98757082799868856</v>
      </c>
      <c r="E65" s="2">
        <f>E10*'Output-Calculation-sheet'!E54/10^9</f>
        <v>1.0996287767924862</v>
      </c>
      <c r="F65" s="2">
        <f>F10*'Output-Calculation-sheet'!F54/10^9</f>
        <v>0.50688860970321192</v>
      </c>
      <c r="G65" s="2">
        <f>G10*'Output-Calculation-sheet'!G54/10^9</f>
        <v>0.35088334487816109</v>
      </c>
      <c r="H65" s="2">
        <f>H10*'Output-Calculation-sheet'!H54/10^9</f>
        <v>0.65575823568666203</v>
      </c>
      <c r="I65" s="2">
        <f>I10*'Output-Calculation-sheet'!I54/10^9</f>
        <v>0.34615090167391555</v>
      </c>
      <c r="J65" s="2">
        <f>J10*'Output-Calculation-sheet'!J54/10^9</f>
        <v>0.31242880043435417</v>
      </c>
      <c r="K65" s="2">
        <f>K10*'Output-Calculation-sheet'!K54/10^9</f>
        <v>0.40341567511213255</v>
      </c>
      <c r="L65" s="2">
        <f>L10*'Output-Calculation-sheet'!L54/10^9</f>
        <v>0.33326130103345109</v>
      </c>
      <c r="M65" s="2">
        <f>M10*'Output-Calculation-sheet'!M54/10^9</f>
        <v>0.45309321466704244</v>
      </c>
      <c r="N65" s="2">
        <f>N10*'Output-Calculation-sheet'!N54/10^9</f>
        <v>0.47468377393780919</v>
      </c>
      <c r="O65" s="2">
        <f>O10*'Output-Calculation-sheet'!O54/10^9</f>
        <v>0.42622876339843047</v>
      </c>
      <c r="P65" s="2">
        <f>P10*'Output-Calculation-sheet'!P54/10^9</f>
        <v>0.35457702857642692</v>
      </c>
      <c r="Q65" s="2">
        <f>Q10*'Output-Calculation-sheet'!Q54/10^9</f>
        <v>0.36548606564618874</v>
      </c>
      <c r="R65" s="2">
        <f>R10*'Output-Calculation-sheet'!R54/10^9</f>
        <v>0.29209043421496095</v>
      </c>
      <c r="S65" s="2">
        <f>S10*'Output-Calculation-sheet'!S54/10^9</f>
        <v>0.26811769585098222</v>
      </c>
      <c r="T65" s="2">
        <f>T10*'Output-Calculation-sheet'!T54/10^9</f>
        <v>9.1175919460749835E-2</v>
      </c>
      <c r="U65" s="2">
        <f>U10*'Output-Calculation-sheet'!U54/10^9</f>
        <v>9.1873551897877118E-2</v>
      </c>
      <c r="V65" s="2">
        <f>V10*'Output-Calculation-sheet'!V54/10^9</f>
        <v>6.827024481826606E-2</v>
      </c>
      <c r="W65" s="2">
        <f>W10*'Output-Calculation-sheet'!W54/10^9</f>
        <v>4.2638055217929287E-2</v>
      </c>
      <c r="X65" s="2">
        <f>X10*'Output-Calculation-sheet'!X54/10^9</f>
        <v>5.3982976727358654E-2</v>
      </c>
      <c r="Y65" s="2">
        <f>Y10*'Output-Calculation-sheet'!Y54/10^9</f>
        <v>3.5767415826045305E-2</v>
      </c>
      <c r="AA65" s="2">
        <f t="shared" si="4"/>
        <v>14.724370915764762</v>
      </c>
    </row>
    <row r="66" spans="1:27" x14ac:dyDescent="0.25">
      <c r="A66" s="2">
        <v>2034</v>
      </c>
      <c r="B66" s="2">
        <f>B11*'Output-Calculation-sheet'!B55/10^9</f>
        <v>3.7780117797532662</v>
      </c>
      <c r="C66" s="2">
        <f>C11*'Output-Calculation-sheet'!C55/10^9</f>
        <v>1.8253310274652346</v>
      </c>
      <c r="D66" s="2">
        <f>D11*'Output-Calculation-sheet'!D55/10^9</f>
        <v>0.82607656876739133</v>
      </c>
      <c r="E66" s="2">
        <f>E11*'Output-Calculation-sheet'!E55/10^9</f>
        <v>0.92013937754989172</v>
      </c>
      <c r="F66" s="2">
        <f>F11*'Output-Calculation-sheet'!F55/10^9</f>
        <v>0.42371847989297057</v>
      </c>
      <c r="G66" s="2">
        <f>G11*'Output-Calculation-sheet'!G55/10^9</f>
        <v>0.29353265804664469</v>
      </c>
      <c r="H66" s="2">
        <f>H11*'Output-Calculation-sheet'!H55/10^9</f>
        <v>0.54584231870967037</v>
      </c>
      <c r="I66" s="2">
        <f>I11*'Output-Calculation-sheet'!I55/10^9</f>
        <v>0.28953031690420528</v>
      </c>
      <c r="J66" s="2">
        <f>J11*'Output-Calculation-sheet'!J55/10^9</f>
        <v>0.26131210158889917</v>
      </c>
      <c r="K66" s="2">
        <f>K11*'Output-Calculation-sheet'!K55/10^9</f>
        <v>0.33747780096874108</v>
      </c>
      <c r="L66" s="2">
        <f>L11*'Output-Calculation-sheet'!L55/10^9</f>
        <v>0.27879441708520625</v>
      </c>
      <c r="M66" s="2">
        <f>M11*'Output-Calculation-sheet'!M55/10^9</f>
        <v>0.3771637973388684</v>
      </c>
      <c r="N66" s="2">
        <f>N11*'Output-Calculation-sheet'!N55/10^9</f>
        <v>0.39548788520997097</v>
      </c>
      <c r="O66" s="2">
        <f>O11*'Output-Calculation-sheet'!O55/10^9</f>
        <v>0.35838045365864063</v>
      </c>
      <c r="P66" s="2">
        <f>P11*'Output-Calculation-sheet'!P55/10^9</f>
        <v>0.29698432896370131</v>
      </c>
      <c r="Q66" s="2">
        <f>Q11*'Output-Calculation-sheet'!Q55/10^9</f>
        <v>0.30604365419353774</v>
      </c>
      <c r="R66" s="2">
        <f>R11*'Output-Calculation-sheet'!R55/10^9</f>
        <v>0.24450649590770451</v>
      </c>
      <c r="S66" s="2">
        <f>S11*'Output-Calculation-sheet'!S55/10^9</f>
        <v>0.22369334170148417</v>
      </c>
      <c r="T66" s="2">
        <f>T11*'Output-Calculation-sheet'!T55/10^9</f>
        <v>7.6266654223162575E-2</v>
      </c>
      <c r="U66" s="2">
        <f>U11*'Output-Calculation-sheet'!U55/10^9</f>
        <v>7.6943287882452652E-2</v>
      </c>
      <c r="V66" s="2">
        <f>V11*'Output-Calculation-sheet'!V55/10^9</f>
        <v>5.7109872413447296E-2</v>
      </c>
      <c r="W66" s="2">
        <f>W11*'Output-Calculation-sheet'!W55/10^9</f>
        <v>3.5649118732249185E-2</v>
      </c>
      <c r="X66" s="2">
        <f>X11*'Output-Calculation-sheet'!X55/10^9</f>
        <v>4.4979217964382368E-2</v>
      </c>
      <c r="Y66" s="2">
        <f>Y11*'Output-Calculation-sheet'!Y55/10^9</f>
        <v>2.9940010301756137E-2</v>
      </c>
      <c r="AA66" s="2">
        <f t="shared" si="4"/>
        <v>12.302914965223477</v>
      </c>
    </row>
    <row r="67" spans="1:27" x14ac:dyDescent="0.25">
      <c r="A67" s="2">
        <v>2035</v>
      </c>
      <c r="B67" s="2">
        <f>B12*'Output-Calculation-sheet'!B56/10^9</f>
        <v>2.8548094030182352</v>
      </c>
      <c r="C67" s="2">
        <f>C12*'Output-Calculation-sheet'!C56/10^9</f>
        <v>1.377380999277888</v>
      </c>
      <c r="D67" s="2">
        <f>D12*'Output-Calculation-sheet'!D56/10^9</f>
        <v>0.62555316669942251</v>
      </c>
      <c r="E67" s="2">
        <f>E12*'Output-Calculation-sheet'!E56/10^9</f>
        <v>0.69703153840522025</v>
      </c>
      <c r="F67" s="2">
        <f>F12*'Output-Calculation-sheet'!F56/10^9</f>
        <v>0.32064909919470924</v>
      </c>
      <c r="G67" s="2">
        <f>G12*'Output-Calculation-sheet'!G56/10^9</f>
        <v>0.22230488248251531</v>
      </c>
      <c r="H67" s="2">
        <f>H12*'Output-Calculation-sheet'!H56/10^9</f>
        <v>0.41117414119374412</v>
      </c>
      <c r="I67" s="2">
        <f>I12*'Output-Calculation-sheet'!I56/10^9</f>
        <v>0.21923597413440171</v>
      </c>
      <c r="J67" s="2">
        <f>J12*'Output-Calculation-sheet'!J56/10^9</f>
        <v>0.19786265986369697</v>
      </c>
      <c r="K67" s="2">
        <f>K12*'Output-Calculation-sheet'!K56/10^9</f>
        <v>0.25558052376238027</v>
      </c>
      <c r="L67" s="2">
        <f>L12*'Output-Calculation-sheet'!L56/10^9</f>
        <v>0.2111434433705521</v>
      </c>
      <c r="M67" s="2">
        <f>M12*'Output-Calculation-sheet'!M56/10^9</f>
        <v>0.28412371483493276</v>
      </c>
      <c r="N67" s="2">
        <f>N12*'Output-Calculation-sheet'!N56/10^9</f>
        <v>0.29819107436852949</v>
      </c>
      <c r="O67" s="2">
        <f>O12*'Output-Calculation-sheet'!O56/10^9</f>
        <v>0.27122797074410804</v>
      </c>
      <c r="P67" s="2">
        <f>P12*'Output-Calculation-sheet'!P56/10^9</f>
        <v>0.22518734491452541</v>
      </c>
      <c r="Q67" s="2">
        <f>Q12*'Output-Calculation-sheet'!Q56/10^9</f>
        <v>0.23199029870210622</v>
      </c>
      <c r="R67" s="2">
        <f>R12*'Output-Calculation-sheet'!R56/10^9</f>
        <v>0.18529082313171696</v>
      </c>
      <c r="S67" s="2">
        <f>S12*'Output-Calculation-sheet'!S56/10^9</f>
        <v>0.1688525484598592</v>
      </c>
      <c r="T67" s="2">
        <f>T12*'Output-Calculation-sheet'!T56/10^9</f>
        <v>5.7753909137999007E-2</v>
      </c>
      <c r="U67" s="2">
        <f>U12*'Output-Calculation-sheet'!U56/10^9</f>
        <v>5.8337053972778295E-2</v>
      </c>
      <c r="V67" s="2">
        <f>V12*'Output-Calculation-sheet'!V56/10^9</f>
        <v>4.3248705979759217E-2</v>
      </c>
      <c r="W67" s="2">
        <f>W12*'Output-Calculation-sheet'!W56/10^9</f>
        <v>2.6983037931460004E-2</v>
      </c>
      <c r="X67" s="2">
        <f>X12*'Output-Calculation-sheet'!X56/10^9</f>
        <v>3.3914211476258761E-2</v>
      </c>
      <c r="Y67" s="2">
        <f>Y12*'Output-Calculation-sheet'!Y56/10^9</f>
        <v>2.2688715199010251E-2</v>
      </c>
      <c r="AA67" s="2">
        <f t="shared" si="4"/>
        <v>9.3005152402558053</v>
      </c>
    </row>
    <row r="68" spans="1:27" x14ac:dyDescent="0.25">
      <c r="B68" s="2">
        <f>SUM(B60:B67)</f>
        <v>32.092313100846205</v>
      </c>
      <c r="C68" s="2">
        <f t="shared" ref="C68:Y68" si="5">SUM(C60:C67)</f>
        <v>15.424996214182942</v>
      </c>
      <c r="D68" s="2">
        <f t="shared" si="5"/>
        <v>7.0298930445186922</v>
      </c>
      <c r="E68" s="2">
        <f t="shared" si="5"/>
        <v>7.8224456194656939</v>
      </c>
      <c r="F68" s="2">
        <f t="shared" si="5"/>
        <v>3.6123397883624078</v>
      </c>
      <c r="G68" s="2">
        <f t="shared" si="5"/>
        <v>2.4973638157742091</v>
      </c>
      <c r="H68" s="2">
        <f t="shared" si="5"/>
        <v>4.6877851604876115</v>
      </c>
      <c r="I68" s="2">
        <f t="shared" si="5"/>
        <v>2.4641813690174885</v>
      </c>
      <c r="J68" s="2">
        <f t="shared" si="5"/>
        <v>2.224394013530449</v>
      </c>
      <c r="K68" s="2">
        <f t="shared" si="5"/>
        <v>2.8709887256194202</v>
      </c>
      <c r="L68" s="2">
        <f t="shared" si="5"/>
        <v>2.371734689941686</v>
      </c>
      <c r="M68" s="2">
        <f t="shared" si="5"/>
        <v>3.2384113089679998</v>
      </c>
      <c r="N68" s="2">
        <f t="shared" si="5"/>
        <v>3.3875037768607381</v>
      </c>
      <c r="O68" s="2">
        <f t="shared" si="5"/>
        <v>3.0053506601087649</v>
      </c>
      <c r="P68" s="2">
        <f t="shared" si="5"/>
        <v>2.5179216638540165</v>
      </c>
      <c r="Q68" s="2">
        <f t="shared" si="5"/>
        <v>2.5964034459292415</v>
      </c>
      <c r="R68" s="2">
        <f t="shared" si="5"/>
        <v>2.0764305487114711</v>
      </c>
      <c r="S68" s="2">
        <f t="shared" si="5"/>
        <v>1.907693312379759</v>
      </c>
      <c r="T68" s="2">
        <f t="shared" si="5"/>
        <v>0.64899340268313088</v>
      </c>
      <c r="U68" s="2">
        <f t="shared" si="5"/>
        <v>0.65257920615320097</v>
      </c>
      <c r="V68" s="2">
        <f t="shared" si="5"/>
        <v>0.48587573258124567</v>
      </c>
      <c r="W68" s="2">
        <f t="shared" si="5"/>
        <v>0.30375455111265687</v>
      </c>
      <c r="X68" s="2">
        <f t="shared" si="5"/>
        <v>0.38515513961738079</v>
      </c>
      <c r="Y68" s="2">
        <f t="shared" si="5"/>
        <v>0.25427802766194119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10083922474.425161</v>
      </c>
      <c r="C96" s="2">
        <f>C8/'Output-Calculation-sheet'!C7*'Output-Calculation-sheet'!C79</f>
        <v>0</v>
      </c>
      <c r="D96" s="2">
        <f>D8/'Output-Calculation-sheet'!D7*'Output-Calculation-sheet'!D79</f>
        <v>6137979650.597374</v>
      </c>
      <c r="E96" s="2">
        <f>E8/'Output-Calculation-sheet'!E7*'Output-Calculation-sheet'!E79</f>
        <v>9614274503.9616299</v>
      </c>
      <c r="F96" s="2">
        <f>F8/'Output-Calculation-sheet'!F7*'Output-Calculation-sheet'!F79</f>
        <v>4602131593.9138718</v>
      </c>
      <c r="G96" s="2">
        <f>G8/'Output-Calculation-sheet'!G7*'Output-Calculation-sheet'!G79</f>
        <v>3508447693.570581</v>
      </c>
      <c r="H96" s="2">
        <f>H8/'Output-Calculation-sheet'!H7*'Output-Calculation-sheet'!H79</f>
        <v>948209678.31709528</v>
      </c>
      <c r="I96" s="2">
        <f>I8/'Output-Calculation-sheet'!I7*'Output-Calculation-sheet'!I79</f>
        <v>2406034015.1075339</v>
      </c>
      <c r="J96" s="2">
        <f>J8/'Output-Calculation-sheet'!J7*'Output-Calculation-sheet'!J79</f>
        <v>1712669634.0682461</v>
      </c>
      <c r="K96" s="2">
        <f>K8/'Output-Calculation-sheet'!K7*'Output-Calculation-sheet'!K79</f>
        <v>2134545209.3990021</v>
      </c>
      <c r="L96" s="2">
        <f>L8/'Output-Calculation-sheet'!L7*'Output-Calculation-sheet'!L79</f>
        <v>1485345676.1424544</v>
      </c>
      <c r="M96" s="2">
        <f>M8/'Output-Calculation-sheet'!M7*'Output-Calculation-sheet'!M79</f>
        <v>702932417.08596003</v>
      </c>
      <c r="N96" s="2">
        <f>N8/'Output-Calculation-sheet'!N7*'Output-Calculation-sheet'!N79</f>
        <v>783420785.9503113</v>
      </c>
      <c r="O96" s="2">
        <f>O8/'Output-Calculation-sheet'!O7*'Output-Calculation-sheet'!O79</f>
        <v>0</v>
      </c>
      <c r="P96" s="2">
        <f>P8/'Output-Calculation-sheet'!P7*'Output-Calculation-sheet'!P79</f>
        <v>1811872794.7716043</v>
      </c>
      <c r="Q96" s="2">
        <f>Q8/'Output-Calculation-sheet'!Q7*'Output-Calculation-sheet'!Q79</f>
        <v>841162451.08037817</v>
      </c>
      <c r="R96" s="2">
        <f>R8/'Output-Calculation-sheet'!R7*'Output-Calculation-sheet'!R79</f>
        <v>1297803969.4019377</v>
      </c>
      <c r="S96" s="2">
        <f>S8/'Output-Calculation-sheet'!S7*'Output-Calculation-sheet'!S79</f>
        <v>475367039.51239753</v>
      </c>
      <c r="T96" s="2">
        <f>T8/'Output-Calculation-sheet'!T7*'Output-Calculation-sheet'!T79</f>
        <v>680251476.74200666</v>
      </c>
      <c r="U96" s="2">
        <f>U8/'Output-Calculation-sheet'!U7*'Output-Calculation-sheet'!U79</f>
        <v>345387927.5677762</v>
      </c>
      <c r="V96" s="2">
        <f>V8/'Output-Calculation-sheet'!V7*'Output-Calculation-sheet'!V79</f>
        <v>209376476.60042757</v>
      </c>
      <c r="W96" s="2">
        <f>W8/'Output-Calculation-sheet'!W7*'Output-Calculation-sheet'!W79</f>
        <v>729148743.21224391</v>
      </c>
      <c r="X96" s="2">
        <f>X8/'Output-Calculation-sheet'!X7*'Output-Calculation-sheet'!X79</f>
        <v>67980387.73067753</v>
      </c>
      <c r="Y96" s="2">
        <f>Y8/'Output-Calculation-sheet'!Y7*'Output-Calculation-sheet'!Y79</f>
        <v>310159675.4103514</v>
      </c>
      <c r="AA96" s="2">
        <f t="shared" si="8"/>
        <v>50.888424274569026</v>
      </c>
    </row>
    <row r="97" spans="1:27" x14ac:dyDescent="0.25">
      <c r="A97" s="2">
        <v>2032</v>
      </c>
      <c r="B97" s="2">
        <f>B9/'Output-Calculation-sheet'!B8*'Output-Calculation-sheet'!B80</f>
        <v>10155472846.997475</v>
      </c>
      <c r="C97" s="2">
        <f>C9/'Output-Calculation-sheet'!C8*'Output-Calculation-sheet'!C80</f>
        <v>0</v>
      </c>
      <c r="D97" s="2">
        <f>D9/'Output-Calculation-sheet'!D8*'Output-Calculation-sheet'!D80</f>
        <v>5895553829.9378462</v>
      </c>
      <c r="E97" s="2">
        <f>E9/'Output-Calculation-sheet'!E8*'Output-Calculation-sheet'!E80</f>
        <v>9511458120.5133495</v>
      </c>
      <c r="F97" s="2">
        <f>F9/'Output-Calculation-sheet'!F8*'Output-Calculation-sheet'!F80</f>
        <v>4537115289.5525503</v>
      </c>
      <c r="G97" s="2">
        <f>G9/'Output-Calculation-sheet'!G8*'Output-Calculation-sheet'!G80</f>
        <v>3359629944.0887961</v>
      </c>
      <c r="H97" s="2">
        <f>H9/'Output-Calculation-sheet'!H8*'Output-Calculation-sheet'!H80</f>
        <v>959448260.88266385</v>
      </c>
      <c r="I97" s="2">
        <f>I9/'Output-Calculation-sheet'!I8*'Output-Calculation-sheet'!I80</f>
        <v>2395667662.1547799</v>
      </c>
      <c r="J97" s="2">
        <f>J9/'Output-Calculation-sheet'!J8*'Output-Calculation-sheet'!J80</f>
        <v>1656820004.6849806</v>
      </c>
      <c r="K97" s="2">
        <f>K9/'Output-Calculation-sheet'!K8*'Output-Calculation-sheet'!K80</f>
        <v>2084139548.8288581</v>
      </c>
      <c r="L97" s="2">
        <f>L9/'Output-Calculation-sheet'!L8*'Output-Calculation-sheet'!L80</f>
        <v>1496382812.411798</v>
      </c>
      <c r="M97" s="2">
        <f>M9/'Output-Calculation-sheet'!M8*'Output-Calculation-sheet'!M80</f>
        <v>712523153.11888289</v>
      </c>
      <c r="N97" s="2">
        <f>N9/'Output-Calculation-sheet'!N8*'Output-Calculation-sheet'!N80</f>
        <v>758404814.80890501</v>
      </c>
      <c r="O97" s="2">
        <f>O9/'Output-Calculation-sheet'!O8*'Output-Calculation-sheet'!O80</f>
        <v>0</v>
      </c>
      <c r="P97" s="2">
        <f>P9/'Output-Calculation-sheet'!P8*'Output-Calculation-sheet'!P80</f>
        <v>1774802398.7785387</v>
      </c>
      <c r="Q97" s="2">
        <f>Q9/'Output-Calculation-sheet'!Q8*'Output-Calculation-sheet'!Q80</f>
        <v>827499151.72370255</v>
      </c>
      <c r="R97" s="2">
        <f>R9/'Output-Calculation-sheet'!R8*'Output-Calculation-sheet'!R80</f>
        <v>1282560308.382839</v>
      </c>
      <c r="S97" s="2">
        <f>S9/'Output-Calculation-sheet'!S8*'Output-Calculation-sheet'!S80</f>
        <v>483256872.62235314</v>
      </c>
      <c r="T97" s="2">
        <f>T9/'Output-Calculation-sheet'!T8*'Output-Calculation-sheet'!T80</f>
        <v>659532520.66023183</v>
      </c>
      <c r="U97" s="2">
        <f>U9/'Output-Calculation-sheet'!U8*'Output-Calculation-sheet'!U80</f>
        <v>341480061.57963794</v>
      </c>
      <c r="V97" s="2">
        <f>V9/'Output-Calculation-sheet'!V8*'Output-Calculation-sheet'!V80</f>
        <v>209339065.70630342</v>
      </c>
      <c r="W97" s="2">
        <f>W9/'Output-Calculation-sheet'!W8*'Output-Calculation-sheet'!W80</f>
        <v>712695912.55377495</v>
      </c>
      <c r="X97" s="2">
        <f>X9/'Output-Calculation-sheet'!X8*'Output-Calculation-sheet'!X80</f>
        <v>70559339.037371859</v>
      </c>
      <c r="Y97" s="2">
        <f>Y9/'Output-Calculation-sheet'!Y8*'Output-Calculation-sheet'!Y80</f>
        <v>303468000.1856088</v>
      </c>
      <c r="AA97" s="2">
        <f t="shared" si="8"/>
        <v>50.187809919211233</v>
      </c>
    </row>
    <row r="98" spans="1:27" x14ac:dyDescent="0.25">
      <c r="A98" s="2">
        <v>2033</v>
      </c>
      <c r="B98" s="2">
        <f>B10/'Output-Calculation-sheet'!B9*'Output-Calculation-sheet'!B81</f>
        <v>9754916983.129652</v>
      </c>
      <c r="C98" s="2">
        <f>C10/'Output-Calculation-sheet'!C9*'Output-Calculation-sheet'!C81</f>
        <v>1277605995.6986341</v>
      </c>
      <c r="D98" s="2">
        <f>D10/'Output-Calculation-sheet'!D9*'Output-Calculation-sheet'!D81</f>
        <v>5200664037.9418697</v>
      </c>
      <c r="E98" s="2">
        <f>E10/'Output-Calculation-sheet'!E9*'Output-Calculation-sheet'!E81</f>
        <v>8634920870.6186466</v>
      </c>
      <c r="F98" s="2">
        <f>F10/'Output-Calculation-sheet'!F9*'Output-Calculation-sheet'!F81</f>
        <v>4110999487.8176279</v>
      </c>
      <c r="G98" s="2">
        <f>G10/'Output-Calculation-sheet'!G9*'Output-Calculation-sheet'!G81</f>
        <v>2952015131.3624105</v>
      </c>
      <c r="H98" s="2">
        <f>H10/'Output-Calculation-sheet'!H9*'Output-Calculation-sheet'!H81</f>
        <v>889662480.61325276</v>
      </c>
      <c r="I98" s="2">
        <f>I10/'Output-Calculation-sheet'!I9*'Output-Calculation-sheet'!I81</f>
        <v>2191063108.2801328</v>
      </c>
      <c r="J98" s="2">
        <f>J10/'Output-Calculation-sheet'!J9*'Output-Calculation-sheet'!J81</f>
        <v>1473329838.520694</v>
      </c>
      <c r="K98" s="2">
        <f>K10/'Output-Calculation-sheet'!K9*'Output-Calculation-sheet'!K81</f>
        <v>1871080775.747328</v>
      </c>
      <c r="L98" s="2">
        <f>L10/'Output-Calculation-sheet'!L9*'Output-Calculation-sheet'!L81</f>
        <v>1383373597.7394633</v>
      </c>
      <c r="M98" s="2">
        <f>M10/'Output-Calculation-sheet'!M9*'Output-Calculation-sheet'!M81</f>
        <v>663335633.08731568</v>
      </c>
      <c r="N98" s="2">
        <f>N10/'Output-Calculation-sheet'!N9*'Output-Calculation-sheet'!N81</f>
        <v>675012377.08261764</v>
      </c>
      <c r="O98" s="2">
        <f>O10/'Output-Calculation-sheet'!O9*'Output-Calculation-sheet'!O81</f>
        <v>0</v>
      </c>
      <c r="P98" s="2">
        <f>P10/'Output-Calculation-sheet'!P9*'Output-Calculation-sheet'!P81</f>
        <v>1591833346.6649852</v>
      </c>
      <c r="Q98" s="2">
        <f>Q10/'Output-Calculation-sheet'!Q9*'Output-Calculation-sheet'!Q81</f>
        <v>747183596.39165199</v>
      </c>
      <c r="R98" s="2">
        <f>R10/'Output-Calculation-sheet'!R9*'Output-Calculation-sheet'!R81</f>
        <v>1165948936.5129094</v>
      </c>
      <c r="S98" s="2">
        <f>S10/'Output-Calculation-sheet'!S9*'Output-Calculation-sheet'!S81</f>
        <v>442729945.16236955</v>
      </c>
      <c r="T98" s="2">
        <f>T10/'Output-Calculation-sheet'!T9*'Output-Calculation-sheet'!T81</f>
        <v>587639843.04937029</v>
      </c>
      <c r="U98" s="2">
        <f>U10/'Output-Calculation-sheet'!U9*'Output-Calculation-sheet'!U81</f>
        <v>309746141.38688278</v>
      </c>
      <c r="V98" s="2">
        <f>V10/'Output-Calculation-sheet'!V9*'Output-Calculation-sheet'!V81</f>
        <v>191947554.92153662</v>
      </c>
      <c r="W98" s="2">
        <f>W10/'Output-Calculation-sheet'!W9*'Output-Calculation-sheet'!W81</f>
        <v>638162473.70457757</v>
      </c>
      <c r="X98" s="2">
        <f>X10/'Output-Calculation-sheet'!X9*'Output-Calculation-sheet'!X81</f>
        <v>66385400.473171689</v>
      </c>
      <c r="Y98" s="2">
        <f>Y10/'Output-Calculation-sheet'!Y9*'Output-Calculation-sheet'!Y81</f>
        <v>272433794.49027669</v>
      </c>
      <c r="AA98" s="2">
        <f t="shared" si="8"/>
        <v>47.091991350397386</v>
      </c>
    </row>
    <row r="99" spans="1:27" x14ac:dyDescent="0.25">
      <c r="A99" s="2">
        <v>2034</v>
      </c>
      <c r="B99" s="2">
        <f>B11/'Output-Calculation-sheet'!B10*'Output-Calculation-sheet'!B82</f>
        <v>8438929134.9072437</v>
      </c>
      <c r="C99" s="2">
        <f>C11/'Output-Calculation-sheet'!C10*'Output-Calculation-sheet'!C82</f>
        <v>1144528236.289763</v>
      </c>
      <c r="D99" s="2">
        <f>D11/'Output-Calculation-sheet'!D10*'Output-Calculation-sheet'!D82</f>
        <v>4210626252.1030569</v>
      </c>
      <c r="E99" s="2">
        <f>E11/'Output-Calculation-sheet'!E10*'Output-Calculation-sheet'!E82</f>
        <v>7200889078.8721046</v>
      </c>
      <c r="F99" s="2">
        <f>F11/'Output-Calculation-sheet'!F10*'Output-Calculation-sheet'!F82</f>
        <v>3419761082.8796735</v>
      </c>
      <c r="G99" s="2">
        <f>G11/'Output-Calculation-sheet'!G10*'Output-Calculation-sheet'!G82</f>
        <v>2375561243.6124678</v>
      </c>
      <c r="H99" s="2">
        <f>H11/'Output-Calculation-sheet'!H10*'Output-Calculation-sheet'!H82</f>
        <v>758025842.40856004</v>
      </c>
      <c r="I99" s="2">
        <f>I11/'Output-Calculation-sheet'!I10*'Output-Calculation-sheet'!I82</f>
        <v>1841485296.7352846</v>
      </c>
      <c r="J99" s="2">
        <f>J11/'Output-Calculation-sheet'!J10*'Output-Calculation-sheet'!J82</f>
        <v>1203103778.934463</v>
      </c>
      <c r="K99" s="2">
        <f>K11/'Output-Calculation-sheet'!K10*'Output-Calculation-sheet'!K82</f>
        <v>1542594408.9490213</v>
      </c>
      <c r="L99" s="2">
        <f>L11/'Output-Calculation-sheet'!L10*'Output-Calculation-sheet'!L82</f>
        <v>1172994071.1135011</v>
      </c>
      <c r="M99" s="2">
        <f>M11/'Output-Calculation-sheet'!M10*'Output-Calculation-sheet'!M82</f>
        <v>567026834.53083932</v>
      </c>
      <c r="N99" s="2">
        <f>N11/'Output-Calculation-sheet'!N10*'Output-Calculation-sheet'!N82</f>
        <v>553392772.48342347</v>
      </c>
      <c r="O99" s="2">
        <f>O11/'Output-Calculation-sheet'!O10*'Output-Calculation-sheet'!O82</f>
        <v>0</v>
      </c>
      <c r="P99" s="2">
        <f>P11/'Output-Calculation-sheet'!P10*'Output-Calculation-sheet'!P82</f>
        <v>1308907488.7408922</v>
      </c>
      <c r="Q99" s="2">
        <f>Q11/'Output-Calculation-sheet'!Q10*'Output-Calculation-sheet'!Q82</f>
        <v>619776319.25454533</v>
      </c>
      <c r="R99" s="2">
        <f>R11/'Output-Calculation-sheet'!R10*'Output-Calculation-sheet'!R82</f>
        <v>972635820.3569212</v>
      </c>
      <c r="S99" s="2">
        <f>S11/'Output-Calculation-sheet'!S10*'Output-Calculation-sheet'!S82</f>
        <v>378971482.72317135</v>
      </c>
      <c r="T99" s="2">
        <f>T11/'Output-Calculation-sheet'!T10*'Output-Calculation-sheet'!T82</f>
        <v>480556008.33020508</v>
      </c>
      <c r="U99" s="2">
        <f>U11/'Output-Calculation-sheet'!U10*'Output-Calculation-sheet'!U82</f>
        <v>258312001.46414199</v>
      </c>
      <c r="V99" s="2">
        <f>V11/'Output-Calculation-sheet'!V10*'Output-Calculation-sheet'!V82</f>
        <v>161593416.70985493</v>
      </c>
      <c r="W99" s="2">
        <f>W11/'Output-Calculation-sheet'!W10*'Output-Calculation-sheet'!W82</f>
        <v>523822824.26741403</v>
      </c>
      <c r="X99" s="2">
        <f>X11/'Output-Calculation-sheet'!X10*'Output-Calculation-sheet'!X82</f>
        <v>57638238.543713629</v>
      </c>
      <c r="Y99" s="2">
        <f>Y11/'Output-Calculation-sheet'!Y10*'Output-Calculation-sheet'!Y82</f>
        <v>224129643.51707733</v>
      </c>
      <c r="AA99" s="2">
        <f t="shared" si="8"/>
        <v>39.415261277727339</v>
      </c>
    </row>
    <row r="100" spans="1:27" x14ac:dyDescent="0.25">
      <c r="A100" s="2">
        <v>2035</v>
      </c>
      <c r="B100" s="2">
        <f>B12/'Output-Calculation-sheet'!B11*'Output-Calculation-sheet'!B83</f>
        <v>6501461329.302</v>
      </c>
      <c r="C100" s="2">
        <f>C12/'Output-Calculation-sheet'!C11*'Output-Calculation-sheet'!C83</f>
        <v>919861906.37167192</v>
      </c>
      <c r="D100" s="2">
        <f>D12/'Output-Calculation-sheet'!D11*'Output-Calculation-sheet'!D83</f>
        <v>3092121294.9256606</v>
      </c>
      <c r="E100" s="2">
        <f>E12/'Output-Calculation-sheet'!E11*'Output-Calculation-sheet'!E83</f>
        <v>5440024855.4277039</v>
      </c>
      <c r="F100" s="2">
        <f>F12/'Output-Calculation-sheet'!F11*'Output-Calculation-sheet'!F83</f>
        <v>2578064342.4397402</v>
      </c>
      <c r="G100" s="2">
        <f>G12/'Output-Calculation-sheet'!G11*'Output-Calculation-sheet'!G83</f>
        <v>1729044147.9989872</v>
      </c>
      <c r="H100" s="2">
        <f>H12/'Output-Calculation-sheet'!H11*'Output-Calculation-sheet'!H83</f>
        <v>582616742.50048316</v>
      </c>
      <c r="I100" s="2">
        <f>I12/'Output-Calculation-sheet'!I11*'Output-Calculation-sheet'!I83</f>
        <v>1400924840.3792496</v>
      </c>
      <c r="J100" s="2">
        <f>J12/'Output-Calculation-sheet'!J11*'Output-Calculation-sheet'!J83</f>
        <v>890031654.22920442</v>
      </c>
      <c r="K100" s="2">
        <f>K12/'Output-Calculation-sheet'!K11*'Output-Calculation-sheet'!K83</f>
        <v>1152069799.5425634</v>
      </c>
      <c r="L100" s="2">
        <f>L12/'Output-Calculation-sheet'!L11*'Output-Calculation-sheet'!L83</f>
        <v>900154879.24907398</v>
      </c>
      <c r="M100" s="2">
        <f>M12/'Output-Calculation-sheet'!M11*'Output-Calculation-sheet'!M83</f>
        <v>436699405.76263821</v>
      </c>
      <c r="N100" s="2">
        <f>N12/'Output-Calculation-sheet'!N11*'Output-Calculation-sheet'!N83</f>
        <v>411383598.28492177</v>
      </c>
      <c r="O100" s="2">
        <f>O12/'Output-Calculation-sheet'!O11*'Output-Calculation-sheet'!O83</f>
        <v>110986050.56896321</v>
      </c>
      <c r="P100" s="2">
        <f>P12/'Output-Calculation-sheet'!P11*'Output-Calculation-sheet'!P83</f>
        <v>974499761.63463414</v>
      </c>
      <c r="Q100" s="2">
        <f>Q12/'Output-Calculation-sheet'!Q11*'Output-Calculation-sheet'!Q83</f>
        <v>467347218.84375226</v>
      </c>
      <c r="R100" s="2">
        <f>R12/'Output-Calculation-sheet'!R11*'Output-Calculation-sheet'!R83</f>
        <v>736165766.82210636</v>
      </c>
      <c r="S100" s="2">
        <f>S12/'Output-Calculation-sheet'!S11*'Output-Calculation-sheet'!S83</f>
        <v>285522962.70127344</v>
      </c>
      <c r="T100" s="2">
        <f>T12/'Output-Calculation-sheet'!T11*'Output-Calculation-sheet'!T83</f>
        <v>355886733.31008261</v>
      </c>
      <c r="U100" s="2">
        <f>U12/'Output-Calculation-sheet'!U11*'Output-Calculation-sheet'!U83</f>
        <v>194953033.98149094</v>
      </c>
      <c r="V100" s="2">
        <f>V12/'Output-Calculation-sheet'!V11*'Output-Calculation-sheet'!V83</f>
        <v>123218671.84718731</v>
      </c>
      <c r="W100" s="2">
        <f>W12/'Output-Calculation-sheet'!W11*'Output-Calculation-sheet'!W83</f>
        <v>388820163.03434175</v>
      </c>
      <c r="X100" s="2">
        <f>X12/'Output-Calculation-sheet'!X11*'Output-Calculation-sheet'!X83</f>
        <v>45243877.89302592</v>
      </c>
      <c r="Y100" s="2">
        <f>Y12/'Output-Calculation-sheet'!Y11*'Output-Calculation-sheet'!Y83</f>
        <v>166939896.51974845</v>
      </c>
      <c r="AA100" s="2">
        <f t="shared" si="8"/>
        <v>29.884042933570512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3.6563562964257772E-4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3290811250.9767489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2254695378.746736</v>
      </c>
      <c r="N118" s="2">
        <f>N8/'Output-Calculation-sheet'!N7*'Output-Calculation-sheet'!N97</f>
        <v>1490494258.9692607</v>
      </c>
      <c r="O118" s="2">
        <f>O8/'Output-Calculation-sheet'!O7*'Output-Calculation-sheet'!O97</f>
        <v>2.0117190114565831E-5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369494489.59524882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214287905.16658613</v>
      </c>
      <c r="Y118" s="2">
        <f>Y8/'Output-Calculation-sheet'!Y7*'Output-Calculation-sheet'!Y97</f>
        <v>0</v>
      </c>
      <c r="AA118" s="2">
        <f t="shared" si="10"/>
        <v>7619.7832834549663</v>
      </c>
    </row>
    <row r="119" spans="1:27" x14ac:dyDescent="0.25">
      <c r="A119" s="2">
        <v>2032</v>
      </c>
      <c r="B119" s="2">
        <f>B9/'Output-Calculation-sheet'!B8*'Output-Calculation-sheet'!B98</f>
        <v>3148218.5274822884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3380728250.6869841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2313550402.9451981</v>
      </c>
      <c r="N119" s="2">
        <f>N9/'Output-Calculation-sheet'!N8*'Output-Calculation-sheet'!N98</f>
        <v>1687936713.6403794</v>
      </c>
      <c r="O119" s="2">
        <f>O9/'Output-Calculation-sheet'!O8*'Output-Calculation-sheet'!O98</f>
        <v>1.7215800050948311E-4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531093186.74134451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222818436.8056142</v>
      </c>
      <c r="Y119" s="2">
        <f>Y9/'Output-Calculation-sheet'!Y8*'Output-Calculation-sheet'!Y98</f>
        <v>0</v>
      </c>
      <c r="AA119" s="2">
        <f t="shared" si="10"/>
        <v>8139.2752093471745</v>
      </c>
    </row>
    <row r="120" spans="1:27" x14ac:dyDescent="0.25">
      <c r="A120" s="2">
        <v>2033</v>
      </c>
      <c r="B120" s="2">
        <f>B10/'Output-Calculation-sheet'!B9*'Output-Calculation-sheet'!B99</f>
        <v>3862662925.3242378</v>
      </c>
      <c r="C120" s="2">
        <f>C10/'Output-Calculation-sheet'!C9*'Output-Calculation-sheet'!C99</f>
        <v>7189477781.5639791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3180237585.0537391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2178443282.2181726</v>
      </c>
      <c r="N120" s="2">
        <f>N10/'Output-Calculation-sheet'!N9*'Output-Calculation-sheet'!N99</f>
        <v>1721906443.7708051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602327869.65769923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209920789.79198441</v>
      </c>
      <c r="Y120" s="2">
        <f>Y10/'Output-Calculation-sheet'!Y9*'Output-Calculation-sheet'!Y99</f>
        <v>0</v>
      </c>
      <c r="AA120" s="2">
        <f t="shared" si="10"/>
        <v>18944.976677380619</v>
      </c>
    </row>
    <row r="121" spans="1:27" x14ac:dyDescent="0.25">
      <c r="A121" s="2">
        <v>2034</v>
      </c>
      <c r="B121" s="2">
        <f>B11/'Output-Calculation-sheet'!B10*'Output-Calculation-sheet'!B100</f>
        <v>5525721212.4586191</v>
      </c>
      <c r="C121" s="2">
        <f>C11/'Output-Calculation-sheet'!C10*'Output-Calculation-sheet'!C100</f>
        <v>6401874773.6052475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2746786787.2283869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1881834852.5944867</v>
      </c>
      <c r="N121" s="2">
        <f>N11/'Output-Calculation-sheet'!N10*'Output-Calculation-sheet'!N100</f>
        <v>1536403436.3901637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589806066.2920475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182429969.71817228</v>
      </c>
      <c r="Y121" s="2">
        <f>Y11/'Output-Calculation-sheet'!Y10*'Output-Calculation-sheet'!Y100</f>
        <v>0</v>
      </c>
      <c r="AA121" s="2">
        <f t="shared" si="10"/>
        <v>18864.857098287121</v>
      </c>
    </row>
    <row r="122" spans="1:27" x14ac:dyDescent="0.25">
      <c r="A122" s="2">
        <v>2035</v>
      </c>
      <c r="B122" s="2">
        <f>B12/'Output-Calculation-sheet'!B11*'Output-Calculation-sheet'!B101</f>
        <v>5232955205.2400017</v>
      </c>
      <c r="C122" s="2">
        <f>C12/'Output-Calculation-sheet'!C11*'Output-Calculation-sheet'!C101</f>
        <v>5114747164.690527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2138451816.5066643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1463404783.6930296</v>
      </c>
      <c r="N122" s="2">
        <f>N12/'Output-Calculation-sheet'!N11*'Output-Calculation-sheet'!N101</f>
        <v>1223114632.3732929</v>
      </c>
      <c r="O122" s="2">
        <f>O12/'Output-Calculation-sheet'!O11*'Output-Calculation-sheet'!O101</f>
        <v>874153449.53167474</v>
      </c>
      <c r="P122" s="2">
        <f>P12/'Output-Calculation-sheet'!P11*'Output-Calculation-sheet'!P101</f>
        <v>0</v>
      </c>
      <c r="Q122" s="2">
        <f>Q12/'Output-Calculation-sheet'!Q11*'Output-Calculation-sheet'!Q101</f>
        <v>15957329.832589546</v>
      </c>
      <c r="R122" s="2">
        <f>R12/'Output-Calculation-sheet'!R11*'Output-Calculation-sheet'!R101</f>
        <v>0</v>
      </c>
      <c r="S122" s="2">
        <f>S12/'Output-Calculation-sheet'!S11*'Output-Calculation-sheet'!S101</f>
        <v>514968401.57161689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143277065.06643772</v>
      </c>
      <c r="Y122" s="2">
        <f>Y12/'Output-Calculation-sheet'!Y11*'Output-Calculation-sheet'!Y101</f>
        <v>0</v>
      </c>
      <c r="AA122" s="2">
        <f t="shared" si="10"/>
        <v>16721.029848505837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41242607916.099304</v>
      </c>
      <c r="C129" s="2">
        <f>C8/'Output-Calculation-sheet'!C7*'Output-Calculation-sheet'!C106</f>
        <v>0</v>
      </c>
      <c r="D129" s="2">
        <f>D8/'Output-Calculation-sheet'!D7*'Output-Calculation-sheet'!D106</f>
        <v>29855375221.879185</v>
      </c>
      <c r="E129" s="2">
        <f>E8/'Output-Calculation-sheet'!E7*'Output-Calculation-sheet'!E106</f>
        <v>20868625323.681583</v>
      </c>
      <c r="F129" s="2">
        <f>F8/'Output-Calculation-sheet'!F7*'Output-Calculation-sheet'!F106</f>
        <v>15536712344.964148</v>
      </c>
      <c r="G129" s="2">
        <f>G8/'Output-Calculation-sheet'!G7*'Output-Calculation-sheet'!G106</f>
        <v>10684359494.390028</v>
      </c>
      <c r="H129" s="2">
        <f>H8/'Output-Calculation-sheet'!H7*'Output-Calculation-sheet'!H106</f>
        <v>0</v>
      </c>
      <c r="I129" s="2">
        <f>I8/'Output-Calculation-sheet'!I7*'Output-Calculation-sheet'!I106</f>
        <v>9583048641.4767628</v>
      </c>
      <c r="J129" s="2">
        <f>J8/'Output-Calculation-sheet'!J7*'Output-Calculation-sheet'!J106</f>
        <v>9818485820.0663567</v>
      </c>
      <c r="K129" s="2">
        <f>K8/'Output-Calculation-sheet'!K7*'Output-Calculation-sheet'!K106</f>
        <v>8471173909.058897</v>
      </c>
      <c r="L129" s="2">
        <f>L8/'Output-Calculation-sheet'!L7*'Output-Calculation-sheet'!L106</f>
        <v>6701890829.5497789</v>
      </c>
      <c r="M129" s="2">
        <f>M8/'Output-Calculation-sheet'!M7*'Output-Calculation-sheet'!M106</f>
        <v>0</v>
      </c>
      <c r="N129" s="2">
        <f>N8/'Output-Calculation-sheet'!N7*'Output-Calculation-sheet'!N106</f>
        <v>1824165450.001353</v>
      </c>
      <c r="O129" s="2">
        <f>O8/'Output-Calculation-sheet'!O7*'Output-Calculation-sheet'!O106</f>
        <v>0</v>
      </c>
      <c r="P129" s="2">
        <f>P8/'Output-Calculation-sheet'!P7*'Output-Calculation-sheet'!P106</f>
        <v>4127228510.697062</v>
      </c>
      <c r="Q129" s="2">
        <f>Q8/'Output-Calculation-sheet'!Q7*'Output-Calculation-sheet'!Q106</f>
        <v>4044906270.5383644</v>
      </c>
      <c r="R129" s="2">
        <f>R8/'Output-Calculation-sheet'!R7*'Output-Calculation-sheet'!R106</f>
        <v>4812288506.8004599</v>
      </c>
      <c r="S129" s="2">
        <f>S8/'Output-Calculation-sheet'!S7*'Output-Calculation-sheet'!S106</f>
        <v>1641137258.9699595</v>
      </c>
      <c r="T129" s="2">
        <f>T8/'Output-Calculation-sheet'!T7*'Output-Calculation-sheet'!T106</f>
        <v>2083444814.4548438</v>
      </c>
      <c r="U129" s="2">
        <f>U8/'Output-Calculation-sheet'!U7*'Output-Calculation-sheet'!U106</f>
        <v>1466697858.7680368</v>
      </c>
      <c r="V129" s="2">
        <f>V8/'Output-Calculation-sheet'!V7*'Output-Calculation-sheet'!V106</f>
        <v>1319532063.6842966</v>
      </c>
      <c r="W129" s="2">
        <f>W8/'Output-Calculation-sheet'!W7*'Output-Calculation-sheet'!W106</f>
        <v>1346384497.4222553</v>
      </c>
      <c r="X129" s="2">
        <f>X8/'Output-Calculation-sheet'!X7*'Output-Calculation-sheet'!X106</f>
        <v>0</v>
      </c>
      <c r="Y129" s="2">
        <f>Y8/'Output-Calculation-sheet'!Y7*'Output-Calculation-sheet'!Y106</f>
        <v>607927499.47475815</v>
      </c>
      <c r="AA129" s="2">
        <f t="shared" si="11"/>
        <v>176035.99223197735</v>
      </c>
    </row>
    <row r="130" spans="1:27" x14ac:dyDescent="0.25">
      <c r="A130" s="2">
        <v>2032</v>
      </c>
      <c r="B130" s="2">
        <f>B9/'Output-Calculation-sheet'!B8*'Output-Calculation-sheet'!B107</f>
        <v>41555406712.30452</v>
      </c>
      <c r="C130" s="2">
        <f>C9/'Output-Calculation-sheet'!C8*'Output-Calculation-sheet'!C107</f>
        <v>0</v>
      </c>
      <c r="D130" s="2">
        <f>D9/'Output-Calculation-sheet'!D8*'Output-Calculation-sheet'!D107</f>
        <v>29857935117.448635</v>
      </c>
      <c r="E130" s="2">
        <f>E9/'Output-Calculation-sheet'!E8*'Output-Calculation-sheet'!E107</f>
        <v>20897552122.875439</v>
      </c>
      <c r="F130" s="2">
        <f>F9/'Output-Calculation-sheet'!F8*'Output-Calculation-sheet'!F107</f>
        <v>15533906169.094301</v>
      </c>
      <c r="G130" s="2">
        <f>G9/'Output-Calculation-sheet'!G8*'Output-Calculation-sheet'!G107</f>
        <v>10677091579.912537</v>
      </c>
      <c r="H130" s="2">
        <f>H9/'Output-Calculation-sheet'!H8*'Output-Calculation-sheet'!H107</f>
        <v>0</v>
      </c>
      <c r="I130" s="2">
        <f>I9/'Output-Calculation-sheet'!I8*'Output-Calculation-sheet'!I107</f>
        <v>9584649530.4920864</v>
      </c>
      <c r="J130" s="2">
        <f>J9/'Output-Calculation-sheet'!J8*'Output-Calculation-sheet'!J107</f>
        <v>9814106960.8239651</v>
      </c>
      <c r="K130" s="2">
        <f>K9/'Output-Calculation-sheet'!K8*'Output-Calculation-sheet'!K107</f>
        <v>8480869772.9740963</v>
      </c>
      <c r="L130" s="2">
        <f>L9/'Output-Calculation-sheet'!L8*'Output-Calculation-sheet'!L107</f>
        <v>6711406188.2192307</v>
      </c>
      <c r="M130" s="2">
        <f>M9/'Output-Calculation-sheet'!M8*'Output-Calculation-sheet'!M107</f>
        <v>0</v>
      </c>
      <c r="N130" s="2">
        <f>N9/'Output-Calculation-sheet'!N8*'Output-Calculation-sheet'!N107</f>
        <v>1620101780.5298064</v>
      </c>
      <c r="O130" s="2">
        <f>O9/'Output-Calculation-sheet'!O8*'Output-Calculation-sheet'!O107</f>
        <v>0</v>
      </c>
      <c r="P130" s="2">
        <f>P9/'Output-Calculation-sheet'!P8*'Output-Calculation-sheet'!P107</f>
        <v>4163572604.4232969</v>
      </c>
      <c r="Q130" s="2">
        <f>Q9/'Output-Calculation-sheet'!Q8*'Output-Calculation-sheet'!Q107</f>
        <v>4083030787.6254778</v>
      </c>
      <c r="R130" s="2">
        <f>R9/'Output-Calculation-sheet'!R8*'Output-Calculation-sheet'!R107</f>
        <v>4818528122.2073765</v>
      </c>
      <c r="S130" s="2">
        <f>S9/'Output-Calculation-sheet'!S8*'Output-Calculation-sheet'!S107</f>
        <v>1548044078.222898</v>
      </c>
      <c r="T130" s="2">
        <f>T9/'Output-Calculation-sheet'!T8*'Output-Calculation-sheet'!T107</f>
        <v>2083998861.1218398</v>
      </c>
      <c r="U130" s="2">
        <f>U9/'Output-Calculation-sheet'!U8*'Output-Calculation-sheet'!U107</f>
        <v>1470035931.1951301</v>
      </c>
      <c r="V130" s="2">
        <f>V9/'Output-Calculation-sheet'!V8*'Output-Calculation-sheet'!V107</f>
        <v>1323432819.2657168</v>
      </c>
      <c r="W130" s="2">
        <f>W9/'Output-Calculation-sheet'!W8*'Output-Calculation-sheet'!W107</f>
        <v>1346979245.1129637</v>
      </c>
      <c r="X130" s="2">
        <f>X9/'Output-Calculation-sheet'!X8*'Output-Calculation-sheet'!X107</f>
        <v>0</v>
      </c>
      <c r="Y130" s="2">
        <f>Y9/'Output-Calculation-sheet'!Y8*'Output-Calculation-sheet'!Y107</f>
        <v>608846977.71599996</v>
      </c>
      <c r="AA130" s="2">
        <f t="shared" si="11"/>
        <v>176179.49536156535</v>
      </c>
    </row>
    <row r="131" spans="1:27" x14ac:dyDescent="0.25">
      <c r="A131" s="2">
        <v>2033</v>
      </c>
      <c r="B131" s="2">
        <f>B10/'Output-Calculation-sheet'!B9*'Output-Calculation-sheet'!B108</f>
        <v>36074405896.042862</v>
      </c>
      <c r="C131" s="2">
        <f>C10/'Output-Calculation-sheet'!C9*'Output-Calculation-sheet'!C108</f>
        <v>0</v>
      </c>
      <c r="D131" s="2">
        <f>D10/'Output-Calculation-sheet'!D9*'Output-Calculation-sheet'!D108</f>
        <v>27407581766.468395</v>
      </c>
      <c r="E131" s="2">
        <f>E10/'Output-Calculation-sheet'!E9*'Output-Calculation-sheet'!E108</f>
        <v>19193690508.337448</v>
      </c>
      <c r="F131" s="2">
        <f>F10/'Output-Calculation-sheet'!F9*'Output-Calculation-sheet'!F108</f>
        <v>14263002802.630592</v>
      </c>
      <c r="G131" s="2">
        <f>G10/'Output-Calculation-sheet'!G9*'Output-Calculation-sheet'!G108</f>
        <v>9801107151.8628731</v>
      </c>
      <c r="H131" s="2">
        <f>H10/'Output-Calculation-sheet'!H9*'Output-Calculation-sheet'!H108</f>
        <v>0</v>
      </c>
      <c r="I131" s="2">
        <f>I10/'Output-Calculation-sheet'!I9*'Output-Calculation-sheet'!I108</f>
        <v>8799940358.3915958</v>
      </c>
      <c r="J131" s="2">
        <f>J10/'Output-Calculation-sheet'!J9*'Output-Calculation-sheet'!J108</f>
        <v>9007321657.6420002</v>
      </c>
      <c r="K131" s="2">
        <f>K10/'Output-Calculation-sheet'!K9*'Output-Calculation-sheet'!K108</f>
        <v>7799678114.8202906</v>
      </c>
      <c r="L131" s="2">
        <f>L10/'Output-Calculation-sheet'!L9*'Output-Calculation-sheet'!L108</f>
        <v>6167984020.6503448</v>
      </c>
      <c r="M131" s="2">
        <f>M10/'Output-Calculation-sheet'!M9*'Output-Calculation-sheet'!M108</f>
        <v>0</v>
      </c>
      <c r="N131" s="2">
        <f>N10/'Output-Calculation-sheet'!N9*'Output-Calculation-sheet'!N108</f>
        <v>1310860821.4344578</v>
      </c>
      <c r="O131" s="2">
        <f>O10/'Output-Calculation-sheet'!O9*'Output-Calculation-sheet'!O108</f>
        <v>0</v>
      </c>
      <c r="P131" s="2">
        <f>P10/'Output-Calculation-sheet'!P9*'Output-Calculation-sheet'!P108</f>
        <v>3847261652.2357249</v>
      </c>
      <c r="Q131" s="2">
        <f>Q10/'Output-Calculation-sheet'!Q9*'Output-Calculation-sheet'!Q108</f>
        <v>3778729521.5328641</v>
      </c>
      <c r="R131" s="2">
        <f>R10/'Output-Calculation-sheet'!R9*'Output-Calculation-sheet'!R108</f>
        <v>4434777623.4589462</v>
      </c>
      <c r="S131" s="2">
        <f>S10/'Output-Calculation-sheet'!S9*'Output-Calculation-sheet'!S108</f>
        <v>1333486411.3749111</v>
      </c>
      <c r="T131" s="2">
        <f>T10/'Output-Calculation-sheet'!T9*'Output-Calculation-sheet'!T108</f>
        <v>1915047011.4266489</v>
      </c>
      <c r="U131" s="2">
        <f>U10/'Output-Calculation-sheet'!U9*'Output-Calculation-sheet'!U108</f>
        <v>1351194829.4698417</v>
      </c>
      <c r="V131" s="2">
        <f>V10/'Output-Calculation-sheet'!V9*'Output-Calculation-sheet'!V108</f>
        <v>1217404048.3873515</v>
      </c>
      <c r="W131" s="2">
        <f>W10/'Output-Calculation-sheet'!W9*'Output-Calculation-sheet'!W108</f>
        <v>1235902813.7297695</v>
      </c>
      <c r="X131" s="2">
        <f>X10/'Output-Calculation-sheet'!X9*'Output-Calculation-sheet'!X108</f>
        <v>0</v>
      </c>
      <c r="Y131" s="2">
        <f>Y10/'Output-Calculation-sheet'!Y9*'Output-Calculation-sheet'!Y108</f>
        <v>559882450.67676187</v>
      </c>
      <c r="AA131" s="2">
        <f t="shared" si="11"/>
        <v>159499.2594605737</v>
      </c>
    </row>
    <row r="132" spans="1:27" x14ac:dyDescent="0.25">
      <c r="A132" s="2">
        <v>2034</v>
      </c>
      <c r="B132" s="2">
        <f>B11/'Output-Calculation-sheet'!B10*'Output-Calculation-sheet'!B109</f>
        <v>29035348957.115417</v>
      </c>
      <c r="C132" s="2">
        <f>C11/'Output-Calculation-sheet'!C10*'Output-Calculation-sheet'!C109</f>
        <v>0</v>
      </c>
      <c r="D132" s="2">
        <f>D11/'Output-Calculation-sheet'!D10*'Output-Calculation-sheet'!D109</f>
        <v>23074367492.029903</v>
      </c>
      <c r="E132" s="2">
        <f>E11/'Output-Calculation-sheet'!E10*'Output-Calculation-sheet'!E109</f>
        <v>16184956276.053307</v>
      </c>
      <c r="F132" s="2">
        <f>F11/'Output-Calculation-sheet'!F10*'Output-Calculation-sheet'!F109</f>
        <v>12014093188.795208</v>
      </c>
      <c r="G132" s="2">
        <f>G11/'Output-Calculation-sheet'!G10*'Output-Calculation-sheet'!G109</f>
        <v>8248229697.9651613</v>
      </c>
      <c r="H132" s="2">
        <f>H11/'Output-Calculation-sheet'!H10*'Output-Calculation-sheet'!H109</f>
        <v>0</v>
      </c>
      <c r="I132" s="2">
        <f>I11/'Output-Calculation-sheet'!I10*'Output-Calculation-sheet'!I109</f>
        <v>7420132673.2184877</v>
      </c>
      <c r="J132" s="2">
        <f>J11/'Output-Calculation-sheet'!J10*'Output-Calculation-sheet'!J109</f>
        <v>7582411039.3416958</v>
      </c>
      <c r="K132" s="2">
        <f>K11/'Output-Calculation-sheet'!K10*'Output-Calculation-sheet'!K109</f>
        <v>6580962197.3297834</v>
      </c>
      <c r="L132" s="2">
        <f>L11/'Output-Calculation-sheet'!L10*'Output-Calculation-sheet'!L109</f>
        <v>5199538663.0026274</v>
      </c>
      <c r="M132" s="2">
        <f>M11/'Output-Calculation-sheet'!M10*'Output-Calculation-sheet'!M109</f>
        <v>0</v>
      </c>
      <c r="N132" s="2">
        <f>N11/'Output-Calculation-sheet'!N10*'Output-Calculation-sheet'!N109</f>
        <v>1022293576.0595644</v>
      </c>
      <c r="O132" s="2">
        <f>O11/'Output-Calculation-sheet'!O10*'Output-Calculation-sheet'!O109</f>
        <v>0</v>
      </c>
      <c r="P132" s="2">
        <f>P11/'Output-Calculation-sheet'!P10*'Output-Calculation-sheet'!P109</f>
        <v>3259962339.955256</v>
      </c>
      <c r="Q132" s="2">
        <f>Q11/'Output-Calculation-sheet'!Q10*'Output-Calculation-sheet'!Q109</f>
        <v>3208928304.2601886</v>
      </c>
      <c r="R132" s="2">
        <f>R11/'Output-Calculation-sheet'!R10*'Output-Calculation-sheet'!R109</f>
        <v>3742577432.5216775</v>
      </c>
      <c r="S132" s="2">
        <f>S11/'Output-Calculation-sheet'!S10*'Output-Calculation-sheet'!S109</f>
        <v>1092780267.9242134</v>
      </c>
      <c r="T132" s="2">
        <f>T11/'Output-Calculation-sheet'!T10*'Output-Calculation-sheet'!T109</f>
        <v>1614500558.8942785</v>
      </c>
      <c r="U132" s="2">
        <f>U11/'Output-Calculation-sheet'!U10*'Output-Calculation-sheet'!U109</f>
        <v>1141398476.6178164</v>
      </c>
      <c r="V132" s="2">
        <f>V11/'Output-Calculation-sheet'!V10*'Output-Calculation-sheet'!V109</f>
        <v>1028297277.0728669</v>
      </c>
      <c r="W132" s="2">
        <f>W11/'Output-Calculation-sheet'!W10*'Output-Calculation-sheet'!W109</f>
        <v>1040712578.246094</v>
      </c>
      <c r="X132" s="2">
        <f>X11/'Output-Calculation-sheet'!X10*'Output-Calculation-sheet'!X109</f>
        <v>0</v>
      </c>
      <c r="Y132" s="2">
        <f>Y11/'Output-Calculation-sheet'!Y10*'Output-Calculation-sheet'!Y109</f>
        <v>472137956.82098573</v>
      </c>
      <c r="AA132" s="2">
        <f t="shared" si="11"/>
        <v>132963.62895322454</v>
      </c>
    </row>
    <row r="133" spans="1:27" x14ac:dyDescent="0.25">
      <c r="A133" s="2">
        <v>2035</v>
      </c>
      <c r="B133" s="2">
        <f>B12/'Output-Calculation-sheet'!B11*'Output-Calculation-sheet'!B110</f>
        <v>21400030144.995968</v>
      </c>
      <c r="C133" s="2">
        <f>C12/'Output-Calculation-sheet'!C11*'Output-Calculation-sheet'!C110</f>
        <v>0</v>
      </c>
      <c r="D133" s="2">
        <f>D12/'Output-Calculation-sheet'!D11*'Output-Calculation-sheet'!D110</f>
        <v>17606079763.539837</v>
      </c>
      <c r="E133" s="2">
        <f>E12/'Output-Calculation-sheet'!E11*'Output-Calculation-sheet'!E110</f>
        <v>12357199618.674604</v>
      </c>
      <c r="F133" s="2">
        <f>F12/'Output-Calculation-sheet'!F11*'Output-Calculation-sheet'!F110</f>
        <v>9164283464.853838</v>
      </c>
      <c r="G133" s="2">
        <f>G12/'Output-Calculation-sheet'!G11*'Output-Calculation-sheet'!G110</f>
        <v>6284286186.1914625</v>
      </c>
      <c r="H133" s="2">
        <f>H12/'Output-Calculation-sheet'!H11*'Output-Calculation-sheet'!H110</f>
        <v>0</v>
      </c>
      <c r="I133" s="2">
        <f>I12/'Output-Calculation-sheet'!I11*'Output-Calculation-sheet'!I110</f>
        <v>5660245565.0646105</v>
      </c>
      <c r="J133" s="2">
        <f>J12/'Output-Calculation-sheet'!J11*'Output-Calculation-sheet'!J110</f>
        <v>5775411513.2901506</v>
      </c>
      <c r="K133" s="2">
        <f>K12/'Output-Calculation-sheet'!K11*'Output-Calculation-sheet'!K110</f>
        <v>5025097872.4312792</v>
      </c>
      <c r="L133" s="2">
        <f>L12/'Output-Calculation-sheet'!L11*'Output-Calculation-sheet'!L110</f>
        <v>3967195763.6549754</v>
      </c>
      <c r="M133" s="2">
        <f>M12/'Output-Calculation-sheet'!M11*'Output-Calculation-sheet'!M110</f>
        <v>0</v>
      </c>
      <c r="N133" s="2">
        <f>N12/'Output-Calculation-sheet'!N11*'Output-Calculation-sheet'!N110</f>
        <v>732400063.76633334</v>
      </c>
      <c r="O133" s="2">
        <f>O12/'Output-Calculation-sheet'!O11*'Output-Calculation-sheet'!O110</f>
        <v>0</v>
      </c>
      <c r="P133" s="2">
        <f>P12/'Output-Calculation-sheet'!P11*'Output-Calculation-sheet'!P110</f>
        <v>2501524958.9374213</v>
      </c>
      <c r="Q133" s="2">
        <f>Q12/'Output-Calculation-sheet'!Q11*'Output-Calculation-sheet'!Q110</f>
        <v>2458407628.7266855</v>
      </c>
      <c r="R133" s="2">
        <f>R12/'Output-Calculation-sheet'!R11*'Output-Calculation-sheet'!R110</f>
        <v>2863574920.9968758</v>
      </c>
      <c r="S133" s="2">
        <f>S12/'Output-Calculation-sheet'!S11*'Output-Calculation-sheet'!S110</f>
        <v>771190772.86104858</v>
      </c>
      <c r="T133" s="2">
        <f>T12/'Output-Calculation-sheet'!T11*'Output-Calculation-sheet'!T110</f>
        <v>1232008131.9707038</v>
      </c>
      <c r="U133" s="2">
        <f>U12/'Output-Calculation-sheet'!U11*'Output-Calculation-sheet'!U110</f>
        <v>872260120.98424923</v>
      </c>
      <c r="V133" s="2">
        <f>V12/'Output-Calculation-sheet'!V11*'Output-Calculation-sheet'!V110</f>
        <v>786785861.92426312</v>
      </c>
      <c r="W133" s="2">
        <f>W12/'Output-Calculation-sheet'!W11*'Output-Calculation-sheet'!W110</f>
        <v>793390344.03253472</v>
      </c>
      <c r="X133" s="2">
        <f>X12/'Output-Calculation-sheet'!X11*'Output-Calculation-sheet'!X110</f>
        <v>0</v>
      </c>
      <c r="Y133" s="2">
        <f>Y12/'Output-Calculation-sheet'!Y11*'Output-Calculation-sheet'!Y110</f>
        <v>360691636.13027966</v>
      </c>
      <c r="AA133" s="2">
        <f t="shared" si="11"/>
        <v>100612.0643330271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51292829095.477051</v>
      </c>
      <c r="C151" s="2">
        <f>C8/'Output-Calculation-sheet'!C7*'Output-Calculation-sheet'!C124</f>
        <v>43607333087.952705</v>
      </c>
      <c r="D151" s="2">
        <f>D8/'Output-Calculation-sheet'!D7*'Output-Calculation-sheet'!D124</f>
        <v>9010459989.977602</v>
      </c>
      <c r="E151" s="2">
        <f>E8/'Output-Calculation-sheet'!E7*'Output-Calculation-sheet'!E124</f>
        <v>9967501001.2609863</v>
      </c>
      <c r="F151" s="2">
        <f>F8/'Output-Calculation-sheet'!F7*'Output-Calculation-sheet'!F124</f>
        <v>4313603600.327301</v>
      </c>
      <c r="G151" s="2">
        <f>G8/'Output-Calculation-sheet'!G7*'Output-Calculation-sheet'!G124</f>
        <v>3263050866.5952387</v>
      </c>
      <c r="H151" s="2">
        <f>H8/'Output-Calculation-sheet'!H7*'Output-Calculation-sheet'!H124</f>
        <v>10314366594.407314</v>
      </c>
      <c r="I151" s="2">
        <f>I8/'Output-Calculation-sheet'!I7*'Output-Calculation-sheet'!I124</f>
        <v>3124110548.0934258</v>
      </c>
      <c r="J151" s="2">
        <f>J8/'Output-Calculation-sheet'!J7*'Output-Calculation-sheet'!J124</f>
        <v>2549748613.830348</v>
      </c>
      <c r="K151" s="2">
        <f>K8/'Output-Calculation-sheet'!K7*'Output-Calculation-sheet'!K124</f>
        <v>3778503117.5125909</v>
      </c>
      <c r="L151" s="2">
        <f>L8/'Output-Calculation-sheet'!L7*'Output-Calculation-sheet'!L124</f>
        <v>3124983581.4329772</v>
      </c>
      <c r="M151" s="2">
        <f>M8/'Output-Calculation-sheet'!M7*'Output-Calculation-sheet'!M124</f>
        <v>7131684016.3280258</v>
      </c>
      <c r="N151" s="2">
        <f>N8/'Output-Calculation-sheet'!N7*'Output-Calculation-sheet'!N124</f>
        <v>5898029400.5140734</v>
      </c>
      <c r="O151" s="2">
        <f>O8/'Output-Calculation-sheet'!O7*'Output-Calculation-sheet'!O124</f>
        <v>8472942688.4115639</v>
      </c>
      <c r="P151" s="2">
        <f>P8/'Output-Calculation-sheet'!P7*'Output-Calculation-sheet'!P124</f>
        <v>4259545788.7032113</v>
      </c>
      <c r="Q151" s="2">
        <f>Q8/'Output-Calculation-sheet'!Q7*'Output-Calculation-sheet'!Q124</f>
        <v>4206308029.2559571</v>
      </c>
      <c r="R151" s="2">
        <f>R8/'Output-Calculation-sheet'!R7*'Output-Calculation-sheet'!R124</f>
        <v>3125774508.3342142</v>
      </c>
      <c r="S151" s="2">
        <f>S8/'Output-Calculation-sheet'!S7*'Output-Calculation-sheet'!S124</f>
        <v>3265399275.7206116</v>
      </c>
      <c r="T151" s="2">
        <f>T8/'Output-Calculation-sheet'!T7*'Output-Calculation-sheet'!T124</f>
        <v>834498892.64523637</v>
      </c>
      <c r="U151" s="2">
        <f>U8/'Output-Calculation-sheet'!U7*'Output-Calculation-sheet'!U124</f>
        <v>1074736158.1175921</v>
      </c>
      <c r="V151" s="2">
        <f>V8/'Output-Calculation-sheet'!V7*'Output-Calculation-sheet'!V124</f>
        <v>637414491.47435963</v>
      </c>
      <c r="W151" s="2">
        <f>W8/'Output-Calculation-sheet'!W7*'Output-Calculation-sheet'!W124</f>
        <v>347910676.32698059</v>
      </c>
      <c r="X151" s="2">
        <f>X8/'Output-Calculation-sheet'!X7*'Output-Calculation-sheet'!X124</f>
        <v>802283909.49812126</v>
      </c>
      <c r="Y151" s="2">
        <f>Y8/'Output-Calculation-sheet'!Y7*'Output-Calculation-sheet'!Y124</f>
        <v>380679115.37822008</v>
      </c>
      <c r="AA151" s="2">
        <f t="shared" si="13"/>
        <v>184783.69704757576</v>
      </c>
    </row>
    <row r="152" spans="1:27" x14ac:dyDescent="0.25">
      <c r="A152" s="2">
        <v>2032</v>
      </c>
      <c r="B152" s="2">
        <f>B9/'Output-Calculation-sheet'!B8*'Output-Calculation-sheet'!B125</f>
        <v>50804872012.218239</v>
      </c>
      <c r="C152" s="2">
        <f>C9/'Output-Calculation-sheet'!C8*'Output-Calculation-sheet'!C125</f>
        <v>43526272555.191254</v>
      </c>
      <c r="D152" s="2">
        <f>D9/'Output-Calculation-sheet'!D8*'Output-Calculation-sheet'!D125</f>
        <v>8935653408.234129</v>
      </c>
      <c r="E152" s="2">
        <f>E9/'Output-Calculation-sheet'!E8*'Output-Calculation-sheet'!E125</f>
        <v>9881256744.606123</v>
      </c>
      <c r="F152" s="2">
        <f>F9/'Output-Calculation-sheet'!F8*'Output-Calculation-sheet'!F125</f>
        <v>4279510542.2365899</v>
      </c>
      <c r="G152" s="2">
        <f>G9/'Output-Calculation-sheet'!G8*'Output-Calculation-sheet'!G125</f>
        <v>3244392304.1606083</v>
      </c>
      <c r="H152" s="2">
        <f>H9/'Output-Calculation-sheet'!H8*'Output-Calculation-sheet'!H125</f>
        <v>10199159284.87151</v>
      </c>
      <c r="I152" s="2">
        <f>I9/'Output-Calculation-sheet'!I8*'Output-Calculation-sheet'!I125</f>
        <v>3098888652.6819191</v>
      </c>
      <c r="J152" s="2">
        <f>J9/'Output-Calculation-sheet'!J8*'Output-Calculation-sheet'!J125</f>
        <v>2531135274.6481614</v>
      </c>
      <c r="K152" s="2">
        <f>K9/'Output-Calculation-sheet'!K8*'Output-Calculation-sheet'!K125</f>
        <v>3746036648.8478007</v>
      </c>
      <c r="L152" s="2">
        <f>L9/'Output-Calculation-sheet'!L8*'Output-Calculation-sheet'!L125</f>
        <v>3097201302.5295463</v>
      </c>
      <c r="M152" s="2">
        <f>M9/'Output-Calculation-sheet'!M8*'Output-Calculation-sheet'!M125</f>
        <v>7055380896.5780354</v>
      </c>
      <c r="N152" s="2">
        <f>N9/'Output-Calculation-sheet'!N8*'Output-Calculation-sheet'!N125</f>
        <v>5887525388.0992937</v>
      </c>
      <c r="O152" s="2">
        <f>O9/'Output-Calculation-sheet'!O8*'Output-Calculation-sheet'!O125</f>
        <v>8457192556.5015335</v>
      </c>
      <c r="P152" s="2">
        <f>P9/'Output-Calculation-sheet'!P8*'Output-Calculation-sheet'!P125</f>
        <v>4207610916.2429843</v>
      </c>
      <c r="Q152" s="2">
        <f>Q9/'Output-Calculation-sheet'!Q8*'Output-Calculation-sheet'!Q125</f>
        <v>4152845545.3704338</v>
      </c>
      <c r="R152" s="2">
        <f>R9/'Output-Calculation-sheet'!R8*'Output-Calculation-sheet'!R125</f>
        <v>3104779034.87464</v>
      </c>
      <c r="S152" s="2">
        <f>S9/'Output-Calculation-sheet'!S8*'Output-Calculation-sheet'!S125</f>
        <v>3187086640.4908209</v>
      </c>
      <c r="T152" s="2">
        <f>T9/'Output-Calculation-sheet'!T8*'Output-Calculation-sheet'!T125</f>
        <v>828520756.61720562</v>
      </c>
      <c r="U152" s="2">
        <f>U9/'Output-Calculation-sheet'!U8*'Output-Calculation-sheet'!U125</f>
        <v>1066673880.3608286</v>
      </c>
      <c r="V152" s="2">
        <f>V9/'Output-Calculation-sheet'!V8*'Output-Calculation-sheet'!V125</f>
        <v>629876019.04318607</v>
      </c>
      <c r="W152" s="2">
        <f>W9/'Output-Calculation-sheet'!W8*'Output-Calculation-sheet'!W125</f>
        <v>344166613.86312008</v>
      </c>
      <c r="X152" s="2">
        <f>X9/'Output-Calculation-sheet'!X8*'Output-Calculation-sheet'!X125</f>
        <v>791863599.62348723</v>
      </c>
      <c r="Y152" s="2">
        <f>Y9/'Output-Calculation-sheet'!Y8*'Output-Calculation-sheet'!Y125</f>
        <v>377921942.11605483</v>
      </c>
      <c r="AA152" s="2">
        <f t="shared" si="13"/>
        <v>183435.82252000747</v>
      </c>
    </row>
    <row r="153" spans="1:27" x14ac:dyDescent="0.25">
      <c r="A153" s="2">
        <v>2033</v>
      </c>
      <c r="B153" s="2">
        <f>B10/'Output-Calculation-sheet'!B9*'Output-Calculation-sheet'!B126</f>
        <v>44698396916.095123</v>
      </c>
      <c r="C153" s="2">
        <f>C10/'Output-Calculation-sheet'!C9*'Output-Calculation-sheet'!C126</f>
        <v>32695080977.353432</v>
      </c>
      <c r="D153" s="2">
        <f>D10/'Output-Calculation-sheet'!D9*'Output-Calculation-sheet'!D126</f>
        <v>8140182182.1949329</v>
      </c>
      <c r="E153" s="2">
        <f>E10/'Output-Calculation-sheet'!E9*'Output-Calculation-sheet'!E126</f>
        <v>9009883170.2851067</v>
      </c>
      <c r="F153" s="2">
        <f>F10/'Output-Calculation-sheet'!F9*'Output-Calculation-sheet'!F126</f>
        <v>3892643195.5374937</v>
      </c>
      <c r="G153" s="2">
        <f>G10/'Output-Calculation-sheet'!G9*'Output-Calculation-sheet'!G126</f>
        <v>2955578726.7463198</v>
      </c>
      <c r="H153" s="2">
        <f>H10/'Output-Calculation-sheet'!H9*'Output-Calculation-sheet'!H126</f>
        <v>9263433003.5498619</v>
      </c>
      <c r="I153" s="2">
        <f>I10/'Output-Calculation-sheet'!I9*'Output-Calculation-sheet'!I126</f>
        <v>2822376499.3135886</v>
      </c>
      <c r="J153" s="2">
        <f>J10/'Output-Calculation-sheet'!J9*'Output-Calculation-sheet'!J126</f>
        <v>2305006399.1537981</v>
      </c>
      <c r="K153" s="2">
        <f>K10/'Output-Calculation-sheet'!K9*'Output-Calculation-sheet'!K126</f>
        <v>3404214070.0332355</v>
      </c>
      <c r="L153" s="2">
        <f>L10/'Output-Calculation-sheet'!L9*'Output-Calculation-sheet'!L126</f>
        <v>2819946124.4403472</v>
      </c>
      <c r="M153" s="2">
        <f>M10/'Output-Calculation-sheet'!M9*'Output-Calculation-sheet'!M126</f>
        <v>6406597982.1703472</v>
      </c>
      <c r="N153" s="2">
        <f>N10/'Output-Calculation-sheet'!N9*'Output-Calculation-sheet'!N126</f>
        <v>5393412077.4292059</v>
      </c>
      <c r="O153" s="2">
        <f>O10/'Output-Calculation-sheet'!O9*'Output-Calculation-sheet'!O126</f>
        <v>7749586880.0041084</v>
      </c>
      <c r="P153" s="2">
        <f>P10/'Output-Calculation-sheet'!P9*'Output-Calculation-sheet'!P126</f>
        <v>3823512490.4187684</v>
      </c>
      <c r="Q153" s="2">
        <f>Q10/'Output-Calculation-sheet'!Q9*'Output-Calculation-sheet'!Q126</f>
        <v>3768058463.8554759</v>
      </c>
      <c r="R153" s="2">
        <f>R10/'Output-Calculation-sheet'!R9*'Output-Calculation-sheet'!R126</f>
        <v>2825593567.1629229</v>
      </c>
      <c r="S153" s="2">
        <f>S10/'Output-Calculation-sheet'!S9*'Output-Calculation-sheet'!S126</f>
        <v>2889789418.0938501</v>
      </c>
      <c r="T153" s="2">
        <f>T10/'Output-Calculation-sheet'!T9*'Output-Calculation-sheet'!T126</f>
        <v>753784715.72062874</v>
      </c>
      <c r="U153" s="2">
        <f>U10/'Output-Calculation-sheet'!U9*'Output-Calculation-sheet'!U126</f>
        <v>973270759.16088688</v>
      </c>
      <c r="V153" s="2">
        <f>V10/'Output-Calculation-sheet'!V9*'Output-Calculation-sheet'!V126</f>
        <v>572473200.45426261</v>
      </c>
      <c r="W153" s="2">
        <f>W10/'Output-Calculation-sheet'!W9*'Output-Calculation-sheet'!W126</f>
        <v>313746243.53334284</v>
      </c>
      <c r="X153" s="2">
        <f>X10/'Output-Calculation-sheet'!X9*'Output-Calculation-sheet'!X126</f>
        <v>719863806.56582355</v>
      </c>
      <c r="Y153" s="2">
        <f>Y10/'Output-Calculation-sheet'!Y9*'Output-Calculation-sheet'!Y126</f>
        <v>344324403.26882893</v>
      </c>
      <c r="AA153" s="2">
        <f t="shared" si="13"/>
        <v>158540.75527254169</v>
      </c>
    </row>
    <row r="154" spans="1:27" x14ac:dyDescent="0.25">
      <c r="A154" s="2">
        <v>2034</v>
      </c>
      <c r="B154" s="2">
        <f>B11/'Output-Calculation-sheet'!B10*'Output-Calculation-sheet'!B127</f>
        <v>36601878751.37146</v>
      </c>
      <c r="C154" s="2">
        <f>C11/'Output-Calculation-sheet'!C10*'Output-Calculation-sheet'!C127</f>
        <v>27133746210.832901</v>
      </c>
      <c r="D154" s="2">
        <f>D11/'Output-Calculation-sheet'!D10*'Output-Calculation-sheet'!D127</f>
        <v>6814799123.7377996</v>
      </c>
      <c r="E154" s="2">
        <f>E11/'Output-Calculation-sheet'!E10*'Output-Calculation-sheet'!E127</f>
        <v>7529092135.7645626</v>
      </c>
      <c r="F154" s="2">
        <f>F11/'Output-Calculation-sheet'!F10*'Output-Calculation-sheet'!F127</f>
        <v>3251485317.4748859</v>
      </c>
      <c r="G154" s="2">
        <f>G11/'Output-Calculation-sheet'!G10*'Output-Calculation-sheet'!G127</f>
        <v>2477810553.061152</v>
      </c>
      <c r="H154" s="2">
        <f>H11/'Output-Calculation-sheet'!H10*'Output-Calculation-sheet'!H127</f>
        <v>7716064840.0648232</v>
      </c>
      <c r="I154" s="2">
        <f>I11/'Output-Calculation-sheet'!I10*'Output-Calculation-sheet'!I127</f>
        <v>2352111594.060709</v>
      </c>
      <c r="J154" s="2">
        <f>J11/'Output-Calculation-sheet'!J10*'Output-Calculation-sheet'!J127</f>
        <v>1929188385.8245852</v>
      </c>
      <c r="K154" s="2">
        <f>K11/'Output-Calculation-sheet'!K10*'Output-Calculation-sheet'!K127</f>
        <v>2839463413.2854605</v>
      </c>
      <c r="L154" s="2">
        <f>L11/'Output-Calculation-sheet'!L10*'Output-Calculation-sheet'!L127</f>
        <v>2357667136.9230618</v>
      </c>
      <c r="M154" s="2">
        <f>M11/'Output-Calculation-sheet'!M10*'Output-Calculation-sheet'!M127</f>
        <v>5336615067.299015</v>
      </c>
      <c r="N154" s="2">
        <f>N11/'Output-Calculation-sheet'!N10*'Output-Calculation-sheet'!N127</f>
        <v>4526179079.3112965</v>
      </c>
      <c r="O154" s="2">
        <f>O11/'Output-Calculation-sheet'!O10*'Output-Calculation-sheet'!O127</f>
        <v>6515985546.3033466</v>
      </c>
      <c r="P154" s="2">
        <f>P11/'Output-Calculation-sheet'!P10*'Output-Calculation-sheet'!P127</f>
        <v>3189756105.2256069</v>
      </c>
      <c r="Q154" s="2">
        <f>Q11/'Output-Calculation-sheet'!Q10*'Output-Calculation-sheet'!Q127</f>
        <v>3136540453.6537929</v>
      </c>
      <c r="R154" s="2">
        <f>R11/'Output-Calculation-sheet'!R10*'Output-Calculation-sheet'!R127</f>
        <v>2362067172.5936112</v>
      </c>
      <c r="S154" s="2">
        <f>S11/'Output-Calculation-sheet'!S10*'Output-Calculation-sheet'!S127</f>
        <v>2374864010.2438169</v>
      </c>
      <c r="T154" s="2">
        <f>T11/'Output-Calculation-sheet'!T10*'Output-Calculation-sheet'!T127</f>
        <v>629498925.06250179</v>
      </c>
      <c r="U154" s="2">
        <f>U11/'Output-Calculation-sheet'!U10*'Output-Calculation-sheet'!U127</f>
        <v>813052052.54242885</v>
      </c>
      <c r="V154" s="2">
        <f>V11/'Output-Calculation-sheet'!V10*'Output-Calculation-sheet'!V127</f>
        <v>476662208.34204733</v>
      </c>
      <c r="W154" s="2">
        <f>W11/'Output-Calculation-sheet'!W10*'Output-Calculation-sheet'!W127</f>
        <v>262259052.13349417</v>
      </c>
      <c r="X154" s="2">
        <f>X11/'Output-Calculation-sheet'!X10*'Output-Calculation-sheet'!X127</f>
        <v>599348863.76717544</v>
      </c>
      <c r="Y154" s="2">
        <f>Y11/'Output-Calculation-sheet'!Y10*'Output-Calculation-sheet'!Y127</f>
        <v>288134672.21169448</v>
      </c>
      <c r="AA154" s="2">
        <f t="shared" si="13"/>
        <v>131514.27067109125</v>
      </c>
    </row>
    <row r="155" spans="1:27" x14ac:dyDescent="0.25">
      <c r="A155" s="2">
        <v>2035</v>
      </c>
      <c r="B155" s="2">
        <f>B12/'Output-Calculation-sheet'!B11*'Output-Calculation-sheet'!B128</f>
        <v>27538481900.622856</v>
      </c>
      <c r="C155" s="2">
        <f>C12/'Output-Calculation-sheet'!C11*'Output-Calculation-sheet'!C128</f>
        <v>20413622176.064411</v>
      </c>
      <c r="D155" s="2">
        <f>D12/'Output-Calculation-sheet'!D11*'Output-Calculation-sheet'!D128</f>
        <v>5146493822.3489847</v>
      </c>
      <c r="E155" s="2">
        <f>E12/'Output-Calculation-sheet'!E11*'Output-Calculation-sheet'!E128</f>
        <v>5694678030.637455</v>
      </c>
      <c r="F155" s="2">
        <f>F12/'Output-Calculation-sheet'!F11*'Output-Calculation-sheet'!F128</f>
        <v>2456353832.3115253</v>
      </c>
      <c r="G155" s="2">
        <f>G12/'Output-Calculation-sheet'!G11*'Output-Calculation-sheet'!G128</f>
        <v>1880712168.8186653</v>
      </c>
      <c r="H155" s="2">
        <f>H12/'Output-Calculation-sheet'!H11*'Output-Calculation-sheet'!H128</f>
        <v>5826199100.9080715</v>
      </c>
      <c r="I155" s="2">
        <f>I12/'Output-Calculation-sheet'!I11*'Output-Calculation-sheet'!I128</f>
        <v>1778693362.9761569</v>
      </c>
      <c r="J155" s="2">
        <f>J12/'Output-Calculation-sheet'!J11*'Output-Calculation-sheet'!J128</f>
        <v>1465116383.5324357</v>
      </c>
      <c r="K155" s="2">
        <f>K12/'Output-Calculation-sheet'!K11*'Output-Calculation-sheet'!K128</f>
        <v>2146024951.2823603</v>
      </c>
      <c r="L155" s="2">
        <f>L12/'Output-Calculation-sheet'!L11*'Output-Calculation-sheet'!L128</f>
        <v>1785586389.0096195</v>
      </c>
      <c r="M155" s="2">
        <f>M12/'Output-Calculation-sheet'!M11*'Output-Calculation-sheet'!M128</f>
        <v>4031505765.0543461</v>
      </c>
      <c r="N155" s="2">
        <f>N12/'Output-Calculation-sheet'!N11*'Output-Calculation-sheet'!N128</f>
        <v>3437715263.923614</v>
      </c>
      <c r="O155" s="2">
        <f>O12/'Output-Calculation-sheet'!O11*'Output-Calculation-sheet'!O128</f>
        <v>4086008452.4081917</v>
      </c>
      <c r="P155" s="2">
        <f>P12/'Output-Calculation-sheet'!P11*'Output-Calculation-sheet'!P128</f>
        <v>2408203555.9699903</v>
      </c>
      <c r="Q155" s="2">
        <f>Q12/'Output-Calculation-sheet'!Q11*'Output-Calculation-sheet'!Q128</f>
        <v>2356004515.2754498</v>
      </c>
      <c r="R155" s="2">
        <f>R12/'Output-Calculation-sheet'!R11*'Output-Calculation-sheet'!R128</f>
        <v>1783472077.9101503</v>
      </c>
      <c r="S155" s="2">
        <f>S12/'Output-Calculation-sheet'!S11*'Output-Calculation-sheet'!S128</f>
        <v>1802499325.1363511</v>
      </c>
      <c r="T155" s="2">
        <f>T12/'Output-Calculation-sheet'!T11*'Output-Calculation-sheet'!T128</f>
        <v>476194677.85909665</v>
      </c>
      <c r="U155" s="2">
        <f>U12/'Output-Calculation-sheet'!U11*'Output-Calculation-sheet'!U128</f>
        <v>615528940.22267091</v>
      </c>
      <c r="V155" s="2">
        <f>V12/'Output-Calculation-sheet'!V11*'Output-Calculation-sheet'!V128</f>
        <v>358836627.19600332</v>
      </c>
      <c r="W155" s="2">
        <f>W12/'Output-Calculation-sheet'!W11*'Output-Calculation-sheet'!W128</f>
        <v>198472442.57202166</v>
      </c>
      <c r="X155" s="2">
        <f>X12/'Output-Calculation-sheet'!X11*'Output-Calculation-sheet'!X128</f>
        <v>451837451.98445237</v>
      </c>
      <c r="Y155" s="2">
        <f>Y12/'Output-Calculation-sheet'!Y11*'Output-Calculation-sheet'!Y128</f>
        <v>218051741.6802862</v>
      </c>
      <c r="AA155" s="2">
        <f t="shared" si="13"/>
        <v>98356.292955705154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2.2856742541226953E-10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2069.8752867773246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1417.544733063917</v>
      </c>
      <c r="N19" s="2">
        <f>N8/'Output-Calculation-sheet'!N7*'Output-Calculation-sheet'!N25</f>
        <v>953.50413751915198</v>
      </c>
      <c r="O19" s="2">
        <f>O8/'Output-Calculation-sheet'!O7*'Output-Calculation-sheet'!O25</f>
        <v>1.2579520270101592E-11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252.91187721976775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134.5295873419619</v>
      </c>
      <c r="Y19" s="2">
        <f>Y8/'Output-Calculation-sheet'!Y7*'Output-Calculation-sheet'!Y25</f>
        <v>0</v>
      </c>
      <c r="AA19" s="2">
        <f t="shared" si="0"/>
        <v>4.828365621922365</v>
      </c>
    </row>
    <row r="20" spans="1:27" x14ac:dyDescent="0.25">
      <c r="A20" s="2">
        <v>2032</v>
      </c>
      <c r="B20" s="2">
        <f>B9/'Output-Calculation-sheet'!B8*'Output-Calculation-sheet'!B26</f>
        <v>2.141653575382211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2223.4633918445247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1520.55484959777</v>
      </c>
      <c r="N20" s="2">
        <f>N9/'Output-Calculation-sheet'!N8*'Output-Calculation-sheet'!N26</f>
        <v>1107.3875635400564</v>
      </c>
      <c r="O20" s="2">
        <f>O9/'Output-Calculation-sheet'!O8*'Output-Calculation-sheet'!O26</f>
        <v>1.1211470148501453E-10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380.99697204017849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146.35912827595163</v>
      </c>
      <c r="Y20" s="2">
        <f>Y9/'Output-Calculation-sheet'!Y8*'Output-Calculation-sheet'!Y26</f>
        <v>0</v>
      </c>
      <c r="AA20" s="2">
        <f t="shared" si="0"/>
        <v>5.3809035588739764</v>
      </c>
    </row>
    <row r="21" spans="1:27" x14ac:dyDescent="0.25">
      <c r="A21" s="2">
        <v>2033</v>
      </c>
      <c r="B21" s="2">
        <f>B10/'Output-Calculation-sheet'!B9*'Output-Calculation-sheet'!B27</f>
        <v>3186.5967999041427</v>
      </c>
      <c r="C21" s="2">
        <f>C10/'Output-Calculation-sheet'!C9*'Output-Calculation-sheet'!C27</f>
        <v>4972.577172366784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2231.0122062511246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1527.2458090048767</v>
      </c>
      <c r="N21" s="2">
        <f>N10/'Output-Calculation-sheet'!N9*'Output-Calculation-sheet'!N27</f>
        <v>1193.2804362432073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455.2247346308161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147.0053046234132</v>
      </c>
      <c r="Y21" s="2">
        <f>Y10/'Output-Calculation-sheet'!Y9*'Output-Calculation-sheet'!Y27</f>
        <v>0</v>
      </c>
      <c r="AA21" s="2">
        <f t="shared" si="0"/>
        <v>13.712942463024364</v>
      </c>
    </row>
    <row r="22" spans="1:27" x14ac:dyDescent="0.25">
      <c r="A22" s="2">
        <v>2034</v>
      </c>
      <c r="B22" s="2">
        <f>B11/'Output-Calculation-sheet'!B10*'Output-Calculation-sheet'!B28</f>
        <v>4973.4857982641206</v>
      </c>
      <c r="C22" s="2">
        <f>C11/'Output-Calculation-sheet'!C10*'Output-Calculation-sheet'!C28</f>
        <v>4818.5496158850028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2105.2360645711492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1441.2626451762508</v>
      </c>
      <c r="N22" s="2">
        <f>N11/'Output-Calculation-sheet'!N10*'Output-Calculation-sheet'!N28</f>
        <v>1155.7118447196019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471.45097702459248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139.6388759708843</v>
      </c>
      <c r="Y22" s="2">
        <f>Y11/'Output-Calculation-sheet'!Y10*'Output-Calculation-sheet'!Y28</f>
        <v>0</v>
      </c>
      <c r="AA22" s="2">
        <f t="shared" si="0"/>
        <v>15.105335821611604</v>
      </c>
    </row>
    <row r="23" spans="1:27" x14ac:dyDescent="0.25">
      <c r="A23" s="2">
        <v>2035</v>
      </c>
      <c r="B23" s="2">
        <f>B12/'Output-Calculation-sheet'!B11*'Output-Calculation-sheet'!B29</f>
        <v>5302.7140414579098</v>
      </c>
      <c r="C23" s="2">
        <f>C12/'Output-Calculation-sheet'!C11*'Output-Calculation-sheet'!C29</f>
        <v>4345.1681550169833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1853.8275195075589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1267.1717393613801</v>
      </c>
      <c r="N23" s="2">
        <f>N12/'Output-Calculation-sheet'!N11*'Output-Calculation-sheet'!N29</f>
        <v>1035.7985337466562</v>
      </c>
      <c r="O23" s="2">
        <f>O12/'Output-Calculation-sheet'!O11*'Output-Calculation-sheet'!O29</f>
        <v>738.77820705865429</v>
      </c>
      <c r="P23" s="2">
        <f>P12/'Output-Calculation-sheet'!P11*'Output-Calculation-sheet'!P29</f>
        <v>0</v>
      </c>
      <c r="Q23" s="2">
        <f>Q12/'Output-Calculation-sheet'!Q11*'Output-Calculation-sheet'!Q29</f>
        <v>14.140029601687283</v>
      </c>
      <c r="R23" s="2">
        <f>R12/'Output-Calculation-sheet'!R11*'Output-Calculation-sheet'!R29</f>
        <v>0</v>
      </c>
      <c r="S23" s="2">
        <f>S12/'Output-Calculation-sheet'!S11*'Output-Calculation-sheet'!S29</f>
        <v>454.87976190601069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124.21613551667447</v>
      </c>
      <c r="Y23" s="2">
        <f>Y12/'Output-Calculation-sheet'!Y11*'Output-Calculation-sheet'!Y29</f>
        <v>0</v>
      </c>
      <c r="AA23" s="2">
        <f t="shared" si="0"/>
        <v>15.136694123173514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16268.908722074053</v>
      </c>
      <c r="C30" s="2">
        <f>C8/'Output-Calculation-sheet'!C7*'Output-Calculation-sheet'!C16</f>
        <v>0</v>
      </c>
      <c r="D30" s="2">
        <f>D8/'Output-Calculation-sheet'!D7*'Output-Calculation-sheet'!D16</f>
        <v>5078.5697668070379</v>
      </c>
      <c r="E30" s="2">
        <f>E8/'Output-Calculation-sheet'!E7*'Output-Calculation-sheet'!E16</f>
        <v>5252.9209426411753</v>
      </c>
      <c r="F30" s="2">
        <f>F8/'Output-Calculation-sheet'!F7*'Output-Calculation-sheet'!F16</f>
        <v>2942.9078841879923</v>
      </c>
      <c r="G30" s="2">
        <f>G8/'Output-Calculation-sheet'!G7*'Output-Calculation-sheet'!G16</f>
        <v>1774.8969713152198</v>
      </c>
      <c r="H30" s="2">
        <f>H8/'Output-Calculation-sheet'!H7*'Output-Calculation-sheet'!H16</f>
        <v>0</v>
      </c>
      <c r="I30" s="2">
        <f>I8/'Output-Calculation-sheet'!I7*'Output-Calculation-sheet'!I16</f>
        <v>1796.3865572429254</v>
      </c>
      <c r="J30" s="2">
        <f>J8/'Output-Calculation-sheet'!J7*'Output-Calculation-sheet'!J16</f>
        <v>1639.649908013097</v>
      </c>
      <c r="K30" s="2">
        <f>K8/'Output-Calculation-sheet'!K7*'Output-Calculation-sheet'!K16</f>
        <v>2027.8165113340931</v>
      </c>
      <c r="L30" s="2">
        <f>L8/'Output-Calculation-sheet'!L7*'Output-Calculation-sheet'!L16</f>
        <v>1673.4800259477875</v>
      </c>
      <c r="M30" s="2">
        <f>M8/'Output-Calculation-sheet'!M7*'Output-Calculation-sheet'!M16</f>
        <v>0</v>
      </c>
      <c r="N30" s="2">
        <f>N8/'Output-Calculation-sheet'!N7*'Output-Calculation-sheet'!N16</f>
        <v>821.09920116233718</v>
      </c>
      <c r="O30" s="2">
        <f>O8/'Output-Calculation-sheet'!O7*'Output-Calculation-sheet'!O16</f>
        <v>0</v>
      </c>
      <c r="P30" s="2">
        <f>P8/'Output-Calculation-sheet'!P7*'Output-Calculation-sheet'!P16</f>
        <v>1333.8506929700927</v>
      </c>
      <c r="Q30" s="2">
        <f>Q8/'Output-Calculation-sheet'!Q7*'Output-Calculation-sheet'!Q16</f>
        <v>1462.9925520018505</v>
      </c>
      <c r="R30" s="2">
        <f>R8/'Output-Calculation-sheet'!R7*'Output-Calculation-sheet'!R16</f>
        <v>1281.7847311132307</v>
      </c>
      <c r="S30" s="2">
        <f>S8/'Output-Calculation-sheet'!S7*'Output-Calculation-sheet'!S16</f>
        <v>684.51756175549383</v>
      </c>
      <c r="T30" s="2">
        <f>T8/'Output-Calculation-sheet'!T7*'Output-Calculation-sheet'!T16</f>
        <v>467.6155529210036</v>
      </c>
      <c r="U30" s="2">
        <f>U8/'Output-Calculation-sheet'!U7*'Output-Calculation-sheet'!U16</f>
        <v>359.39509828481482</v>
      </c>
      <c r="V30" s="2">
        <f>V8/'Output-Calculation-sheet'!V7*'Output-Calculation-sheet'!V16</f>
        <v>344.15084679575455</v>
      </c>
      <c r="W30" s="2">
        <f>W8/'Output-Calculation-sheet'!W7*'Output-Calculation-sheet'!W16</f>
        <v>238.92643299551415</v>
      </c>
      <c r="X30" s="2">
        <f>X8/'Output-Calculation-sheet'!X7*'Output-Calculation-sheet'!X16</f>
        <v>0</v>
      </c>
      <c r="Y30" s="2">
        <f>Y8/'Output-Calculation-sheet'!Y7*'Output-Calculation-sheet'!Y16</f>
        <v>157.95387279975918</v>
      </c>
      <c r="AA30" s="2">
        <f t="shared" si="1"/>
        <v>45.607823832363223</v>
      </c>
    </row>
    <row r="31" spans="1:27" x14ac:dyDescent="0.25">
      <c r="A31" s="2">
        <v>2032</v>
      </c>
      <c r="B31" s="2">
        <f>B9/'Output-Calculation-sheet'!B8*'Output-Calculation-sheet'!B17</f>
        <v>17126.880129959234</v>
      </c>
      <c r="C31" s="2">
        <f>C9/'Output-Calculation-sheet'!C8*'Output-Calculation-sheet'!C17</f>
        <v>0</v>
      </c>
      <c r="D31" s="2">
        <f>D9/'Output-Calculation-sheet'!D8*'Output-Calculation-sheet'!D17</f>
        <v>5309.6654196478821</v>
      </c>
      <c r="E31" s="2">
        <f>E9/'Output-Calculation-sheet'!E8*'Output-Calculation-sheet'!E17</f>
        <v>5498.7699082986983</v>
      </c>
      <c r="F31" s="2">
        <f>F9/'Output-Calculation-sheet'!F8*'Output-Calculation-sheet'!F17</f>
        <v>3071.9537572860177</v>
      </c>
      <c r="G31" s="2">
        <f>G9/'Output-Calculation-sheet'!G8*'Output-Calculation-sheet'!G17</f>
        <v>1851.894756430763</v>
      </c>
      <c r="H31" s="2">
        <f>H9/'Output-Calculation-sheet'!H8*'Output-Calculation-sheet'!H17</f>
        <v>0</v>
      </c>
      <c r="I31" s="2">
        <f>I9/'Output-Calculation-sheet'!I8*'Output-Calculation-sheet'!I17</f>
        <v>1877.5868757859892</v>
      </c>
      <c r="J31" s="2">
        <f>J9/'Output-Calculation-sheet'!J8*'Output-Calculation-sheet'!J17</f>
        <v>1712.4860308221485</v>
      </c>
      <c r="K31" s="2">
        <f>K9/'Output-Calculation-sheet'!K8*'Output-Calculation-sheet'!K17</f>
        <v>2121.2245961957915</v>
      </c>
      <c r="L31" s="2">
        <f>L9/'Output-Calculation-sheet'!L8*'Output-Calculation-sheet'!L17</f>
        <v>1751.0389887997133</v>
      </c>
      <c r="M31" s="2">
        <f>M9/'Output-Calculation-sheet'!M8*'Output-Calculation-sheet'!M17</f>
        <v>0</v>
      </c>
      <c r="N31" s="2">
        <f>N9/'Output-Calculation-sheet'!N8*'Output-Calculation-sheet'!N17</f>
        <v>774.56668605406628</v>
      </c>
      <c r="O31" s="2">
        <f>O9/'Output-Calculation-sheet'!O8*'Output-Calculation-sheet'!O17</f>
        <v>0</v>
      </c>
      <c r="P31" s="2">
        <f>P9/'Output-Calculation-sheet'!P8*'Output-Calculation-sheet'!P17</f>
        <v>1408.6715937642457</v>
      </c>
      <c r="Q31" s="2">
        <f>Q9/'Output-Calculation-sheet'!Q8*'Output-Calculation-sheet'!Q17</f>
        <v>1543.768475693945</v>
      </c>
      <c r="R31" s="2">
        <f>R9/'Output-Calculation-sheet'!R8*'Output-Calculation-sheet'!R17</f>
        <v>1340.3817155921163</v>
      </c>
      <c r="S31" s="2">
        <f>S9/'Output-Calculation-sheet'!S8*'Output-Calculation-sheet'!S17</f>
        <v>668.78168509465911</v>
      </c>
      <c r="T31" s="2">
        <f>T9/'Output-Calculation-sheet'!T8*'Output-Calculation-sheet'!T17</f>
        <v>488.44618385214994</v>
      </c>
      <c r="U31" s="2">
        <f>U9/'Output-Calculation-sheet'!U8*'Output-Calculation-sheet'!U17</f>
        <v>376.71406632044062</v>
      </c>
      <c r="V31" s="2">
        <f>V9/'Output-Calculation-sheet'!V8*'Output-Calculation-sheet'!V17</f>
        <v>361.00260037679129</v>
      </c>
      <c r="W31" s="2">
        <f>W9/'Output-Calculation-sheet'!W8*'Output-Calculation-sheet'!W17</f>
        <v>249.98114102083611</v>
      </c>
      <c r="X31" s="2">
        <f>X9/'Output-Calculation-sheet'!X8*'Output-Calculation-sheet'!X17</f>
        <v>0</v>
      </c>
      <c r="Y31" s="2">
        <f>Y9/'Output-Calculation-sheet'!Y8*'Output-Calculation-sheet'!Y17</f>
        <v>165.26178184989476</v>
      </c>
      <c r="AA31" s="2">
        <f t="shared" si="1"/>
        <v>47.69907639284537</v>
      </c>
    </row>
    <row r="32" spans="1:27" x14ac:dyDescent="0.25">
      <c r="A32" s="2">
        <v>2033</v>
      </c>
      <c r="B32" s="2">
        <f>B10/'Output-Calculation-sheet'!B9*'Output-Calculation-sheet'!B18</f>
        <v>15551.121169637185</v>
      </c>
      <c r="C32" s="2">
        <f>C10/'Output-Calculation-sheet'!C9*'Output-Calculation-sheet'!C18</f>
        <v>0</v>
      </c>
      <c r="D32" s="2">
        <f>D10/'Output-Calculation-sheet'!D9*'Output-Calculation-sheet'!D18</f>
        <v>5191.623465061497</v>
      </c>
      <c r="E32" s="2">
        <f>E10/'Output-Calculation-sheet'!E9*'Output-Calculation-sheet'!E18</f>
        <v>5376.0792676350766</v>
      </c>
      <c r="F32" s="2">
        <f>F10/'Output-Calculation-sheet'!F9*'Output-Calculation-sheet'!F18</f>
        <v>3002.8797821249645</v>
      </c>
      <c r="G32" s="2">
        <f>G10/'Output-Calculation-sheet'!G9*'Output-Calculation-sheet'!G18</f>
        <v>1811.0855330560692</v>
      </c>
      <c r="H32" s="2">
        <f>H10/'Output-Calculation-sheet'!H9*'Output-Calculation-sheet'!H18</f>
        <v>0</v>
      </c>
      <c r="I32" s="2">
        <f>I10/'Output-Calculation-sheet'!I9*'Output-Calculation-sheet'!I18</f>
        <v>1836.0208932003436</v>
      </c>
      <c r="J32" s="2">
        <f>J10/'Output-Calculation-sheet'!J9*'Output-Calculation-sheet'!J18</f>
        <v>1674.5339458842486</v>
      </c>
      <c r="K32" s="2">
        <f>K10/'Output-Calculation-sheet'!K9*'Output-Calculation-sheet'!K18</f>
        <v>2078.9603625699001</v>
      </c>
      <c r="L32" s="2">
        <f>L10/'Output-Calculation-sheet'!L9*'Output-Calculation-sheet'!L18</f>
        <v>1713.3457577891324</v>
      </c>
      <c r="M32" s="2">
        <f>M10/'Output-Calculation-sheet'!M9*'Output-Calculation-sheet'!M18</f>
        <v>0</v>
      </c>
      <c r="N32" s="2">
        <f>N10/'Output-Calculation-sheet'!N9*'Output-Calculation-sheet'!N18</f>
        <v>678.1685067206663</v>
      </c>
      <c r="O32" s="2">
        <f>O10/'Output-Calculation-sheet'!O9*'Output-Calculation-sheet'!O18</f>
        <v>0</v>
      </c>
      <c r="P32" s="2">
        <f>P10/'Output-Calculation-sheet'!P9*'Output-Calculation-sheet'!P18</f>
        <v>1387.5537204352406</v>
      </c>
      <c r="Q32" s="2">
        <f>Q10/'Output-Calculation-sheet'!Q9*'Output-Calculation-sheet'!Q18</f>
        <v>1521.7775350143659</v>
      </c>
      <c r="R32" s="2">
        <f>R10/'Output-Calculation-sheet'!R9*'Output-Calculation-sheet'!R18</f>
        <v>1314.4415605225915</v>
      </c>
      <c r="S32" s="2">
        <f>S10/'Output-Calculation-sheet'!S9*'Output-Calculation-sheet'!S18</f>
        <v>611.82564331625292</v>
      </c>
      <c r="T32" s="2">
        <f>T10/'Output-Calculation-sheet'!T9*'Output-Calculation-sheet'!T18</f>
        <v>478.11933803259865</v>
      </c>
      <c r="U32" s="2">
        <f>U10/'Output-Calculation-sheet'!U9*'Output-Calculation-sheet'!U18</f>
        <v>368.73935060554055</v>
      </c>
      <c r="V32" s="2">
        <f>V10/'Output-Calculation-sheet'!V9*'Output-Calculation-sheet'!V18</f>
        <v>353.74035345567603</v>
      </c>
      <c r="W32" s="2">
        <f>W10/'Output-Calculation-sheet'!W9*'Output-Calculation-sheet'!W18</f>
        <v>244.09346572004424</v>
      </c>
      <c r="X32" s="2">
        <f>X10/'Output-Calculation-sheet'!X9*'Output-Calculation-sheet'!X18</f>
        <v>0</v>
      </c>
      <c r="Y32" s="2">
        <f>Y10/'Output-Calculation-sheet'!Y9*'Output-Calculation-sheet'!Y18</f>
        <v>161.84513987062317</v>
      </c>
      <c r="AA32" s="2">
        <f t="shared" si="1"/>
        <v>45.355954790652014</v>
      </c>
    </row>
    <row r="33" spans="1:27" x14ac:dyDescent="0.25">
      <c r="A33" s="2">
        <v>2034</v>
      </c>
      <c r="B33" s="2">
        <f>B11/'Output-Calculation-sheet'!B10*'Output-Calculation-sheet'!B19</f>
        <v>13457.523023001186</v>
      </c>
      <c r="C33" s="2">
        <f>C11/'Output-Calculation-sheet'!C10*'Output-Calculation-sheet'!C19</f>
        <v>0</v>
      </c>
      <c r="D33" s="2">
        <f>D11/'Output-Calculation-sheet'!D10*'Output-Calculation-sheet'!D19</f>
        <v>4758.3008994087968</v>
      </c>
      <c r="E33" s="2">
        <f>E11/'Output-Calculation-sheet'!E10*'Output-Calculation-sheet'!E19</f>
        <v>4938.9948556469626</v>
      </c>
      <c r="F33" s="2">
        <f>F11/'Output-Calculation-sheet'!F10*'Output-Calculation-sheet'!F19</f>
        <v>2753.64520571718</v>
      </c>
      <c r="G33" s="2">
        <f>G11/'Output-Calculation-sheet'!G10*'Output-Calculation-sheet'!G19</f>
        <v>1658.166175049435</v>
      </c>
      <c r="H33" s="2">
        <f>H11/'Output-Calculation-sheet'!H10*'Output-Calculation-sheet'!H19</f>
        <v>0</v>
      </c>
      <c r="I33" s="2">
        <f>I11/'Output-Calculation-sheet'!I10*'Output-Calculation-sheet'!I19</f>
        <v>1688.854634402488</v>
      </c>
      <c r="J33" s="2">
        <f>J11/'Output-Calculation-sheet'!J10*'Output-Calculation-sheet'!J19</f>
        <v>1534.8642658933434</v>
      </c>
      <c r="K33" s="2">
        <f>K11/'Output-Calculation-sheet'!K10*'Output-Calculation-sheet'!K19</f>
        <v>1911.7868644959688</v>
      </c>
      <c r="L33" s="2">
        <f>L11/'Output-Calculation-sheet'!L10*'Output-Calculation-sheet'!L19</f>
        <v>1572.4228197445261</v>
      </c>
      <c r="M33" s="2">
        <f>M11/'Output-Calculation-sheet'!M10*'Output-Calculation-sheet'!M19</f>
        <v>0</v>
      </c>
      <c r="N33" s="2">
        <f>N11/'Output-Calculation-sheet'!N10*'Output-Calculation-sheet'!N19</f>
        <v>582.7126727868133</v>
      </c>
      <c r="O33" s="2">
        <f>O11/'Output-Calculation-sheet'!O10*'Output-Calculation-sheet'!O19</f>
        <v>0</v>
      </c>
      <c r="P33" s="2">
        <f>P11/'Output-Calculation-sheet'!P10*'Output-Calculation-sheet'!P19</f>
        <v>1281.6816739538033</v>
      </c>
      <c r="Q33" s="2">
        <f>Q11/'Output-Calculation-sheet'!Q10*'Output-Calculation-sheet'!Q19</f>
        <v>1408.0550073775805</v>
      </c>
      <c r="R33" s="2">
        <f>R11/'Output-Calculation-sheet'!R10*'Output-Calculation-sheet'!R19</f>
        <v>1208.3303441247963</v>
      </c>
      <c r="S33" s="2">
        <f>S11/'Output-Calculation-sheet'!S10*'Output-Calculation-sheet'!S19</f>
        <v>557.30271993938845</v>
      </c>
      <c r="T33" s="2">
        <f>T11/'Output-Calculation-sheet'!T10*'Output-Calculation-sheet'!T19</f>
        <v>439.11750727922214</v>
      </c>
      <c r="U33" s="2">
        <f>U11/'Output-Calculation-sheet'!U10*'Output-Calculation-sheet'!U19</f>
        <v>339.80204626144911</v>
      </c>
      <c r="V33" s="2">
        <f>V11/'Output-Calculation-sheet'!V10*'Output-Calculation-sheet'!V19</f>
        <v>325.75488426376046</v>
      </c>
      <c r="W33" s="2">
        <f>W11/'Output-Calculation-sheet'!W10*'Output-Calculation-sheet'!W19</f>
        <v>223.80846406770729</v>
      </c>
      <c r="X33" s="2">
        <f>X11/'Output-Calculation-sheet'!X10*'Output-Calculation-sheet'!X19</f>
        <v>0</v>
      </c>
      <c r="Y33" s="2">
        <f>Y11/'Output-Calculation-sheet'!Y10*'Output-Calculation-sheet'!Y19</f>
        <v>148.60004558470041</v>
      </c>
      <c r="AA33" s="2">
        <f t="shared" si="1"/>
        <v>40.789724108999117</v>
      </c>
    </row>
    <row r="34" spans="1:27" x14ac:dyDescent="0.25">
      <c r="A34" s="2">
        <v>2035</v>
      </c>
      <c r="B34" s="2">
        <f>B12/'Output-Calculation-sheet'!B11*'Output-Calculation-sheet'!B20</f>
        <v>11083.964609762072</v>
      </c>
      <c r="C34" s="2">
        <f>C12/'Output-Calculation-sheet'!C11*'Output-Calculation-sheet'!C20</f>
        <v>0</v>
      </c>
      <c r="D34" s="2">
        <f>D12/'Output-Calculation-sheet'!D11*'Output-Calculation-sheet'!D20</f>
        <v>4099.1729464273876</v>
      </c>
      <c r="E34" s="2">
        <f>E12/'Output-Calculation-sheet'!E11*'Output-Calculation-sheet'!E20</f>
        <v>4253.0694518718101</v>
      </c>
      <c r="F34" s="2">
        <f>F12/'Output-Calculation-sheet'!F11*'Output-Calculation-sheet'!F20</f>
        <v>2367.7779381241471</v>
      </c>
      <c r="G34" s="2">
        <f>G12/'Output-Calculation-sheet'!G11*'Output-Calculation-sheet'!G20</f>
        <v>1422.6675486344495</v>
      </c>
      <c r="H34" s="2">
        <f>H12/'Output-Calculation-sheet'!H11*'Output-Calculation-sheet'!H20</f>
        <v>0</v>
      </c>
      <c r="I34" s="2">
        <f>I12/'Output-Calculation-sheet'!I11*'Output-Calculation-sheet'!I20</f>
        <v>1453.0865294109437</v>
      </c>
      <c r="J34" s="2">
        <f>J12/'Output-Calculation-sheet'!J11*'Output-Calculation-sheet'!J20</f>
        <v>1316.0159696330247</v>
      </c>
      <c r="K34" s="2">
        <f>K12/'Output-Calculation-sheet'!K11*'Output-Calculation-sheet'!K20</f>
        <v>1646.2650388884124</v>
      </c>
      <c r="L34" s="2">
        <f>L12/'Output-Calculation-sheet'!L11*'Output-Calculation-sheet'!L20</f>
        <v>1351.6890106232559</v>
      </c>
      <c r="M34" s="2">
        <f>M12/'Output-Calculation-sheet'!M11*'Output-Calculation-sheet'!M20</f>
        <v>0</v>
      </c>
      <c r="N34" s="2">
        <f>N12/'Output-Calculation-sheet'!N11*'Output-Calculation-sheet'!N20</f>
        <v>475.53680326702101</v>
      </c>
      <c r="O34" s="2">
        <f>O12/'Output-Calculation-sheet'!O11*'Output-Calculation-sheet'!O20</f>
        <v>0</v>
      </c>
      <c r="P34" s="2">
        <f>P12/'Output-Calculation-sheet'!P11*'Output-Calculation-sheet'!P20</f>
        <v>1109.9420931494674</v>
      </c>
      <c r="Q34" s="2">
        <f>Q12/'Output-Calculation-sheet'!Q11*'Output-Calculation-sheet'!Q20</f>
        <v>1217.1025444029253</v>
      </c>
      <c r="R34" s="2">
        <f>R12/'Output-Calculation-sheet'!R11*'Output-Calculation-sheet'!R20</f>
        <v>1043.6678356199163</v>
      </c>
      <c r="S34" s="2">
        <f>S12/'Output-Calculation-sheet'!S11*'Output-Calculation-sheet'!S20</f>
        <v>448.8275419473033</v>
      </c>
      <c r="T34" s="2">
        <f>T12/'Output-Calculation-sheet'!T11*'Output-Calculation-sheet'!T20</f>
        <v>377.76774653303727</v>
      </c>
      <c r="U34" s="2">
        <f>U12/'Output-Calculation-sheet'!U11*'Output-Calculation-sheet'!U20</f>
        <v>293.02786009989842</v>
      </c>
      <c r="V34" s="2">
        <f>V12/'Output-Calculation-sheet'!V11*'Output-Calculation-sheet'!V20</f>
        <v>281.41335417618484</v>
      </c>
      <c r="W34" s="2">
        <f>W12/'Output-Calculation-sheet'!W11*'Output-Calculation-sheet'!W20</f>
        <v>192.30284876418145</v>
      </c>
      <c r="X34" s="2">
        <f>X12/'Output-Calculation-sheet'!X11*'Output-Calculation-sheet'!X20</f>
        <v>0</v>
      </c>
      <c r="Y34" s="2">
        <f>Y12/'Output-Calculation-sheet'!Y11*'Output-Calculation-sheet'!Y20</f>
        <v>128.01524406778728</v>
      </c>
      <c r="AA34" s="2">
        <f t="shared" si="1"/>
        <v>34.561312915403221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5.0734685951324217</v>
      </c>
      <c r="C63" s="2">
        <f>C8*'Output-Calculation-sheet'!C52/10^9</f>
        <v>2.4412416644131132</v>
      </c>
      <c r="D63" s="2">
        <f>D8*'Output-Calculation-sheet'!D52/10^9</f>
        <v>1.1103257375186029</v>
      </c>
      <c r="E63" s="2">
        <f>E8*'Output-Calculation-sheet'!E52/10^9</f>
        <v>1.235425426273582</v>
      </c>
      <c r="F63" s="2">
        <f>F8*'Output-Calculation-sheet'!F52/10^9</f>
        <v>0.57063172062365963</v>
      </c>
      <c r="G63" s="2">
        <f>G8*'Output-Calculation-sheet'!G52/10^9</f>
        <v>0.39442450954198821</v>
      </c>
      <c r="H63" s="2">
        <f>H8*'Output-Calculation-sheet'!H52/10^9</f>
        <v>0.74374885315304939</v>
      </c>
      <c r="I63" s="2">
        <f>I8*'Output-Calculation-sheet'!I52/10^9</f>
        <v>0.38921090795196311</v>
      </c>
      <c r="J63" s="2">
        <f>J8*'Output-Calculation-sheet'!J52/10^9</f>
        <v>0.35133457788056688</v>
      </c>
      <c r="K63" s="2">
        <f>K8*'Output-Calculation-sheet'!K52/10^9</f>
        <v>0.45345758931067065</v>
      </c>
      <c r="L63" s="2">
        <f>L8*'Output-Calculation-sheet'!L52/10^9</f>
        <v>0.37459710317100292</v>
      </c>
      <c r="M63" s="2">
        <f>M8*'Output-Calculation-sheet'!M52/10^9</f>
        <v>0.51384269832325158</v>
      </c>
      <c r="N63" s="2">
        <f>N8*'Output-Calculation-sheet'!N52/10^9</f>
        <v>0.53706787804145484</v>
      </c>
      <c r="O63" s="2">
        <f>O8*'Output-Calculation-sheet'!O52/10^9</f>
        <v>0.47433881860747545</v>
      </c>
      <c r="P63" s="2">
        <f>P8*'Output-Calculation-sheet'!P52/10^9</f>
        <v>0.39759095015869939</v>
      </c>
      <c r="Q63" s="2">
        <f>Q8*'Output-Calculation-sheet'!Q52/10^9</f>
        <v>0.41001951168257889</v>
      </c>
      <c r="R63" s="2">
        <f>R8*'Output-Calculation-sheet'!R52/10^9</f>
        <v>0.32790973928573103</v>
      </c>
      <c r="S63" s="2">
        <f>S8*'Output-Calculation-sheet'!S52/10^9</f>
        <v>0.30227534862750449</v>
      </c>
      <c r="T63" s="2">
        <f>T8*'Output-Calculation-sheet'!T52/10^9</f>
        <v>0.10250565788592184</v>
      </c>
      <c r="U63" s="2">
        <f>U8*'Output-Calculation-sheet'!U52/10^9</f>
        <v>0.10304355624950845</v>
      </c>
      <c r="V63" s="2">
        <f>V8*'Output-Calculation-sheet'!V52/10^9</f>
        <v>7.6742718678301042E-2</v>
      </c>
      <c r="W63" s="2">
        <f>W8*'Output-Calculation-sheet'!W52/10^9</f>
        <v>4.7981392711356485E-2</v>
      </c>
      <c r="X63" s="2">
        <f>X8*'Output-Calculation-sheet'!X52/10^9</f>
        <v>6.1105102761591472E-2</v>
      </c>
      <c r="Y63" s="2">
        <f>Y8*'Output-Calculation-sheet'!Y52/10^9</f>
        <v>4.0155803771744575E-2</v>
      </c>
      <c r="AA63" s="2">
        <f t="shared" si="4"/>
        <v>16.532445861755733</v>
      </c>
    </row>
    <row r="64" spans="1:27" x14ac:dyDescent="0.25">
      <c r="A64" s="2">
        <v>2032</v>
      </c>
      <c r="B64" s="2">
        <f>B9*'Output-Calculation-sheet'!B53/10^9</f>
        <v>5.2570749830352037</v>
      </c>
      <c r="C64" s="2">
        <f>C9*'Output-Calculation-sheet'!C53/10^9</f>
        <v>2.5386360360484033</v>
      </c>
      <c r="D64" s="2">
        <f>D9*'Output-Calculation-sheet'!D53/10^9</f>
        <v>1.1487690882412531</v>
      </c>
      <c r="E64" s="2">
        <f>E9*'Output-Calculation-sheet'!E53/10^9</f>
        <v>1.2786582255789631</v>
      </c>
      <c r="F64" s="2">
        <f>F9*'Output-Calculation-sheet'!F53/10^9</f>
        <v>0.59000968225548855</v>
      </c>
      <c r="G64" s="2">
        <f>G9*'Output-Calculation-sheet'!G53/10^9</f>
        <v>0.40811796040582099</v>
      </c>
      <c r="H64" s="2">
        <f>H9*'Output-Calculation-sheet'!H53/10^9</f>
        <v>0.76626816883163462</v>
      </c>
      <c r="I64" s="2">
        <f>I9*'Output-Calculation-sheet'!I53/10^9</f>
        <v>0.4026692337560091</v>
      </c>
      <c r="J64" s="2">
        <f>J9*'Output-Calculation-sheet'!J53/10^9</f>
        <v>0.3634621793449247</v>
      </c>
      <c r="K64" s="2">
        <f>K9*'Output-Calculation-sheet'!K53/10^9</f>
        <v>0.46921326906117111</v>
      </c>
      <c r="L64" s="2">
        <f>L9*'Output-Calculation-sheet'!L53/10^9</f>
        <v>0.3876136747779001</v>
      </c>
      <c r="M64" s="2">
        <f>M9*'Output-Calculation-sheet'!M53/10^9</f>
        <v>0.52942666705385866</v>
      </c>
      <c r="N64" s="2">
        <f>N9*'Output-Calculation-sheet'!N53/10^9</f>
        <v>0.55406777603565016</v>
      </c>
      <c r="O64" s="2">
        <f>O9*'Output-Calculation-sheet'!O53/10^9</f>
        <v>0.49326276696291504</v>
      </c>
      <c r="P64" s="2">
        <f>P9*'Output-Calculation-sheet'!P53/10^9</f>
        <v>0.41190717200067378</v>
      </c>
      <c r="Q64" s="2">
        <f>Q9*'Output-Calculation-sheet'!Q53/10^9</f>
        <v>0.42468336162634673</v>
      </c>
      <c r="R64" s="2">
        <f>R9*'Output-Calculation-sheet'!R53/10^9</f>
        <v>0.3395153454570442</v>
      </c>
      <c r="S64" s="2">
        <f>S9*'Output-Calculation-sheet'!S53/10^9</f>
        <v>0.3124499161070603</v>
      </c>
      <c r="T64" s="2">
        <f>T9*'Output-Calculation-sheet'!T53/10^9</f>
        <v>0.10605685898336945</v>
      </c>
      <c r="U64" s="2">
        <f>U9*'Output-Calculation-sheet'!U53/10^9</f>
        <v>0.10674027410807563</v>
      </c>
      <c r="V64" s="2">
        <f>V9*'Output-Calculation-sheet'!V53/10^9</f>
        <v>7.9407455599766863E-2</v>
      </c>
      <c r="W64" s="2">
        <f>W9*'Output-Calculation-sheet'!W53/10^9</f>
        <v>4.96204672050026E-2</v>
      </c>
      <c r="X64" s="2">
        <f>X9*'Output-Calculation-sheet'!X53/10^9</f>
        <v>6.3019053182885171E-2</v>
      </c>
      <c r="Y64" s="2">
        <f>Y9*'Output-Calculation-sheet'!Y53/10^9</f>
        <v>4.1575772262461751E-2</v>
      </c>
      <c r="AA64" s="2">
        <f t="shared" si="4"/>
        <v>17.122225387921883</v>
      </c>
    </row>
    <row r="65" spans="1:27" x14ac:dyDescent="0.25">
      <c r="A65" s="2">
        <v>2033</v>
      </c>
      <c r="B65" s="2">
        <f>B10*'Output-Calculation-sheet'!B54/10^9</f>
        <v>5.0915323534219814</v>
      </c>
      <c r="C65" s="2">
        <f>C10*'Output-Calculation-sheet'!C54/10^9</f>
        <v>2.4647591813287009</v>
      </c>
      <c r="D65" s="2">
        <f>D10*'Output-Calculation-sheet'!D54/10^9</f>
        <v>1.1120609596382351</v>
      </c>
      <c r="E65" s="2">
        <f>E10*'Output-Calculation-sheet'!E54/10^9</f>
        <v>1.2382445877262127</v>
      </c>
      <c r="F65" s="2">
        <f>F10*'Output-Calculation-sheet'!F54/10^9</f>
        <v>0.57078542394631493</v>
      </c>
      <c r="G65" s="2">
        <f>G10*'Output-Calculation-sheet'!G54/10^9</f>
        <v>0.39511461675820148</v>
      </c>
      <c r="H65" s="2">
        <f>H10*'Output-Calculation-sheet'!H54/10^9</f>
        <v>0.7384210956759385</v>
      </c>
      <c r="I65" s="2">
        <f>I10*'Output-Calculation-sheet'!I54/10^9</f>
        <v>0.38978561636456721</v>
      </c>
      <c r="J65" s="2">
        <f>J10*'Output-Calculation-sheet'!J54/10^9</f>
        <v>0.35181261108505718</v>
      </c>
      <c r="K65" s="2">
        <f>K10*'Output-Calculation-sheet'!K54/10^9</f>
        <v>0.45426901046423007</v>
      </c>
      <c r="L65" s="2">
        <f>L10*'Output-Calculation-sheet'!L54/10^9</f>
        <v>0.37527119243546392</v>
      </c>
      <c r="M65" s="2">
        <f>M10*'Output-Calculation-sheet'!M54/10^9</f>
        <v>0.51020874738603872</v>
      </c>
      <c r="N65" s="2">
        <f>N10*'Output-Calculation-sheet'!N54/10^9</f>
        <v>0.53452094594543864</v>
      </c>
      <c r="O65" s="2">
        <f>O10*'Output-Calculation-sheet'!O54/10^9</f>
        <v>0.47995784627500793</v>
      </c>
      <c r="P65" s="2">
        <f>P10*'Output-Calculation-sheet'!P54/10^9</f>
        <v>0.39927391482740204</v>
      </c>
      <c r="Q65" s="2">
        <f>Q10*'Output-Calculation-sheet'!Q54/10^9</f>
        <v>0.41155811145268395</v>
      </c>
      <c r="R65" s="2">
        <f>R10*'Output-Calculation-sheet'!R54/10^9</f>
        <v>0.3289104531697139</v>
      </c>
      <c r="S65" s="2">
        <f>S10*'Output-Calculation-sheet'!S54/10^9</f>
        <v>0.30191578537031438</v>
      </c>
      <c r="T65" s="2">
        <f>T10*'Output-Calculation-sheet'!T54/10^9</f>
        <v>0.10266927456422856</v>
      </c>
      <c r="U65" s="2">
        <f>U10*'Output-Calculation-sheet'!U54/10^9</f>
        <v>0.10345484839398483</v>
      </c>
      <c r="V65" s="2">
        <f>V10*'Output-Calculation-sheet'!V54/10^9</f>
        <v>7.687618124685941E-2</v>
      </c>
      <c r="W65" s="2">
        <f>W10*'Output-Calculation-sheet'!W54/10^9</f>
        <v>4.8012876908127403E-2</v>
      </c>
      <c r="X65" s="2">
        <f>X10*'Output-Calculation-sheet'!X54/10^9</f>
        <v>6.0787904220713465E-2</v>
      </c>
      <c r="Y65" s="2">
        <f>Y10*'Output-Calculation-sheet'!Y54/10^9</f>
        <v>4.02761459123867E-2</v>
      </c>
      <c r="AA65" s="2">
        <f t="shared" si="4"/>
        <v>16.580479684517805</v>
      </c>
    </row>
    <row r="66" spans="1:27" x14ac:dyDescent="0.25">
      <c r="A66" s="2">
        <v>2034</v>
      </c>
      <c r="B66" s="2">
        <f>B11*'Output-Calculation-sheet'!B55/10^9</f>
        <v>4.6207023837085188</v>
      </c>
      <c r="C66" s="2">
        <f>C11*'Output-Calculation-sheet'!C55/10^9</f>
        <v>2.2324735658226449</v>
      </c>
      <c r="D66" s="2">
        <f>D11*'Output-Calculation-sheet'!D55/10^9</f>
        <v>1.0103340574227968</v>
      </c>
      <c r="E66" s="2">
        <f>E11*'Output-Calculation-sheet'!E55/10^9</f>
        <v>1.1253777020956048</v>
      </c>
      <c r="F66" s="2">
        <f>F11*'Output-Calculation-sheet'!F55/10^9</f>
        <v>0.51822945617990213</v>
      </c>
      <c r="G66" s="2">
        <f>G11*'Output-Calculation-sheet'!G55/10^9</f>
        <v>0.35900551184120644</v>
      </c>
      <c r="H66" s="2">
        <f>H11*'Output-Calculation-sheet'!H55/10^9</f>
        <v>0.66759318134139778</v>
      </c>
      <c r="I66" s="2">
        <f>I11*'Output-Calculation-sheet'!I55/10^9</f>
        <v>0.35411044312903522</v>
      </c>
      <c r="J66" s="2">
        <f>J11*'Output-Calculation-sheet'!J55/10^9</f>
        <v>0.31959811697108176</v>
      </c>
      <c r="K66" s="2">
        <f>K11*'Output-Calculation-sheet'!K55/10^9</f>
        <v>0.41275267794077958</v>
      </c>
      <c r="L66" s="2">
        <f>L11*'Output-Calculation-sheet'!L55/10^9</f>
        <v>0.34097988642967414</v>
      </c>
      <c r="M66" s="2">
        <f>M11*'Output-Calculation-sheet'!M55/10^9</f>
        <v>0.46129068912698895</v>
      </c>
      <c r="N66" s="2">
        <f>N11*'Output-Calculation-sheet'!N55/10^9</f>
        <v>0.48370198941965692</v>
      </c>
      <c r="O66" s="2">
        <f>O11*'Output-Calculation-sheet'!O55/10^9</f>
        <v>0.43831769539987214</v>
      </c>
      <c r="P66" s="2">
        <f>P11*'Output-Calculation-sheet'!P55/10^9</f>
        <v>0.36322708259429248</v>
      </c>
      <c r="Q66" s="2">
        <f>Q11*'Output-Calculation-sheet'!Q55/10^9</f>
        <v>0.37430710248957966</v>
      </c>
      <c r="R66" s="2">
        <f>R11*'Output-Calculation-sheet'!R55/10^9</f>
        <v>0.29904399836115164</v>
      </c>
      <c r="S66" s="2">
        <f>S11*'Output-Calculation-sheet'!S55/10^9</f>
        <v>0.27358844214278116</v>
      </c>
      <c r="T66" s="2">
        <f>T11*'Output-Calculation-sheet'!T55/10^9</f>
        <v>9.3278033926473228E-2</v>
      </c>
      <c r="U66" s="2">
        <f>U11*'Output-Calculation-sheet'!U55/10^9</f>
        <v>9.4105591632654667E-2</v>
      </c>
      <c r="V66" s="2">
        <f>V11*'Output-Calculation-sheet'!V55/10^9</f>
        <v>6.9848306193301291E-2</v>
      </c>
      <c r="W66" s="2">
        <f>W11*'Output-Calculation-sheet'!W55/10^9</f>
        <v>4.3600702566885481E-2</v>
      </c>
      <c r="X66" s="2">
        <f>X11*'Output-Calculation-sheet'!X55/10^9</f>
        <v>5.5011892969518451E-2</v>
      </c>
      <c r="Y66" s="2">
        <f>Y11*'Output-Calculation-sheet'!Y55/10^9</f>
        <v>3.6618169829692043E-2</v>
      </c>
      <c r="AA66" s="2">
        <f t="shared" si="4"/>
        <v>15.047096679535491</v>
      </c>
    </row>
    <row r="67" spans="1:27" x14ac:dyDescent="0.25">
      <c r="A67" s="2">
        <v>2035</v>
      </c>
      <c r="B67" s="2">
        <f>B12*'Output-Calculation-sheet'!B56/10^9</f>
        <v>3.925395882389322</v>
      </c>
      <c r="C67" s="2">
        <f>C12*'Output-Calculation-sheet'!C56/10^9</f>
        <v>1.8939147732000716</v>
      </c>
      <c r="D67" s="2">
        <f>D12*'Output-Calculation-sheet'!D56/10^9</f>
        <v>0.86014282501010431</v>
      </c>
      <c r="E67" s="2">
        <f>E12*'Output-Calculation-sheet'!E56/10^9</f>
        <v>0.95842641118478533</v>
      </c>
      <c r="F67" s="2">
        <f>F12*'Output-Calculation-sheet'!F56/10^9</f>
        <v>0.44089621266485551</v>
      </c>
      <c r="G67" s="2">
        <f>G12*'Output-Calculation-sheet'!G56/10^9</f>
        <v>0.30567177949229063</v>
      </c>
      <c r="H67" s="2">
        <f>H12*'Output-Calculation-sheet'!H56/10^9</f>
        <v>0.56536919034961552</v>
      </c>
      <c r="I67" s="2">
        <f>I12*'Output-Calculation-sheet'!I56/10^9</f>
        <v>0.30145199508903792</v>
      </c>
      <c r="J67" s="2">
        <f>J12*'Output-Calculation-sheet'!J56/10^9</f>
        <v>0.27206344125334736</v>
      </c>
      <c r="K67" s="2">
        <f>K12*'Output-Calculation-sheet'!K56/10^9</f>
        <v>0.35142617035486406</v>
      </c>
      <c r="L67" s="2">
        <f>L12*'Output-Calculation-sheet'!L56/10^9</f>
        <v>0.29032467187616801</v>
      </c>
      <c r="M67" s="2">
        <f>M12*'Output-Calculation-sheet'!M56/10^9</f>
        <v>0.39067338755542108</v>
      </c>
      <c r="N67" s="2">
        <f>N12*'Output-Calculation-sheet'!N56/10^9</f>
        <v>0.41001616929450657</v>
      </c>
      <c r="O67" s="2">
        <f>O12*'Output-Calculation-sheet'!O56/10^9</f>
        <v>0.37294159057417553</v>
      </c>
      <c r="P67" s="2">
        <f>P12*'Output-Calculation-sheet'!P56/10^9</f>
        <v>0.30963519860874439</v>
      </c>
      <c r="Q67" s="2">
        <f>Q12*'Output-Calculation-sheet'!Q56/10^9</f>
        <v>0.31898933859357886</v>
      </c>
      <c r="R67" s="2">
        <f>R12*'Output-Calculation-sheet'!R56/10^9</f>
        <v>0.25477702062939578</v>
      </c>
      <c r="S67" s="2">
        <f>S12*'Output-Calculation-sheet'!S56/10^9</f>
        <v>0.23217420320758314</v>
      </c>
      <c r="T67" s="2">
        <f>T12*'Output-Calculation-sheet'!T56/10^9</f>
        <v>7.9412291721648168E-2</v>
      </c>
      <c r="U67" s="2">
        <f>U12*'Output-Calculation-sheet'!U56/10^9</f>
        <v>8.0214122600746118E-2</v>
      </c>
      <c r="V67" s="2">
        <f>V12*'Output-Calculation-sheet'!V56/10^9</f>
        <v>5.946746994462275E-2</v>
      </c>
      <c r="W67" s="2">
        <f>W12*'Output-Calculation-sheet'!W56/10^9</f>
        <v>3.7101988622611888E-2</v>
      </c>
      <c r="X67" s="2">
        <f>X12*'Output-Calculation-sheet'!X56/10^9</f>
        <v>4.6632432253669615E-2</v>
      </c>
      <c r="Y67" s="2">
        <f>Y12*'Output-Calculation-sheet'!Y56/10^9</f>
        <v>3.1197245295863967E-2</v>
      </c>
      <c r="AA67" s="2">
        <f t="shared" si="4"/>
        <v>12.788315811767026</v>
      </c>
    </row>
    <row r="68" spans="1:27" x14ac:dyDescent="0.25">
      <c r="B68" s="2">
        <f>SUM(B60:B67)</f>
        <v>34.964259561172476</v>
      </c>
      <c r="C68" s="2">
        <f t="shared" ref="C68:Y68" si="5">SUM(C60:C67)</f>
        <v>16.812138509943001</v>
      </c>
      <c r="D68" s="2">
        <f t="shared" si="5"/>
        <v>7.6581970357360367</v>
      </c>
      <c r="E68" s="2">
        <f t="shared" si="5"/>
        <v>8.5222605944343446</v>
      </c>
      <c r="F68" s="2">
        <f t="shared" si="5"/>
        <v>3.9346401693823956</v>
      </c>
      <c r="G68" s="2">
        <f t="shared" si="5"/>
        <v>2.7206199460162521</v>
      </c>
      <c r="H68" s="2">
        <f t="shared" si="5"/>
        <v>5.1031244537103015</v>
      </c>
      <c r="I68" s="2">
        <f t="shared" si="5"/>
        <v>2.6843952592758891</v>
      </c>
      <c r="J68" s="2">
        <f t="shared" si="5"/>
        <v>2.4231480952211797</v>
      </c>
      <c r="K68" s="2">
        <f t="shared" si="5"/>
        <v>3.1276661901995388</v>
      </c>
      <c r="L68" s="2">
        <f t="shared" si="5"/>
        <v>2.5837796597325169</v>
      </c>
      <c r="M68" s="2">
        <f t="shared" si="5"/>
        <v>3.5253989719225274</v>
      </c>
      <c r="N68" s="2">
        <f t="shared" si="5"/>
        <v>3.6883878720849701</v>
      </c>
      <c r="O68" s="2">
        <f t="shared" si="5"/>
        <v>3.2771715074554333</v>
      </c>
      <c r="P68" s="2">
        <f t="shared" si="5"/>
        <v>2.7437658225184163</v>
      </c>
      <c r="Q68" s="2">
        <f t="shared" si="5"/>
        <v>2.8291410165101634</v>
      </c>
      <c r="R68" s="2">
        <f t="shared" si="5"/>
        <v>2.2623816523096796</v>
      </c>
      <c r="S68" s="2">
        <f t="shared" si="5"/>
        <v>2.0778229140275073</v>
      </c>
      <c r="T68" s="2">
        <f t="shared" si="5"/>
        <v>0.70700079606622068</v>
      </c>
      <c r="U68" s="2">
        <f t="shared" si="5"/>
        <v>0.71109254600868521</v>
      </c>
      <c r="V68" s="2">
        <f t="shared" si="5"/>
        <v>0.52931197190149337</v>
      </c>
      <c r="W68" s="2">
        <f t="shared" si="5"/>
        <v>0.33087037585027201</v>
      </c>
      <c r="X68" s="2">
        <f t="shared" si="5"/>
        <v>0.41937547985663404</v>
      </c>
      <c r="Y68" s="2">
        <f t="shared" si="5"/>
        <v>0.27704802451593169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10264072105.760609</v>
      </c>
      <c r="C96" s="2">
        <f>C8/'Output-Calculation-sheet'!C7*'Output-Calculation-sheet'!C79</f>
        <v>0</v>
      </c>
      <c r="D96" s="2">
        <f>D8/'Output-Calculation-sheet'!D7*'Output-Calculation-sheet'!D79</f>
        <v>6247634873.9495983</v>
      </c>
      <c r="E96" s="2">
        <f>E8/'Output-Calculation-sheet'!E7*'Output-Calculation-sheet'!E79</f>
        <v>9786033857.7090626</v>
      </c>
      <c r="F96" s="2">
        <f>F8/'Output-Calculation-sheet'!F7*'Output-Calculation-sheet'!F79</f>
        <v>4684348837.4620533</v>
      </c>
      <c r="G96" s="2">
        <f>G8/'Output-Calculation-sheet'!G7*'Output-Calculation-sheet'!G79</f>
        <v>3571126235.5922432</v>
      </c>
      <c r="H96" s="2">
        <f>H8/'Output-Calculation-sheet'!H7*'Output-Calculation-sheet'!H79</f>
        <v>965149477.72657692</v>
      </c>
      <c r="I96" s="2">
        <f>I8/'Output-Calculation-sheet'!I7*'Output-Calculation-sheet'!I79</f>
        <v>2449017897.8080878</v>
      </c>
      <c r="J96" s="2">
        <f>J8/'Output-Calculation-sheet'!J7*'Output-Calculation-sheet'!J79</f>
        <v>1743266537.6005094</v>
      </c>
      <c r="K96" s="2">
        <f>K8/'Output-Calculation-sheet'!K7*'Output-Calculation-sheet'!K79</f>
        <v>2172678934.9921274</v>
      </c>
      <c r="L96" s="2">
        <f>L8/'Output-Calculation-sheet'!L7*'Output-Calculation-sheet'!L79</f>
        <v>1511881429.1335557</v>
      </c>
      <c r="M96" s="2">
        <f>M8/'Output-Calculation-sheet'!M7*'Output-Calculation-sheet'!M79</f>
        <v>715490329.55632424</v>
      </c>
      <c r="N96" s="2">
        <f>N8/'Output-Calculation-sheet'!N7*'Output-Calculation-sheet'!N79</f>
        <v>797416625.97460902</v>
      </c>
      <c r="O96" s="2">
        <f>O8/'Output-Calculation-sheet'!O7*'Output-Calculation-sheet'!O79</f>
        <v>0</v>
      </c>
      <c r="P96" s="2">
        <f>P8/'Output-Calculation-sheet'!P7*'Output-Calculation-sheet'!P79</f>
        <v>1844241966.2753193</v>
      </c>
      <c r="Q96" s="2">
        <f>Q8/'Output-Calculation-sheet'!Q7*'Output-Calculation-sheet'!Q79</f>
        <v>856189847.99260879</v>
      </c>
      <c r="R96" s="2">
        <f>R8/'Output-Calculation-sheet'!R7*'Output-Calculation-sheet'!R79</f>
        <v>1320989283.1750653</v>
      </c>
      <c r="S96" s="2">
        <f>S8/'Output-Calculation-sheet'!S7*'Output-Calculation-sheet'!S79</f>
        <v>483859488.47106159</v>
      </c>
      <c r="T96" s="2">
        <f>T8/'Output-Calculation-sheet'!T7*'Output-Calculation-sheet'!T79</f>
        <v>692404193.4116627</v>
      </c>
      <c r="U96" s="2">
        <f>U8/'Output-Calculation-sheet'!U7*'Output-Calculation-sheet'!U79</f>
        <v>351558295.09855157</v>
      </c>
      <c r="V96" s="2">
        <f>V8/'Output-Calculation-sheet'!V7*'Output-Calculation-sheet'!V79</f>
        <v>213116994.75351182</v>
      </c>
      <c r="W96" s="2">
        <f>W8/'Output-Calculation-sheet'!W7*'Output-Calculation-sheet'!W79</f>
        <v>742175011.27524555</v>
      </c>
      <c r="X96" s="2">
        <f>X8/'Output-Calculation-sheet'!X7*'Output-Calculation-sheet'!X79</f>
        <v>69194859.759670436</v>
      </c>
      <c r="Y96" s="2">
        <f>Y8/'Output-Calculation-sheet'!Y7*'Output-Calculation-sheet'!Y79</f>
        <v>315700688.9714936</v>
      </c>
      <c r="AA96" s="2">
        <f t="shared" si="8"/>
        <v>51.797547772449555</v>
      </c>
    </row>
    <row r="97" spans="1:27" x14ac:dyDescent="0.25">
      <c r="A97" s="2">
        <v>2032</v>
      </c>
      <c r="B97" s="2">
        <f>B9/'Output-Calculation-sheet'!B8*'Output-Calculation-sheet'!B80</f>
        <v>10769314564.762909</v>
      </c>
      <c r="C97" s="2">
        <f>C9/'Output-Calculation-sheet'!C8*'Output-Calculation-sheet'!C80</f>
        <v>0</v>
      </c>
      <c r="D97" s="2">
        <f>D9/'Output-Calculation-sheet'!D8*'Output-Calculation-sheet'!D80</f>
        <v>6251907191.7823019</v>
      </c>
      <c r="E97" s="2">
        <f>E9/'Output-Calculation-sheet'!E8*'Output-Calculation-sheet'!E80</f>
        <v>10086372738.386223</v>
      </c>
      <c r="F97" s="2">
        <f>F9/'Output-Calculation-sheet'!F8*'Output-Calculation-sheet'!F80</f>
        <v>4811358614.8017712</v>
      </c>
      <c r="G97" s="2">
        <f>G9/'Output-Calculation-sheet'!G8*'Output-Calculation-sheet'!G80</f>
        <v>3562700844.5782194</v>
      </c>
      <c r="H97" s="2">
        <f>H9/'Output-Calculation-sheet'!H8*'Output-Calculation-sheet'!H80</f>
        <v>1017441559.4164097</v>
      </c>
      <c r="I97" s="2">
        <f>I9/'Output-Calculation-sheet'!I8*'Output-Calculation-sheet'!I80</f>
        <v>2540472416.7031589</v>
      </c>
      <c r="J97" s="2">
        <f>J9/'Output-Calculation-sheet'!J8*'Output-Calculation-sheet'!J80</f>
        <v>1756965537.3476624</v>
      </c>
      <c r="K97" s="2">
        <f>K9/'Output-Calculation-sheet'!K8*'Output-Calculation-sheet'!K80</f>
        <v>2210114165.6675243</v>
      </c>
      <c r="L97" s="2">
        <f>L9/'Output-Calculation-sheet'!L8*'Output-Calculation-sheet'!L80</f>
        <v>1586830811.2242908</v>
      </c>
      <c r="M97" s="2">
        <f>M9/'Output-Calculation-sheet'!M8*'Output-Calculation-sheet'!M80</f>
        <v>755591205.47327948</v>
      </c>
      <c r="N97" s="2">
        <f>N9/'Output-Calculation-sheet'!N8*'Output-Calculation-sheet'!N80</f>
        <v>804246157.82638121</v>
      </c>
      <c r="O97" s="2">
        <f>O9/'Output-Calculation-sheet'!O8*'Output-Calculation-sheet'!O80</f>
        <v>0</v>
      </c>
      <c r="P97" s="2">
        <f>P9/'Output-Calculation-sheet'!P8*'Output-Calculation-sheet'!P80</f>
        <v>1882079309.4230824</v>
      </c>
      <c r="Q97" s="2">
        <f>Q9/'Output-Calculation-sheet'!Q8*'Output-Calculation-sheet'!Q80</f>
        <v>877516862.21304715</v>
      </c>
      <c r="R97" s="2">
        <f>R9/'Output-Calculation-sheet'!R8*'Output-Calculation-sheet'!R80</f>
        <v>1360083928.8677537</v>
      </c>
      <c r="S97" s="2">
        <f>S9/'Output-Calculation-sheet'!S8*'Output-Calculation-sheet'!S80</f>
        <v>512467056.45935309</v>
      </c>
      <c r="T97" s="2">
        <f>T9/'Output-Calculation-sheet'!T8*'Output-Calculation-sheet'!T80</f>
        <v>699397584.70044923</v>
      </c>
      <c r="U97" s="2">
        <f>U9/'Output-Calculation-sheet'!U8*'Output-Calculation-sheet'!U80</f>
        <v>362120627.5819059</v>
      </c>
      <c r="V97" s="2">
        <f>V9/'Output-Calculation-sheet'!V8*'Output-Calculation-sheet'!V80</f>
        <v>221992445.18203712</v>
      </c>
      <c r="W97" s="2">
        <f>W9/'Output-Calculation-sheet'!W8*'Output-Calculation-sheet'!W80</f>
        <v>755774407.25289261</v>
      </c>
      <c r="X97" s="2">
        <f>X9/'Output-Calculation-sheet'!X8*'Output-Calculation-sheet'!X80</f>
        <v>74824257.720296547</v>
      </c>
      <c r="Y97" s="2">
        <f>Y9/'Output-Calculation-sheet'!Y8*'Output-Calculation-sheet'!Y80</f>
        <v>321810948.99038559</v>
      </c>
      <c r="AA97" s="2">
        <f t="shared" si="8"/>
        <v>53.221383236361334</v>
      </c>
    </row>
    <row r="98" spans="1:27" x14ac:dyDescent="0.25">
      <c r="A98" s="2">
        <v>2033</v>
      </c>
      <c r="B98" s="2">
        <f>B10/'Output-Calculation-sheet'!B9*'Output-Calculation-sheet'!B81</f>
        <v>10984591721.318933</v>
      </c>
      <c r="C98" s="2">
        <f>C10/'Output-Calculation-sheet'!C9*'Output-Calculation-sheet'!C81</f>
        <v>1438657065.7371347</v>
      </c>
      <c r="D98" s="2">
        <f>D10/'Output-Calculation-sheet'!D9*'Output-Calculation-sheet'!D81</f>
        <v>5856243701.0314102</v>
      </c>
      <c r="E98" s="2">
        <f>E10/'Output-Calculation-sheet'!E9*'Output-Calculation-sheet'!E81</f>
        <v>9723412354.37257</v>
      </c>
      <c r="F98" s="2">
        <f>F10/'Output-Calculation-sheet'!F9*'Output-Calculation-sheet'!F81</f>
        <v>4629219399.6447582</v>
      </c>
      <c r="G98" s="2">
        <f>G10/'Output-Calculation-sheet'!G9*'Output-Calculation-sheet'!G81</f>
        <v>3324137051.0124388</v>
      </c>
      <c r="H98" s="2">
        <f>H10/'Output-Calculation-sheet'!H9*'Output-Calculation-sheet'!H81</f>
        <v>1001810588.056597</v>
      </c>
      <c r="I98" s="2">
        <f>I10/'Output-Calculation-sheet'!I9*'Output-Calculation-sheet'!I81</f>
        <v>2467261763.6546612</v>
      </c>
      <c r="J98" s="2">
        <f>J10/'Output-Calculation-sheet'!J9*'Output-Calculation-sheet'!J81</f>
        <v>1659053252.3214066</v>
      </c>
      <c r="K98" s="2">
        <f>K10/'Output-Calculation-sheet'!K9*'Output-Calculation-sheet'!K81</f>
        <v>2106943445.5196264</v>
      </c>
      <c r="L98" s="2">
        <f>L10/'Output-Calculation-sheet'!L9*'Output-Calculation-sheet'!L81</f>
        <v>1557757405.3679805</v>
      </c>
      <c r="M98" s="2">
        <f>M10/'Output-Calculation-sheet'!M9*'Output-Calculation-sheet'!M81</f>
        <v>746953676.41448379</v>
      </c>
      <c r="N98" s="2">
        <f>N10/'Output-Calculation-sheet'!N9*'Output-Calculation-sheet'!N81</f>
        <v>760102354.73174465</v>
      </c>
      <c r="O98" s="2">
        <f>O10/'Output-Calculation-sheet'!O9*'Output-Calculation-sheet'!O81</f>
        <v>0</v>
      </c>
      <c r="P98" s="2">
        <f>P10/'Output-Calculation-sheet'!P9*'Output-Calculation-sheet'!P81</f>
        <v>1792494947.0852108</v>
      </c>
      <c r="Q98" s="2">
        <f>Q10/'Output-Calculation-sheet'!Q9*'Output-Calculation-sheet'!Q81</f>
        <v>841371255.27805853</v>
      </c>
      <c r="R98" s="2">
        <f>R10/'Output-Calculation-sheet'!R9*'Output-Calculation-sheet'!R81</f>
        <v>1312924862.1643646</v>
      </c>
      <c r="S98" s="2">
        <f>S10/'Output-Calculation-sheet'!S9*'Output-Calculation-sheet'!S81</f>
        <v>498539116.10125202</v>
      </c>
      <c r="T98" s="2">
        <f>T10/'Output-Calculation-sheet'!T9*'Output-Calculation-sheet'!T81</f>
        <v>661715908.62747955</v>
      </c>
      <c r="U98" s="2">
        <f>U10/'Output-Calculation-sheet'!U9*'Output-Calculation-sheet'!U81</f>
        <v>348791784.31483066</v>
      </c>
      <c r="V98" s="2">
        <f>V10/'Output-Calculation-sheet'!V9*'Output-Calculation-sheet'!V81</f>
        <v>216143871.48193514</v>
      </c>
      <c r="W98" s="2">
        <f>W10/'Output-Calculation-sheet'!W9*'Output-Calculation-sheet'!W81</f>
        <v>718607266.22634172</v>
      </c>
      <c r="X98" s="2">
        <f>X10/'Output-Calculation-sheet'!X9*'Output-Calculation-sheet'!X81</f>
        <v>74753739.238905385</v>
      </c>
      <c r="Y98" s="2">
        <f>Y10/'Output-Calculation-sheet'!Y9*'Output-Calculation-sheet'!Y81</f>
        <v>306775958.08768165</v>
      </c>
      <c r="AA98" s="2">
        <f t="shared" si="8"/>
        <v>53.028262487789796</v>
      </c>
    </row>
    <row r="99" spans="1:27" x14ac:dyDescent="0.25">
      <c r="A99" s="2">
        <v>2034</v>
      </c>
      <c r="B99" s="2">
        <f>B11/'Output-Calculation-sheet'!B10*'Output-Calculation-sheet'!B82</f>
        <v>10321243617.763355</v>
      </c>
      <c r="C99" s="2">
        <f>C11/'Output-Calculation-sheet'!C10*'Output-Calculation-sheet'!C82</f>
        <v>1399816797.2867455</v>
      </c>
      <c r="D99" s="2">
        <f>D11/'Output-Calculation-sheet'!D10*'Output-Calculation-sheet'!D82</f>
        <v>5149812095.4162016</v>
      </c>
      <c r="E99" s="2">
        <f>E11/'Output-Calculation-sheet'!E10*'Output-Calculation-sheet'!E82</f>
        <v>8807057063.6860142</v>
      </c>
      <c r="F99" s="2">
        <f>F11/'Output-Calculation-sheet'!F10*'Output-Calculation-sheet'!F82</f>
        <v>4182543387.5189533</v>
      </c>
      <c r="G99" s="2">
        <f>G11/'Output-Calculation-sheet'!G10*'Output-Calculation-sheet'!G82</f>
        <v>2905433371.0210323</v>
      </c>
      <c r="H99" s="2">
        <f>H11/'Output-Calculation-sheet'!H10*'Output-Calculation-sheet'!H82</f>
        <v>927104525.11046422</v>
      </c>
      <c r="I99" s="2">
        <f>I11/'Output-Calculation-sheet'!I10*'Output-Calculation-sheet'!I82</f>
        <v>2252231066.5597291</v>
      </c>
      <c r="J99" s="2">
        <f>J11/'Output-Calculation-sheet'!J10*'Output-Calculation-sheet'!J82</f>
        <v>1471457693.4257886</v>
      </c>
      <c r="K99" s="2">
        <f>K11/'Output-Calculation-sheet'!K10*'Output-Calculation-sheet'!K82</f>
        <v>1886672164.6356761</v>
      </c>
      <c r="L99" s="2">
        <f>L11/'Output-Calculation-sheet'!L10*'Output-Calculation-sheet'!L82</f>
        <v>1434631974.8172112</v>
      </c>
      <c r="M99" s="2">
        <f>M11/'Output-Calculation-sheet'!M10*'Output-Calculation-sheet'!M82</f>
        <v>693502931.88192666</v>
      </c>
      <c r="N99" s="2">
        <f>N11/'Output-Calculation-sheet'!N10*'Output-Calculation-sheet'!N82</f>
        <v>676827773.97486496</v>
      </c>
      <c r="O99" s="2">
        <f>O11/'Output-Calculation-sheet'!O10*'Output-Calculation-sheet'!O82</f>
        <v>0</v>
      </c>
      <c r="P99" s="2">
        <f>P11/'Output-Calculation-sheet'!P10*'Output-Calculation-sheet'!P82</f>
        <v>1600861062.8720589</v>
      </c>
      <c r="Q99" s="2">
        <f>Q11/'Output-Calculation-sheet'!Q10*'Output-Calculation-sheet'!Q82</f>
        <v>758018260.05227494</v>
      </c>
      <c r="R99" s="2">
        <f>R11/'Output-Calculation-sheet'!R10*'Output-Calculation-sheet'!R82</f>
        <v>1189583547.009752</v>
      </c>
      <c r="S99" s="2">
        <f>S11/'Output-Calculation-sheet'!S10*'Output-Calculation-sheet'!S82</f>
        <v>463501581.16523165</v>
      </c>
      <c r="T99" s="2">
        <f>T11/'Output-Calculation-sheet'!T10*'Output-Calculation-sheet'!T82</f>
        <v>587744671.7071501</v>
      </c>
      <c r="U99" s="2">
        <f>U11/'Output-Calculation-sheet'!U10*'Output-Calculation-sheet'!U82</f>
        <v>315928840.4822892</v>
      </c>
      <c r="V99" s="2">
        <f>V11/'Output-Calculation-sheet'!V10*'Output-Calculation-sheet'!V82</f>
        <v>197637045.43864456</v>
      </c>
      <c r="W99" s="2">
        <f>W11/'Output-Calculation-sheet'!W10*'Output-Calculation-sheet'!W82</f>
        <v>640662209.07639444</v>
      </c>
      <c r="X99" s="2">
        <f>X11/'Output-Calculation-sheet'!X10*'Output-Calculation-sheet'!X82</f>
        <v>70494525.098884463</v>
      </c>
      <c r="Y99" s="2">
        <f>Y11/'Output-Calculation-sheet'!Y10*'Output-Calculation-sheet'!Y82</f>
        <v>274122061.66459727</v>
      </c>
      <c r="AA99" s="2">
        <f t="shared" si="8"/>
        <v>48.206888267665235</v>
      </c>
    </row>
    <row r="100" spans="1:27" x14ac:dyDescent="0.25">
      <c r="A100" s="2">
        <v>2035</v>
      </c>
      <c r="B100" s="2">
        <f>B12/'Output-Calculation-sheet'!B11*'Output-Calculation-sheet'!B83</f>
        <v>8939584374.5553417</v>
      </c>
      <c r="C100" s="2">
        <f>C12/'Output-Calculation-sheet'!C11*'Output-Calculation-sheet'!C83</f>
        <v>1264820739.2831995</v>
      </c>
      <c r="D100" s="2">
        <f>D12/'Output-Calculation-sheet'!D11*'Output-Calculation-sheet'!D83</f>
        <v>4251702473.0676908</v>
      </c>
      <c r="E100" s="2">
        <f>E12/'Output-Calculation-sheet'!E11*'Output-Calculation-sheet'!E83</f>
        <v>7480096970.7521591</v>
      </c>
      <c r="F100" s="2">
        <f>F12/'Output-Calculation-sheet'!F11*'Output-Calculation-sheet'!F83</f>
        <v>3544868229.6087599</v>
      </c>
      <c r="G100" s="2">
        <f>G12/'Output-Calculation-sheet'!G11*'Output-Calculation-sheet'!G83</f>
        <v>2377455661.9607801</v>
      </c>
      <c r="H100" s="2">
        <f>H12/'Output-Calculation-sheet'!H11*'Output-Calculation-sheet'!H83</f>
        <v>801104746.11879659</v>
      </c>
      <c r="I100" s="2">
        <f>I12/'Output-Calculation-sheet'!I11*'Output-Calculation-sheet'!I83</f>
        <v>1926287826.4824386</v>
      </c>
      <c r="J100" s="2">
        <f>J12/'Output-Calculation-sheet'!J11*'Output-Calculation-sheet'!J83</f>
        <v>1223803798.2548847</v>
      </c>
      <c r="K100" s="2">
        <f>K12/'Output-Calculation-sheet'!K11*'Output-Calculation-sheet'!K83</f>
        <v>1584109272.7830646</v>
      </c>
      <c r="L100" s="2">
        <f>L12/'Output-Calculation-sheet'!L11*'Output-Calculation-sheet'!L83</f>
        <v>1237723349.51021</v>
      </c>
      <c r="M100" s="2">
        <f>M12/'Output-Calculation-sheet'!M11*'Output-Calculation-sheet'!M83</f>
        <v>600466723.77153242</v>
      </c>
      <c r="N100" s="2">
        <f>N12/'Output-Calculation-sheet'!N11*'Output-Calculation-sheet'!N83</f>
        <v>565657196.26776087</v>
      </c>
      <c r="O100" s="2">
        <f>O12/'Output-Calculation-sheet'!O11*'Output-Calculation-sheet'!O83</f>
        <v>152607100.65108275</v>
      </c>
      <c r="P100" s="2">
        <f>P12/'Output-Calculation-sheet'!P11*'Output-Calculation-sheet'!P83</f>
        <v>1339948420.9578719</v>
      </c>
      <c r="Q100" s="2">
        <f>Q12/'Output-Calculation-sheet'!Q11*'Output-Calculation-sheet'!Q83</f>
        <v>642607820.52764189</v>
      </c>
      <c r="R100" s="2">
        <f>R12/'Output-Calculation-sheet'!R11*'Output-Calculation-sheet'!R83</f>
        <v>1012236426.9867918</v>
      </c>
      <c r="S100" s="2">
        <f>S12/'Output-Calculation-sheet'!S11*'Output-Calculation-sheet'!S83</f>
        <v>392597369.52324307</v>
      </c>
      <c r="T100" s="2">
        <f>T12/'Output-Calculation-sheet'!T11*'Output-Calculation-sheet'!T83</f>
        <v>489348366.32365608</v>
      </c>
      <c r="U100" s="2">
        <f>U12/'Output-Calculation-sheet'!U11*'Output-Calculation-sheet'!U83</f>
        <v>268062672.07932478</v>
      </c>
      <c r="V100" s="2">
        <f>V12/'Output-Calculation-sheet'!V11*'Output-Calculation-sheet'!V83</f>
        <v>169427096.11053523</v>
      </c>
      <c r="W100" s="2">
        <f>W12/'Output-Calculation-sheet'!W11*'Output-Calculation-sheet'!W83</f>
        <v>534632212.34710264</v>
      </c>
      <c r="X100" s="2">
        <f>X12/'Output-Calculation-sheet'!X11*'Output-Calculation-sheet'!X83</f>
        <v>62210854.355755679</v>
      </c>
      <c r="Y100" s="2">
        <f>Y12/'Output-Calculation-sheet'!Y11*'Output-Calculation-sheet'!Y83</f>
        <v>229544284.71207273</v>
      </c>
      <c r="AA100" s="2">
        <f t="shared" si="8"/>
        <v>41.090903986991698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3.7216772308640094E-4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3349601710.2609763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2294975591.3609366</v>
      </c>
      <c r="N118" s="2">
        <f>N8/'Output-Calculation-sheet'!N7*'Output-Calculation-sheet'!N97</f>
        <v>1517121991.5744958</v>
      </c>
      <c r="O118" s="2">
        <f>O8/'Output-Calculation-sheet'!O7*'Output-Calculation-sheet'!O97</f>
        <v>2.0476584426832268E-5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376095521.70848483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218116166.16455722</v>
      </c>
      <c r="Y118" s="2">
        <f>Y8/'Output-Calculation-sheet'!Y7*'Output-Calculation-sheet'!Y97</f>
        <v>0</v>
      </c>
      <c r="AA118" s="2">
        <f t="shared" si="10"/>
        <v>7755.9109810698437</v>
      </c>
    </row>
    <row r="119" spans="1:27" x14ac:dyDescent="0.25">
      <c r="A119" s="2">
        <v>2032</v>
      </c>
      <c r="B119" s="2">
        <f>B9/'Output-Calculation-sheet'!B8*'Output-Calculation-sheet'!B98</f>
        <v>3338510.7864372269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3585074426.1891313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2453391626.9705939</v>
      </c>
      <c r="N119" s="2">
        <f>N9/'Output-Calculation-sheet'!N8*'Output-Calculation-sheet'!N98</f>
        <v>1789963077.8865988</v>
      </c>
      <c r="O119" s="2">
        <f>O9/'Output-Calculation-sheet'!O8*'Output-Calculation-sheet'!O98</f>
        <v>1.8256399187511888E-4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563194809.08374608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236286569.11803579</v>
      </c>
      <c r="Y119" s="2">
        <f>Y9/'Output-Calculation-sheet'!Y8*'Output-Calculation-sheet'!Y98</f>
        <v>0</v>
      </c>
      <c r="AA119" s="2">
        <f t="shared" si="10"/>
        <v>8631.2490200347256</v>
      </c>
    </row>
    <row r="120" spans="1:27" x14ac:dyDescent="0.25">
      <c r="A120" s="2">
        <v>2033</v>
      </c>
      <c r="B120" s="2">
        <f>B10/'Output-Calculation-sheet'!B9*'Output-Calculation-sheet'!B99</f>
        <v>4349578296.2726479</v>
      </c>
      <c r="C120" s="2">
        <f>C10/'Output-Calculation-sheet'!C9*'Output-Calculation-sheet'!C99</f>
        <v>8095761169.116292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3581128523.0846663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2453051121.2550964</v>
      </c>
      <c r="N120" s="2">
        <f>N10/'Output-Calculation-sheet'!N9*'Output-Calculation-sheet'!N99</f>
        <v>1938964657.499548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678255462.55329871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236382756.88759047</v>
      </c>
      <c r="Y120" s="2">
        <f>Y10/'Output-Calculation-sheet'!Y9*'Output-Calculation-sheet'!Y99</f>
        <v>0</v>
      </c>
      <c r="AA120" s="2">
        <f t="shared" si="10"/>
        <v>21333.121986669139</v>
      </c>
    </row>
    <row r="121" spans="1:27" x14ac:dyDescent="0.25">
      <c r="A121" s="2">
        <v>2034</v>
      </c>
      <c r="B121" s="2">
        <f>B11/'Output-Calculation-sheet'!B10*'Output-Calculation-sheet'!B100</f>
        <v>6758240753.7606344</v>
      </c>
      <c r="C121" s="2">
        <f>C11/'Output-Calculation-sheet'!C10*'Output-Calculation-sheet'!C100</f>
        <v>7829821544.0008717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3359461270.9529891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2301580645.0706706</v>
      </c>
      <c r="N121" s="2">
        <f>N11/'Output-Calculation-sheet'!N10*'Output-Calculation-sheet'!N100</f>
        <v>1879100287.328809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721363101.89572597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223121219.59336057</v>
      </c>
      <c r="Y121" s="2">
        <f>Y11/'Output-Calculation-sheet'!Y10*'Output-Calculation-sheet'!Y100</f>
        <v>0</v>
      </c>
      <c r="AA121" s="2">
        <f t="shared" si="10"/>
        <v>23072.688822603057</v>
      </c>
    </row>
    <row r="122" spans="1:27" x14ac:dyDescent="0.25">
      <c r="A122" s="2">
        <v>2035</v>
      </c>
      <c r="B122" s="2">
        <f>B12/'Output-Calculation-sheet'!B11*'Output-Calculation-sheet'!B101</f>
        <v>7195373811.5264511</v>
      </c>
      <c r="C122" s="2">
        <f>C12/'Output-Calculation-sheet'!C11*'Output-Calculation-sheet'!C101</f>
        <v>7032836391.2882957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2940395931.9765515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2012198469.748687</v>
      </c>
      <c r="N122" s="2">
        <f>N12/'Output-Calculation-sheet'!N11*'Output-Calculation-sheet'!N101</f>
        <v>1681796738.0001602</v>
      </c>
      <c r="O122" s="2">
        <f>O12/'Output-Calculation-sheet'!O11*'Output-Calculation-sheet'!O101</f>
        <v>1201971083.5126951</v>
      </c>
      <c r="P122" s="2">
        <f>P12/'Output-Calculation-sheet'!P11*'Output-Calculation-sheet'!P101</f>
        <v>0</v>
      </c>
      <c r="Q122" s="2">
        <f>Q12/'Output-Calculation-sheet'!Q11*'Output-Calculation-sheet'!Q101</f>
        <v>21941512.716243211</v>
      </c>
      <c r="R122" s="2">
        <f>R12/'Output-Calculation-sheet'!R11*'Output-Calculation-sheet'!R101</f>
        <v>0</v>
      </c>
      <c r="S122" s="2">
        <f>S12/'Output-Calculation-sheet'!S11*'Output-Calculation-sheet'!S101</f>
        <v>708087496.4726758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197007618.3222622</v>
      </c>
      <c r="Y122" s="2">
        <f>Y12/'Output-Calculation-sheet'!Y11*'Output-Calculation-sheet'!Y101</f>
        <v>0</v>
      </c>
      <c r="AA122" s="2">
        <f t="shared" si="10"/>
        <v>22991.609053564021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41979408563.887032</v>
      </c>
      <c r="C129" s="2">
        <f>C8/'Output-Calculation-sheet'!C7*'Output-Calculation-sheet'!C106</f>
        <v>0</v>
      </c>
      <c r="D129" s="2">
        <f>D8/'Output-Calculation-sheet'!D7*'Output-Calculation-sheet'!D106</f>
        <v>30388742555.2005</v>
      </c>
      <c r="E129" s="2">
        <f>E8/'Output-Calculation-sheet'!E7*'Output-Calculation-sheet'!E106</f>
        <v>21241444052.511917</v>
      </c>
      <c r="F129" s="2">
        <f>F8/'Output-Calculation-sheet'!F7*'Output-Calculation-sheet'!F106</f>
        <v>15814276260.018913</v>
      </c>
      <c r="G129" s="2">
        <f>G8/'Output-Calculation-sheet'!G7*'Output-Calculation-sheet'!G106</f>
        <v>10875235954.304449</v>
      </c>
      <c r="H129" s="2">
        <f>H8/'Output-Calculation-sheet'!H7*'Output-Calculation-sheet'!H106</f>
        <v>0</v>
      </c>
      <c r="I129" s="2">
        <f>I8/'Output-Calculation-sheet'!I7*'Output-Calculation-sheet'!I106</f>
        <v>9754250144.0874939</v>
      </c>
      <c r="J129" s="2">
        <f>J8/'Output-Calculation-sheet'!J7*'Output-Calculation-sheet'!J106</f>
        <v>9993893416.1920986</v>
      </c>
      <c r="K129" s="2">
        <f>K8/'Output-Calculation-sheet'!K7*'Output-Calculation-sheet'!K106</f>
        <v>8622511730.2852974</v>
      </c>
      <c r="L129" s="2">
        <f>L8/'Output-Calculation-sheet'!L7*'Output-Calculation-sheet'!L106</f>
        <v>6821620346.0405941</v>
      </c>
      <c r="M129" s="2">
        <f>M8/'Output-Calculation-sheet'!M7*'Output-Calculation-sheet'!M106</f>
        <v>0</v>
      </c>
      <c r="N129" s="2">
        <f>N8/'Output-Calculation-sheet'!N7*'Output-Calculation-sheet'!N106</f>
        <v>1856754230.2251258</v>
      </c>
      <c r="O129" s="2">
        <f>O8/'Output-Calculation-sheet'!O7*'Output-Calculation-sheet'!O106</f>
        <v>0</v>
      </c>
      <c r="P129" s="2">
        <f>P8/'Output-Calculation-sheet'!P7*'Output-Calculation-sheet'!P106</f>
        <v>4200961593.8821955</v>
      </c>
      <c r="Q129" s="2">
        <f>Q8/'Output-Calculation-sheet'!Q7*'Output-Calculation-sheet'!Q106</f>
        <v>4117168663.9940872</v>
      </c>
      <c r="R129" s="2">
        <f>R8/'Output-Calculation-sheet'!R7*'Output-Calculation-sheet'!R106</f>
        <v>4898260211.0235558</v>
      </c>
      <c r="S129" s="2">
        <f>S8/'Output-Calculation-sheet'!S7*'Output-Calculation-sheet'!S106</f>
        <v>1670456234.0933928</v>
      </c>
      <c r="T129" s="2">
        <f>T8/'Output-Calculation-sheet'!T7*'Output-Calculation-sheet'!T106</f>
        <v>2120665629.6865857</v>
      </c>
      <c r="U129" s="2">
        <f>U8/'Output-Calculation-sheet'!U7*'Output-Calculation-sheet'!U106</f>
        <v>1492900467.842797</v>
      </c>
      <c r="V129" s="2">
        <f>V8/'Output-Calculation-sheet'!V7*'Output-Calculation-sheet'!V106</f>
        <v>1343105550.6295717</v>
      </c>
      <c r="W129" s="2">
        <f>W8/'Output-Calculation-sheet'!W7*'Output-Calculation-sheet'!W106</f>
        <v>1370437704.0451279</v>
      </c>
      <c r="X129" s="2">
        <f>X8/'Output-Calculation-sheet'!X7*'Output-Calculation-sheet'!X106</f>
        <v>0</v>
      </c>
      <c r="Y129" s="2">
        <f>Y8/'Output-Calculation-sheet'!Y7*'Output-Calculation-sheet'!Y106</f>
        <v>618788145.7348634</v>
      </c>
      <c r="AA129" s="2">
        <f t="shared" si="11"/>
        <v>179180.88145368561</v>
      </c>
    </row>
    <row r="130" spans="1:27" x14ac:dyDescent="0.25">
      <c r="A130" s="2">
        <v>2032</v>
      </c>
      <c r="B130" s="2">
        <f>B9/'Output-Calculation-sheet'!B8*'Output-Calculation-sheet'!B107</f>
        <v>44067199380.458221</v>
      </c>
      <c r="C130" s="2">
        <f>C9/'Output-Calculation-sheet'!C8*'Output-Calculation-sheet'!C107</f>
        <v>0</v>
      </c>
      <c r="D130" s="2">
        <f>D9/'Output-Calculation-sheet'!D8*'Output-Calculation-sheet'!D107</f>
        <v>31662680840.031349</v>
      </c>
      <c r="E130" s="2">
        <f>E9/'Output-Calculation-sheet'!E8*'Output-Calculation-sheet'!E107</f>
        <v>22160692646.754757</v>
      </c>
      <c r="F130" s="2">
        <f>F9/'Output-Calculation-sheet'!F8*'Output-Calculation-sheet'!F107</f>
        <v>16472844196.904905</v>
      </c>
      <c r="G130" s="2">
        <f>G9/'Output-Calculation-sheet'!G8*'Output-Calculation-sheet'!G107</f>
        <v>11322462242.105793</v>
      </c>
      <c r="H130" s="2">
        <f>H9/'Output-Calculation-sheet'!H8*'Output-Calculation-sheet'!H107</f>
        <v>0</v>
      </c>
      <c r="I130" s="2">
        <f>I9/'Output-Calculation-sheet'!I8*'Output-Calculation-sheet'!I107</f>
        <v>10163988161.062737</v>
      </c>
      <c r="J130" s="2">
        <f>J9/'Output-Calculation-sheet'!J8*'Output-Calculation-sheet'!J107</f>
        <v>10407315013.853914</v>
      </c>
      <c r="K130" s="2">
        <f>K9/'Output-Calculation-sheet'!K8*'Output-Calculation-sheet'!K107</f>
        <v>8993491070.6743336</v>
      </c>
      <c r="L130" s="2">
        <f>L9/'Output-Calculation-sheet'!L8*'Output-Calculation-sheet'!L107</f>
        <v>7117073276.8192549</v>
      </c>
      <c r="M130" s="2">
        <f>M9/'Output-Calculation-sheet'!M8*'Output-Calculation-sheet'!M107</f>
        <v>0</v>
      </c>
      <c r="N130" s="2">
        <f>N9/'Output-Calculation-sheet'!N8*'Output-Calculation-sheet'!N107</f>
        <v>1718027901.2430613</v>
      </c>
      <c r="O130" s="2">
        <f>O9/'Output-Calculation-sheet'!O8*'Output-Calculation-sheet'!O107</f>
        <v>0</v>
      </c>
      <c r="P130" s="2">
        <f>P9/'Output-Calculation-sheet'!P8*'Output-Calculation-sheet'!P107</f>
        <v>4415237356.8228798</v>
      </c>
      <c r="Q130" s="2">
        <f>Q9/'Output-Calculation-sheet'!Q8*'Output-Calculation-sheet'!Q107</f>
        <v>4329827236.2129211</v>
      </c>
      <c r="R130" s="2">
        <f>R9/'Output-Calculation-sheet'!R8*'Output-Calculation-sheet'!R107</f>
        <v>5109781284.3396873</v>
      </c>
      <c r="S130" s="2">
        <f>S9/'Output-Calculation-sheet'!S8*'Output-Calculation-sheet'!S107</f>
        <v>1641614712.5468233</v>
      </c>
      <c r="T130" s="2">
        <f>T9/'Output-Calculation-sheet'!T8*'Output-Calculation-sheet'!T107</f>
        <v>2209964974.1729374</v>
      </c>
      <c r="U130" s="2">
        <f>U9/'Output-Calculation-sheet'!U8*'Output-Calculation-sheet'!U107</f>
        <v>1558891407.9195368</v>
      </c>
      <c r="V130" s="2">
        <f>V9/'Output-Calculation-sheet'!V8*'Output-Calculation-sheet'!V107</f>
        <v>1403426955.1729784</v>
      </c>
      <c r="W130" s="2">
        <f>W9/'Output-Calculation-sheet'!W8*'Output-Calculation-sheet'!W107</f>
        <v>1428396631.1935134</v>
      </c>
      <c r="X130" s="2">
        <f>X9/'Output-Calculation-sheet'!X8*'Output-Calculation-sheet'!X107</f>
        <v>0</v>
      </c>
      <c r="Y130" s="2">
        <f>Y9/'Output-Calculation-sheet'!Y8*'Output-Calculation-sheet'!Y107</f>
        <v>645648383.25252116</v>
      </c>
      <c r="AA130" s="2">
        <f t="shared" si="11"/>
        <v>186828.56367154213</v>
      </c>
    </row>
    <row r="131" spans="1:27" x14ac:dyDescent="0.25">
      <c r="A131" s="2">
        <v>2033</v>
      </c>
      <c r="B131" s="2">
        <f>B10/'Output-Calculation-sheet'!B9*'Output-Calculation-sheet'!B108</f>
        <v>40621834203.456146</v>
      </c>
      <c r="C131" s="2">
        <f>C10/'Output-Calculation-sheet'!C9*'Output-Calculation-sheet'!C108</f>
        <v>0</v>
      </c>
      <c r="D131" s="2">
        <f>D10/'Output-Calculation-sheet'!D9*'Output-Calculation-sheet'!D108</f>
        <v>30862496963.734447</v>
      </c>
      <c r="E131" s="2">
        <f>E10/'Output-Calculation-sheet'!E9*'Output-Calculation-sheet'!E108</f>
        <v>21613187915.803207</v>
      </c>
      <c r="F131" s="2">
        <f>F10/'Output-Calculation-sheet'!F9*'Output-Calculation-sheet'!F108</f>
        <v>16060952930.494299</v>
      </c>
      <c r="G131" s="2">
        <f>G10/'Output-Calculation-sheet'!G9*'Output-Calculation-sheet'!G108</f>
        <v>11036604480.212805</v>
      </c>
      <c r="H131" s="2">
        <f>H10/'Output-Calculation-sheet'!H9*'Output-Calculation-sheet'!H108</f>
        <v>0</v>
      </c>
      <c r="I131" s="2">
        <f>I10/'Output-Calculation-sheet'!I9*'Output-Calculation-sheet'!I108</f>
        <v>9909233689.6419411</v>
      </c>
      <c r="J131" s="2">
        <f>J10/'Output-Calculation-sheet'!J9*'Output-Calculation-sheet'!J108</f>
        <v>10142756835.645334</v>
      </c>
      <c r="K131" s="2">
        <f>K10/'Output-Calculation-sheet'!K9*'Output-Calculation-sheet'!K108</f>
        <v>8782881473.7406483</v>
      </c>
      <c r="L131" s="2">
        <f>L10/'Output-Calculation-sheet'!L9*'Output-Calculation-sheet'!L108</f>
        <v>6945501056.3017864</v>
      </c>
      <c r="M131" s="2">
        <f>M10/'Output-Calculation-sheet'!M9*'Output-Calculation-sheet'!M108</f>
        <v>0</v>
      </c>
      <c r="N131" s="2">
        <f>N10/'Output-Calculation-sheet'!N9*'Output-Calculation-sheet'!N108</f>
        <v>1476103892.2045844</v>
      </c>
      <c r="O131" s="2">
        <f>O10/'Output-Calculation-sheet'!O9*'Output-Calculation-sheet'!O108</f>
        <v>0</v>
      </c>
      <c r="P131" s="2">
        <f>P10/'Output-Calculation-sheet'!P9*'Output-Calculation-sheet'!P108</f>
        <v>4332235586.2159233</v>
      </c>
      <c r="Q131" s="2">
        <f>Q10/'Output-Calculation-sheet'!Q9*'Output-Calculation-sheet'!Q108</f>
        <v>4255064506.557848</v>
      </c>
      <c r="R131" s="2">
        <f>R10/'Output-Calculation-sheet'!R9*'Output-Calculation-sheet'!R108</f>
        <v>4993812008.1170282</v>
      </c>
      <c r="S131" s="2">
        <f>S10/'Output-Calculation-sheet'!S9*'Output-Calculation-sheet'!S108</f>
        <v>1501581594.206526</v>
      </c>
      <c r="T131" s="2">
        <f>T10/'Output-Calculation-sheet'!T9*'Output-Calculation-sheet'!T108</f>
        <v>2156451929.2202921</v>
      </c>
      <c r="U131" s="2">
        <f>U10/'Output-Calculation-sheet'!U9*'Output-Calculation-sheet'!U108</f>
        <v>1521522280.8509781</v>
      </c>
      <c r="V131" s="2">
        <f>V10/'Output-Calculation-sheet'!V9*'Output-Calculation-sheet'!V108</f>
        <v>1370866246.6879876</v>
      </c>
      <c r="W131" s="2">
        <f>W10/'Output-Calculation-sheet'!W9*'Output-Calculation-sheet'!W108</f>
        <v>1391696909.3154979</v>
      </c>
      <c r="X131" s="2">
        <f>X10/'Output-Calculation-sheet'!X9*'Output-Calculation-sheet'!X108</f>
        <v>0</v>
      </c>
      <c r="Y131" s="2">
        <f>Y10/'Output-Calculation-sheet'!Y9*'Output-Calculation-sheet'!Y108</f>
        <v>630459505.01186061</v>
      </c>
      <c r="AA131" s="2">
        <f t="shared" si="11"/>
        <v>179605.24400741915</v>
      </c>
    </row>
    <row r="132" spans="1:27" x14ac:dyDescent="0.25">
      <c r="A132" s="2">
        <v>2034</v>
      </c>
      <c r="B132" s="2">
        <f>B11/'Output-Calculation-sheet'!B10*'Output-Calculation-sheet'!B109</f>
        <v>35511722556.543701</v>
      </c>
      <c r="C132" s="2">
        <f>C11/'Output-Calculation-sheet'!C10*'Output-Calculation-sheet'!C109</f>
        <v>0</v>
      </c>
      <c r="D132" s="2">
        <f>D11/'Output-Calculation-sheet'!D10*'Output-Calculation-sheet'!D109</f>
        <v>28221136165.952358</v>
      </c>
      <c r="E132" s="2">
        <f>E11/'Output-Calculation-sheet'!E10*'Output-Calculation-sheet'!E109</f>
        <v>19795032521.010765</v>
      </c>
      <c r="F132" s="2">
        <f>F11/'Output-Calculation-sheet'!F10*'Output-Calculation-sheet'!F109</f>
        <v>14693852817.787607</v>
      </c>
      <c r="G132" s="2">
        <f>G11/'Output-Calculation-sheet'!G10*'Output-Calculation-sheet'!G109</f>
        <v>10088008415.170177</v>
      </c>
      <c r="H132" s="2">
        <f>H11/'Output-Calculation-sheet'!H10*'Output-Calculation-sheet'!H109</f>
        <v>0</v>
      </c>
      <c r="I132" s="2">
        <f>I11/'Output-Calculation-sheet'!I10*'Output-Calculation-sheet'!I109</f>
        <v>9075203236.3470535</v>
      </c>
      <c r="J132" s="2">
        <f>J11/'Output-Calculation-sheet'!J10*'Output-Calculation-sheet'!J109</f>
        <v>9273678010.0860596</v>
      </c>
      <c r="K132" s="2">
        <f>K11/'Output-Calculation-sheet'!K10*'Output-Calculation-sheet'!K109</f>
        <v>8048854658.2253675</v>
      </c>
      <c r="L132" s="2">
        <f>L11/'Output-Calculation-sheet'!L10*'Output-Calculation-sheet'!L109</f>
        <v>6359302748.3598537</v>
      </c>
      <c r="M132" s="2">
        <f>M11/'Output-Calculation-sheet'!M10*'Output-Calculation-sheet'!M109</f>
        <v>0</v>
      </c>
      <c r="N132" s="2">
        <f>N11/'Output-Calculation-sheet'!N10*'Output-Calculation-sheet'!N109</f>
        <v>1250317531.8465605</v>
      </c>
      <c r="O132" s="2">
        <f>O11/'Output-Calculation-sheet'!O10*'Output-Calculation-sheet'!O109</f>
        <v>0</v>
      </c>
      <c r="P132" s="2">
        <f>P11/'Output-Calculation-sheet'!P10*'Output-Calculation-sheet'!P109</f>
        <v>3987101320.2650752</v>
      </c>
      <c r="Q132" s="2">
        <f>Q11/'Output-Calculation-sheet'!Q10*'Output-Calculation-sheet'!Q109</f>
        <v>3924684074.3342361</v>
      </c>
      <c r="R132" s="2">
        <f>R11/'Output-Calculation-sheet'!R10*'Output-Calculation-sheet'!R109</f>
        <v>4577364357.7141037</v>
      </c>
      <c r="S132" s="2">
        <f>S11/'Output-Calculation-sheet'!S10*'Output-Calculation-sheet'!S109</f>
        <v>1336526375.0439692</v>
      </c>
      <c r="T132" s="2">
        <f>T11/'Output-Calculation-sheet'!T10*'Output-Calculation-sheet'!T109</f>
        <v>1974617077.9458852</v>
      </c>
      <c r="U132" s="2">
        <f>U11/'Output-Calculation-sheet'!U10*'Output-Calculation-sheet'!U109</f>
        <v>1395988940.5145407</v>
      </c>
      <c r="V132" s="2">
        <f>V11/'Output-Calculation-sheet'!V10*'Output-Calculation-sheet'!V109</f>
        <v>1257660366.4380004</v>
      </c>
      <c r="W132" s="2">
        <f>W11/'Output-Calculation-sheet'!W10*'Output-Calculation-sheet'!W109</f>
        <v>1272844917.2202468</v>
      </c>
      <c r="X132" s="2">
        <f>X11/'Output-Calculation-sheet'!X10*'Output-Calculation-sheet'!X109</f>
        <v>0</v>
      </c>
      <c r="Y132" s="2">
        <f>Y11/'Output-Calculation-sheet'!Y10*'Output-Calculation-sheet'!Y109</f>
        <v>577448962.49753737</v>
      </c>
      <c r="AA132" s="2">
        <f t="shared" si="11"/>
        <v>162621.34505330311</v>
      </c>
    </row>
    <row r="133" spans="1:27" x14ac:dyDescent="0.25">
      <c r="A133" s="2">
        <v>2035</v>
      </c>
      <c r="B133" s="2">
        <f>B12/'Output-Calculation-sheet'!B11*'Output-Calculation-sheet'!B110</f>
        <v>29425288471.224068</v>
      </c>
      <c r="C133" s="2">
        <f>C12/'Output-Calculation-sheet'!C11*'Output-Calculation-sheet'!C110</f>
        <v>0</v>
      </c>
      <c r="D133" s="2">
        <f>D12/'Output-Calculation-sheet'!D11*'Output-Calculation-sheet'!D110</f>
        <v>24208562902.920982</v>
      </c>
      <c r="E133" s="2">
        <f>E12/'Output-Calculation-sheet'!E11*'Output-Calculation-sheet'!E110</f>
        <v>16991292115.587294</v>
      </c>
      <c r="F133" s="2">
        <f>F12/'Output-Calculation-sheet'!F11*'Output-Calculation-sheet'!F110</f>
        <v>12600995548.057617</v>
      </c>
      <c r="G133" s="2">
        <f>G12/'Output-Calculation-sheet'!G11*'Output-Calculation-sheet'!G110</f>
        <v>8640966045.9124165</v>
      </c>
      <c r="H133" s="2">
        <f>H12/'Output-Calculation-sheet'!H11*'Output-Calculation-sheet'!H110</f>
        <v>0</v>
      </c>
      <c r="I133" s="2">
        <f>I12/'Output-Calculation-sheet'!I11*'Output-Calculation-sheet'!I110</f>
        <v>7782902988.5240011</v>
      </c>
      <c r="J133" s="2">
        <f>J12/'Output-Calculation-sheet'!J11*'Output-Calculation-sheet'!J110</f>
        <v>7941257496.7016926</v>
      </c>
      <c r="K133" s="2">
        <f>K12/'Output-Calculation-sheet'!K11*'Output-Calculation-sheet'!K110</f>
        <v>6909567579.6045761</v>
      </c>
      <c r="L133" s="2">
        <f>L12/'Output-Calculation-sheet'!L11*'Output-Calculation-sheet'!L110</f>
        <v>5454939968.6085224</v>
      </c>
      <c r="M133" s="2">
        <f>M12/'Output-Calculation-sheet'!M11*'Output-Calculation-sheet'!M110</f>
        <v>0</v>
      </c>
      <c r="N133" s="2">
        <f>N12/'Output-Calculation-sheet'!N11*'Output-Calculation-sheet'!N110</f>
        <v>1007058541.8173634</v>
      </c>
      <c r="O133" s="2">
        <f>O12/'Output-Calculation-sheet'!O11*'Output-Calculation-sheet'!O110</f>
        <v>0</v>
      </c>
      <c r="P133" s="2">
        <f>P12/'Output-Calculation-sheet'!P11*'Output-Calculation-sheet'!P110</f>
        <v>3439625693.7942944</v>
      </c>
      <c r="Q133" s="2">
        <f>Q12/'Output-Calculation-sheet'!Q11*'Output-Calculation-sheet'!Q110</f>
        <v>3380338867.0485573</v>
      </c>
      <c r="R133" s="2">
        <f>R12/'Output-Calculation-sheet'!R11*'Output-Calculation-sheet'!R110</f>
        <v>3937448570.7908626</v>
      </c>
      <c r="S133" s="2">
        <f>S12/'Output-Calculation-sheet'!S11*'Output-Calculation-sheet'!S110</f>
        <v>1060396214.5861208</v>
      </c>
      <c r="T133" s="2">
        <f>T12/'Output-Calculation-sheet'!T11*'Output-Calculation-sheet'!T110</f>
        <v>1694025402.6048095</v>
      </c>
      <c r="U133" s="2">
        <f>U12/'Output-Calculation-sheet'!U11*'Output-Calculation-sheet'!U110</f>
        <v>1199367734.9051781</v>
      </c>
      <c r="V133" s="2">
        <f>V12/'Output-Calculation-sheet'!V11*'Output-Calculation-sheet'!V110</f>
        <v>1081839642.0631061</v>
      </c>
      <c r="W133" s="2">
        <f>W12/'Output-Calculation-sheet'!W11*'Output-Calculation-sheet'!W110</f>
        <v>1090920881.1979196</v>
      </c>
      <c r="X133" s="2">
        <f>X12/'Output-Calculation-sheet'!X11*'Output-Calculation-sheet'!X110</f>
        <v>0</v>
      </c>
      <c r="Y133" s="2">
        <f>Y12/'Output-Calculation-sheet'!Y11*'Output-Calculation-sheet'!Y110</f>
        <v>495955163.16471362</v>
      </c>
      <c r="AA133" s="2">
        <f t="shared" si="11"/>
        <v>138342.74982911409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52209177299.773323</v>
      </c>
      <c r="C151" s="2">
        <f>C8/'Output-Calculation-sheet'!C7*'Output-Calculation-sheet'!C124</f>
        <v>44386379634.496544</v>
      </c>
      <c r="D151" s="2">
        <f>D8/'Output-Calculation-sheet'!D7*'Output-Calculation-sheet'!D124</f>
        <v>9171432176.0960617</v>
      </c>
      <c r="E151" s="2">
        <f>E8/'Output-Calculation-sheet'!E7*'Output-Calculation-sheet'!E124</f>
        <v>10145570758.864437</v>
      </c>
      <c r="F151" s="2">
        <f>F8/'Output-Calculation-sheet'!F7*'Output-Calculation-sheet'!F124</f>
        <v>4390666281.0745096</v>
      </c>
      <c r="G151" s="2">
        <f>G8/'Output-Calculation-sheet'!G7*'Output-Calculation-sheet'!G124</f>
        <v>3321345385.6315379</v>
      </c>
      <c r="H151" s="2">
        <f>H8/'Output-Calculation-sheet'!H7*'Output-Calculation-sheet'!H124</f>
        <v>10498633118.089315</v>
      </c>
      <c r="I151" s="2">
        <f>I8/'Output-Calculation-sheet'!I7*'Output-Calculation-sheet'!I124</f>
        <v>3179922893.4300351</v>
      </c>
      <c r="J151" s="2">
        <f>J8/'Output-Calculation-sheet'!J7*'Output-Calculation-sheet'!J124</f>
        <v>2595299962.9154458</v>
      </c>
      <c r="K151" s="2">
        <f>K8/'Output-Calculation-sheet'!K7*'Output-Calculation-sheet'!K124</f>
        <v>3846006209.2257724</v>
      </c>
      <c r="L151" s="2">
        <f>L8/'Output-Calculation-sheet'!L7*'Output-Calculation-sheet'!L124</f>
        <v>3180811523.5410466</v>
      </c>
      <c r="M151" s="2">
        <f>M8/'Output-Calculation-sheet'!M7*'Output-Calculation-sheet'!M124</f>
        <v>7259091803.2879934</v>
      </c>
      <c r="N151" s="2">
        <f>N8/'Output-Calculation-sheet'!N7*'Output-Calculation-sheet'!N124</f>
        <v>6003397904.1695728</v>
      </c>
      <c r="O151" s="2">
        <f>O8/'Output-Calculation-sheet'!O7*'Output-Calculation-sheet'!O124</f>
        <v>8624312108.9435997</v>
      </c>
      <c r="P151" s="2">
        <f>P8/'Output-Calculation-sheet'!P7*'Output-Calculation-sheet'!P124</f>
        <v>4335642724.7355452</v>
      </c>
      <c r="Q151" s="2">
        <f>Q8/'Output-Calculation-sheet'!Q7*'Output-Calculation-sheet'!Q124</f>
        <v>4281453870.8345318</v>
      </c>
      <c r="R151" s="2">
        <f>R8/'Output-Calculation-sheet'!R7*'Output-Calculation-sheet'!R124</f>
        <v>3181616580.3793235</v>
      </c>
      <c r="S151" s="2">
        <f>S8/'Output-Calculation-sheet'!S7*'Output-Calculation-sheet'!S124</f>
        <v>3323735749.16892</v>
      </c>
      <c r="T151" s="2">
        <f>T8/'Output-Calculation-sheet'!T7*'Output-Calculation-sheet'!T124</f>
        <v>849407244.85055685</v>
      </c>
      <c r="U151" s="2">
        <f>U8/'Output-Calculation-sheet'!U7*'Output-Calculation-sheet'!U124</f>
        <v>1093936357.5597041</v>
      </c>
      <c r="V151" s="2">
        <f>V8/'Output-Calculation-sheet'!V7*'Output-Calculation-sheet'!V124</f>
        <v>648801923.88850284</v>
      </c>
      <c r="W151" s="2">
        <f>W8/'Output-Calculation-sheet'!W7*'Output-Calculation-sheet'!W124</f>
        <v>354126112.85348403</v>
      </c>
      <c r="X151" s="2">
        <f>X8/'Output-Calculation-sheet'!X7*'Output-Calculation-sheet'!X124</f>
        <v>816616739.89115608</v>
      </c>
      <c r="Y151" s="2">
        <f>Y8/'Output-Calculation-sheet'!Y7*'Output-Calculation-sheet'!Y124</f>
        <v>387479961.22629362</v>
      </c>
      <c r="AA151" s="2">
        <f t="shared" si="13"/>
        <v>188084.86432492718</v>
      </c>
    </row>
    <row r="152" spans="1:27" x14ac:dyDescent="0.25">
      <c r="A152" s="2">
        <v>2032</v>
      </c>
      <c r="B152" s="2">
        <f>B9/'Output-Calculation-sheet'!B8*'Output-Calculation-sheet'!B125</f>
        <v>53875743292.825668</v>
      </c>
      <c r="C152" s="2">
        <f>C9/'Output-Calculation-sheet'!C8*'Output-Calculation-sheet'!C125</f>
        <v>46157193076.150017</v>
      </c>
      <c r="D152" s="2">
        <f>D9/'Output-Calculation-sheet'!D8*'Output-Calculation-sheet'!D125</f>
        <v>9475763841.3085175</v>
      </c>
      <c r="E152" s="2">
        <f>E9/'Output-Calculation-sheet'!E8*'Output-Calculation-sheet'!E125</f>
        <v>10478523627.711779</v>
      </c>
      <c r="F152" s="2">
        <f>F9/'Output-Calculation-sheet'!F8*'Output-Calculation-sheet'!F125</f>
        <v>4538183096.6335487</v>
      </c>
      <c r="G152" s="2">
        <f>G9/'Output-Calculation-sheet'!G8*'Output-Calculation-sheet'!G125</f>
        <v>3440497731.7557125</v>
      </c>
      <c r="H152" s="2">
        <f>H9/'Output-Calculation-sheet'!H8*'Output-Calculation-sheet'!H125</f>
        <v>10815641604.258522</v>
      </c>
      <c r="I152" s="2">
        <f>I9/'Output-Calculation-sheet'!I8*'Output-Calculation-sheet'!I125</f>
        <v>3286199195.7147322</v>
      </c>
      <c r="J152" s="2">
        <f>J9/'Output-Calculation-sheet'!J8*'Output-Calculation-sheet'!J125</f>
        <v>2684128291.1521716</v>
      </c>
      <c r="K152" s="2">
        <f>K9/'Output-Calculation-sheet'!K8*'Output-Calculation-sheet'!K125</f>
        <v>3972463680.4577427</v>
      </c>
      <c r="L152" s="2">
        <f>L9/'Output-Calculation-sheet'!L8*'Output-Calculation-sheet'!L125</f>
        <v>3284409854.6524715</v>
      </c>
      <c r="M152" s="2">
        <f>M9/'Output-Calculation-sheet'!M8*'Output-Calculation-sheet'!M125</f>
        <v>7481839338.670701</v>
      </c>
      <c r="N152" s="2">
        <f>N9/'Output-Calculation-sheet'!N8*'Output-Calculation-sheet'!N125</f>
        <v>6243393475.3924417</v>
      </c>
      <c r="O152" s="2">
        <f>O9/'Output-Calculation-sheet'!O8*'Output-Calculation-sheet'!O125</f>
        <v>8968382698.4643307</v>
      </c>
      <c r="P152" s="2">
        <f>P9/'Output-Calculation-sheet'!P8*'Output-Calculation-sheet'!P125</f>
        <v>4461937539.0824928</v>
      </c>
      <c r="Q152" s="2">
        <f>Q9/'Output-Calculation-sheet'!Q8*'Output-Calculation-sheet'!Q125</f>
        <v>4403861906.8526478</v>
      </c>
      <c r="R152" s="2">
        <f>R9/'Output-Calculation-sheet'!R8*'Output-Calculation-sheet'!R125</f>
        <v>3292445618.6726589</v>
      </c>
      <c r="S152" s="2">
        <f>S9/'Output-Calculation-sheet'!S8*'Output-Calculation-sheet'!S125</f>
        <v>3379728260.1909385</v>
      </c>
      <c r="T152" s="2">
        <f>T9/'Output-Calculation-sheet'!T8*'Output-Calculation-sheet'!T125</f>
        <v>878600217.42700803</v>
      </c>
      <c r="U152" s="2">
        <f>U9/'Output-Calculation-sheet'!U8*'Output-Calculation-sheet'!U125</f>
        <v>1131148369.8189733</v>
      </c>
      <c r="V152" s="2">
        <f>V9/'Output-Calculation-sheet'!V8*'Output-Calculation-sheet'!V125</f>
        <v>667948512.89294684</v>
      </c>
      <c r="W152" s="2">
        <f>W9/'Output-Calculation-sheet'!W8*'Output-Calculation-sheet'!W125</f>
        <v>364969566.97364044</v>
      </c>
      <c r="X152" s="2">
        <f>X9/'Output-Calculation-sheet'!X8*'Output-Calculation-sheet'!X125</f>
        <v>839727339.65332878</v>
      </c>
      <c r="Y152" s="2">
        <f>Y9/'Output-Calculation-sheet'!Y8*'Output-Calculation-sheet'!Y125</f>
        <v>400765216.63658655</v>
      </c>
      <c r="AA152" s="2">
        <f t="shared" si="13"/>
        <v>194523.49535334954</v>
      </c>
    </row>
    <row r="153" spans="1:27" x14ac:dyDescent="0.25">
      <c r="A153" s="2">
        <v>2033</v>
      </c>
      <c r="B153" s="2">
        <f>B10/'Output-Calculation-sheet'!B9*'Output-Calculation-sheet'!B126</f>
        <v>50332938924.021637</v>
      </c>
      <c r="C153" s="2">
        <f>C10/'Output-Calculation-sheet'!C9*'Output-Calculation-sheet'!C126</f>
        <v>36816522011.698936</v>
      </c>
      <c r="D153" s="2">
        <f>D10/'Output-Calculation-sheet'!D9*'Output-Calculation-sheet'!D126</f>
        <v>9166308433.2962704</v>
      </c>
      <c r="E153" s="2">
        <f>E10/'Output-Calculation-sheet'!E9*'Output-Calculation-sheet'!E126</f>
        <v>10145641244.669233</v>
      </c>
      <c r="F153" s="2">
        <f>F10/'Output-Calculation-sheet'!F9*'Output-Calculation-sheet'!F126</f>
        <v>4383337786.8512945</v>
      </c>
      <c r="G153" s="2">
        <f>G10/'Output-Calculation-sheet'!G9*'Output-Calculation-sheet'!G126</f>
        <v>3328149862.2357345</v>
      </c>
      <c r="H153" s="2">
        <f>H10/'Output-Calculation-sheet'!H9*'Output-Calculation-sheet'!H126</f>
        <v>10431152787.641714</v>
      </c>
      <c r="I153" s="2">
        <f>I10/'Output-Calculation-sheet'!I9*'Output-Calculation-sheet'!I126</f>
        <v>3178156572.9797354</v>
      </c>
      <c r="J153" s="2">
        <f>J10/'Output-Calculation-sheet'!J9*'Output-Calculation-sheet'!J126</f>
        <v>2595568394.2282763</v>
      </c>
      <c r="K153" s="2">
        <f>K10/'Output-Calculation-sheet'!K9*'Output-Calculation-sheet'!K126</f>
        <v>3833338792.7292743</v>
      </c>
      <c r="L153" s="2">
        <f>L10/'Output-Calculation-sheet'!L9*'Output-Calculation-sheet'!L126</f>
        <v>3175419832.5483737</v>
      </c>
      <c r="M153" s="2">
        <f>M10/'Output-Calculation-sheet'!M9*'Output-Calculation-sheet'!M126</f>
        <v>7214193957.6188011</v>
      </c>
      <c r="N153" s="2">
        <f>N10/'Output-Calculation-sheet'!N9*'Output-Calculation-sheet'!N126</f>
        <v>6073288963.6937866</v>
      </c>
      <c r="O153" s="2">
        <f>O10/'Output-Calculation-sheet'!O9*'Output-Calculation-sheet'!O126</f>
        <v>8726475892.4092979</v>
      </c>
      <c r="P153" s="2">
        <f>P10/'Output-Calculation-sheet'!P9*'Output-Calculation-sheet'!P126</f>
        <v>4305492678.3332653</v>
      </c>
      <c r="Q153" s="2">
        <f>Q10/'Output-Calculation-sheet'!Q9*'Output-Calculation-sheet'!Q126</f>
        <v>4243048288.2729082</v>
      </c>
      <c r="R153" s="2">
        <f>R10/'Output-Calculation-sheet'!R9*'Output-Calculation-sheet'!R126</f>
        <v>3181779174.4765844</v>
      </c>
      <c r="S153" s="2">
        <f>S10/'Output-Calculation-sheet'!S9*'Output-Calculation-sheet'!S126</f>
        <v>3254067356.3133345</v>
      </c>
      <c r="T153" s="2">
        <f>T10/'Output-Calculation-sheet'!T9*'Output-Calculation-sheet'!T126</f>
        <v>848804491.34330821</v>
      </c>
      <c r="U153" s="2">
        <f>U10/'Output-Calculation-sheet'!U9*'Output-Calculation-sheet'!U126</f>
        <v>1095958268.2425354</v>
      </c>
      <c r="V153" s="2">
        <f>V10/'Output-Calculation-sheet'!V9*'Output-Calculation-sheet'!V126</f>
        <v>644637405.86025524</v>
      </c>
      <c r="W153" s="2">
        <f>W10/'Output-Calculation-sheet'!W9*'Output-Calculation-sheet'!W126</f>
        <v>353296126.99641621</v>
      </c>
      <c r="X153" s="2">
        <f>X10/'Output-Calculation-sheet'!X9*'Output-Calculation-sheet'!X126</f>
        <v>810607617.03613782</v>
      </c>
      <c r="Y153" s="2">
        <f>Y10/'Output-Calculation-sheet'!Y9*'Output-Calculation-sheet'!Y126</f>
        <v>387728875.20580441</v>
      </c>
      <c r="AA153" s="2">
        <f t="shared" si="13"/>
        <v>178525.91373870292</v>
      </c>
    </row>
    <row r="154" spans="1:27" x14ac:dyDescent="0.25">
      <c r="A154" s="2">
        <v>2034</v>
      </c>
      <c r="B154" s="2">
        <f>B11/'Output-Calculation-sheet'!B10*'Output-Calculation-sheet'!B127</f>
        <v>44765976988.488258</v>
      </c>
      <c r="C154" s="2">
        <f>C11/'Output-Calculation-sheet'!C10*'Output-Calculation-sheet'!C127</f>
        <v>33185964762.535938</v>
      </c>
      <c r="D154" s="2">
        <f>D11/'Output-Calculation-sheet'!D10*'Output-Calculation-sheet'!D127</f>
        <v>8334849225.2733173</v>
      </c>
      <c r="E154" s="2">
        <f>E11/'Output-Calculation-sheet'!E10*'Output-Calculation-sheet'!E127</f>
        <v>9208466253.4219036</v>
      </c>
      <c r="F154" s="2">
        <f>F11/'Output-Calculation-sheet'!F10*'Output-Calculation-sheet'!F127</f>
        <v>3976733486.5299578</v>
      </c>
      <c r="G154" s="2">
        <f>G11/'Output-Calculation-sheet'!G10*'Output-Calculation-sheet'!G127</f>
        <v>3030489526.333746</v>
      </c>
      <c r="H154" s="2">
        <f>H11/'Output-Calculation-sheet'!H10*'Output-Calculation-sheet'!H127</f>
        <v>9437143470.6499214</v>
      </c>
      <c r="I154" s="2">
        <f>I11/'Output-Calculation-sheet'!I10*'Output-Calculation-sheet'!I127</f>
        <v>2876753245.627666</v>
      </c>
      <c r="J154" s="2">
        <f>J11/'Output-Calculation-sheet'!J10*'Output-Calculation-sheet'!J127</f>
        <v>2359496447.5162692</v>
      </c>
      <c r="K154" s="2">
        <f>K11/'Output-Calculation-sheet'!K10*'Output-Calculation-sheet'!K127</f>
        <v>3472809542.9808626</v>
      </c>
      <c r="L154" s="2">
        <f>L11/'Output-Calculation-sheet'!L10*'Output-Calculation-sheet'!L127</f>
        <v>2883547959.7904015</v>
      </c>
      <c r="M154" s="2">
        <f>M11/'Output-Calculation-sheet'!M10*'Output-Calculation-sheet'!M127</f>
        <v>6526954228.8229132</v>
      </c>
      <c r="N154" s="2">
        <f>N11/'Output-Calculation-sheet'!N10*'Output-Calculation-sheet'!N127</f>
        <v>5535749404.7388048</v>
      </c>
      <c r="O154" s="2">
        <f>O11/'Output-Calculation-sheet'!O10*'Output-Calculation-sheet'!O127</f>
        <v>7969384877.8789253</v>
      </c>
      <c r="P154" s="2">
        <f>P11/'Output-Calculation-sheet'!P10*'Output-Calculation-sheet'!P127</f>
        <v>3901235490.5434761</v>
      </c>
      <c r="Q154" s="2">
        <f>Q11/'Output-Calculation-sheet'!Q10*'Output-Calculation-sheet'!Q127</f>
        <v>3836150016.3831639</v>
      </c>
      <c r="R154" s="2">
        <f>R11/'Output-Calculation-sheet'!R10*'Output-Calculation-sheet'!R127</f>
        <v>2888929429.3295555</v>
      </c>
      <c r="S154" s="2">
        <f>S11/'Output-Calculation-sheet'!S10*'Output-Calculation-sheet'!S127</f>
        <v>2904580618.8126378</v>
      </c>
      <c r="T154" s="2">
        <f>T11/'Output-Calculation-sheet'!T10*'Output-Calculation-sheet'!T127</f>
        <v>769909506.14987624</v>
      </c>
      <c r="U154" s="2">
        <f>U11/'Output-Calculation-sheet'!U10*'Output-Calculation-sheet'!U127</f>
        <v>994404405.35292816</v>
      </c>
      <c r="V154" s="2">
        <f>V11/'Output-Calculation-sheet'!V10*'Output-Calculation-sheet'!V127</f>
        <v>582982354.39956892</v>
      </c>
      <c r="W154" s="2">
        <f>W11/'Output-Calculation-sheet'!W10*'Output-Calculation-sheet'!W127</f>
        <v>320756286.10705769</v>
      </c>
      <c r="X154" s="2">
        <f>X11/'Output-Calculation-sheet'!X10*'Output-Calculation-sheet'!X127</f>
        <v>733034433.17025435</v>
      </c>
      <c r="Y154" s="2">
        <f>Y11/'Output-Calculation-sheet'!Y10*'Output-Calculation-sheet'!Y127</f>
        <v>352403498.01254433</v>
      </c>
      <c r="AA154" s="2">
        <f t="shared" si="13"/>
        <v>160848.70545884999</v>
      </c>
    </row>
    <row r="155" spans="1:27" x14ac:dyDescent="0.25">
      <c r="A155" s="2">
        <v>2035</v>
      </c>
      <c r="B155" s="2">
        <f>B12/'Output-Calculation-sheet'!B11*'Output-Calculation-sheet'!B128</f>
        <v>37865730491.734459</v>
      </c>
      <c r="C155" s="2">
        <f>C12/'Output-Calculation-sheet'!C11*'Output-Calculation-sheet'!C128</f>
        <v>28068966127.775768</v>
      </c>
      <c r="D155" s="2">
        <f>D12/'Output-Calculation-sheet'!D11*'Output-Calculation-sheet'!D128</f>
        <v>7076488412.0222816</v>
      </c>
      <c r="E155" s="2">
        <f>E12/'Output-Calculation-sheet'!E11*'Output-Calculation-sheet'!E128</f>
        <v>7830248026.1427164</v>
      </c>
      <c r="F155" s="2">
        <f>F12/'Output-Calculation-sheet'!F11*'Output-Calculation-sheet'!F128</f>
        <v>3377514873.2706146</v>
      </c>
      <c r="G155" s="2">
        <f>G12/'Output-Calculation-sheet'!G11*'Output-Calculation-sheet'!G128</f>
        <v>2586000941.3010626</v>
      </c>
      <c r="H155" s="2">
        <f>H12/'Output-Calculation-sheet'!H11*'Output-Calculation-sheet'!H128</f>
        <v>8011091015.920558</v>
      </c>
      <c r="I155" s="2">
        <f>I12/'Output-Calculation-sheet'!I11*'Output-Calculation-sheet'!I128</f>
        <v>2445723905.6583085</v>
      </c>
      <c r="J155" s="2">
        <f>J12/'Output-Calculation-sheet'!J11*'Output-Calculation-sheet'!J128</f>
        <v>2014551939.2849717</v>
      </c>
      <c r="K155" s="2">
        <f>K12/'Output-Calculation-sheet'!K11*'Output-Calculation-sheet'!K128</f>
        <v>2950809079.7102914</v>
      </c>
      <c r="L155" s="2">
        <f>L12/'Output-Calculation-sheet'!L11*'Output-Calculation-sheet'!L128</f>
        <v>2455201896.0209403</v>
      </c>
      <c r="M155" s="2">
        <f>M12/'Output-Calculation-sheet'!M11*'Output-Calculation-sheet'!M128</f>
        <v>5543366962.8669291</v>
      </c>
      <c r="N155" s="2">
        <f>N12/'Output-Calculation-sheet'!N11*'Output-Calculation-sheet'!N128</f>
        <v>4726898169.6521616</v>
      </c>
      <c r="O155" s="2">
        <f>O12/'Output-Calculation-sheet'!O11*'Output-Calculation-sheet'!O128</f>
        <v>5618308787.1063137</v>
      </c>
      <c r="P155" s="2">
        <f>P12/'Output-Calculation-sheet'!P11*'Output-Calculation-sheet'!P128</f>
        <v>3311307687.4994245</v>
      </c>
      <c r="Q155" s="2">
        <f>Q12/'Output-Calculation-sheet'!Q11*'Output-Calculation-sheet'!Q128</f>
        <v>3239533404.0077171</v>
      </c>
      <c r="R155" s="2">
        <f>R12/'Output-Calculation-sheet'!R11*'Output-Calculation-sheet'!R128</f>
        <v>2452294693.853548</v>
      </c>
      <c r="S155" s="2">
        <f>S12/'Output-Calculation-sheet'!S11*'Output-Calculation-sheet'!S128</f>
        <v>2478457378.4222507</v>
      </c>
      <c r="T155" s="2">
        <f>T12/'Output-Calculation-sheet'!T11*'Output-Calculation-sheet'!T128</f>
        <v>654773178.80050015</v>
      </c>
      <c r="U155" s="2">
        <f>U12/'Output-Calculation-sheet'!U11*'Output-Calculation-sheet'!U128</f>
        <v>846359397.89431262</v>
      </c>
      <c r="V155" s="2">
        <f>V12/'Output-Calculation-sheet'!V11*'Output-Calculation-sheet'!V128</f>
        <v>493404504.46760231</v>
      </c>
      <c r="W155" s="2">
        <f>W12/'Output-Calculation-sheet'!W11*'Output-Calculation-sheet'!W128</f>
        <v>272901899.51605284</v>
      </c>
      <c r="X155" s="2">
        <f>X12/'Output-Calculation-sheet'!X11*'Output-Calculation-sheet'!X128</f>
        <v>621281712.0659188</v>
      </c>
      <c r="Y155" s="2">
        <f>Y12/'Output-Calculation-sheet'!Y11*'Output-Calculation-sheet'!Y128</f>
        <v>299823661.79496163</v>
      </c>
      <c r="AA155" s="2">
        <f t="shared" si="13"/>
        <v>135241.03814678968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2.2931928706698527E-10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2076.6840429041636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1422.2076789176958</v>
      </c>
      <c r="N19" s="2">
        <f>N8/'Output-Calculation-sheet'!N7*'Output-Calculation-sheet'!N25</f>
        <v>956.64064394529896</v>
      </c>
      <c r="O19" s="2">
        <f>O8/'Output-Calculation-sheet'!O7*'Output-Calculation-sheet'!O25</f>
        <v>1.2620900002619246E-11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253.74381878869752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134.97211600922373</v>
      </c>
      <c r="Y19" s="2">
        <f>Y8/'Output-Calculation-sheet'!Y7*'Output-Calculation-sheet'!Y25</f>
        <v>0</v>
      </c>
      <c r="AA19" s="2">
        <f t="shared" si="0"/>
        <v>4.8442483005653214</v>
      </c>
    </row>
    <row r="20" spans="1:27" x14ac:dyDescent="0.25">
      <c r="A20" s="2">
        <v>2032</v>
      </c>
      <c r="B20" s="2">
        <f>B9/'Output-Calculation-sheet'!B8*'Output-Calculation-sheet'!B26</f>
        <v>2.1886470815309771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2272.2520203030526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1553.9198179079951</v>
      </c>
      <c r="N20" s="2">
        <f>N9/'Output-Calculation-sheet'!N8*'Output-Calculation-sheet'!N26</f>
        <v>1131.6865560916406</v>
      </c>
      <c r="O20" s="2">
        <f>O9/'Output-Calculation-sheet'!O8*'Output-Calculation-sheet'!O26</f>
        <v>1.1457479259132837E-10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389.35704658913346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149.5706320754569</v>
      </c>
      <c r="Y20" s="2">
        <f>Y9/'Output-Calculation-sheet'!Y8*'Output-Calculation-sheet'!Y26</f>
        <v>0</v>
      </c>
      <c r="AA20" s="2">
        <f t="shared" si="0"/>
        <v>5.498974720048925</v>
      </c>
    </row>
    <row r="21" spans="1:27" x14ac:dyDescent="0.25">
      <c r="A21" s="2">
        <v>2033</v>
      </c>
      <c r="B21" s="2">
        <f>B10/'Output-Calculation-sheet'!B9*'Output-Calculation-sheet'!B27</f>
        <v>3395.8590788252054</v>
      </c>
      <c r="C21" s="2">
        <f>C10/'Output-Calculation-sheet'!C9*'Output-Calculation-sheet'!C27</f>
        <v>5299.123923192501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2377.5217045958352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1627.5393065928415</v>
      </c>
      <c r="N21" s="2">
        <f>N10/'Output-Calculation-sheet'!N9*'Output-Calculation-sheet'!N27</f>
        <v>1271.642588457659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485.11912396584142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156.65907226038118</v>
      </c>
      <c r="Y21" s="2">
        <f>Y10/'Output-Calculation-sheet'!Y9*'Output-Calculation-sheet'!Y27</f>
        <v>0</v>
      </c>
      <c r="AA21" s="2">
        <f t="shared" si="0"/>
        <v>14.613464797890265</v>
      </c>
    </row>
    <row r="22" spans="1:27" x14ac:dyDescent="0.25">
      <c r="A22" s="2">
        <v>2034</v>
      </c>
      <c r="B22" s="2">
        <f>B11/'Output-Calculation-sheet'!B10*'Output-Calculation-sheet'!B28</f>
        <v>5685.3039401667666</v>
      </c>
      <c r="C22" s="2">
        <f>C11/'Output-Calculation-sheet'!C10*'Output-Calculation-sheet'!C28</f>
        <v>5508.1928909180015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2406.5428913188016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1647.5398800365824</v>
      </c>
      <c r="N22" s="2">
        <f>N11/'Output-Calculation-sheet'!N10*'Output-Calculation-sheet'!N28</f>
        <v>1321.1203109849157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538.92625936700153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159.62435281001822</v>
      </c>
      <c r="Y22" s="2">
        <f>Y11/'Output-Calculation-sheet'!Y10*'Output-Calculation-sheet'!Y28</f>
        <v>0</v>
      </c>
      <c r="AA22" s="2">
        <f t="shared" si="0"/>
        <v>17.267250525602083</v>
      </c>
    </row>
    <row r="23" spans="1:27" x14ac:dyDescent="0.25">
      <c r="A23" s="2">
        <v>2035</v>
      </c>
      <c r="B23" s="2">
        <f>B12/'Output-Calculation-sheet'!B11*'Output-Calculation-sheet'!B29</f>
        <v>6721.9555511801491</v>
      </c>
      <c r="C23" s="2">
        <f>C12/'Output-Calculation-sheet'!C11*'Output-Calculation-sheet'!C29</f>
        <v>5508.1279080999166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2349.9940008566409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1606.3231094688558</v>
      </c>
      <c r="N23" s="2">
        <f>N12/'Output-Calculation-sheet'!N11*'Output-Calculation-sheet'!N29</f>
        <v>1313.0241701489756</v>
      </c>
      <c r="O23" s="2">
        <f>O12/'Output-Calculation-sheet'!O11*'Output-Calculation-sheet'!O29</f>
        <v>936.50802800286272</v>
      </c>
      <c r="P23" s="2">
        <f>P12/'Output-Calculation-sheet'!P11*'Output-Calculation-sheet'!P29</f>
        <v>0</v>
      </c>
      <c r="Q23" s="2">
        <f>Q12/'Output-Calculation-sheet'!Q11*'Output-Calculation-sheet'!Q29</f>
        <v>17.92452878503347</v>
      </c>
      <c r="R23" s="2">
        <f>R12/'Output-Calculation-sheet'!R11*'Output-Calculation-sheet'!R29</f>
        <v>0</v>
      </c>
      <c r="S23" s="2">
        <f>S12/'Output-Calculation-sheet'!S11*'Output-Calculation-sheet'!S29</f>
        <v>576.62576498712053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157.46188369850134</v>
      </c>
      <c r="Y23" s="2">
        <f>Y12/'Output-Calculation-sheet'!Y11*'Output-Calculation-sheet'!Y29</f>
        <v>0</v>
      </c>
      <c r="AA23" s="2">
        <f t="shared" si="0"/>
        <v>19.187944945228057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16322.424522106077</v>
      </c>
      <c r="C30" s="2">
        <f>C8/'Output-Calculation-sheet'!C7*'Output-Calculation-sheet'!C16</f>
        <v>0</v>
      </c>
      <c r="D30" s="2">
        <f>D8/'Output-Calculation-sheet'!D7*'Output-Calculation-sheet'!D16</f>
        <v>5095.2754800624307</v>
      </c>
      <c r="E30" s="2">
        <f>E8/'Output-Calculation-sheet'!E7*'Output-Calculation-sheet'!E16</f>
        <v>5270.200175781687</v>
      </c>
      <c r="F30" s="2">
        <f>F8/'Output-Calculation-sheet'!F7*'Output-Calculation-sheet'!F16</f>
        <v>2952.5884394442392</v>
      </c>
      <c r="G30" s="2">
        <f>G8/'Output-Calculation-sheet'!G7*'Output-Calculation-sheet'!G16</f>
        <v>1780.7354103289858</v>
      </c>
      <c r="H30" s="2">
        <f>H8/'Output-Calculation-sheet'!H7*'Output-Calculation-sheet'!H16</f>
        <v>0</v>
      </c>
      <c r="I30" s="2">
        <f>I8/'Output-Calculation-sheet'!I7*'Output-Calculation-sheet'!I16</f>
        <v>1802.2956852256273</v>
      </c>
      <c r="J30" s="2">
        <f>J8/'Output-Calculation-sheet'!J7*'Output-Calculation-sheet'!J16</f>
        <v>1645.0434582566179</v>
      </c>
      <c r="K30" s="2">
        <f>K8/'Output-Calculation-sheet'!K7*'Output-Calculation-sheet'!K16</f>
        <v>2034.486917123201</v>
      </c>
      <c r="L30" s="2">
        <f>L8/'Output-Calculation-sheet'!L7*'Output-Calculation-sheet'!L16</f>
        <v>1678.9848587522581</v>
      </c>
      <c r="M30" s="2">
        <f>M8/'Output-Calculation-sheet'!M7*'Output-Calculation-sheet'!M16</f>
        <v>0</v>
      </c>
      <c r="N30" s="2">
        <f>N8/'Output-Calculation-sheet'!N7*'Output-Calculation-sheet'!N16</f>
        <v>823.80016785939893</v>
      </c>
      <c r="O30" s="2">
        <f>O8/'Output-Calculation-sheet'!O7*'Output-Calculation-sheet'!O16</f>
        <v>0</v>
      </c>
      <c r="P30" s="2">
        <f>P8/'Output-Calculation-sheet'!P7*'Output-Calculation-sheet'!P16</f>
        <v>1338.2383312669817</v>
      </c>
      <c r="Q30" s="2">
        <f>Q8/'Output-Calculation-sheet'!Q7*'Output-Calculation-sheet'!Q16</f>
        <v>1467.804996290449</v>
      </c>
      <c r="R30" s="2">
        <f>R8/'Output-Calculation-sheet'!R7*'Output-Calculation-sheet'!R16</f>
        <v>1286.001100909521</v>
      </c>
      <c r="S30" s="2">
        <f>S8/'Output-Calculation-sheet'!S7*'Output-Calculation-sheet'!S16</f>
        <v>686.76924965780609</v>
      </c>
      <c r="T30" s="2">
        <f>T8/'Output-Calculation-sheet'!T7*'Output-Calculation-sheet'!T16</f>
        <v>469.15375200057866</v>
      </c>
      <c r="U30" s="2">
        <f>U8/'Output-Calculation-sheet'!U7*'Output-Calculation-sheet'!U16</f>
        <v>360.57731133554057</v>
      </c>
      <c r="V30" s="2">
        <f>V8/'Output-Calculation-sheet'!V7*'Output-Calculation-sheet'!V16</f>
        <v>345.28291460759152</v>
      </c>
      <c r="W30" s="2">
        <f>W8/'Output-Calculation-sheet'!W7*'Output-Calculation-sheet'!W16</f>
        <v>239.71237011207097</v>
      </c>
      <c r="X30" s="2">
        <f>X8/'Output-Calculation-sheet'!X7*'Output-Calculation-sheet'!X16</f>
        <v>0</v>
      </c>
      <c r="Y30" s="2">
        <f>Y8/'Output-Calculation-sheet'!Y7*'Output-Calculation-sheet'!Y16</f>
        <v>158.47345453787335</v>
      </c>
      <c r="AA30" s="2">
        <f t="shared" si="1"/>
        <v>45.757848595658935</v>
      </c>
    </row>
    <row r="31" spans="1:27" x14ac:dyDescent="0.25">
      <c r="A31" s="2">
        <v>2032</v>
      </c>
      <c r="B31" s="2">
        <f>B9/'Output-Calculation-sheet'!B8*'Output-Calculation-sheet'!B17</f>
        <v>17502.68887697042</v>
      </c>
      <c r="C31" s="2">
        <f>C9/'Output-Calculation-sheet'!C8*'Output-Calculation-sheet'!C17</f>
        <v>0</v>
      </c>
      <c r="D31" s="2">
        <f>D9/'Output-Calculation-sheet'!D8*'Output-Calculation-sheet'!D17</f>
        <v>5426.1734288862954</v>
      </c>
      <c r="E31" s="2">
        <f>E9/'Output-Calculation-sheet'!E8*'Output-Calculation-sheet'!E17</f>
        <v>5619.4273668468968</v>
      </c>
      <c r="F31" s="2">
        <f>F9/'Output-Calculation-sheet'!F8*'Output-Calculation-sheet'!F17</f>
        <v>3139.3604935766803</v>
      </c>
      <c r="G31" s="2">
        <f>G9/'Output-Calculation-sheet'!G8*'Output-Calculation-sheet'!G17</f>
        <v>1892.5301928167171</v>
      </c>
      <c r="H31" s="2">
        <f>H9/'Output-Calculation-sheet'!H8*'Output-Calculation-sheet'!H17</f>
        <v>0</v>
      </c>
      <c r="I31" s="2">
        <f>I9/'Output-Calculation-sheet'!I8*'Output-Calculation-sheet'!I17</f>
        <v>1918.7860647707641</v>
      </c>
      <c r="J31" s="2">
        <f>J9/'Output-Calculation-sheet'!J8*'Output-Calculation-sheet'!J17</f>
        <v>1750.0624735037125</v>
      </c>
      <c r="K31" s="2">
        <f>K9/'Output-Calculation-sheet'!K8*'Output-Calculation-sheet'!K17</f>
        <v>2167.769836868737</v>
      </c>
      <c r="L31" s="2">
        <f>L9/'Output-Calculation-sheet'!L8*'Output-Calculation-sheet'!L17</f>
        <v>1789.4613846683831</v>
      </c>
      <c r="M31" s="2">
        <f>M9/'Output-Calculation-sheet'!M8*'Output-Calculation-sheet'!M17</f>
        <v>0</v>
      </c>
      <c r="N31" s="2">
        <f>N9/'Output-Calculation-sheet'!N8*'Output-Calculation-sheet'!N17</f>
        <v>791.5627141428829</v>
      </c>
      <c r="O31" s="2">
        <f>O9/'Output-Calculation-sheet'!O8*'Output-Calculation-sheet'!O17</f>
        <v>0</v>
      </c>
      <c r="P31" s="2">
        <f>P9/'Output-Calculation-sheet'!P8*'Output-Calculation-sheet'!P17</f>
        <v>1439.5815494938215</v>
      </c>
      <c r="Q31" s="2">
        <f>Q9/'Output-Calculation-sheet'!Q8*'Output-Calculation-sheet'!Q17</f>
        <v>1577.642811949213</v>
      </c>
      <c r="R31" s="2">
        <f>R9/'Output-Calculation-sheet'!R8*'Output-Calculation-sheet'!R17</f>
        <v>1369.7932119785612</v>
      </c>
      <c r="S31" s="2">
        <f>S9/'Output-Calculation-sheet'!S8*'Output-Calculation-sheet'!S17</f>
        <v>683.45651233653405</v>
      </c>
      <c r="T31" s="2">
        <f>T9/'Output-Calculation-sheet'!T8*'Output-Calculation-sheet'!T17</f>
        <v>499.1639764064854</v>
      </c>
      <c r="U31" s="2">
        <f>U9/'Output-Calculation-sheet'!U8*'Output-Calculation-sheet'!U17</f>
        <v>384.98016266554947</v>
      </c>
      <c r="V31" s="2">
        <f>V9/'Output-Calculation-sheet'!V8*'Output-Calculation-sheet'!V17</f>
        <v>368.92394588081356</v>
      </c>
      <c r="W31" s="2">
        <f>W9/'Output-Calculation-sheet'!W8*'Output-Calculation-sheet'!W17</f>
        <v>255.46638402309969</v>
      </c>
      <c r="X31" s="2">
        <f>X9/'Output-Calculation-sheet'!X8*'Output-Calculation-sheet'!X17</f>
        <v>0</v>
      </c>
      <c r="Y31" s="2">
        <f>Y9/'Output-Calculation-sheet'!Y8*'Output-Calculation-sheet'!Y17</f>
        <v>168.8880595312107</v>
      </c>
      <c r="AA31" s="2">
        <f t="shared" si="1"/>
        <v>48.745719447316766</v>
      </c>
    </row>
    <row r="32" spans="1:27" x14ac:dyDescent="0.25">
      <c r="A32" s="2">
        <v>2033</v>
      </c>
      <c r="B32" s="2">
        <f>B10/'Output-Calculation-sheet'!B9*'Output-Calculation-sheet'!B18</f>
        <v>16572.355815901108</v>
      </c>
      <c r="C32" s="2">
        <f>C10/'Output-Calculation-sheet'!C9*'Output-Calculation-sheet'!C18</f>
        <v>0</v>
      </c>
      <c r="D32" s="2">
        <f>D10/'Output-Calculation-sheet'!D9*'Output-Calculation-sheet'!D18</f>
        <v>5532.5548805551389</v>
      </c>
      <c r="E32" s="2">
        <f>E10/'Output-Calculation-sheet'!E9*'Output-Calculation-sheet'!E18</f>
        <v>5729.1238069503215</v>
      </c>
      <c r="F32" s="2">
        <f>F10/'Output-Calculation-sheet'!F9*'Output-Calculation-sheet'!F18</f>
        <v>3200.0774528664765</v>
      </c>
      <c r="G32" s="2">
        <f>G10/'Output-Calculation-sheet'!G9*'Output-Calculation-sheet'!G18</f>
        <v>1930.0186487799288</v>
      </c>
      <c r="H32" s="2">
        <f>H10/'Output-Calculation-sheet'!H9*'Output-Calculation-sheet'!H18</f>
        <v>0</v>
      </c>
      <c r="I32" s="2">
        <f>I10/'Output-Calculation-sheet'!I9*'Output-Calculation-sheet'!I18</f>
        <v>1956.5915020295956</v>
      </c>
      <c r="J32" s="2">
        <f>J10/'Output-Calculation-sheet'!J9*'Output-Calculation-sheet'!J18</f>
        <v>1784.4997845673722</v>
      </c>
      <c r="K32" s="2">
        <f>K10/'Output-Calculation-sheet'!K9*'Output-Calculation-sheet'!K18</f>
        <v>2215.4846894853799</v>
      </c>
      <c r="L32" s="2">
        <f>L10/'Output-Calculation-sheet'!L9*'Output-Calculation-sheet'!L18</f>
        <v>1825.8603494894298</v>
      </c>
      <c r="M32" s="2">
        <f>M10/'Output-Calculation-sheet'!M9*'Output-Calculation-sheet'!M18</f>
        <v>0</v>
      </c>
      <c r="N32" s="2">
        <f>N10/'Output-Calculation-sheet'!N9*'Output-Calculation-sheet'!N18</f>
        <v>722.70350632059353</v>
      </c>
      <c r="O32" s="2">
        <f>O10/'Output-Calculation-sheet'!O9*'Output-Calculation-sheet'!O18</f>
        <v>0</v>
      </c>
      <c r="P32" s="2">
        <f>P10/'Output-Calculation-sheet'!P9*'Output-Calculation-sheet'!P18</f>
        <v>1478.6737057664286</v>
      </c>
      <c r="Q32" s="2">
        <f>Q10/'Output-Calculation-sheet'!Q9*'Output-Calculation-sheet'!Q18</f>
        <v>1621.7119336799146</v>
      </c>
      <c r="R32" s="2">
        <f>R10/'Output-Calculation-sheet'!R9*'Output-Calculation-sheet'!R18</f>
        <v>1400.7603054832935</v>
      </c>
      <c r="S32" s="2">
        <f>S10/'Output-Calculation-sheet'!S9*'Output-Calculation-sheet'!S18</f>
        <v>652.00393899098515</v>
      </c>
      <c r="T32" s="2">
        <f>T10/'Output-Calculation-sheet'!T9*'Output-Calculation-sheet'!T18</f>
        <v>509.5172049594533</v>
      </c>
      <c r="U32" s="2">
        <f>U10/'Output-Calculation-sheet'!U9*'Output-Calculation-sheet'!U18</f>
        <v>392.9542863758611</v>
      </c>
      <c r="V32" s="2">
        <f>V10/'Output-Calculation-sheet'!V9*'Output-Calculation-sheet'!V18</f>
        <v>376.97031229850916</v>
      </c>
      <c r="W32" s="2">
        <f>W10/'Output-Calculation-sheet'!W9*'Output-Calculation-sheet'!W18</f>
        <v>260.12296619147298</v>
      </c>
      <c r="X32" s="2">
        <f>X10/'Output-Calculation-sheet'!X9*'Output-Calculation-sheet'!X18</f>
        <v>0</v>
      </c>
      <c r="Y32" s="2">
        <f>Y10/'Output-Calculation-sheet'!Y9*'Output-Calculation-sheet'!Y18</f>
        <v>172.47343234949705</v>
      </c>
      <c r="AA32" s="2">
        <f t="shared" si="1"/>
        <v>48.334458523040759</v>
      </c>
    </row>
    <row r="33" spans="1:27" x14ac:dyDescent="0.25">
      <c r="A33" s="2">
        <v>2034</v>
      </c>
      <c r="B33" s="2">
        <f>B11/'Output-Calculation-sheet'!B10*'Output-Calculation-sheet'!B19</f>
        <v>15383.598500322991</v>
      </c>
      <c r="C33" s="2">
        <f>C11/'Output-Calculation-sheet'!C10*'Output-Calculation-sheet'!C19</f>
        <v>0</v>
      </c>
      <c r="D33" s="2">
        <f>D11/'Output-Calculation-sheet'!D10*'Output-Calculation-sheet'!D19</f>
        <v>5439.3212224210847</v>
      </c>
      <c r="E33" s="2">
        <f>E11/'Output-Calculation-sheet'!E10*'Output-Calculation-sheet'!E19</f>
        <v>5645.8765646970651</v>
      </c>
      <c r="F33" s="2">
        <f>F11/'Output-Calculation-sheet'!F10*'Output-Calculation-sheet'!F19</f>
        <v>3147.7540246217918</v>
      </c>
      <c r="G33" s="2">
        <f>G11/'Output-Calculation-sheet'!G10*'Output-Calculation-sheet'!G19</f>
        <v>1895.4872037133694</v>
      </c>
      <c r="H33" s="2">
        <f>H11/'Output-Calculation-sheet'!H10*'Output-Calculation-sheet'!H19</f>
        <v>0</v>
      </c>
      <c r="I33" s="2">
        <f>I11/'Output-Calculation-sheet'!I10*'Output-Calculation-sheet'!I19</f>
        <v>1930.5678746863225</v>
      </c>
      <c r="J33" s="2">
        <f>J11/'Output-Calculation-sheet'!J10*'Output-Calculation-sheet'!J19</f>
        <v>1754.5380066331472</v>
      </c>
      <c r="K33" s="2">
        <f>K11/'Output-Calculation-sheet'!K10*'Output-Calculation-sheet'!K19</f>
        <v>2185.4067417406927</v>
      </c>
      <c r="L33" s="2">
        <f>L11/'Output-Calculation-sheet'!L10*'Output-Calculation-sheet'!L19</f>
        <v>1797.4720377852266</v>
      </c>
      <c r="M33" s="2">
        <f>M11/'Output-Calculation-sheet'!M10*'Output-Calculation-sheet'!M19</f>
        <v>0</v>
      </c>
      <c r="N33" s="2">
        <f>N11/'Output-Calculation-sheet'!N10*'Output-Calculation-sheet'!N19</f>
        <v>666.11201659332539</v>
      </c>
      <c r="O33" s="2">
        <f>O11/'Output-Calculation-sheet'!O10*'Output-Calculation-sheet'!O19</f>
        <v>0</v>
      </c>
      <c r="P33" s="2">
        <f>P11/'Output-Calculation-sheet'!P10*'Output-Calculation-sheet'!P19</f>
        <v>1465.1192677603233</v>
      </c>
      <c r="Q33" s="2">
        <f>Q11/'Output-Calculation-sheet'!Q10*'Output-Calculation-sheet'!Q19</f>
        <v>1609.579479287815</v>
      </c>
      <c r="R33" s="2">
        <f>R11/'Output-Calculation-sheet'!R10*'Output-Calculation-sheet'!R19</f>
        <v>1381.2697060225826</v>
      </c>
      <c r="S33" s="2">
        <f>S11/'Output-Calculation-sheet'!S10*'Output-Calculation-sheet'!S19</f>
        <v>637.06532561989638</v>
      </c>
      <c r="T33" s="2">
        <f>T11/'Output-Calculation-sheet'!T10*'Output-Calculation-sheet'!T19</f>
        <v>501.96513986269395</v>
      </c>
      <c r="U33" s="2">
        <f>U11/'Output-Calculation-sheet'!U10*'Output-Calculation-sheet'!U19</f>
        <v>388.43539337364223</v>
      </c>
      <c r="V33" s="2">
        <f>V11/'Output-Calculation-sheet'!V10*'Output-Calculation-sheet'!V19</f>
        <v>372.37776524459559</v>
      </c>
      <c r="W33" s="2">
        <f>W11/'Output-Calculation-sheet'!W10*'Output-Calculation-sheet'!W19</f>
        <v>255.84050989969995</v>
      </c>
      <c r="X33" s="2">
        <f>X11/'Output-Calculation-sheet'!X10*'Output-Calculation-sheet'!X19</f>
        <v>0</v>
      </c>
      <c r="Y33" s="2">
        <f>Y11/'Output-Calculation-sheet'!Y10*'Output-Calculation-sheet'!Y19</f>
        <v>169.86806817997331</v>
      </c>
      <c r="AA33" s="2">
        <f t="shared" si="1"/>
        <v>46.627654848466236</v>
      </c>
    </row>
    <row r="34" spans="1:27" x14ac:dyDescent="0.25">
      <c r="A34" s="2">
        <v>2035</v>
      </c>
      <c r="B34" s="2">
        <f>B12/'Output-Calculation-sheet'!B11*'Output-Calculation-sheet'!B20</f>
        <v>14050.525232016862</v>
      </c>
      <c r="C34" s="2">
        <f>C12/'Output-Calculation-sheet'!C11*'Output-Calculation-sheet'!C20</f>
        <v>0</v>
      </c>
      <c r="D34" s="2">
        <f>D12/'Output-Calculation-sheet'!D11*'Output-Calculation-sheet'!D20</f>
        <v>5196.2934691664668</v>
      </c>
      <c r="E34" s="2">
        <f>E12/'Output-Calculation-sheet'!E11*'Output-Calculation-sheet'!E20</f>
        <v>5391.3795064280466</v>
      </c>
      <c r="F34" s="2">
        <f>F12/'Output-Calculation-sheet'!F11*'Output-Calculation-sheet'!F20</f>
        <v>3001.5003507071215</v>
      </c>
      <c r="G34" s="2">
        <f>G12/'Output-Calculation-sheet'!G11*'Output-Calculation-sheet'!G20</f>
        <v>1803.4364952099027</v>
      </c>
      <c r="H34" s="2">
        <f>H12/'Output-Calculation-sheet'!H11*'Output-Calculation-sheet'!H20</f>
        <v>0</v>
      </c>
      <c r="I34" s="2">
        <f>I12/'Output-Calculation-sheet'!I11*'Output-Calculation-sheet'!I20</f>
        <v>1841.9969446501634</v>
      </c>
      <c r="J34" s="2">
        <f>J12/'Output-Calculation-sheet'!J11*'Output-Calculation-sheet'!J20</f>
        <v>1668.240222526556</v>
      </c>
      <c r="K34" s="2">
        <f>K12/'Output-Calculation-sheet'!K11*'Output-Calculation-sheet'!K20</f>
        <v>2086.8785928021275</v>
      </c>
      <c r="L34" s="2">
        <f>L12/'Output-Calculation-sheet'!L11*'Output-Calculation-sheet'!L20</f>
        <v>1713.4609517676583</v>
      </c>
      <c r="M34" s="2">
        <f>M12/'Output-Calculation-sheet'!M11*'Output-Calculation-sheet'!M20</f>
        <v>0</v>
      </c>
      <c r="N34" s="2">
        <f>N12/'Output-Calculation-sheet'!N11*'Output-Calculation-sheet'!N20</f>
        <v>602.81154697762452</v>
      </c>
      <c r="O34" s="2">
        <f>O12/'Output-Calculation-sheet'!O11*'Output-Calculation-sheet'!O20</f>
        <v>0</v>
      </c>
      <c r="P34" s="2">
        <f>P12/'Output-Calculation-sheet'!P11*'Output-Calculation-sheet'!P20</f>
        <v>1407.0118351098711</v>
      </c>
      <c r="Q34" s="2">
        <f>Q12/'Output-Calculation-sheet'!Q11*'Output-Calculation-sheet'!Q20</f>
        <v>1542.8531768338364</v>
      </c>
      <c r="R34" s="2">
        <f>R12/'Output-Calculation-sheet'!R11*'Output-Calculation-sheet'!R20</f>
        <v>1322.9996462914398</v>
      </c>
      <c r="S34" s="2">
        <f>S12/'Output-Calculation-sheet'!S11*'Output-Calculation-sheet'!S20</f>
        <v>568.95370248661061</v>
      </c>
      <c r="T34" s="2">
        <f>T12/'Output-Calculation-sheet'!T11*'Output-Calculation-sheet'!T20</f>
        <v>478.87515355559475</v>
      </c>
      <c r="U34" s="2">
        <f>U12/'Output-Calculation-sheet'!U11*'Output-Calculation-sheet'!U20</f>
        <v>371.45511439032902</v>
      </c>
      <c r="V34" s="2">
        <f>V12/'Output-Calculation-sheet'!V11*'Output-Calculation-sheet'!V20</f>
        <v>356.73205145355098</v>
      </c>
      <c r="W34" s="2">
        <f>W12/'Output-Calculation-sheet'!W11*'Output-Calculation-sheet'!W20</f>
        <v>243.7716217868593</v>
      </c>
      <c r="X34" s="2">
        <f>X12/'Output-Calculation-sheet'!X11*'Output-Calculation-sheet'!X20</f>
        <v>0</v>
      </c>
      <c r="Y34" s="2">
        <f>Y12/'Output-Calculation-sheet'!Y11*'Output-Calculation-sheet'!Y20</f>
        <v>162.27780222909362</v>
      </c>
      <c r="AA34" s="2">
        <f t="shared" si="1"/>
        <v>43.81145341638971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5.0901575283266602</v>
      </c>
      <c r="C63" s="2">
        <f>C8*'Output-Calculation-sheet'!C52/10^9</f>
        <v>2.4492720125436747</v>
      </c>
      <c r="D63" s="2">
        <f>D8*'Output-Calculation-sheet'!D52/10^9</f>
        <v>1.1139781011254399</v>
      </c>
      <c r="E63" s="2">
        <f>E8*'Output-Calculation-sheet'!E52/10^9</f>
        <v>1.239489299345611</v>
      </c>
      <c r="F63" s="2">
        <f>F8*'Output-Calculation-sheet'!F52/10^9</f>
        <v>0.57250878647819925</v>
      </c>
      <c r="G63" s="2">
        <f>G8*'Output-Calculation-sheet'!G52/10^9</f>
        <v>0.39572195017190204</v>
      </c>
      <c r="H63" s="2">
        <f>H8*'Output-Calculation-sheet'!H52/10^9</f>
        <v>0.74619537956605841</v>
      </c>
      <c r="I63" s="2">
        <f>I8*'Output-Calculation-sheet'!I52/10^9</f>
        <v>0.39049119868787335</v>
      </c>
      <c r="J63" s="2">
        <f>J8*'Output-Calculation-sheet'!J52/10^9</f>
        <v>0.35249027623350454</v>
      </c>
      <c r="K63" s="2">
        <f>K8*'Output-Calculation-sheet'!K52/10^9</f>
        <v>0.45494921644357278</v>
      </c>
      <c r="L63" s="2">
        <f>L8*'Output-Calculation-sheet'!L52/10^9</f>
        <v>0.37582932249243017</v>
      </c>
      <c r="M63" s="2">
        <f>M8*'Output-Calculation-sheet'!M52/10^9</f>
        <v>0.51553295939491606</v>
      </c>
      <c r="N63" s="2">
        <f>N8*'Output-Calculation-sheet'!N52/10^9</f>
        <v>0.53883453723512842</v>
      </c>
      <c r="O63" s="2">
        <f>O8*'Output-Calculation-sheet'!O52/10^9</f>
        <v>0.47589913354916435</v>
      </c>
      <c r="P63" s="2">
        <f>P8*'Output-Calculation-sheet'!P52/10^9</f>
        <v>0.39889880664414185</v>
      </c>
      <c r="Q63" s="2">
        <f>Q8*'Output-Calculation-sheet'!Q52/10^9</f>
        <v>0.41136825132893645</v>
      </c>
      <c r="R63" s="2">
        <f>R8*'Output-Calculation-sheet'!R52/10^9</f>
        <v>0.32898838274829822</v>
      </c>
      <c r="S63" s="2">
        <f>S8*'Output-Calculation-sheet'!S52/10^9</f>
        <v>0.30326966898347352</v>
      </c>
      <c r="T63" s="2">
        <f>T8*'Output-Calculation-sheet'!T52/10^9</f>
        <v>0.10284284536316984</v>
      </c>
      <c r="U63" s="2">
        <f>U8*'Output-Calculation-sheet'!U52/10^9</f>
        <v>0.10338251311779277</v>
      </c>
      <c r="V63" s="2">
        <f>V8*'Output-Calculation-sheet'!V52/10^9</f>
        <v>7.699516019462288E-2</v>
      </c>
      <c r="W63" s="2">
        <f>W8*'Output-Calculation-sheet'!W52/10^9</f>
        <v>4.81392252163797E-2</v>
      </c>
      <c r="X63" s="2">
        <f>X8*'Output-Calculation-sheet'!X52/10^9</f>
        <v>6.1306105085483606E-2</v>
      </c>
      <c r="Y63" s="2">
        <f>Y8*'Output-Calculation-sheet'!Y52/10^9</f>
        <v>4.02878943748382E-2</v>
      </c>
      <c r="AA63" s="2">
        <f t="shared" si="4"/>
        <v>16.58682855465128</v>
      </c>
    </row>
    <row r="64" spans="1:27" x14ac:dyDescent="0.25">
      <c r="A64" s="2">
        <v>2032</v>
      </c>
      <c r="B64" s="2">
        <f>B9*'Output-Calculation-sheet'!B53/10^9</f>
        <v>5.3724290199249927</v>
      </c>
      <c r="C64" s="2">
        <f>C9*'Output-Calculation-sheet'!C53/10^9</f>
        <v>2.5943403803647929</v>
      </c>
      <c r="D64" s="2">
        <f>D9*'Output-Calculation-sheet'!D53/10^9</f>
        <v>1.173976100165272</v>
      </c>
      <c r="E64" s="2">
        <f>E9*'Output-Calculation-sheet'!E53/10^9</f>
        <v>1.3067153464301682</v>
      </c>
      <c r="F64" s="2">
        <f>F9*'Output-Calculation-sheet'!F53/10^9</f>
        <v>0.60295604479965303</v>
      </c>
      <c r="G64" s="2">
        <f>G9*'Output-Calculation-sheet'!G53/10^9</f>
        <v>0.41707314069371126</v>
      </c>
      <c r="H64" s="2">
        <f>H9*'Output-Calculation-sheet'!H53/10^9</f>
        <v>0.78308210565013525</v>
      </c>
      <c r="I64" s="2">
        <f>I9*'Output-Calculation-sheet'!I53/10^9</f>
        <v>0.41150485466591963</v>
      </c>
      <c r="J64" s="2">
        <f>J9*'Output-Calculation-sheet'!J53/10^9</f>
        <v>0.37143749447348895</v>
      </c>
      <c r="K64" s="2">
        <f>K9*'Output-Calculation-sheet'!K53/10^9</f>
        <v>0.47950904093490815</v>
      </c>
      <c r="L64" s="2">
        <f>L9*'Output-Calculation-sheet'!L53/10^9</f>
        <v>0.39611893716879354</v>
      </c>
      <c r="M64" s="2">
        <f>M9*'Output-Calculation-sheet'!M53/10^9</f>
        <v>0.54104367907648498</v>
      </c>
      <c r="N64" s="2">
        <f>N9*'Output-Calculation-sheet'!N53/10^9</f>
        <v>0.56622547872821438</v>
      </c>
      <c r="O64" s="2">
        <f>O9*'Output-Calculation-sheet'!O53/10^9</f>
        <v>0.50408624800517088</v>
      </c>
      <c r="P64" s="2">
        <f>P9*'Output-Calculation-sheet'!P53/10^9</f>
        <v>0.42094549754624189</v>
      </c>
      <c r="Q64" s="2">
        <f>Q9*'Output-Calculation-sheet'!Q53/10^9</f>
        <v>0.43400203033881785</v>
      </c>
      <c r="R64" s="2">
        <f>R9*'Output-Calculation-sheet'!R53/10^9</f>
        <v>0.34696520413527998</v>
      </c>
      <c r="S64" s="2">
        <f>S9*'Output-Calculation-sheet'!S53/10^9</f>
        <v>0.31930588815713284</v>
      </c>
      <c r="T64" s="2">
        <f>T9*'Output-Calculation-sheet'!T53/10^9</f>
        <v>0.10838402510960174</v>
      </c>
      <c r="U64" s="2">
        <f>U9*'Output-Calculation-sheet'!U53/10^9</f>
        <v>0.10908243615766088</v>
      </c>
      <c r="V64" s="2">
        <f>V9*'Output-Calculation-sheet'!V53/10^9</f>
        <v>8.1149863800551406E-2</v>
      </c>
      <c r="W64" s="2">
        <f>W9*'Output-Calculation-sheet'!W53/10^9</f>
        <v>5.0709270621907575E-2</v>
      </c>
      <c r="X64" s="2">
        <f>X9*'Output-Calculation-sheet'!X53/10^9</f>
        <v>6.4401856777864738E-2</v>
      </c>
      <c r="Y64" s="2">
        <f>Y9*'Output-Calculation-sheet'!Y53/10^9</f>
        <v>4.24880539367316E-2</v>
      </c>
      <c r="AA64" s="2">
        <f t="shared" si="4"/>
        <v>17.497931997663496</v>
      </c>
    </row>
    <row r="65" spans="1:27" x14ac:dyDescent="0.25">
      <c r="A65" s="2">
        <v>2033</v>
      </c>
      <c r="B65" s="2">
        <f>B10*'Output-Calculation-sheet'!B54/10^9</f>
        <v>5.4258908337635976</v>
      </c>
      <c r="C65" s="2">
        <f>C10*'Output-Calculation-sheet'!C54/10^9</f>
        <v>2.6266187310815821</v>
      </c>
      <c r="D65" s="2">
        <f>D10*'Output-Calculation-sheet'!D54/10^9</f>
        <v>1.1850894678950816</v>
      </c>
      <c r="E65" s="2">
        <f>E10*'Output-Calculation-sheet'!E54/10^9</f>
        <v>1.319559514138319</v>
      </c>
      <c r="F65" s="2">
        <f>F10*'Output-Calculation-sheet'!F54/10^9</f>
        <v>0.60826862815763005</v>
      </c>
      <c r="G65" s="2">
        <f>G10*'Output-Calculation-sheet'!G54/10^9</f>
        <v>0.42106160356881106</v>
      </c>
      <c r="H65" s="2">
        <f>H10*'Output-Calculation-sheet'!H54/10^9</f>
        <v>0.78691285380774312</v>
      </c>
      <c r="I65" s="2">
        <f>I10*'Output-Calculation-sheet'!I54/10^9</f>
        <v>0.41538265028286969</v>
      </c>
      <c r="J65" s="2">
        <f>J10*'Output-Calculation-sheet'!J54/10^9</f>
        <v>0.37491597601376198</v>
      </c>
      <c r="K65" s="2">
        <f>K10*'Output-Calculation-sheet'!K54/10^9</f>
        <v>0.48410063785299168</v>
      </c>
      <c r="L65" s="2">
        <f>L10*'Output-Calculation-sheet'!L54/10^9</f>
        <v>0.39991507111657981</v>
      </c>
      <c r="M65" s="2">
        <f>M10*'Output-Calculation-sheet'!M54/10^9</f>
        <v>0.54371391038835981</v>
      </c>
      <c r="N65" s="2">
        <f>N10*'Output-Calculation-sheet'!N54/10^9</f>
        <v>0.56962267933164834</v>
      </c>
      <c r="O65" s="2">
        <f>O10*'Output-Calculation-sheet'!O54/10^9</f>
        <v>0.51147644715371787</v>
      </c>
      <c r="P65" s="2">
        <f>P10*'Output-Calculation-sheet'!P54/10^9</f>
        <v>0.42549404074136438</v>
      </c>
      <c r="Q65" s="2">
        <f>Q10*'Output-Calculation-sheet'!Q54/10^9</f>
        <v>0.43858493464965315</v>
      </c>
      <c r="R65" s="2">
        <f>R10*'Output-Calculation-sheet'!R54/10^9</f>
        <v>0.35050984440531802</v>
      </c>
      <c r="S65" s="2">
        <f>S10*'Output-Calculation-sheet'!S54/10^9</f>
        <v>0.32174244975745453</v>
      </c>
      <c r="T65" s="2">
        <f>T10*'Output-Calculation-sheet'!T54/10^9</f>
        <v>0.10941151643528325</v>
      </c>
      <c r="U65" s="2">
        <f>U10*'Output-Calculation-sheet'!U54/10^9</f>
        <v>0.11024867852053535</v>
      </c>
      <c r="V65" s="2">
        <f>V10*'Output-Calculation-sheet'!V54/10^9</f>
        <v>8.1924603087661599E-2</v>
      </c>
      <c r="W65" s="2">
        <f>W10*'Output-Calculation-sheet'!W54/10^9</f>
        <v>5.1165859437844831E-2</v>
      </c>
      <c r="X65" s="2">
        <f>X10*'Output-Calculation-sheet'!X54/10^9</f>
        <v>6.4779816648556365E-2</v>
      </c>
      <c r="Y65" s="2">
        <f>Y10*'Output-Calculation-sheet'!Y54/10^9</f>
        <v>4.2921061039407737E-2</v>
      </c>
      <c r="AA65" s="2">
        <f t="shared" si="4"/>
        <v>17.669311809275776</v>
      </c>
    </row>
    <row r="66" spans="1:27" x14ac:dyDescent="0.25">
      <c r="A66" s="2">
        <v>2034</v>
      </c>
      <c r="B66" s="2">
        <f>B11*'Output-Calculation-sheet'!B55/10^9</f>
        <v>5.2820292515171117</v>
      </c>
      <c r="C66" s="2">
        <f>C11*'Output-Calculation-sheet'!C55/10^9</f>
        <v>2.5519909526070395</v>
      </c>
      <c r="D66" s="2">
        <f>D11*'Output-Calculation-sheet'!D55/10^9</f>
        <v>1.1549356790272394</v>
      </c>
      <c r="E66" s="2">
        <f>E11*'Output-Calculation-sheet'!E55/10^9</f>
        <v>1.2864446674670467</v>
      </c>
      <c r="F66" s="2">
        <f>F11*'Output-Calculation-sheet'!F55/10^9</f>
        <v>0.59239979536252285</v>
      </c>
      <c r="G66" s="2">
        <f>G11*'Output-Calculation-sheet'!G55/10^9</f>
        <v>0.41038730858038863</v>
      </c>
      <c r="H66" s="2">
        <f>H11*'Output-Calculation-sheet'!H55/10^9</f>
        <v>0.76314084291412598</v>
      </c>
      <c r="I66" s="2">
        <f>I11*'Output-Calculation-sheet'!I55/10^9</f>
        <v>0.40479164498235298</v>
      </c>
      <c r="J66" s="2">
        <f>J11*'Output-Calculation-sheet'!J55/10^9</f>
        <v>0.36533982550422806</v>
      </c>
      <c r="K66" s="2">
        <f>K11*'Output-Calculation-sheet'!K55/10^9</f>
        <v>0.47182690800688187</v>
      </c>
      <c r="L66" s="2">
        <f>L11*'Output-Calculation-sheet'!L55/10^9</f>
        <v>0.38978180907098542</v>
      </c>
      <c r="M66" s="2">
        <f>M11*'Output-Calculation-sheet'!M55/10^9</f>
        <v>0.52731180480524609</v>
      </c>
      <c r="N66" s="2">
        <f>N11*'Output-Calculation-sheet'!N55/10^9</f>
        <v>0.55293066831997406</v>
      </c>
      <c r="O66" s="2">
        <f>O11*'Output-Calculation-sheet'!O55/10^9</f>
        <v>0.50105085683998007</v>
      </c>
      <c r="P66" s="2">
        <f>P11*'Output-Calculation-sheet'!P55/10^9</f>
        <v>0.41521308145071423</v>
      </c>
      <c r="Q66" s="2">
        <f>Q11*'Output-Calculation-sheet'!Q55/10^9</f>
        <v>0.42787890243079812</v>
      </c>
      <c r="R66" s="2">
        <f>R11*'Output-Calculation-sheet'!R55/10^9</f>
        <v>0.3418439483147373</v>
      </c>
      <c r="S66" s="2">
        <f>S11*'Output-Calculation-sheet'!S55/10^9</f>
        <v>0.31274512709804647</v>
      </c>
      <c r="T66" s="2">
        <f>T11*'Output-Calculation-sheet'!T55/10^9</f>
        <v>0.10662822722813071</v>
      </c>
      <c r="U66" s="2">
        <f>U11*'Output-Calculation-sheet'!U55/10^9</f>
        <v>0.10757422713212376</v>
      </c>
      <c r="V66" s="2">
        <f>V11*'Output-Calculation-sheet'!V55/10^9</f>
        <v>7.9845176305389731E-2</v>
      </c>
      <c r="W66" s="2">
        <f>W11*'Output-Calculation-sheet'!W55/10^9</f>
        <v>4.9840947808491021E-2</v>
      </c>
      <c r="X66" s="2">
        <f>X11*'Output-Calculation-sheet'!X55/10^9</f>
        <v>6.2885337274874109E-2</v>
      </c>
      <c r="Y66" s="2">
        <f>Y11*'Output-Calculation-sheet'!Y55/10^9</f>
        <v>4.185905693891924E-2</v>
      </c>
      <c r="AA66" s="2">
        <f t="shared" si="4"/>
        <v>17.200676046987343</v>
      </c>
    </row>
    <row r="67" spans="1:27" x14ac:dyDescent="0.25">
      <c r="A67" s="2">
        <v>2035</v>
      </c>
      <c r="B67" s="2">
        <f>B12*'Output-Calculation-sheet'!B56/10^9</f>
        <v>4.9760059539156352</v>
      </c>
      <c r="C67" s="2">
        <f>C12*'Output-Calculation-sheet'!C56/10^9</f>
        <v>2.4008103819368216</v>
      </c>
      <c r="D67" s="2">
        <f>D12*'Output-Calculation-sheet'!D56/10^9</f>
        <v>1.0903552015403049</v>
      </c>
      <c r="E67" s="2">
        <f>E12*'Output-Calculation-sheet'!E56/10^9</f>
        <v>1.2149438353062609</v>
      </c>
      <c r="F67" s="2">
        <f>F12*'Output-Calculation-sheet'!F56/10^9</f>
        <v>0.55889959764867936</v>
      </c>
      <c r="G67" s="2">
        <f>G12*'Output-Calculation-sheet'!G56/10^9</f>
        <v>0.38748310750552972</v>
      </c>
      <c r="H67" s="2">
        <f>H12*'Output-Calculation-sheet'!H56/10^9</f>
        <v>0.71668706587315034</v>
      </c>
      <c r="I67" s="2">
        <f>I12*'Output-Calculation-sheet'!I56/10^9</f>
        <v>0.38213392160328008</v>
      </c>
      <c r="J67" s="2">
        <f>J12*'Output-Calculation-sheet'!J56/10^9</f>
        <v>0.34487968706366612</v>
      </c>
      <c r="K67" s="2">
        <f>K12*'Output-Calculation-sheet'!K56/10^9</f>
        <v>0.44548340306078132</v>
      </c>
      <c r="L67" s="2">
        <f>L12*'Output-Calculation-sheet'!L56/10^9</f>
        <v>0.36802843308254468</v>
      </c>
      <c r="M67" s="2">
        <f>M12*'Output-Calculation-sheet'!M56/10^9</f>
        <v>0.49523491661913344</v>
      </c>
      <c r="N67" s="2">
        <f>N12*'Output-Calculation-sheet'!N56/10^9</f>
        <v>0.51975468481137865</v>
      </c>
      <c r="O67" s="2">
        <f>O12*'Output-Calculation-sheet'!O56/10^9</f>
        <v>0.47275730417037454</v>
      </c>
      <c r="P67" s="2">
        <f>P12*'Output-Calculation-sheet'!P56/10^9</f>
        <v>0.39250731339768352</v>
      </c>
      <c r="Q67" s="2">
        <f>Q12*'Output-Calculation-sheet'!Q56/10^9</f>
        <v>0.40436503619887149</v>
      </c>
      <c r="R67" s="2">
        <f>R12*'Output-Calculation-sheet'!R56/10^9</f>
        <v>0.32296665344263031</v>
      </c>
      <c r="S67" s="2">
        <f>S12*'Output-Calculation-sheet'!S56/10^9</f>
        <v>0.29431431940142067</v>
      </c>
      <c r="T67" s="2">
        <f>T12*'Output-Calculation-sheet'!T56/10^9</f>
        <v>0.10066654377302751</v>
      </c>
      <c r="U67" s="2">
        <f>U12*'Output-Calculation-sheet'!U56/10^9</f>
        <v>0.1016829801651695</v>
      </c>
      <c r="V67" s="2">
        <f>V12*'Output-Calculation-sheet'!V56/10^9</f>
        <v>7.5383602921758344E-2</v>
      </c>
      <c r="W67" s="2">
        <f>W12*'Output-Calculation-sheet'!W56/10^9</f>
        <v>4.7032126649058391E-2</v>
      </c>
      <c r="X67" s="2">
        <f>X12*'Output-Calculation-sheet'!X56/10^9</f>
        <v>5.9113339773156005E-2</v>
      </c>
      <c r="Y67" s="2">
        <f>Y12*'Output-Calculation-sheet'!Y56/10^9</f>
        <v>3.954701206939034E-2</v>
      </c>
      <c r="AA67" s="2">
        <f t="shared" si="4"/>
        <v>16.211036421929705</v>
      </c>
    </row>
    <row r="68" spans="1:27" x14ac:dyDescent="0.25">
      <c r="B68" s="2">
        <f>SUM(B60:B67)</f>
        <v>37.142597950933023</v>
      </c>
      <c r="C68" s="2">
        <f t="shared" ref="C68:Y68" si="5">SUM(C60:C67)</f>
        <v>17.864145747663976</v>
      </c>
      <c r="D68" s="2">
        <f t="shared" si="5"/>
        <v>8.1348989176583828</v>
      </c>
      <c r="E68" s="2">
        <f t="shared" si="5"/>
        <v>9.0532809042626035</v>
      </c>
      <c r="F68" s="2">
        <f t="shared" si="5"/>
        <v>4.1791205261588598</v>
      </c>
      <c r="G68" s="2">
        <f t="shared" si="5"/>
        <v>2.890012678497087</v>
      </c>
      <c r="H68" s="2">
        <f t="shared" si="5"/>
        <v>5.4177422121698786</v>
      </c>
      <c r="I68" s="2">
        <f t="shared" si="5"/>
        <v>2.8514713332075723</v>
      </c>
      <c r="J68" s="2">
        <f t="shared" si="5"/>
        <v>2.5739404279748515</v>
      </c>
      <c r="K68" s="2">
        <f t="shared" si="5"/>
        <v>3.3224166793669587</v>
      </c>
      <c r="L68" s="2">
        <f t="shared" si="5"/>
        <v>2.7446667039736412</v>
      </c>
      <c r="M68" s="2">
        <f t="shared" si="5"/>
        <v>3.7427940527611088</v>
      </c>
      <c r="N68" s="2">
        <f t="shared" si="5"/>
        <v>3.9163811617746074</v>
      </c>
      <c r="O68" s="2">
        <f t="shared" si="5"/>
        <v>3.4836227793543948</v>
      </c>
      <c r="P68" s="2">
        <f t="shared" si="5"/>
        <v>2.9151902441087505</v>
      </c>
      <c r="Q68" s="2">
        <f t="shared" si="5"/>
        <v>3.0057827456124726</v>
      </c>
      <c r="R68" s="2">
        <f t="shared" si="5"/>
        <v>2.4034991284529066</v>
      </c>
      <c r="S68" s="2">
        <f t="shared" si="5"/>
        <v>2.206796671969792</v>
      </c>
      <c r="T68" s="2">
        <f t="shared" si="5"/>
        <v>0.75101183689379236</v>
      </c>
      <c r="U68" s="2">
        <f t="shared" si="5"/>
        <v>0.75550498811699784</v>
      </c>
      <c r="V68" s="2">
        <f t="shared" si="5"/>
        <v>0.56226824654862595</v>
      </c>
      <c r="W68" s="2">
        <f t="shared" si="5"/>
        <v>0.35144037756996971</v>
      </c>
      <c r="X68" s="2">
        <f t="shared" si="5"/>
        <v>0.44530555002819072</v>
      </c>
      <c r="Y68" s="2">
        <f t="shared" si="5"/>
        <v>0.29432796580306975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10297835281.872162</v>
      </c>
      <c r="C96" s="2">
        <f>C8/'Output-Calculation-sheet'!C7*'Output-Calculation-sheet'!C79</f>
        <v>0</v>
      </c>
      <c r="D96" s="2">
        <f>D8/'Output-Calculation-sheet'!D7*'Output-Calculation-sheet'!D79</f>
        <v>6268186171.1692905</v>
      </c>
      <c r="E96" s="2">
        <f>E8/'Output-Calculation-sheet'!E7*'Output-Calculation-sheet'!E79</f>
        <v>9818224549.7820492</v>
      </c>
      <c r="F96" s="2">
        <f>F8/'Output-Calculation-sheet'!F7*'Output-Calculation-sheet'!F79</f>
        <v>4699757779.7548904</v>
      </c>
      <c r="G96" s="2">
        <f>G8/'Output-Calculation-sheet'!G7*'Output-Calculation-sheet'!G79</f>
        <v>3582873285.1809945</v>
      </c>
      <c r="H96" s="2">
        <f>H8/'Output-Calculation-sheet'!H7*'Output-Calculation-sheet'!H79</f>
        <v>968324290.94443882</v>
      </c>
      <c r="I96" s="2">
        <f>I8/'Output-Calculation-sheet'!I7*'Output-Calculation-sheet'!I79</f>
        <v>2457073825.4878664</v>
      </c>
      <c r="J96" s="2">
        <f>J8/'Output-Calculation-sheet'!J7*'Output-Calculation-sheet'!J79</f>
        <v>1749000929.8097527</v>
      </c>
      <c r="K96" s="2">
        <f>K8/'Output-Calculation-sheet'!K7*'Output-Calculation-sheet'!K79</f>
        <v>2179825858.8212018</v>
      </c>
      <c r="L96" s="2">
        <f>L8/'Output-Calculation-sheet'!L7*'Output-Calculation-sheet'!L79</f>
        <v>1516854691.0539367</v>
      </c>
      <c r="M96" s="2">
        <f>M8/'Output-Calculation-sheet'!M7*'Output-Calculation-sheet'!M79</f>
        <v>717843900.90247309</v>
      </c>
      <c r="N96" s="2">
        <f>N8/'Output-Calculation-sheet'!N7*'Output-Calculation-sheet'!N79</f>
        <v>800039689.96905935</v>
      </c>
      <c r="O96" s="2">
        <f>O8/'Output-Calculation-sheet'!O7*'Output-Calculation-sheet'!O79</f>
        <v>0</v>
      </c>
      <c r="P96" s="2">
        <f>P8/'Output-Calculation-sheet'!P7*'Output-Calculation-sheet'!P79</f>
        <v>1850308512.3457355</v>
      </c>
      <c r="Q96" s="2">
        <f>Q8/'Output-Calculation-sheet'!Q7*'Output-Calculation-sheet'!Q79</f>
        <v>859006243.70035875</v>
      </c>
      <c r="R96" s="2">
        <f>R8/'Output-Calculation-sheet'!R7*'Output-Calculation-sheet'!R79</f>
        <v>1325334614.4772761</v>
      </c>
      <c r="S96" s="2">
        <f>S8/'Output-Calculation-sheet'!S7*'Output-Calculation-sheet'!S79</f>
        <v>485451121.20260936</v>
      </c>
      <c r="T96" s="2">
        <f>T8/'Output-Calculation-sheet'!T7*'Output-Calculation-sheet'!T79</f>
        <v>694681824.01301193</v>
      </c>
      <c r="U96" s="2">
        <f>U8/'Output-Calculation-sheet'!U7*'Output-Calculation-sheet'!U79</f>
        <v>352714729.35861772</v>
      </c>
      <c r="V96" s="2">
        <f>V8/'Output-Calculation-sheet'!V7*'Output-Calculation-sheet'!V79</f>
        <v>213818032.95278454</v>
      </c>
      <c r="W96" s="2">
        <f>W8/'Output-Calculation-sheet'!W7*'Output-Calculation-sheet'!W79</f>
        <v>744616360.61039078</v>
      </c>
      <c r="X96" s="2">
        <f>X8/'Output-Calculation-sheet'!X7*'Output-Calculation-sheet'!X79</f>
        <v>69422472.953732952</v>
      </c>
      <c r="Y96" s="2">
        <f>Y8/'Output-Calculation-sheet'!Y7*'Output-Calculation-sheet'!Y79</f>
        <v>316739171.34481025</v>
      </c>
      <c r="AA96" s="2">
        <f t="shared" si="8"/>
        <v>51.967933337707443</v>
      </c>
    </row>
    <row r="97" spans="1:27" x14ac:dyDescent="0.25">
      <c r="A97" s="2">
        <v>2032</v>
      </c>
      <c r="B97" s="2">
        <f>B9/'Output-Calculation-sheet'!B8*'Output-Calculation-sheet'!B80</f>
        <v>11005621620.224419</v>
      </c>
      <c r="C97" s="2">
        <f>C9/'Output-Calculation-sheet'!C8*'Output-Calculation-sheet'!C80</f>
        <v>0</v>
      </c>
      <c r="D97" s="2">
        <f>D9/'Output-Calculation-sheet'!D8*'Output-Calculation-sheet'!D80</f>
        <v>6389090461.0260687</v>
      </c>
      <c r="E97" s="2">
        <f>E9/'Output-Calculation-sheet'!E8*'Output-Calculation-sheet'!E80</f>
        <v>10307694255.903593</v>
      </c>
      <c r="F97" s="2">
        <f>F9/'Output-Calculation-sheet'!F8*'Output-Calculation-sheet'!F80</f>
        <v>4916932463.5547152</v>
      </c>
      <c r="G97" s="2">
        <f>G9/'Output-Calculation-sheet'!G8*'Output-Calculation-sheet'!G80</f>
        <v>3640875861.2897892</v>
      </c>
      <c r="H97" s="2">
        <f>H9/'Output-Calculation-sheet'!H8*'Output-Calculation-sheet'!H80</f>
        <v>1039766900.3249698</v>
      </c>
      <c r="I97" s="2">
        <f>I9/'Output-Calculation-sheet'!I8*'Output-Calculation-sheet'!I80</f>
        <v>2596217056.0357842</v>
      </c>
      <c r="J97" s="2">
        <f>J9/'Output-Calculation-sheet'!J8*'Output-Calculation-sheet'!J80</f>
        <v>1795517977.2621253</v>
      </c>
      <c r="K97" s="2">
        <f>K9/'Output-Calculation-sheet'!K8*'Output-Calculation-sheet'!K80</f>
        <v>2258609877.0316906</v>
      </c>
      <c r="L97" s="2">
        <f>L9/'Output-Calculation-sheet'!L8*'Output-Calculation-sheet'!L80</f>
        <v>1621650048.2575309</v>
      </c>
      <c r="M97" s="2">
        <f>M9/'Output-Calculation-sheet'!M8*'Output-Calculation-sheet'!M80</f>
        <v>772170861.66441894</v>
      </c>
      <c r="N97" s="2">
        <f>N9/'Output-Calculation-sheet'!N8*'Output-Calculation-sheet'!N80</f>
        <v>821893431.50190544</v>
      </c>
      <c r="O97" s="2">
        <f>O9/'Output-Calculation-sheet'!O8*'Output-Calculation-sheet'!O80</f>
        <v>0</v>
      </c>
      <c r="P97" s="2">
        <f>P9/'Output-Calculation-sheet'!P8*'Output-Calculation-sheet'!P80</f>
        <v>1923377074.2046967</v>
      </c>
      <c r="Q97" s="2">
        <f>Q9/'Output-Calculation-sheet'!Q8*'Output-Calculation-sheet'!Q80</f>
        <v>896771887.64483047</v>
      </c>
      <c r="R97" s="2">
        <f>R9/'Output-Calculation-sheet'!R8*'Output-Calculation-sheet'!R80</f>
        <v>1389927743.576525</v>
      </c>
      <c r="S97" s="2">
        <f>S9/'Output-Calculation-sheet'!S8*'Output-Calculation-sheet'!S80</f>
        <v>523711930.06803864</v>
      </c>
      <c r="T97" s="2">
        <f>T9/'Output-Calculation-sheet'!T8*'Output-Calculation-sheet'!T80</f>
        <v>714744205.21594834</v>
      </c>
      <c r="U97" s="2">
        <f>U9/'Output-Calculation-sheet'!U8*'Output-Calculation-sheet'!U80</f>
        <v>370066505.54016912</v>
      </c>
      <c r="V97" s="2">
        <f>V9/'Output-Calculation-sheet'!V8*'Output-Calculation-sheet'!V80</f>
        <v>226863542.66370139</v>
      </c>
      <c r="W97" s="2">
        <f>W9/'Output-Calculation-sheet'!W8*'Output-Calculation-sheet'!W80</f>
        <v>772358083.37239754</v>
      </c>
      <c r="X97" s="2">
        <f>X9/'Output-Calculation-sheet'!X8*'Output-Calculation-sheet'!X80</f>
        <v>76466098.518301457</v>
      </c>
      <c r="Y97" s="2">
        <f>Y9/'Output-Calculation-sheet'!Y8*'Output-Calculation-sheet'!Y80</f>
        <v>328872326.69589096</v>
      </c>
      <c r="AA97" s="2">
        <f t="shared" si="8"/>
        <v>54.389200211577517</v>
      </c>
    </row>
    <row r="98" spans="1:27" x14ac:dyDescent="0.25">
      <c r="A98" s="2">
        <v>2033</v>
      </c>
      <c r="B98" s="2">
        <f>B10/'Output-Calculation-sheet'!B9*'Output-Calculation-sheet'!B81</f>
        <v>11705944575.464077</v>
      </c>
      <c r="C98" s="2">
        <f>C10/'Output-Calculation-sheet'!C9*'Output-Calculation-sheet'!C81</f>
        <v>1533132983.1707733</v>
      </c>
      <c r="D98" s="2">
        <f>D10/'Output-Calculation-sheet'!D9*'Output-Calculation-sheet'!D81</f>
        <v>6240820407.7022419</v>
      </c>
      <c r="E98" s="2">
        <f>E10/'Output-Calculation-sheet'!E9*'Output-Calculation-sheet'!E81</f>
        <v>10361944166.187111</v>
      </c>
      <c r="F98" s="2">
        <f>F10/'Output-Calculation-sheet'!F9*'Output-Calculation-sheet'!F81</f>
        <v>4933218010.7098265</v>
      </c>
      <c r="G98" s="2">
        <f>G10/'Output-Calculation-sheet'!G9*'Output-Calculation-sheet'!G81</f>
        <v>3542431532.0593433</v>
      </c>
      <c r="H98" s="2">
        <f>H10/'Output-Calculation-sheet'!H9*'Output-Calculation-sheet'!H81</f>
        <v>1067599007.4481808</v>
      </c>
      <c r="I98" s="2">
        <f>I10/'Output-Calculation-sheet'!I9*'Output-Calculation-sheet'!I81</f>
        <v>2629285656.7850084</v>
      </c>
      <c r="J98" s="2">
        <f>J10/'Output-Calculation-sheet'!J9*'Output-Calculation-sheet'!J81</f>
        <v>1768002481.305325</v>
      </c>
      <c r="K98" s="2">
        <f>K10/'Output-Calculation-sheet'!K9*'Output-Calculation-sheet'!K81</f>
        <v>2245305408.0310097</v>
      </c>
      <c r="L98" s="2">
        <f>L10/'Output-Calculation-sheet'!L9*'Output-Calculation-sheet'!L81</f>
        <v>1660054584.8113513</v>
      </c>
      <c r="M98" s="2">
        <f>M10/'Output-Calculation-sheet'!M9*'Output-Calculation-sheet'!M81</f>
        <v>796005765.01874745</v>
      </c>
      <c r="N98" s="2">
        <f>N10/'Output-Calculation-sheet'!N9*'Output-Calculation-sheet'!N81</f>
        <v>810017910.71586394</v>
      </c>
      <c r="O98" s="2">
        <f>O10/'Output-Calculation-sheet'!O9*'Output-Calculation-sheet'!O81</f>
        <v>0</v>
      </c>
      <c r="P98" s="2">
        <f>P10/'Output-Calculation-sheet'!P9*'Output-Calculation-sheet'!P81</f>
        <v>1910207227.9714599</v>
      </c>
      <c r="Q98" s="2">
        <f>Q10/'Output-Calculation-sheet'!Q9*'Output-Calculation-sheet'!Q81</f>
        <v>896623700.86623514</v>
      </c>
      <c r="R98" s="2">
        <f>R10/'Output-Calculation-sheet'!R9*'Output-Calculation-sheet'!R81</f>
        <v>1399144006.2734973</v>
      </c>
      <c r="S98" s="2">
        <f>S10/'Output-Calculation-sheet'!S9*'Output-Calculation-sheet'!S81</f>
        <v>531277940.03083676</v>
      </c>
      <c r="T98" s="2">
        <f>T10/'Output-Calculation-sheet'!T9*'Output-Calculation-sheet'!T81</f>
        <v>705170474.02523327</v>
      </c>
      <c r="U98" s="2">
        <f>U10/'Output-Calculation-sheet'!U9*'Output-Calculation-sheet'!U81</f>
        <v>371696773.00271875</v>
      </c>
      <c r="V98" s="2">
        <f>V10/'Output-Calculation-sheet'!V9*'Output-Calculation-sheet'!V81</f>
        <v>230337935.5450421</v>
      </c>
      <c r="W98" s="2">
        <f>W10/'Output-Calculation-sheet'!W9*'Output-Calculation-sheet'!W81</f>
        <v>765797859.70973516</v>
      </c>
      <c r="X98" s="2">
        <f>X10/'Output-Calculation-sheet'!X9*'Output-Calculation-sheet'!X81</f>
        <v>79662781.33405678</v>
      </c>
      <c r="Y98" s="2">
        <f>Y10/'Output-Calculation-sheet'!Y9*'Output-Calculation-sheet'!Y81</f>
        <v>326921787.67916054</v>
      </c>
      <c r="AA98" s="2">
        <f t="shared" si="8"/>
        <v>56.510602975846822</v>
      </c>
    </row>
    <row r="99" spans="1:27" x14ac:dyDescent="0.25">
      <c r="A99" s="2">
        <v>2034</v>
      </c>
      <c r="B99" s="2">
        <f>B11/'Output-Calculation-sheet'!B10*'Output-Calculation-sheet'!B82</f>
        <v>11798446680.590055</v>
      </c>
      <c r="C99" s="2">
        <f>C11/'Output-Calculation-sheet'!C10*'Output-Calculation-sheet'!C82</f>
        <v>1600162195.2763286</v>
      </c>
      <c r="D99" s="2">
        <f>D11/'Output-Calculation-sheet'!D10*'Output-Calculation-sheet'!D82</f>
        <v>5886866512.6996231</v>
      </c>
      <c r="E99" s="2">
        <f>E11/'Output-Calculation-sheet'!E10*'Output-Calculation-sheet'!E82</f>
        <v>10067545833.331566</v>
      </c>
      <c r="F99" s="2">
        <f>F11/'Output-Calculation-sheet'!F10*'Output-Calculation-sheet'!F82</f>
        <v>4781159807.3285904</v>
      </c>
      <c r="G99" s="2">
        <f>G11/'Output-Calculation-sheet'!G10*'Output-Calculation-sheet'!G82</f>
        <v>3321266504.4551268</v>
      </c>
      <c r="H99" s="2">
        <f>H11/'Output-Calculation-sheet'!H10*'Output-Calculation-sheet'!H82</f>
        <v>1059794120.9355894</v>
      </c>
      <c r="I99" s="2">
        <f>I11/'Output-Calculation-sheet'!I10*'Output-Calculation-sheet'!I82</f>
        <v>2574576197.9147868</v>
      </c>
      <c r="J99" s="2">
        <f>J11/'Output-Calculation-sheet'!J10*'Output-Calculation-sheet'!J82</f>
        <v>1682056521.6336169</v>
      </c>
      <c r="K99" s="2">
        <f>K11/'Output-Calculation-sheet'!K10*'Output-Calculation-sheet'!K82</f>
        <v>2156697561.1250243</v>
      </c>
      <c r="L99" s="2">
        <f>L11/'Output-Calculation-sheet'!L10*'Output-Calculation-sheet'!L82</f>
        <v>1639960210.9981482</v>
      </c>
      <c r="M99" s="2">
        <f>M11/'Output-Calculation-sheet'!M10*'Output-Calculation-sheet'!M82</f>
        <v>792758863.91827166</v>
      </c>
      <c r="N99" s="2">
        <f>N11/'Output-Calculation-sheet'!N10*'Output-Calculation-sheet'!N82</f>
        <v>773697114.31299293</v>
      </c>
      <c r="O99" s="2">
        <f>O11/'Output-Calculation-sheet'!O10*'Output-Calculation-sheet'!O82</f>
        <v>0</v>
      </c>
      <c r="P99" s="2">
        <f>P11/'Output-Calculation-sheet'!P10*'Output-Calculation-sheet'!P82</f>
        <v>1829980435.7705617</v>
      </c>
      <c r="Q99" s="2">
        <f>Q11/'Output-Calculation-sheet'!Q10*'Output-Calculation-sheet'!Q82</f>
        <v>866507792.60246599</v>
      </c>
      <c r="R99" s="2">
        <f>R11/'Output-Calculation-sheet'!R10*'Output-Calculation-sheet'!R82</f>
        <v>1359839818.8515229</v>
      </c>
      <c r="S99" s="2">
        <f>S11/'Output-Calculation-sheet'!S10*'Output-Calculation-sheet'!S82</f>
        <v>529839125.42626655</v>
      </c>
      <c r="T99" s="2">
        <f>T11/'Output-Calculation-sheet'!T10*'Output-Calculation-sheet'!T82</f>
        <v>671864208.20482886</v>
      </c>
      <c r="U99" s="2">
        <f>U11/'Output-Calculation-sheet'!U10*'Output-Calculation-sheet'!U82</f>
        <v>361145392.68075961</v>
      </c>
      <c r="V99" s="2">
        <f>V11/'Output-Calculation-sheet'!V10*'Output-Calculation-sheet'!V82</f>
        <v>225923370.19388294</v>
      </c>
      <c r="W99" s="2">
        <f>W11/'Output-Calculation-sheet'!W10*'Output-Calculation-sheet'!W82</f>
        <v>732355440.292853</v>
      </c>
      <c r="X99" s="2">
        <f>X11/'Output-Calculation-sheet'!X10*'Output-Calculation-sheet'!X82</f>
        <v>80583883.730955228</v>
      </c>
      <c r="Y99" s="2">
        <f>Y11/'Output-Calculation-sheet'!Y10*'Output-Calculation-sheet'!Y82</f>
        <v>313355119.62501615</v>
      </c>
      <c r="AA99" s="2">
        <f t="shared" si="8"/>
        <v>55.106382711898839</v>
      </c>
    </row>
    <row r="100" spans="1:27" x14ac:dyDescent="0.25">
      <c r="A100" s="2">
        <v>2035</v>
      </c>
      <c r="B100" s="2">
        <f>B12/'Output-Calculation-sheet'!B11*'Output-Calculation-sheet'!B83</f>
        <v>11332213719.611448</v>
      </c>
      <c r="C100" s="2">
        <f>C12/'Output-Calculation-sheet'!C11*'Output-Calculation-sheet'!C83</f>
        <v>1603342877.4776909</v>
      </c>
      <c r="D100" s="2">
        <f>D12/'Output-Calculation-sheet'!D11*'Output-Calculation-sheet'!D83</f>
        <v>5389646663.4557772</v>
      </c>
      <c r="E100" s="2">
        <f>E12/'Output-Calculation-sheet'!E11*'Output-Calculation-sheet'!E83</f>
        <v>9482102742.6342659</v>
      </c>
      <c r="F100" s="2">
        <f>F12/'Output-Calculation-sheet'!F11*'Output-Calculation-sheet'!F83</f>
        <v>4493632220.7692413</v>
      </c>
      <c r="G100" s="2">
        <f>G12/'Output-Calculation-sheet'!G11*'Output-Calculation-sheet'!G83</f>
        <v>3013768262.7532635</v>
      </c>
      <c r="H100" s="2">
        <f>H12/'Output-Calculation-sheet'!H11*'Output-Calculation-sheet'!H83</f>
        <v>1015515913.7658265</v>
      </c>
      <c r="I100" s="2">
        <f>I12/'Output-Calculation-sheet'!I11*'Output-Calculation-sheet'!I83</f>
        <v>2441847900.369596</v>
      </c>
      <c r="J100" s="2">
        <f>J12/'Output-Calculation-sheet'!J11*'Output-Calculation-sheet'!J83</f>
        <v>1551347983.4890449</v>
      </c>
      <c r="K100" s="2">
        <f>K12/'Output-Calculation-sheet'!K11*'Output-Calculation-sheet'!K83</f>
        <v>2008087186.4122732</v>
      </c>
      <c r="L100" s="2">
        <f>L12/'Output-Calculation-sheet'!L11*'Output-Calculation-sheet'!L83</f>
        <v>1568993024.1416509</v>
      </c>
      <c r="M100" s="2">
        <f>M12/'Output-Calculation-sheet'!M11*'Output-Calculation-sheet'!M83</f>
        <v>761178256.19072592</v>
      </c>
      <c r="N100" s="2">
        <f>N12/'Output-Calculation-sheet'!N11*'Output-Calculation-sheet'!N83</f>
        <v>717052154.95114195</v>
      </c>
      <c r="O100" s="2">
        <f>O12/'Output-Calculation-sheet'!O11*'Output-Calculation-sheet'!O83</f>
        <v>193451530.54661387</v>
      </c>
      <c r="P100" s="2">
        <f>P12/'Output-Calculation-sheet'!P11*'Output-Calculation-sheet'!P83</f>
        <v>1698578059.486773</v>
      </c>
      <c r="Q100" s="2">
        <f>Q12/'Output-Calculation-sheet'!Q11*'Output-Calculation-sheet'!Q83</f>
        <v>814598179.84828556</v>
      </c>
      <c r="R100" s="2">
        <f>R12/'Output-Calculation-sheet'!R11*'Output-Calculation-sheet'!R83</f>
        <v>1283155798.3880832</v>
      </c>
      <c r="S100" s="2">
        <f>S12/'Output-Calculation-sheet'!S11*'Output-Calculation-sheet'!S83</f>
        <v>497673841.51077545</v>
      </c>
      <c r="T100" s="2">
        <f>T12/'Output-Calculation-sheet'!T11*'Output-Calculation-sheet'!T83</f>
        <v>620319696.99913645</v>
      </c>
      <c r="U100" s="2">
        <f>U12/'Output-Calculation-sheet'!U11*'Output-Calculation-sheet'!U83</f>
        <v>339808134.58166248</v>
      </c>
      <c r="V100" s="2">
        <f>V12/'Output-Calculation-sheet'!V11*'Output-Calculation-sheet'!V83</f>
        <v>214773302.93817323</v>
      </c>
      <c r="W100" s="2">
        <f>W12/'Output-Calculation-sheet'!W11*'Output-Calculation-sheet'!W83</f>
        <v>677723509.04260159</v>
      </c>
      <c r="X100" s="2">
        <f>X12/'Output-Calculation-sheet'!X11*'Output-Calculation-sheet'!X83</f>
        <v>78861238.699826062</v>
      </c>
      <c r="Y100" s="2">
        <f>Y12/'Output-Calculation-sheet'!Y11*'Output-Calculation-sheet'!Y83</f>
        <v>290980518.05142611</v>
      </c>
      <c r="AA100" s="2">
        <f t="shared" si="8"/>
        <v>52.088652716115305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3.7339195107779919E-4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3360620065.4792361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2302524804.2137332</v>
      </c>
      <c r="N118" s="2">
        <f>N8/'Output-Calculation-sheet'!N7*'Output-Calculation-sheet'!N97</f>
        <v>1522112492.0753148</v>
      </c>
      <c r="O118" s="2">
        <f>O8/'Output-Calculation-sheet'!O7*'Output-Calculation-sheet'!O97</f>
        <v>2.0543941175600454E-5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377332670.00629187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218833648.89997739</v>
      </c>
      <c r="Y118" s="2">
        <f>Y8/'Output-Calculation-sheet'!Y7*'Output-Calculation-sheet'!Y97</f>
        <v>0</v>
      </c>
      <c r="AA118" s="2">
        <f t="shared" si="10"/>
        <v>7781.4236806749468</v>
      </c>
    </row>
    <row r="119" spans="1:27" x14ac:dyDescent="0.25">
      <c r="A119" s="2">
        <v>2032</v>
      </c>
      <c r="B119" s="2">
        <f>B9/'Output-Calculation-sheet'!B8*'Output-Calculation-sheet'!B98</f>
        <v>3411766.4842650895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3663740378.0627122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2507225484.991631</v>
      </c>
      <c r="N119" s="2">
        <f>N9/'Output-Calculation-sheet'!N8*'Output-Calculation-sheet'!N98</f>
        <v>1829239570.5339754</v>
      </c>
      <c r="O119" s="2">
        <f>O9/'Output-Calculation-sheet'!O8*'Output-Calculation-sheet'!O98</f>
        <v>1.8656992550198729E-4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575552782.86057723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241471317.23339689</v>
      </c>
      <c r="Y119" s="2">
        <f>Y9/'Output-Calculation-sheet'!Y8*'Output-Calculation-sheet'!Y98</f>
        <v>0</v>
      </c>
      <c r="AA119" s="2">
        <f t="shared" si="10"/>
        <v>8820.6413001667461</v>
      </c>
    </row>
    <row r="120" spans="1:27" x14ac:dyDescent="0.25">
      <c r="A120" s="2">
        <v>2033</v>
      </c>
      <c r="B120" s="2">
        <f>B10/'Output-Calculation-sheet'!B9*'Output-Calculation-sheet'!B99</f>
        <v>4635213010.6020508</v>
      </c>
      <c r="C120" s="2">
        <f>C10/'Output-Calculation-sheet'!C9*'Output-Calculation-sheet'!C99</f>
        <v>8627405910.584959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3816299510.4754953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2614141808.335166</v>
      </c>
      <c r="N120" s="2">
        <f>N10/'Output-Calculation-sheet'!N9*'Output-Calculation-sheet'!N99</f>
        <v>2066295533.8087058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722796172.50092423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251905898.81926769</v>
      </c>
      <c r="Y120" s="2">
        <f>Y10/'Output-Calculation-sheet'!Y9*'Output-Calculation-sheet'!Y99</f>
        <v>0</v>
      </c>
      <c r="AA120" s="2">
        <f t="shared" si="10"/>
        <v>22734.057845126568</v>
      </c>
    </row>
    <row r="121" spans="1:27" x14ac:dyDescent="0.25">
      <c r="A121" s="2">
        <v>2034</v>
      </c>
      <c r="B121" s="2">
        <f>B11/'Output-Calculation-sheet'!B10*'Output-Calculation-sheet'!B100</f>
        <v>7725497637.7657471</v>
      </c>
      <c r="C121" s="2">
        <f>C11/'Output-Calculation-sheet'!C10*'Output-Calculation-sheet'!C100</f>
        <v>8950445840.3093643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3840276050.904366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2630988815.6509733</v>
      </c>
      <c r="N121" s="2">
        <f>N11/'Output-Calculation-sheet'!N10*'Output-Calculation-sheet'!N100</f>
        <v>2148041977.1677494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824606453.47175014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255054905.21993488</v>
      </c>
      <c r="Y121" s="2">
        <f>Y11/'Output-Calculation-sheet'!Y10*'Output-Calculation-sheet'!Y100</f>
        <v>0</v>
      </c>
      <c r="AA121" s="2">
        <f t="shared" si="10"/>
        <v>26374.911680489888</v>
      </c>
    </row>
    <row r="122" spans="1:27" x14ac:dyDescent="0.25">
      <c r="A122" s="2">
        <v>2035</v>
      </c>
      <c r="B122" s="2">
        <f>B12/'Output-Calculation-sheet'!B11*'Output-Calculation-sheet'!B101</f>
        <v>9121175035.474596</v>
      </c>
      <c r="C122" s="2">
        <f>C12/'Output-Calculation-sheet'!C11*'Output-Calculation-sheet'!C101</f>
        <v>8915135391.3032532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3727376321.4625707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2550752042.8321304</v>
      </c>
      <c r="N122" s="2">
        <f>N12/'Output-Calculation-sheet'!N11*'Output-Calculation-sheet'!N101</f>
        <v>2131920150.808037</v>
      </c>
      <c r="O122" s="2">
        <f>O12/'Output-Calculation-sheet'!O11*'Output-Calculation-sheet'!O101</f>
        <v>1523671865.7668369</v>
      </c>
      <c r="P122" s="2">
        <f>P12/'Output-Calculation-sheet'!P11*'Output-Calculation-sheet'!P101</f>
        <v>0</v>
      </c>
      <c r="Q122" s="2">
        <f>Q12/'Output-Calculation-sheet'!Q11*'Output-Calculation-sheet'!Q101</f>
        <v>27814034.86047506</v>
      </c>
      <c r="R122" s="2">
        <f>R12/'Output-Calculation-sheet'!R11*'Output-Calculation-sheet'!R101</f>
        <v>0</v>
      </c>
      <c r="S122" s="2">
        <f>S12/'Output-Calculation-sheet'!S11*'Output-Calculation-sheet'!S101</f>
        <v>897603121.80196917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249735596.38566104</v>
      </c>
      <c r="Y122" s="2">
        <f>Y12/'Output-Calculation-sheet'!Y11*'Output-Calculation-sheet'!Y101</f>
        <v>0</v>
      </c>
      <c r="AA122" s="2">
        <f t="shared" si="10"/>
        <v>29145.183560695525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42117497828.050117</v>
      </c>
      <c r="C129" s="2">
        <f>C8/'Output-Calculation-sheet'!C7*'Output-Calculation-sheet'!C106</f>
        <v>0</v>
      </c>
      <c r="D129" s="2">
        <f>D8/'Output-Calculation-sheet'!D7*'Output-Calculation-sheet'!D106</f>
        <v>30488704875.82021</v>
      </c>
      <c r="E129" s="2">
        <f>E8/'Output-Calculation-sheet'!E7*'Output-Calculation-sheet'!E106</f>
        <v>21311316770.573414</v>
      </c>
      <c r="F129" s="2">
        <f>F8/'Output-Calculation-sheet'!F7*'Output-Calculation-sheet'!F106</f>
        <v>15866296568.230125</v>
      </c>
      <c r="G129" s="2">
        <f>G8/'Output-Calculation-sheet'!G7*'Output-Calculation-sheet'!G106</f>
        <v>10911009524.773991</v>
      </c>
      <c r="H129" s="2">
        <f>H8/'Output-Calculation-sheet'!H7*'Output-Calculation-sheet'!H106</f>
        <v>0</v>
      </c>
      <c r="I129" s="2">
        <f>I8/'Output-Calculation-sheet'!I7*'Output-Calculation-sheet'!I106</f>
        <v>9786336285.1490059</v>
      </c>
      <c r="J129" s="2">
        <f>J8/'Output-Calculation-sheet'!J7*'Output-Calculation-sheet'!J106</f>
        <v>10026767852.378262</v>
      </c>
      <c r="K129" s="2">
        <f>K8/'Output-Calculation-sheet'!K7*'Output-Calculation-sheet'!K106</f>
        <v>8650875071.7616444</v>
      </c>
      <c r="L129" s="2">
        <f>L8/'Output-Calculation-sheet'!L7*'Output-Calculation-sheet'!L106</f>
        <v>6844059741.1204729</v>
      </c>
      <c r="M129" s="2">
        <f>M8/'Output-Calculation-sheet'!M7*'Output-Calculation-sheet'!M106</f>
        <v>0</v>
      </c>
      <c r="N129" s="2">
        <f>N8/'Output-Calculation-sheet'!N7*'Output-Calculation-sheet'!N106</f>
        <v>1862861934.7915988</v>
      </c>
      <c r="O129" s="2">
        <f>O8/'Output-Calculation-sheet'!O7*'Output-Calculation-sheet'!O106</f>
        <v>0</v>
      </c>
      <c r="P129" s="2">
        <f>P8/'Output-Calculation-sheet'!P7*'Output-Calculation-sheet'!P106</f>
        <v>4214780456.8705521</v>
      </c>
      <c r="Q129" s="2">
        <f>Q8/'Output-Calculation-sheet'!Q7*'Output-Calculation-sheet'!Q106</f>
        <v>4130711894.1322885</v>
      </c>
      <c r="R129" s="2">
        <f>R8/'Output-Calculation-sheet'!R7*'Output-Calculation-sheet'!R106</f>
        <v>4914372804.5869017</v>
      </c>
      <c r="S129" s="2">
        <f>S8/'Output-Calculation-sheet'!S7*'Output-Calculation-sheet'!S106</f>
        <v>1675951120.2786415</v>
      </c>
      <c r="T129" s="2">
        <f>T8/'Output-Calculation-sheet'!T7*'Output-Calculation-sheet'!T106</f>
        <v>2127641458.2262781</v>
      </c>
      <c r="U129" s="2">
        <f>U8/'Output-Calculation-sheet'!U7*'Output-Calculation-sheet'!U106</f>
        <v>1497811292.7954502</v>
      </c>
      <c r="V129" s="2">
        <f>V8/'Output-Calculation-sheet'!V7*'Output-Calculation-sheet'!V106</f>
        <v>1347523632.33974</v>
      </c>
      <c r="W129" s="2">
        <f>W8/'Output-Calculation-sheet'!W7*'Output-Calculation-sheet'!W106</f>
        <v>1374945693.5715871</v>
      </c>
      <c r="X129" s="2">
        <f>X8/'Output-Calculation-sheet'!X7*'Output-Calculation-sheet'!X106</f>
        <v>0</v>
      </c>
      <c r="Y129" s="2">
        <f>Y8/'Output-Calculation-sheet'!Y7*'Output-Calculation-sheet'!Y106</f>
        <v>620823619.85516536</v>
      </c>
      <c r="AA129" s="2">
        <f t="shared" si="11"/>
        <v>179770.28842530548</v>
      </c>
    </row>
    <row r="130" spans="1:27" x14ac:dyDescent="0.25">
      <c r="A130" s="2">
        <v>2032</v>
      </c>
      <c r="B130" s="2">
        <f>B9/'Output-Calculation-sheet'!B8*'Output-Calculation-sheet'!B107</f>
        <v>45034149511.351768</v>
      </c>
      <c r="C130" s="2">
        <f>C9/'Output-Calculation-sheet'!C8*'Output-Calculation-sheet'!C107</f>
        <v>0</v>
      </c>
      <c r="D130" s="2">
        <f>D9/'Output-Calculation-sheet'!D8*'Output-Calculation-sheet'!D107</f>
        <v>32357443244.112911</v>
      </c>
      <c r="E130" s="2">
        <f>E9/'Output-Calculation-sheet'!E8*'Output-Calculation-sheet'!E107</f>
        <v>22646956465.575367</v>
      </c>
      <c r="F130" s="2">
        <f>F9/'Output-Calculation-sheet'!F8*'Output-Calculation-sheet'!F107</f>
        <v>16834301677.215067</v>
      </c>
      <c r="G130" s="2">
        <f>G9/'Output-Calculation-sheet'!G8*'Output-Calculation-sheet'!G107</f>
        <v>11570906810.877192</v>
      </c>
      <c r="H130" s="2">
        <f>H9/'Output-Calculation-sheet'!H8*'Output-Calculation-sheet'!H107</f>
        <v>0</v>
      </c>
      <c r="I130" s="2">
        <f>I9/'Output-Calculation-sheet'!I8*'Output-Calculation-sheet'!I107</f>
        <v>10387012764.870399</v>
      </c>
      <c r="J130" s="2">
        <f>J9/'Output-Calculation-sheet'!J8*'Output-Calculation-sheet'!J107</f>
        <v>10635678848.097464</v>
      </c>
      <c r="K130" s="2">
        <f>K9/'Output-Calculation-sheet'!K8*'Output-Calculation-sheet'!K107</f>
        <v>9190831893.1055126</v>
      </c>
      <c r="L130" s="2">
        <f>L9/'Output-Calculation-sheet'!L8*'Output-Calculation-sheet'!L107</f>
        <v>7273240562.9947186</v>
      </c>
      <c r="M130" s="2">
        <f>M9/'Output-Calculation-sheet'!M8*'Output-Calculation-sheet'!M107</f>
        <v>0</v>
      </c>
      <c r="N130" s="2">
        <f>N9/'Output-Calculation-sheet'!N8*'Output-Calculation-sheet'!N107</f>
        <v>1755725947.1216567</v>
      </c>
      <c r="O130" s="2">
        <f>O9/'Output-Calculation-sheet'!O8*'Output-Calculation-sheet'!O107</f>
        <v>0</v>
      </c>
      <c r="P130" s="2">
        <f>P9/'Output-Calculation-sheet'!P8*'Output-Calculation-sheet'!P107</f>
        <v>4512119264.4577723</v>
      </c>
      <c r="Q130" s="2">
        <f>Q9/'Output-Calculation-sheet'!Q8*'Output-Calculation-sheet'!Q107</f>
        <v>4424835021.4060755</v>
      </c>
      <c r="R130" s="2">
        <f>R9/'Output-Calculation-sheet'!R8*'Output-Calculation-sheet'!R107</f>
        <v>5221903310.4995956</v>
      </c>
      <c r="S130" s="2">
        <f>S9/'Output-Calculation-sheet'!S8*'Output-Calculation-sheet'!S107</f>
        <v>1677636052.3072493</v>
      </c>
      <c r="T130" s="2">
        <f>T9/'Output-Calculation-sheet'!T8*'Output-Calculation-sheet'!T107</f>
        <v>2258457411.8837466</v>
      </c>
      <c r="U130" s="2">
        <f>U9/'Output-Calculation-sheet'!U8*'Output-Calculation-sheet'!U107</f>
        <v>1593097581.0398796</v>
      </c>
      <c r="V130" s="2">
        <f>V9/'Output-Calculation-sheet'!V8*'Output-Calculation-sheet'!V107</f>
        <v>1434221829.7527733</v>
      </c>
      <c r="W130" s="2">
        <f>W9/'Output-Calculation-sheet'!W8*'Output-Calculation-sheet'!W107</f>
        <v>1459739406.067311</v>
      </c>
      <c r="X130" s="2">
        <f>X9/'Output-Calculation-sheet'!X8*'Output-Calculation-sheet'!X107</f>
        <v>0</v>
      </c>
      <c r="Y130" s="2">
        <f>Y9/'Output-Calculation-sheet'!Y8*'Output-Calculation-sheet'!Y107</f>
        <v>659815605.07452071</v>
      </c>
      <c r="AA130" s="2">
        <f t="shared" si="11"/>
        <v>190928.07320781102</v>
      </c>
    </row>
    <row r="131" spans="1:27" x14ac:dyDescent="0.25">
      <c r="A131" s="2">
        <v>2033</v>
      </c>
      <c r="B131" s="2">
        <f>B10/'Output-Calculation-sheet'!B9*'Output-Calculation-sheet'!B108</f>
        <v>43289450514.256592</v>
      </c>
      <c r="C131" s="2">
        <f>C10/'Output-Calculation-sheet'!C9*'Output-Calculation-sheet'!C108</f>
        <v>0</v>
      </c>
      <c r="D131" s="2">
        <f>D10/'Output-Calculation-sheet'!D9*'Output-Calculation-sheet'!D108</f>
        <v>32889222292.781315</v>
      </c>
      <c r="E131" s="2">
        <f>E10/'Output-Calculation-sheet'!E9*'Output-Calculation-sheet'!E108</f>
        <v>23032515569.099724</v>
      </c>
      <c r="F131" s="2">
        <f>F10/'Output-Calculation-sheet'!F9*'Output-Calculation-sheet'!F108</f>
        <v>17115667983.236536</v>
      </c>
      <c r="G131" s="2">
        <f>G10/'Output-Calculation-sheet'!G9*'Output-Calculation-sheet'!G108</f>
        <v>11761372987.213507</v>
      </c>
      <c r="H131" s="2">
        <f>H10/'Output-Calculation-sheet'!H9*'Output-Calculation-sheet'!H108</f>
        <v>0</v>
      </c>
      <c r="I131" s="2">
        <f>I10/'Output-Calculation-sheet'!I9*'Output-Calculation-sheet'!I108</f>
        <v>10559968299.153322</v>
      </c>
      <c r="J131" s="2">
        <f>J10/'Output-Calculation-sheet'!J9*'Output-Calculation-sheet'!J108</f>
        <v>10808826797.817257</v>
      </c>
      <c r="K131" s="2">
        <f>K10/'Output-Calculation-sheet'!K9*'Output-Calculation-sheet'!K108</f>
        <v>9359649075.0712681</v>
      </c>
      <c r="L131" s="2">
        <f>L10/'Output-Calculation-sheet'!L9*'Output-Calculation-sheet'!L108</f>
        <v>7401608769.5004196</v>
      </c>
      <c r="M131" s="2">
        <f>M10/'Output-Calculation-sheet'!M9*'Output-Calculation-sheet'!M108</f>
        <v>0</v>
      </c>
      <c r="N131" s="2">
        <f>N10/'Output-Calculation-sheet'!N9*'Output-Calculation-sheet'!N108</f>
        <v>1573038924.7183535</v>
      </c>
      <c r="O131" s="2">
        <f>O10/'Output-Calculation-sheet'!O9*'Output-Calculation-sheet'!O108</f>
        <v>0</v>
      </c>
      <c r="P131" s="2">
        <f>P10/'Output-Calculation-sheet'!P9*'Output-Calculation-sheet'!P108</f>
        <v>4616731413.1186981</v>
      </c>
      <c r="Q131" s="2">
        <f>Q10/'Output-Calculation-sheet'!Q9*'Output-Calculation-sheet'!Q108</f>
        <v>4534492545.7830191</v>
      </c>
      <c r="R131" s="2">
        <f>R10/'Output-Calculation-sheet'!R9*'Output-Calculation-sheet'!R108</f>
        <v>5321753240.3913364</v>
      </c>
      <c r="S131" s="2">
        <f>S10/'Output-Calculation-sheet'!S9*'Output-Calculation-sheet'!S108</f>
        <v>1600189735.1545842</v>
      </c>
      <c r="T131" s="2">
        <f>T10/'Output-Calculation-sheet'!T9*'Output-Calculation-sheet'!T108</f>
        <v>2298065090.0399895</v>
      </c>
      <c r="U131" s="2">
        <f>U10/'Output-Calculation-sheet'!U9*'Output-Calculation-sheet'!U108</f>
        <v>1621439917.0984082</v>
      </c>
      <c r="V131" s="2">
        <f>V10/'Output-Calculation-sheet'!V9*'Output-Calculation-sheet'!V108</f>
        <v>1460890373.6457882</v>
      </c>
      <c r="W131" s="2">
        <f>W10/'Output-Calculation-sheet'!W9*'Output-Calculation-sheet'!W108</f>
        <v>1483088975.8673508</v>
      </c>
      <c r="X131" s="2">
        <f>X10/'Output-Calculation-sheet'!X9*'Output-Calculation-sheet'!X108</f>
        <v>0</v>
      </c>
      <c r="Y131" s="2">
        <f>Y10/'Output-Calculation-sheet'!Y9*'Output-Calculation-sheet'!Y108</f>
        <v>671861477.42022932</v>
      </c>
      <c r="AA131" s="2">
        <f t="shared" si="11"/>
        <v>191399.83398136764</v>
      </c>
    </row>
    <row r="132" spans="1:27" x14ac:dyDescent="0.25">
      <c r="A132" s="2">
        <v>2034</v>
      </c>
      <c r="B132" s="2">
        <f>B11/'Output-Calculation-sheet'!B10*'Output-Calculation-sheet'!B109</f>
        <v>40594252072.317902</v>
      </c>
      <c r="C132" s="2">
        <f>C11/'Output-Calculation-sheet'!C10*'Output-Calculation-sheet'!C109</f>
        <v>0</v>
      </c>
      <c r="D132" s="2">
        <f>D11/'Output-Calculation-sheet'!D10*'Output-Calculation-sheet'!D109</f>
        <v>32260218114.279453</v>
      </c>
      <c r="E132" s="2">
        <f>E11/'Output-Calculation-sheet'!E10*'Output-Calculation-sheet'!E109</f>
        <v>22628148737.593971</v>
      </c>
      <c r="F132" s="2">
        <f>F11/'Output-Calculation-sheet'!F10*'Output-Calculation-sheet'!F109</f>
        <v>16796875010.75318</v>
      </c>
      <c r="G132" s="2">
        <f>G11/'Output-Calculation-sheet'!G10*'Output-Calculation-sheet'!G109</f>
        <v>11531830252.982807</v>
      </c>
      <c r="H132" s="2">
        <f>H11/'Output-Calculation-sheet'!H10*'Output-Calculation-sheet'!H109</f>
        <v>0</v>
      </c>
      <c r="I132" s="2">
        <f>I11/'Output-Calculation-sheet'!I10*'Output-Calculation-sheet'!I109</f>
        <v>10374069779.273571</v>
      </c>
      <c r="J132" s="2">
        <f>J11/'Output-Calculation-sheet'!J10*'Output-Calculation-sheet'!J109</f>
        <v>10600950775.607351</v>
      </c>
      <c r="K132" s="2">
        <f>K11/'Output-Calculation-sheet'!K10*'Output-Calculation-sheet'!K109</f>
        <v>9200827539.9539394</v>
      </c>
      <c r="L132" s="2">
        <f>L11/'Output-Calculation-sheet'!L10*'Output-Calculation-sheet'!L109</f>
        <v>7269462593.9381466</v>
      </c>
      <c r="M132" s="2">
        <f>M11/'Output-Calculation-sheet'!M10*'Output-Calculation-sheet'!M109</f>
        <v>0</v>
      </c>
      <c r="N132" s="2">
        <f>N11/'Output-Calculation-sheet'!N10*'Output-Calculation-sheet'!N109</f>
        <v>1429266208.571033</v>
      </c>
      <c r="O132" s="2">
        <f>O11/'Output-Calculation-sheet'!O10*'Output-Calculation-sheet'!O109</f>
        <v>0</v>
      </c>
      <c r="P132" s="2">
        <f>P11/'Output-Calculation-sheet'!P10*'Output-Calculation-sheet'!P109</f>
        <v>4557745566.2704115</v>
      </c>
      <c r="Q132" s="2">
        <f>Q11/'Output-Calculation-sheet'!Q10*'Output-Calculation-sheet'!Q109</f>
        <v>4486395002.7785416</v>
      </c>
      <c r="R132" s="2">
        <f>R11/'Output-Calculation-sheet'!R10*'Output-Calculation-sheet'!R109</f>
        <v>5232488575.2310562</v>
      </c>
      <c r="S132" s="2">
        <f>S11/'Output-Calculation-sheet'!S10*'Output-Calculation-sheet'!S109</f>
        <v>1527813484.2219486</v>
      </c>
      <c r="T132" s="2">
        <f>T11/'Output-Calculation-sheet'!T10*'Output-Calculation-sheet'!T109</f>
        <v>2257229377.7303257</v>
      </c>
      <c r="U132" s="2">
        <f>U11/'Output-Calculation-sheet'!U10*'Output-Calculation-sheet'!U109</f>
        <v>1595786485.7494199</v>
      </c>
      <c r="V132" s="2">
        <f>V11/'Output-Calculation-sheet'!V10*'Output-Calculation-sheet'!V109</f>
        <v>1437659968.6274664</v>
      </c>
      <c r="W132" s="2">
        <f>W11/'Output-Calculation-sheet'!W10*'Output-Calculation-sheet'!W109</f>
        <v>1455017771.5636082</v>
      </c>
      <c r="X132" s="2">
        <f>X11/'Output-Calculation-sheet'!X10*'Output-Calculation-sheet'!X109</f>
        <v>0</v>
      </c>
      <c r="Y132" s="2">
        <f>Y11/'Output-Calculation-sheet'!Y10*'Output-Calculation-sheet'!Y109</f>
        <v>660094950.48288</v>
      </c>
      <c r="AA132" s="2">
        <f t="shared" si="11"/>
        <v>185896.13226792699</v>
      </c>
    </row>
    <row r="133" spans="1:27" x14ac:dyDescent="0.25">
      <c r="A133" s="2">
        <v>2035</v>
      </c>
      <c r="B133" s="2">
        <f>B12/'Output-Calculation-sheet'!B11*'Output-Calculation-sheet'!B110</f>
        <v>37300800993.191147</v>
      </c>
      <c r="C133" s="2">
        <f>C12/'Output-Calculation-sheet'!C11*'Output-Calculation-sheet'!C110</f>
        <v>0</v>
      </c>
      <c r="D133" s="2">
        <f>D12/'Output-Calculation-sheet'!D11*'Output-Calculation-sheet'!D110</f>
        <v>30687848245.092876</v>
      </c>
      <c r="E133" s="2">
        <f>E12/'Output-Calculation-sheet'!E11*'Output-Calculation-sheet'!E110</f>
        <v>21538915631.719353</v>
      </c>
      <c r="F133" s="2">
        <f>F12/'Output-Calculation-sheet'!F11*'Output-Calculation-sheet'!F110</f>
        <v>15973580945.989346</v>
      </c>
      <c r="G133" s="2">
        <f>G12/'Output-Calculation-sheet'!G11*'Output-Calculation-sheet'!G110</f>
        <v>10953671879.298752</v>
      </c>
      <c r="H133" s="2">
        <f>H12/'Output-Calculation-sheet'!H11*'Output-Calculation-sheet'!H110</f>
        <v>0</v>
      </c>
      <c r="I133" s="2">
        <f>I12/'Output-Calculation-sheet'!I11*'Output-Calculation-sheet'!I110</f>
        <v>9865953083.4556961</v>
      </c>
      <c r="J133" s="2">
        <f>J12/'Output-Calculation-sheet'!J11*'Output-Calculation-sheet'!J110</f>
        <v>10066690282.742189</v>
      </c>
      <c r="K133" s="2">
        <f>K12/'Output-Calculation-sheet'!K11*'Output-Calculation-sheet'!K110</f>
        <v>8758874377.3193741</v>
      </c>
      <c r="L133" s="2">
        <f>L12/'Output-Calculation-sheet'!L11*'Output-Calculation-sheet'!L110</f>
        <v>6914923889.2884331</v>
      </c>
      <c r="M133" s="2">
        <f>M12/'Output-Calculation-sheet'!M11*'Output-Calculation-sheet'!M110</f>
        <v>0</v>
      </c>
      <c r="N133" s="2">
        <f>N12/'Output-Calculation-sheet'!N11*'Output-Calculation-sheet'!N110</f>
        <v>1276592081.4525867</v>
      </c>
      <c r="O133" s="2">
        <f>O12/'Output-Calculation-sheet'!O11*'Output-Calculation-sheet'!O110</f>
        <v>0</v>
      </c>
      <c r="P133" s="2">
        <f>P12/'Output-Calculation-sheet'!P11*'Output-Calculation-sheet'!P110</f>
        <v>4360222113.7358589</v>
      </c>
      <c r="Q133" s="2">
        <f>Q12/'Output-Calculation-sheet'!Q11*'Output-Calculation-sheet'!Q110</f>
        <v>4285067502.146472</v>
      </c>
      <c r="R133" s="2">
        <f>R12/'Output-Calculation-sheet'!R11*'Output-Calculation-sheet'!R110</f>
        <v>4991284476.3993979</v>
      </c>
      <c r="S133" s="2">
        <f>S12/'Output-Calculation-sheet'!S11*'Output-Calculation-sheet'!S110</f>
        <v>1344205281.5519843</v>
      </c>
      <c r="T133" s="2">
        <f>T12/'Output-Calculation-sheet'!T11*'Output-Calculation-sheet'!T110</f>
        <v>2147421748.5332923</v>
      </c>
      <c r="U133" s="2">
        <f>U12/'Output-Calculation-sheet'!U11*'Output-Calculation-sheet'!U110</f>
        <v>1520371745.5855222</v>
      </c>
      <c r="V133" s="2">
        <f>V12/'Output-Calculation-sheet'!V11*'Output-Calculation-sheet'!V110</f>
        <v>1371387921.4677544</v>
      </c>
      <c r="W133" s="2">
        <f>W12/'Output-Calculation-sheet'!W11*'Output-Calculation-sheet'!W110</f>
        <v>1382899703.0453768</v>
      </c>
      <c r="X133" s="2">
        <f>X12/'Output-Calculation-sheet'!X11*'Output-Calculation-sheet'!X110</f>
        <v>0</v>
      </c>
      <c r="Y133" s="2">
        <f>Y12/'Output-Calculation-sheet'!Y11*'Output-Calculation-sheet'!Y110</f>
        <v>628694765.75714481</v>
      </c>
      <c r="AA133" s="2">
        <f t="shared" si="11"/>
        <v>175369.40666777254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52380916900.747307</v>
      </c>
      <c r="C151" s="2">
        <f>C8/'Output-Calculation-sheet'!C7*'Output-Calculation-sheet'!C124</f>
        <v>44532386515.304863</v>
      </c>
      <c r="D151" s="2">
        <f>D8/'Output-Calculation-sheet'!D7*'Output-Calculation-sheet'!D124</f>
        <v>9201601165.22299</v>
      </c>
      <c r="E151" s="2">
        <f>E8/'Output-Calculation-sheet'!E7*'Output-Calculation-sheet'!E124</f>
        <v>10178944130.441935</v>
      </c>
      <c r="F151" s="2">
        <f>F8/'Output-Calculation-sheet'!F7*'Output-Calculation-sheet'!F124</f>
        <v>4405109168.5920067</v>
      </c>
      <c r="G151" s="2">
        <f>G8/'Output-Calculation-sheet'!G7*'Output-Calculation-sheet'!G124</f>
        <v>3332270793.016336</v>
      </c>
      <c r="H151" s="2">
        <f>H8/'Output-Calculation-sheet'!H7*'Output-Calculation-sheet'!H124</f>
        <v>10533167871.474154</v>
      </c>
      <c r="I151" s="2">
        <f>I8/'Output-Calculation-sheet'!I7*'Output-Calculation-sheet'!I124</f>
        <v>3190383098.265481</v>
      </c>
      <c r="J151" s="2">
        <f>J8/'Output-Calculation-sheet'!J7*'Output-Calculation-sheet'!J124</f>
        <v>2603837078.4780936</v>
      </c>
      <c r="K151" s="2">
        <f>K8/'Output-Calculation-sheet'!K7*'Output-Calculation-sheet'!K124</f>
        <v>3858657463.3898325</v>
      </c>
      <c r="L151" s="2">
        <f>L8/'Output-Calculation-sheet'!L7*'Output-Calculation-sheet'!L124</f>
        <v>3191274651.4828997</v>
      </c>
      <c r="M151" s="2">
        <f>M8/'Output-Calculation-sheet'!M7*'Output-Calculation-sheet'!M124</f>
        <v>7282970239.8810873</v>
      </c>
      <c r="N151" s="2">
        <f>N8/'Output-Calculation-sheet'!N7*'Output-Calculation-sheet'!N124</f>
        <v>6023145795.5150023</v>
      </c>
      <c r="O151" s="2">
        <f>O8/'Output-Calculation-sheet'!O7*'Output-Calculation-sheet'!O124</f>
        <v>8652681372.6797581</v>
      </c>
      <c r="P151" s="2">
        <f>P8/'Output-Calculation-sheet'!P7*'Output-Calculation-sheet'!P124</f>
        <v>4349904614.886323</v>
      </c>
      <c r="Q151" s="2">
        <f>Q8/'Output-Calculation-sheet'!Q7*'Output-Calculation-sheet'!Q124</f>
        <v>4295537509.3324881</v>
      </c>
      <c r="R151" s="2">
        <f>R8/'Output-Calculation-sheet'!R7*'Output-Calculation-sheet'!R124</f>
        <v>3192082356.5172844</v>
      </c>
      <c r="S151" s="2">
        <f>S8/'Output-Calculation-sheet'!S7*'Output-Calculation-sheet'!S124</f>
        <v>3334669019.5406737</v>
      </c>
      <c r="T151" s="2">
        <f>T8/'Output-Calculation-sheet'!T7*'Output-Calculation-sheet'!T124</f>
        <v>852201329.50846016</v>
      </c>
      <c r="U151" s="2">
        <f>U8/'Output-Calculation-sheet'!U7*'Output-Calculation-sheet'!U124</f>
        <v>1097534809.0821164</v>
      </c>
      <c r="V151" s="2">
        <f>V8/'Output-Calculation-sheet'!V7*'Output-Calculation-sheet'!V124</f>
        <v>650936126.90189242</v>
      </c>
      <c r="W151" s="2">
        <f>W8/'Output-Calculation-sheet'!W7*'Output-Calculation-sheet'!W124</f>
        <v>355290993.82769907</v>
      </c>
      <c r="X151" s="2">
        <f>X8/'Output-Calculation-sheet'!X7*'Output-Calculation-sheet'!X124</f>
        <v>819302961.74545455</v>
      </c>
      <c r="Y151" s="2">
        <f>Y8/'Output-Calculation-sheet'!Y7*'Output-Calculation-sheet'!Y124</f>
        <v>388754558.09542894</v>
      </c>
      <c r="AA151" s="2">
        <f t="shared" si="13"/>
        <v>188703.56052392957</v>
      </c>
    </row>
    <row r="152" spans="1:27" x14ac:dyDescent="0.25">
      <c r="A152" s="2">
        <v>2032</v>
      </c>
      <c r="B152" s="2">
        <f>B9/'Output-Calculation-sheet'!B8*'Output-Calculation-sheet'!B125</f>
        <v>55057918646.862053</v>
      </c>
      <c r="C152" s="2">
        <f>C9/'Output-Calculation-sheet'!C8*'Output-Calculation-sheet'!C125</f>
        <v>47170003159.70739</v>
      </c>
      <c r="D152" s="2">
        <f>D9/'Output-Calculation-sheet'!D8*'Output-Calculation-sheet'!D125</f>
        <v>9683686995.3887997</v>
      </c>
      <c r="E152" s="2">
        <f>E9/'Output-Calculation-sheet'!E8*'Output-Calculation-sheet'!E125</f>
        <v>10708449966.02771</v>
      </c>
      <c r="F152" s="2">
        <f>F9/'Output-Calculation-sheet'!F8*'Output-Calculation-sheet'!F125</f>
        <v>4637762756.8116951</v>
      </c>
      <c r="G152" s="2">
        <f>G9/'Output-Calculation-sheet'!G8*'Output-Calculation-sheet'!G125</f>
        <v>3515991291.1112309</v>
      </c>
      <c r="H152" s="2">
        <f>H9/'Output-Calculation-sheet'!H8*'Output-Calculation-sheet'!H125</f>
        <v>11052965196.68026</v>
      </c>
      <c r="I152" s="2">
        <f>I9/'Output-Calculation-sheet'!I8*'Output-Calculation-sheet'!I125</f>
        <v>3358307039.8054032</v>
      </c>
      <c r="J152" s="2">
        <f>J9/'Output-Calculation-sheet'!J8*'Output-Calculation-sheet'!J125</f>
        <v>2743025117.7931585</v>
      </c>
      <c r="K152" s="2">
        <f>K9/'Output-Calculation-sheet'!K8*'Output-Calculation-sheet'!K125</f>
        <v>4059629970.3466301</v>
      </c>
      <c r="L152" s="2">
        <f>L9/'Output-Calculation-sheet'!L8*'Output-Calculation-sheet'!L125</f>
        <v>3356478435.8991518</v>
      </c>
      <c r="M152" s="2">
        <f>M9/'Output-Calculation-sheet'!M8*'Output-Calculation-sheet'!M125</f>
        <v>7646010550.5825758</v>
      </c>
      <c r="N152" s="2">
        <f>N9/'Output-Calculation-sheet'!N8*'Output-Calculation-sheet'!N125</f>
        <v>6380389931.3307714</v>
      </c>
      <c r="O152" s="2">
        <f>O9/'Output-Calculation-sheet'!O8*'Output-Calculation-sheet'!O125</f>
        <v>9165172577.2427177</v>
      </c>
      <c r="P152" s="2">
        <f>P9/'Output-Calculation-sheet'!P8*'Output-Calculation-sheet'!P125</f>
        <v>4559844171.4102068</v>
      </c>
      <c r="Q152" s="2">
        <f>Q9/'Output-Calculation-sheet'!Q8*'Output-Calculation-sheet'!Q125</f>
        <v>4500494207.2287998</v>
      </c>
      <c r="R152" s="2">
        <f>R9/'Output-Calculation-sheet'!R8*'Output-Calculation-sheet'!R125</f>
        <v>3364690525.6940746</v>
      </c>
      <c r="S152" s="2">
        <f>S9/'Output-Calculation-sheet'!S8*'Output-Calculation-sheet'!S125</f>
        <v>3453888377.6824408</v>
      </c>
      <c r="T152" s="2">
        <f>T9/'Output-Calculation-sheet'!T8*'Output-Calculation-sheet'!T125</f>
        <v>897879014.51845396</v>
      </c>
      <c r="U152" s="2">
        <f>U9/'Output-Calculation-sheet'!U8*'Output-Calculation-sheet'!U125</f>
        <v>1155968736.8864005</v>
      </c>
      <c r="V152" s="2">
        <f>V9/'Output-Calculation-sheet'!V8*'Output-Calculation-sheet'!V125</f>
        <v>682605058.1477468</v>
      </c>
      <c r="W152" s="2">
        <f>W9/'Output-Calculation-sheet'!W8*'Output-Calculation-sheet'!W125</f>
        <v>372977958.14709491</v>
      </c>
      <c r="X152" s="2">
        <f>X9/'Output-Calculation-sheet'!X8*'Output-Calculation-sheet'!X125</f>
        <v>858153163.67682564</v>
      </c>
      <c r="Y152" s="2">
        <f>Y9/'Output-Calculation-sheet'!Y8*'Output-Calculation-sheet'!Y125</f>
        <v>409559058.40852755</v>
      </c>
      <c r="AA152" s="2">
        <f t="shared" si="13"/>
        <v>198791.85190739008</v>
      </c>
    </row>
    <row r="153" spans="1:27" x14ac:dyDescent="0.25">
      <c r="A153" s="2">
        <v>2033</v>
      </c>
      <c r="B153" s="2">
        <f>B10/'Output-Calculation-sheet'!B9*'Output-Calculation-sheet'!B126</f>
        <v>53638278810.245163</v>
      </c>
      <c r="C153" s="2">
        <f>C10/'Output-Calculation-sheet'!C9*'Output-Calculation-sheet'!C126</f>
        <v>39234245301.431519</v>
      </c>
      <c r="D153" s="2">
        <f>D10/'Output-Calculation-sheet'!D9*'Output-Calculation-sheet'!D126</f>
        <v>9768255498.611414</v>
      </c>
      <c r="E153" s="2">
        <f>E10/'Output-Calculation-sheet'!E9*'Output-Calculation-sheet'!E126</f>
        <v>10811900624.594194</v>
      </c>
      <c r="F153" s="2">
        <f>F10/'Output-Calculation-sheet'!F9*'Output-Calculation-sheet'!F126</f>
        <v>4671189470.686821</v>
      </c>
      <c r="G153" s="2">
        <f>G10/'Output-Calculation-sheet'!G9*'Output-Calculation-sheet'!G126</f>
        <v>3546707862.6652899</v>
      </c>
      <c r="H153" s="2">
        <f>H10/'Output-Calculation-sheet'!H9*'Output-Calculation-sheet'!H126</f>
        <v>11116161573.246897</v>
      </c>
      <c r="I153" s="2">
        <f>I10/'Output-Calculation-sheet'!I9*'Output-Calculation-sheet'!I126</f>
        <v>3386864586.2588863</v>
      </c>
      <c r="J153" s="2">
        <f>J10/'Output-Calculation-sheet'!J9*'Output-Calculation-sheet'!J126</f>
        <v>2766018122.0658331</v>
      </c>
      <c r="K153" s="2">
        <f>K10/'Output-Calculation-sheet'!K9*'Output-Calculation-sheet'!K126</f>
        <v>4085072307.2006283</v>
      </c>
      <c r="L153" s="2">
        <f>L10/'Output-Calculation-sheet'!L9*'Output-Calculation-sheet'!L126</f>
        <v>3383948125.39992</v>
      </c>
      <c r="M153" s="2">
        <f>M10/'Output-Calculation-sheet'!M9*'Output-Calculation-sheet'!M126</f>
        <v>7687946604.3908319</v>
      </c>
      <c r="N153" s="2">
        <f>N10/'Output-Calculation-sheet'!N9*'Output-Calculation-sheet'!N126</f>
        <v>6472118928.3529263</v>
      </c>
      <c r="O153" s="2">
        <f>O10/'Output-Calculation-sheet'!O9*'Output-Calculation-sheet'!O126</f>
        <v>9299539366.3480816</v>
      </c>
      <c r="P153" s="2">
        <f>P10/'Output-Calculation-sheet'!P9*'Output-Calculation-sheet'!P126</f>
        <v>4588232311.3401985</v>
      </c>
      <c r="Q153" s="2">
        <f>Q10/'Output-Calculation-sheet'!Q9*'Output-Calculation-sheet'!Q126</f>
        <v>4521687228.2237711</v>
      </c>
      <c r="R153" s="2">
        <f>R10/'Output-Calculation-sheet'!R9*'Output-Calculation-sheet'!R126</f>
        <v>3390725082.2533617</v>
      </c>
      <c r="S153" s="2">
        <f>S10/'Output-Calculation-sheet'!S9*'Output-Calculation-sheet'!S126</f>
        <v>3467760394.216733</v>
      </c>
      <c r="T153" s="2">
        <f>T10/'Output-Calculation-sheet'!T9*'Output-Calculation-sheet'!T126</f>
        <v>904545073.96809351</v>
      </c>
      <c r="U153" s="2">
        <f>U10/'Output-Calculation-sheet'!U9*'Output-Calculation-sheet'!U126</f>
        <v>1167929320.5017078</v>
      </c>
      <c r="V153" s="2">
        <f>V10/'Output-Calculation-sheet'!V9*'Output-Calculation-sheet'!V126</f>
        <v>686970434.19698632</v>
      </c>
      <c r="W153" s="2">
        <f>W10/'Output-Calculation-sheet'!W9*'Output-Calculation-sheet'!W126</f>
        <v>376496913.70136708</v>
      </c>
      <c r="X153" s="2">
        <f>X10/'Output-Calculation-sheet'!X9*'Output-Calculation-sheet'!X126</f>
        <v>863839829.29997241</v>
      </c>
      <c r="Y153" s="2">
        <f>Y10/'Output-Calculation-sheet'!Y9*'Output-Calculation-sheet'!Y126</f>
        <v>413190843.92161679</v>
      </c>
      <c r="AA153" s="2">
        <f t="shared" si="13"/>
        <v>190249.62461312226</v>
      </c>
    </row>
    <row r="154" spans="1:27" x14ac:dyDescent="0.25">
      <c r="A154" s="2">
        <v>2034</v>
      </c>
      <c r="B154" s="2">
        <f>B11/'Output-Calculation-sheet'!B10*'Output-Calculation-sheet'!B127</f>
        <v>51172999317.078026</v>
      </c>
      <c r="C154" s="2">
        <f>C11/'Output-Calculation-sheet'!C10*'Output-Calculation-sheet'!C127</f>
        <v>37935625811.685783</v>
      </c>
      <c r="D154" s="2">
        <f>D11/'Output-Calculation-sheet'!D10*'Output-Calculation-sheet'!D127</f>
        <v>9527754388.6184101</v>
      </c>
      <c r="E154" s="2">
        <f>E11/'Output-Calculation-sheet'!E10*'Output-Calculation-sheet'!E127</f>
        <v>10526405743.783331</v>
      </c>
      <c r="F154" s="2">
        <f>F11/'Output-Calculation-sheet'!F10*'Output-Calculation-sheet'!F127</f>
        <v>4545893861.3744545</v>
      </c>
      <c r="G154" s="2">
        <f>G11/'Output-Calculation-sheet'!G10*'Output-Calculation-sheet'!G127</f>
        <v>3464221019.935925</v>
      </c>
      <c r="H154" s="2">
        <f>H11/'Output-Calculation-sheet'!H10*'Output-Calculation-sheet'!H127</f>
        <v>10787811835.379408</v>
      </c>
      <c r="I154" s="2">
        <f>I11/'Output-Calculation-sheet'!I10*'Output-Calculation-sheet'!I127</f>
        <v>3288481605.3889031</v>
      </c>
      <c r="J154" s="2">
        <f>J11/'Output-Calculation-sheet'!J10*'Output-Calculation-sheet'!J127</f>
        <v>2697193677.4315791</v>
      </c>
      <c r="K154" s="2">
        <f>K11/'Output-Calculation-sheet'!K10*'Output-Calculation-sheet'!K127</f>
        <v>3969847020.5844407</v>
      </c>
      <c r="L154" s="2">
        <f>L11/'Output-Calculation-sheet'!L10*'Output-Calculation-sheet'!L127</f>
        <v>3296248796.6042051</v>
      </c>
      <c r="M154" s="2">
        <f>M11/'Output-Calculation-sheet'!M10*'Output-Calculation-sheet'!M127</f>
        <v>7461108787.5965452</v>
      </c>
      <c r="N154" s="2">
        <f>N11/'Output-Calculation-sheet'!N10*'Output-Calculation-sheet'!N127</f>
        <v>6328040167.224782</v>
      </c>
      <c r="O154" s="2">
        <f>O11/'Output-Calculation-sheet'!O10*'Output-Calculation-sheet'!O127</f>
        <v>9109983839.2469807</v>
      </c>
      <c r="P154" s="2">
        <f>P11/'Output-Calculation-sheet'!P10*'Output-Calculation-sheet'!P127</f>
        <v>4459590397.0705147</v>
      </c>
      <c r="Q154" s="2">
        <f>Q11/'Output-Calculation-sheet'!Q10*'Output-Calculation-sheet'!Q127</f>
        <v>4385189721.6286764</v>
      </c>
      <c r="R154" s="2">
        <f>R11/'Output-Calculation-sheet'!R10*'Output-Calculation-sheet'!R127</f>
        <v>3302400475.9727321</v>
      </c>
      <c r="S154" s="2">
        <f>S11/'Output-Calculation-sheet'!S10*'Output-Calculation-sheet'!S127</f>
        <v>3320291704.146646</v>
      </c>
      <c r="T154" s="2">
        <f>T11/'Output-Calculation-sheet'!T10*'Output-Calculation-sheet'!T127</f>
        <v>880100944.57563174</v>
      </c>
      <c r="U154" s="2">
        <f>U11/'Output-Calculation-sheet'!U10*'Output-Calculation-sheet'!U127</f>
        <v>1136726133.9814048</v>
      </c>
      <c r="V154" s="2">
        <f>V11/'Output-Calculation-sheet'!V10*'Output-Calculation-sheet'!V127</f>
        <v>666420295.73551691</v>
      </c>
      <c r="W154" s="2">
        <f>W11/'Output-Calculation-sheet'!W10*'Output-Calculation-sheet'!W127</f>
        <v>366663754.80034518</v>
      </c>
      <c r="X154" s="2">
        <f>X11/'Output-Calculation-sheet'!X10*'Output-Calculation-sheet'!X127</f>
        <v>837948215.84397352</v>
      </c>
      <c r="Y154" s="2">
        <f>Y11/'Output-Calculation-sheet'!Y10*'Output-Calculation-sheet'!Y127</f>
        <v>402840397.46902508</v>
      </c>
      <c r="AA154" s="2">
        <f t="shared" si="13"/>
        <v>183869.78791315723</v>
      </c>
    </row>
    <row r="155" spans="1:27" x14ac:dyDescent="0.25">
      <c r="A155" s="2">
        <v>2035</v>
      </c>
      <c r="B155" s="2">
        <f>B12/'Output-Calculation-sheet'!B11*'Output-Calculation-sheet'!B128</f>
        <v>48000279722.499573</v>
      </c>
      <c r="C155" s="2">
        <f>C12/'Output-Calculation-sheet'!C11*'Output-Calculation-sheet'!C128</f>
        <v>35581466623.196465</v>
      </c>
      <c r="D155" s="2">
        <f>D12/'Output-Calculation-sheet'!D11*'Output-Calculation-sheet'!D128</f>
        <v>8970470629.2208481</v>
      </c>
      <c r="E155" s="2">
        <f>E12/'Output-Calculation-sheet'!E11*'Output-Calculation-sheet'!E128</f>
        <v>9925969753.4012699</v>
      </c>
      <c r="F155" s="2">
        <f>F12/'Output-Calculation-sheet'!F11*'Output-Calculation-sheet'!F128</f>
        <v>4281487682.3591447</v>
      </c>
      <c r="G155" s="2">
        <f>G12/'Output-Calculation-sheet'!G11*'Output-Calculation-sheet'!G128</f>
        <v>3278129510.0643497</v>
      </c>
      <c r="H155" s="2">
        <f>H12/'Output-Calculation-sheet'!H11*'Output-Calculation-sheet'!H128</f>
        <v>10155214349.569418</v>
      </c>
      <c r="I155" s="2">
        <f>I12/'Output-Calculation-sheet'!I11*'Output-Calculation-sheet'!I128</f>
        <v>3100308116.8928905</v>
      </c>
      <c r="J155" s="2">
        <f>J12/'Output-Calculation-sheet'!J11*'Output-Calculation-sheet'!J128</f>
        <v>2553735405.2179351</v>
      </c>
      <c r="K155" s="2">
        <f>K12/'Output-Calculation-sheet'!K11*'Output-Calculation-sheet'!K128</f>
        <v>3740576489.4646201</v>
      </c>
      <c r="L155" s="2">
        <f>L12/'Output-Calculation-sheet'!L11*'Output-Calculation-sheet'!L128</f>
        <v>3112322837.9270658</v>
      </c>
      <c r="M155" s="2">
        <f>M12/'Output-Calculation-sheet'!M11*'Output-Calculation-sheet'!M128</f>
        <v>7027017869.8957767</v>
      </c>
      <c r="N155" s="2">
        <f>N12/'Output-Calculation-sheet'!N11*'Output-Calculation-sheet'!N128</f>
        <v>5992025808.4708624</v>
      </c>
      <c r="O155" s="2">
        <f>O12/'Output-Calculation-sheet'!O11*'Output-Calculation-sheet'!O128</f>
        <v>7122017450.7751188</v>
      </c>
      <c r="P155" s="2">
        <f>P12/'Output-Calculation-sheet'!P11*'Output-Calculation-sheet'!P128</f>
        <v>4197560516.6769638</v>
      </c>
      <c r="Q155" s="2">
        <f>Q12/'Output-Calculation-sheet'!Q11*'Output-Calculation-sheet'!Q128</f>
        <v>4106576250.9637766</v>
      </c>
      <c r="R155" s="2">
        <f>R12/'Output-Calculation-sheet'!R11*'Output-Calculation-sheet'!R128</f>
        <v>3108637539.4940901</v>
      </c>
      <c r="S155" s="2">
        <f>S12/'Output-Calculation-sheet'!S11*'Output-Calculation-sheet'!S128</f>
        <v>3141802519.0489779</v>
      </c>
      <c r="T155" s="2">
        <f>T12/'Output-Calculation-sheet'!T11*'Output-Calculation-sheet'!T128</f>
        <v>830019527.6590476</v>
      </c>
      <c r="U155" s="2">
        <f>U12/'Output-Calculation-sheet'!U11*'Output-Calculation-sheet'!U128</f>
        <v>1072882717.8855369</v>
      </c>
      <c r="V155" s="2">
        <f>V12/'Output-Calculation-sheet'!V11*'Output-Calculation-sheet'!V128</f>
        <v>625461437.64362276</v>
      </c>
      <c r="W155" s="2">
        <f>W12/'Output-Calculation-sheet'!W11*'Output-Calculation-sheet'!W128</f>
        <v>345942553.95208621</v>
      </c>
      <c r="X155" s="2">
        <f>X12/'Output-Calculation-sheet'!X11*'Output-Calculation-sheet'!X128</f>
        <v>787564258.72061753</v>
      </c>
      <c r="Y155" s="2">
        <f>Y12/'Output-Calculation-sheet'!Y11*'Output-Calculation-sheet'!Y128</f>
        <v>380069774.08566701</v>
      </c>
      <c r="AA155" s="2">
        <f t="shared" si="13"/>
        <v>171437.53934508568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2.7776046660906335E-10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2515.3607275438835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1722.6334233098378</v>
      </c>
      <c r="N19" s="2">
        <f>N8/'Output-Calculation-sheet'!N7*'Output-Calculation-sheet'!N25</f>
        <v>1158.7204680338289</v>
      </c>
      <c r="O19" s="2">
        <f>O8/'Output-Calculation-sheet'!O7*'Output-Calculation-sheet'!O25</f>
        <v>1.5286926444742748E-11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307.34441227059415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163.48349238929751</v>
      </c>
      <c r="Y19" s="2">
        <f>Y8/'Output-Calculation-sheet'!Y7*'Output-Calculation-sheet'!Y25</f>
        <v>0</v>
      </c>
      <c r="AA19" s="2">
        <f t="shared" si="0"/>
        <v>5.8675425235477361</v>
      </c>
    </row>
    <row r="20" spans="1:27" x14ac:dyDescent="0.25">
      <c r="A20" s="2">
        <v>2032</v>
      </c>
      <c r="B20" s="2">
        <f>B9/'Output-Calculation-sheet'!B8*'Output-Calculation-sheet'!B26</f>
        <v>2.7633366618604582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2868.894380311744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1961.9442708017593</v>
      </c>
      <c r="N20" s="2">
        <f>N9/'Output-Calculation-sheet'!N8*'Output-Calculation-sheet'!N26</f>
        <v>1428.842035142143</v>
      </c>
      <c r="O20" s="2">
        <f>O9/'Output-Calculation-sheet'!O8*'Output-Calculation-sheet'!O26</f>
        <v>1.4465956049488127E-10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491.59346450723564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188.84452164057222</v>
      </c>
      <c r="Y20" s="2">
        <f>Y9/'Output-Calculation-sheet'!Y8*'Output-Calculation-sheet'!Y26</f>
        <v>0</v>
      </c>
      <c r="AA20" s="2">
        <f t="shared" si="0"/>
        <v>6.9428820090654595</v>
      </c>
    </row>
    <row r="21" spans="1:27" x14ac:dyDescent="0.25">
      <c r="A21" s="2">
        <v>2033</v>
      </c>
      <c r="B21" s="2">
        <f>B10/'Output-Calculation-sheet'!B9*'Output-Calculation-sheet'!B27</f>
        <v>4402.4607783344072</v>
      </c>
      <c r="C21" s="2">
        <f>C10/'Output-Calculation-sheet'!C9*'Output-Calculation-sheet'!C27</f>
        <v>6869.8920331697764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3082.2674943693369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2109.9750596692461</v>
      </c>
      <c r="N21" s="2">
        <f>N10/'Output-Calculation-sheet'!N9*'Output-Calculation-sheet'!N27</f>
        <v>1648.5833156778792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628.91829917112295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203.09600757496102</v>
      </c>
      <c r="Y21" s="2">
        <f>Y10/'Output-Calculation-sheet'!Y9*'Output-Calculation-sheet'!Y27</f>
        <v>0</v>
      </c>
      <c r="AA21" s="2">
        <f t="shared" si="0"/>
        <v>18.945192987966731</v>
      </c>
    </row>
    <row r="22" spans="1:27" x14ac:dyDescent="0.25">
      <c r="A22" s="2">
        <v>2034</v>
      </c>
      <c r="B22" s="2">
        <f>B11/'Output-Calculation-sheet'!B10*'Output-Calculation-sheet'!B28</f>
        <v>7432.1247897600979</v>
      </c>
      <c r="C22" s="2">
        <f>C11/'Output-Calculation-sheet'!C10*'Output-Calculation-sheet'!C28</f>
        <v>7200.5960212869813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3145.9579414617474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2153.7497578676657</v>
      </c>
      <c r="N22" s="2">
        <f>N11/'Output-Calculation-sheet'!N10*'Output-Calculation-sheet'!N28</f>
        <v>1727.0371323786337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704.51241556254968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208.66925006193233</v>
      </c>
      <c r="Y22" s="2">
        <f>Y11/'Output-Calculation-sheet'!Y10*'Output-Calculation-sheet'!Y28</f>
        <v>0</v>
      </c>
      <c r="AA22" s="2">
        <f t="shared" si="0"/>
        <v>22.572647308379608</v>
      </c>
    </row>
    <row r="23" spans="1:27" x14ac:dyDescent="0.25">
      <c r="A23" s="2">
        <v>2035</v>
      </c>
      <c r="B23" s="2">
        <f>B12/'Output-Calculation-sheet'!B11*'Output-Calculation-sheet'!B29</f>
        <v>8670.6475959997897</v>
      </c>
      <c r="C23" s="2">
        <f>C12/'Output-Calculation-sheet'!C11*'Output-Calculation-sheet'!C29</f>
        <v>7104.9318373491797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3031.2562585398564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2071.9954931968837</v>
      </c>
      <c r="N23" s="2">
        <f>N12/'Output-Calculation-sheet'!N11*'Output-Calculation-sheet'!N29</f>
        <v>1693.6693165715822</v>
      </c>
      <c r="O23" s="2">
        <f>O12/'Output-Calculation-sheet'!O11*'Output-Calculation-sheet'!O29</f>
        <v>1208.0013055444713</v>
      </c>
      <c r="P23" s="2">
        <f>P12/'Output-Calculation-sheet'!P11*'Output-Calculation-sheet'!P29</f>
        <v>0</v>
      </c>
      <c r="Q23" s="2">
        <f>Q12/'Output-Calculation-sheet'!Q11*'Output-Calculation-sheet'!Q29</f>
        <v>23.120842028194225</v>
      </c>
      <c r="R23" s="2">
        <f>R12/'Output-Calculation-sheet'!R11*'Output-Calculation-sheet'!R29</f>
        <v>0</v>
      </c>
      <c r="S23" s="2">
        <f>S12/'Output-Calculation-sheet'!S11*'Output-Calculation-sheet'!S29</f>
        <v>743.78932810695733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203.11001656538912</v>
      </c>
      <c r="Y23" s="2">
        <f>Y12/'Output-Calculation-sheet'!Y11*'Output-Calculation-sheet'!Y29</f>
        <v>0</v>
      </c>
      <c r="AA23" s="2">
        <f t="shared" si="0"/>
        <v>24.750521993902296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19770.357345159027</v>
      </c>
      <c r="C30" s="2">
        <f>C8/'Output-Calculation-sheet'!C7*'Output-Calculation-sheet'!C16</f>
        <v>0</v>
      </c>
      <c r="D30" s="2">
        <f>D8/'Output-Calculation-sheet'!D7*'Output-Calculation-sheet'!D16</f>
        <v>6171.5964363278972</v>
      </c>
      <c r="E30" s="2">
        <f>E8/'Output-Calculation-sheet'!E7*'Output-Calculation-sheet'!E16</f>
        <v>6383.4720518762606</v>
      </c>
      <c r="F30" s="2">
        <f>F8/'Output-Calculation-sheet'!F7*'Output-Calculation-sheet'!F16</f>
        <v>3576.2903030698831</v>
      </c>
      <c r="G30" s="2">
        <f>G8/'Output-Calculation-sheet'!G7*'Output-Calculation-sheet'!G16</f>
        <v>2156.8961983375639</v>
      </c>
      <c r="H30" s="2">
        <f>H8/'Output-Calculation-sheet'!H7*'Output-Calculation-sheet'!H16</f>
        <v>0</v>
      </c>
      <c r="I30" s="2">
        <f>I8/'Output-Calculation-sheet'!I7*'Output-Calculation-sheet'!I16</f>
        <v>2183.0108443933123</v>
      </c>
      <c r="J30" s="2">
        <f>J8/'Output-Calculation-sheet'!J7*'Output-Calculation-sheet'!J16</f>
        <v>1992.5408124266262</v>
      </c>
      <c r="K30" s="2">
        <f>K8/'Output-Calculation-sheet'!K7*'Output-Calculation-sheet'!K16</f>
        <v>2464.2499226203627</v>
      </c>
      <c r="L30" s="2">
        <f>L8/'Output-Calculation-sheet'!L7*'Output-Calculation-sheet'!L16</f>
        <v>2033.6519608154672</v>
      </c>
      <c r="M30" s="2">
        <f>M8/'Output-Calculation-sheet'!M7*'Output-Calculation-sheet'!M16</f>
        <v>0</v>
      </c>
      <c r="N30" s="2">
        <f>N8/'Output-Calculation-sheet'!N7*'Output-Calculation-sheet'!N16</f>
        <v>997.81890107835648</v>
      </c>
      <c r="O30" s="2">
        <f>O8/'Output-Calculation-sheet'!O7*'Output-Calculation-sheet'!O16</f>
        <v>0</v>
      </c>
      <c r="P30" s="2">
        <f>P8/'Output-Calculation-sheet'!P7*'Output-Calculation-sheet'!P16</f>
        <v>1620.9264736562386</v>
      </c>
      <c r="Q30" s="2">
        <f>Q8/'Output-Calculation-sheet'!Q7*'Output-Calculation-sheet'!Q16</f>
        <v>1777.8626729362679</v>
      </c>
      <c r="R30" s="2">
        <f>R8/'Output-Calculation-sheet'!R7*'Output-Calculation-sheet'!R16</f>
        <v>1557.6547023890666</v>
      </c>
      <c r="S30" s="2">
        <f>S8/'Output-Calculation-sheet'!S7*'Output-Calculation-sheet'!S16</f>
        <v>831.84170715648281</v>
      </c>
      <c r="T30" s="2">
        <f>T8/'Output-Calculation-sheet'!T7*'Output-Calculation-sheet'!T16</f>
        <v>568.25732686413187</v>
      </c>
      <c r="U30" s="2">
        <f>U8/'Output-Calculation-sheet'!U7*'Output-Calculation-sheet'!U16</f>
        <v>436.74530618938201</v>
      </c>
      <c r="V30" s="2">
        <f>V8/'Output-Calculation-sheet'!V7*'Output-Calculation-sheet'!V16</f>
        <v>418.22013621352068</v>
      </c>
      <c r="W30" s="2">
        <f>W8/'Output-Calculation-sheet'!W7*'Output-Calculation-sheet'!W16</f>
        <v>290.34897424412554</v>
      </c>
      <c r="X30" s="2">
        <f>X8/'Output-Calculation-sheet'!X7*'Output-Calculation-sheet'!X16</f>
        <v>0</v>
      </c>
      <c r="Y30" s="2">
        <f>Y8/'Output-Calculation-sheet'!Y7*'Output-Calculation-sheet'!Y16</f>
        <v>191.94923044014229</v>
      </c>
      <c r="AA30" s="2">
        <f t="shared" si="1"/>
        <v>55.423691306194122</v>
      </c>
    </row>
    <row r="31" spans="1:27" x14ac:dyDescent="0.25">
      <c r="A31" s="2">
        <v>2032</v>
      </c>
      <c r="B31" s="2">
        <f>B9/'Output-Calculation-sheet'!B8*'Output-Calculation-sheet'!B17</f>
        <v>22098.501975493153</v>
      </c>
      <c r="C31" s="2">
        <f>C9/'Output-Calculation-sheet'!C8*'Output-Calculation-sheet'!C17</f>
        <v>0</v>
      </c>
      <c r="D31" s="2">
        <f>D9/'Output-Calculation-sheet'!D8*'Output-Calculation-sheet'!D17</f>
        <v>6850.9647335037234</v>
      </c>
      <c r="E31" s="2">
        <f>E9/'Output-Calculation-sheet'!E8*'Output-Calculation-sheet'!E17</f>
        <v>7094.962816301927</v>
      </c>
      <c r="F31" s="2">
        <f>F9/'Output-Calculation-sheet'!F8*'Output-Calculation-sheet'!F17</f>
        <v>3963.6860688514812</v>
      </c>
      <c r="G31" s="2">
        <f>G9/'Output-Calculation-sheet'!G8*'Output-Calculation-sheet'!G17</f>
        <v>2389.4661270971378</v>
      </c>
      <c r="H31" s="2">
        <f>H9/'Output-Calculation-sheet'!H8*'Output-Calculation-sheet'!H17</f>
        <v>0</v>
      </c>
      <c r="I31" s="2">
        <f>I9/'Output-Calculation-sheet'!I8*'Output-Calculation-sheet'!I17</f>
        <v>2422.6162014841784</v>
      </c>
      <c r="J31" s="2">
        <f>J9/'Output-Calculation-sheet'!J8*'Output-Calculation-sheet'!J17</f>
        <v>2209.5895836235845</v>
      </c>
      <c r="K31" s="2">
        <f>K9/'Output-Calculation-sheet'!K8*'Output-Calculation-sheet'!K17</f>
        <v>2736.9775215218328</v>
      </c>
      <c r="L31" s="2">
        <f>L9/'Output-Calculation-sheet'!L8*'Output-Calculation-sheet'!L17</f>
        <v>2259.3337642077663</v>
      </c>
      <c r="M31" s="2">
        <f>M9/'Output-Calculation-sheet'!M8*'Output-Calculation-sheet'!M17</f>
        <v>0</v>
      </c>
      <c r="N31" s="2">
        <f>N9/'Output-Calculation-sheet'!N8*'Output-Calculation-sheet'!N17</f>
        <v>999.40930934498851</v>
      </c>
      <c r="O31" s="2">
        <f>O9/'Output-Calculation-sheet'!O8*'Output-Calculation-sheet'!O17</f>
        <v>0</v>
      </c>
      <c r="P31" s="2">
        <f>P9/'Output-Calculation-sheet'!P8*'Output-Calculation-sheet'!P17</f>
        <v>1817.5833404221041</v>
      </c>
      <c r="Q31" s="2">
        <f>Q9/'Output-Calculation-sheet'!Q8*'Output-Calculation-sheet'!Q17</f>
        <v>1991.8963904086067</v>
      </c>
      <c r="R31" s="2">
        <f>R9/'Output-Calculation-sheet'!R8*'Output-Calculation-sheet'!R17</f>
        <v>1729.4701524835032</v>
      </c>
      <c r="S31" s="2">
        <f>S9/'Output-Calculation-sheet'!S8*'Output-Calculation-sheet'!S17</f>
        <v>862.91684633126124</v>
      </c>
      <c r="T31" s="2">
        <f>T9/'Output-Calculation-sheet'!T8*'Output-Calculation-sheet'!T17</f>
        <v>630.23322851997557</v>
      </c>
      <c r="U31" s="2">
        <f>U9/'Output-Calculation-sheet'!U8*'Output-Calculation-sheet'!U17</f>
        <v>486.06730914266814</v>
      </c>
      <c r="V31" s="2">
        <f>V9/'Output-Calculation-sheet'!V8*'Output-Calculation-sheet'!V17</f>
        <v>465.79509035214323</v>
      </c>
      <c r="W31" s="2">
        <f>W9/'Output-Calculation-sheet'!W8*'Output-Calculation-sheet'!W17</f>
        <v>322.54612029553141</v>
      </c>
      <c r="X31" s="2">
        <f>X9/'Output-Calculation-sheet'!X8*'Output-Calculation-sheet'!X17</f>
        <v>0</v>
      </c>
      <c r="Y31" s="2">
        <f>Y9/'Output-Calculation-sheet'!Y8*'Output-Calculation-sheet'!Y17</f>
        <v>213.23427179799558</v>
      </c>
      <c r="AA31" s="2">
        <f t="shared" si="1"/>
        <v>61.54525085118356</v>
      </c>
    </row>
    <row r="32" spans="1:27" x14ac:dyDescent="0.25">
      <c r="A32" s="2">
        <v>2033</v>
      </c>
      <c r="B32" s="2">
        <f>B10/'Output-Calculation-sheet'!B9*'Output-Calculation-sheet'!B18</f>
        <v>21484.739145697084</v>
      </c>
      <c r="C32" s="2">
        <f>C10/'Output-Calculation-sheet'!C9*'Output-Calculation-sheet'!C18</f>
        <v>0</v>
      </c>
      <c r="D32" s="2">
        <f>D10/'Output-Calculation-sheet'!D9*'Output-Calculation-sheet'!D18</f>
        <v>7172.5166740584636</v>
      </c>
      <c r="E32" s="2">
        <f>E10/'Output-Calculation-sheet'!E9*'Output-Calculation-sheet'!E18</f>
        <v>7427.3526282622752</v>
      </c>
      <c r="F32" s="2">
        <f>F10/'Output-Calculation-sheet'!F9*'Output-Calculation-sheet'!F18</f>
        <v>4148.6454964293571</v>
      </c>
      <c r="G32" s="2">
        <f>G10/'Output-Calculation-sheet'!G9*'Output-Calculation-sheet'!G18</f>
        <v>2502.1154310228549</v>
      </c>
      <c r="H32" s="2">
        <f>H10/'Output-Calculation-sheet'!H9*'Output-Calculation-sheet'!H18</f>
        <v>0</v>
      </c>
      <c r="I32" s="2">
        <f>I10/'Output-Calculation-sheet'!I9*'Output-Calculation-sheet'!I18</f>
        <v>2536.5650184422971</v>
      </c>
      <c r="J32" s="2">
        <f>J10/'Output-Calculation-sheet'!J9*'Output-Calculation-sheet'!J18</f>
        <v>2313.4618157423361</v>
      </c>
      <c r="K32" s="2">
        <f>K10/'Output-Calculation-sheet'!K9*'Output-Calculation-sheet'!K18</f>
        <v>2872.1994123012937</v>
      </c>
      <c r="L32" s="2">
        <f>L10/'Output-Calculation-sheet'!L9*'Output-Calculation-sheet'!L18</f>
        <v>2367.0824933418626</v>
      </c>
      <c r="M32" s="2">
        <f>M10/'Output-Calculation-sheet'!M9*'Output-Calculation-sheet'!M18</f>
        <v>0</v>
      </c>
      <c r="N32" s="2">
        <f>N10/'Output-Calculation-sheet'!N9*'Output-Calculation-sheet'!N18</f>
        <v>936.92752469630238</v>
      </c>
      <c r="O32" s="2">
        <f>O10/'Output-Calculation-sheet'!O9*'Output-Calculation-sheet'!O18</f>
        <v>0</v>
      </c>
      <c r="P32" s="2">
        <f>P10/'Output-Calculation-sheet'!P9*'Output-Calculation-sheet'!P18</f>
        <v>1916.9826669730819</v>
      </c>
      <c r="Q32" s="2">
        <f>Q10/'Output-Calculation-sheet'!Q9*'Output-Calculation-sheet'!Q18</f>
        <v>2102.4203349017021</v>
      </c>
      <c r="R32" s="2">
        <f>R10/'Output-Calculation-sheet'!R9*'Output-Calculation-sheet'!R18</f>
        <v>1815.9741501615313</v>
      </c>
      <c r="S32" s="2">
        <f>S10/'Output-Calculation-sheet'!S9*'Output-Calculation-sheet'!S18</f>
        <v>845.27116764820892</v>
      </c>
      <c r="T32" s="2">
        <f>T10/'Output-Calculation-sheet'!T9*'Output-Calculation-sheet'!T18</f>
        <v>660.54846760501471</v>
      </c>
      <c r="U32" s="2">
        <f>U10/'Output-Calculation-sheet'!U9*'Output-Calculation-sheet'!U18</f>
        <v>509.43392917429179</v>
      </c>
      <c r="V32" s="2">
        <f>V10/'Output-Calculation-sheet'!V9*'Output-Calculation-sheet'!V18</f>
        <v>488.71198008157495</v>
      </c>
      <c r="W32" s="2">
        <f>W10/'Output-Calculation-sheet'!W9*'Output-Calculation-sheet'!W18</f>
        <v>337.22870402447364</v>
      </c>
      <c r="X32" s="2">
        <f>X10/'Output-Calculation-sheet'!X9*'Output-Calculation-sheet'!X18</f>
        <v>0</v>
      </c>
      <c r="Y32" s="2">
        <f>Y10/'Output-Calculation-sheet'!Y9*'Output-Calculation-sheet'!Y18</f>
        <v>223.59806564354116</v>
      </c>
      <c r="AA32" s="2">
        <f t="shared" si="1"/>
        <v>62.661775106207557</v>
      </c>
    </row>
    <row r="33" spans="1:27" x14ac:dyDescent="0.25">
      <c r="A33" s="2">
        <v>2034</v>
      </c>
      <c r="B33" s="2">
        <f>B11/'Output-Calculation-sheet'!B10*'Output-Calculation-sheet'!B19</f>
        <v>20110.239482924291</v>
      </c>
      <c r="C33" s="2">
        <f>C11/'Output-Calculation-sheet'!C10*'Output-Calculation-sheet'!C19</f>
        <v>0</v>
      </c>
      <c r="D33" s="2">
        <f>D11/'Output-Calculation-sheet'!D10*'Output-Calculation-sheet'!D19</f>
        <v>7110.5633967984722</v>
      </c>
      <c r="E33" s="2">
        <f>E11/'Output-Calculation-sheet'!E10*'Output-Calculation-sheet'!E19</f>
        <v>7380.5832754088078</v>
      </c>
      <c r="F33" s="2">
        <f>F11/'Output-Calculation-sheet'!F10*'Output-Calculation-sheet'!F19</f>
        <v>4114.9076574738947</v>
      </c>
      <c r="G33" s="2">
        <f>G11/'Output-Calculation-sheet'!G10*'Output-Calculation-sheet'!G19</f>
        <v>2477.8793858078147</v>
      </c>
      <c r="H33" s="2">
        <f>H11/'Output-Calculation-sheet'!H10*'Output-Calculation-sheet'!H19</f>
        <v>0</v>
      </c>
      <c r="I33" s="2">
        <f>I11/'Output-Calculation-sheet'!I10*'Output-Calculation-sheet'!I19</f>
        <v>2523.7386621320734</v>
      </c>
      <c r="J33" s="2">
        <f>J11/'Output-Calculation-sheet'!J10*'Output-Calculation-sheet'!J19</f>
        <v>2293.623269909468</v>
      </c>
      <c r="K33" s="2">
        <f>K11/'Output-Calculation-sheet'!K10*'Output-Calculation-sheet'!K19</f>
        <v>2856.877273745793</v>
      </c>
      <c r="L33" s="2">
        <f>L11/'Output-Calculation-sheet'!L10*'Output-Calculation-sheet'!L19</f>
        <v>2349.7488668182477</v>
      </c>
      <c r="M33" s="2">
        <f>M11/'Output-Calculation-sheet'!M10*'Output-Calculation-sheet'!M19</f>
        <v>0</v>
      </c>
      <c r="N33" s="2">
        <f>N11/'Output-Calculation-sheet'!N10*'Output-Calculation-sheet'!N19</f>
        <v>870.7762475641938</v>
      </c>
      <c r="O33" s="2">
        <f>O11/'Output-Calculation-sheet'!O10*'Output-Calculation-sheet'!O19</f>
        <v>0</v>
      </c>
      <c r="P33" s="2">
        <f>P11/'Output-Calculation-sheet'!P10*'Output-Calculation-sheet'!P19</f>
        <v>1915.2800526540104</v>
      </c>
      <c r="Q33" s="2">
        <f>Q11/'Output-Calculation-sheet'!Q10*'Output-Calculation-sheet'!Q19</f>
        <v>2104.1259491138521</v>
      </c>
      <c r="R33" s="2">
        <f>R11/'Output-Calculation-sheet'!R10*'Output-Calculation-sheet'!R19</f>
        <v>1805.6675476832909</v>
      </c>
      <c r="S33" s="2">
        <f>S11/'Output-Calculation-sheet'!S10*'Output-Calculation-sheet'!S19</f>
        <v>832.80490349603622</v>
      </c>
      <c r="T33" s="2">
        <f>T11/'Output-Calculation-sheet'!T10*'Output-Calculation-sheet'!T19</f>
        <v>656.19491918658787</v>
      </c>
      <c r="U33" s="2">
        <f>U11/'Output-Calculation-sheet'!U10*'Output-Calculation-sheet'!U19</f>
        <v>507.78293415703996</v>
      </c>
      <c r="V33" s="2">
        <f>V11/'Output-Calculation-sheet'!V10*'Output-Calculation-sheet'!V19</f>
        <v>486.79156811247697</v>
      </c>
      <c r="W33" s="2">
        <f>W11/'Output-Calculation-sheet'!W10*'Output-Calculation-sheet'!W19</f>
        <v>334.44801119896647</v>
      </c>
      <c r="X33" s="2">
        <f>X11/'Output-Calculation-sheet'!X10*'Output-Calculation-sheet'!X19</f>
        <v>0</v>
      </c>
      <c r="Y33" s="2">
        <f>Y11/'Output-Calculation-sheet'!Y10*'Output-Calculation-sheet'!Y19</f>
        <v>222.06036718452128</v>
      </c>
      <c r="AA33" s="2">
        <f t="shared" si="1"/>
        <v>60.954093771369841</v>
      </c>
    </row>
    <row r="34" spans="1:27" x14ac:dyDescent="0.25">
      <c r="A34" s="2">
        <v>2035</v>
      </c>
      <c r="B34" s="2">
        <f>B12/'Output-Calculation-sheet'!B11*'Output-Calculation-sheet'!B20</f>
        <v>18123.766498892222</v>
      </c>
      <c r="C34" s="2">
        <f>C12/'Output-Calculation-sheet'!C11*'Output-Calculation-sheet'!C20</f>
        <v>0</v>
      </c>
      <c r="D34" s="2">
        <f>D12/'Output-Calculation-sheet'!D11*'Output-Calculation-sheet'!D20</f>
        <v>6702.6967276847654</v>
      </c>
      <c r="E34" s="2">
        <f>E12/'Output-Calculation-sheet'!E11*'Output-Calculation-sheet'!E20</f>
        <v>6954.3381238701768</v>
      </c>
      <c r="F34" s="2">
        <f>F12/'Output-Calculation-sheet'!F11*'Output-Calculation-sheet'!F20</f>
        <v>3871.6340210970488</v>
      </c>
      <c r="G34" s="2">
        <f>G12/'Output-Calculation-sheet'!G11*'Output-Calculation-sheet'!G20</f>
        <v>2326.2519653205245</v>
      </c>
      <c r="H34" s="2">
        <f>H12/'Output-Calculation-sheet'!H11*'Output-Calculation-sheet'!H20</f>
        <v>0</v>
      </c>
      <c r="I34" s="2">
        <f>I12/'Output-Calculation-sheet'!I11*'Output-Calculation-sheet'!I20</f>
        <v>2375.9910725928371</v>
      </c>
      <c r="J34" s="2">
        <f>J12/'Output-Calculation-sheet'!J11*'Output-Calculation-sheet'!J20</f>
        <v>2151.8623508988417</v>
      </c>
      <c r="K34" s="2">
        <f>K12/'Output-Calculation-sheet'!K11*'Output-Calculation-sheet'!K20</f>
        <v>2691.8638060090102</v>
      </c>
      <c r="L34" s="2">
        <f>L12/'Output-Calculation-sheet'!L11*'Output-Calculation-sheet'!L20</f>
        <v>2210.1925502431213</v>
      </c>
      <c r="M34" s="2">
        <f>M12/'Output-Calculation-sheet'!M11*'Output-Calculation-sheet'!M20</f>
        <v>0</v>
      </c>
      <c r="N34" s="2">
        <f>N12/'Output-Calculation-sheet'!N11*'Output-Calculation-sheet'!N20</f>
        <v>777.56635711832541</v>
      </c>
      <c r="O34" s="2">
        <f>O12/'Output-Calculation-sheet'!O11*'Output-Calculation-sheet'!O20</f>
        <v>0</v>
      </c>
      <c r="P34" s="2">
        <f>P12/'Output-Calculation-sheet'!P11*'Output-Calculation-sheet'!P20</f>
        <v>1814.9039654831995</v>
      </c>
      <c r="Q34" s="2">
        <f>Q12/'Output-Calculation-sheet'!Q11*'Output-Calculation-sheet'!Q20</f>
        <v>1990.125654185008</v>
      </c>
      <c r="R34" s="2">
        <f>R12/'Output-Calculation-sheet'!R11*'Output-Calculation-sheet'!R20</f>
        <v>1706.5366789894165</v>
      </c>
      <c r="S34" s="2">
        <f>S12/'Output-Calculation-sheet'!S11*'Output-Calculation-sheet'!S20</f>
        <v>733.89313796259864</v>
      </c>
      <c r="T34" s="2">
        <f>T12/'Output-Calculation-sheet'!T11*'Output-Calculation-sheet'!T20</f>
        <v>617.70085614920015</v>
      </c>
      <c r="U34" s="2">
        <f>U12/'Output-Calculation-sheet'!U11*'Output-Calculation-sheet'!U20</f>
        <v>479.139793485376</v>
      </c>
      <c r="V34" s="2">
        <f>V12/'Output-Calculation-sheet'!V11*'Output-Calculation-sheet'!V20</f>
        <v>460.1485208882051</v>
      </c>
      <c r="W34" s="2">
        <f>W12/'Output-Calculation-sheet'!W11*'Output-Calculation-sheet'!W20</f>
        <v>314.44091088167255</v>
      </c>
      <c r="X34" s="2">
        <f>X12/'Output-Calculation-sheet'!X11*'Output-Calculation-sheet'!X20</f>
        <v>0</v>
      </c>
      <c r="Y34" s="2">
        <f>Y12/'Output-Calculation-sheet'!Y11*'Output-Calculation-sheet'!Y20</f>
        <v>209.32206782218134</v>
      </c>
      <c r="AA34" s="2">
        <f t="shared" si="1"/>
        <v>56.512375059573721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6.1653973735260186</v>
      </c>
      <c r="C63" s="2">
        <f>C8*'Output-Calculation-sheet'!C52/10^9</f>
        <v>2.9666538116260961</v>
      </c>
      <c r="D63" s="2">
        <f>D8*'Output-Calculation-sheet'!D52/10^9</f>
        <v>1.3492937341572051</v>
      </c>
      <c r="E63" s="2">
        <f>E8*'Output-Calculation-sheet'!E52/10^9</f>
        <v>1.5013177938348112</v>
      </c>
      <c r="F63" s="2">
        <f>F8*'Output-Calculation-sheet'!F52/10^9</f>
        <v>0.69344497666924398</v>
      </c>
      <c r="G63" s="2">
        <f>G8*'Output-Calculation-sheet'!G52/10^9</f>
        <v>0.47931386379676422</v>
      </c>
      <c r="H63" s="2">
        <f>H8*'Output-Calculation-sheet'!H52/10^9</f>
        <v>0.90382095401008666</v>
      </c>
      <c r="I63" s="2">
        <f>I8*'Output-Calculation-sheet'!I52/10^9</f>
        <v>0.47297817353929605</v>
      </c>
      <c r="J63" s="2">
        <f>J8*'Output-Calculation-sheet'!J52/10^9</f>
        <v>0.42694997378557392</v>
      </c>
      <c r="K63" s="2">
        <f>K8*'Output-Calculation-sheet'!K52/10^9</f>
        <v>0.55105223925575075</v>
      </c>
      <c r="L63" s="2">
        <f>L8*'Output-Calculation-sheet'!L52/10^9</f>
        <v>0.45521913710804701</v>
      </c>
      <c r="M63" s="2">
        <f>M8*'Output-Calculation-sheet'!M52/10^9</f>
        <v>0.6244336321874896</v>
      </c>
      <c r="N63" s="2">
        <f>N8*'Output-Calculation-sheet'!N52/10^9</f>
        <v>0.65265741229951402</v>
      </c>
      <c r="O63" s="2">
        <f>O8*'Output-Calculation-sheet'!O52/10^9</f>
        <v>0.5764275961439419</v>
      </c>
      <c r="P63" s="2">
        <f>P8*'Output-Calculation-sheet'!P52/10^9</f>
        <v>0.483161796290212</v>
      </c>
      <c r="Q63" s="2">
        <f>Q8*'Output-Calculation-sheet'!Q52/10^9</f>
        <v>0.4982652741454906</v>
      </c>
      <c r="R63" s="2">
        <f>R8*'Output-Calculation-sheet'!R52/10^9</f>
        <v>0.39848356354969805</v>
      </c>
      <c r="S63" s="2">
        <f>S8*'Output-Calculation-sheet'!S52/10^9</f>
        <v>0.36733205410943026</v>
      </c>
      <c r="T63" s="2">
        <f>T8*'Output-Calculation-sheet'!T52/10^9</f>
        <v>0.12456726636836978</v>
      </c>
      <c r="U63" s="2">
        <f>U8*'Output-Calculation-sheet'!U52/10^9</f>
        <v>0.12522093300607454</v>
      </c>
      <c r="V63" s="2">
        <f>V8*'Output-Calculation-sheet'!V52/10^9</f>
        <v>9.3259541732532175E-2</v>
      </c>
      <c r="W63" s="2">
        <f>W8*'Output-Calculation-sheet'!W52/10^9</f>
        <v>5.8308107570536068E-2</v>
      </c>
      <c r="X63" s="2">
        <f>X8*'Output-Calculation-sheet'!X52/10^9</f>
        <v>7.4256346129116121E-2</v>
      </c>
      <c r="Y63" s="2">
        <f>Y8*'Output-Calculation-sheet'!Y52/10^9</f>
        <v>4.8798269362240576E-2</v>
      </c>
      <c r="AA63" s="2">
        <f t="shared" si="4"/>
        <v>20.090613824203533</v>
      </c>
    </row>
    <row r="64" spans="1:27" x14ac:dyDescent="0.25">
      <c r="A64" s="2">
        <v>2032</v>
      </c>
      <c r="B64" s="2">
        <f>B9*'Output-Calculation-sheet'!B53/10^9</f>
        <v>6.7831082495113835</v>
      </c>
      <c r="C64" s="2">
        <f>C9*'Output-Calculation-sheet'!C53/10^9</f>
        <v>3.2755559116421082</v>
      </c>
      <c r="D64" s="2">
        <f>D9*'Output-Calculation-sheet'!D53/10^9</f>
        <v>1.4822358639317001</v>
      </c>
      <c r="E64" s="2">
        <f>E9*'Output-Calculation-sheet'!E53/10^9</f>
        <v>1.6498294557751736</v>
      </c>
      <c r="F64" s="2">
        <f>F9*'Output-Calculation-sheet'!F53/10^9</f>
        <v>0.76127876355458746</v>
      </c>
      <c r="G64" s="2">
        <f>G9*'Output-Calculation-sheet'!G53/10^9</f>
        <v>0.52658718259410953</v>
      </c>
      <c r="H64" s="2">
        <f>H9*'Output-Calculation-sheet'!H53/10^9</f>
        <v>0.98870188348329946</v>
      </c>
      <c r="I64" s="2">
        <f>I9*'Output-Calculation-sheet'!I53/10^9</f>
        <v>0.51955678968418517</v>
      </c>
      <c r="J64" s="2">
        <f>J9*'Output-Calculation-sheet'!J53/10^9</f>
        <v>0.46896864036672514</v>
      </c>
      <c r="K64" s="2">
        <f>K9*'Output-Calculation-sheet'!K53/10^9</f>
        <v>0.60541734832008587</v>
      </c>
      <c r="L64" s="2">
        <f>L9*'Output-Calculation-sheet'!L53/10^9</f>
        <v>0.50013087572348025</v>
      </c>
      <c r="M64" s="2">
        <f>M9*'Output-Calculation-sheet'!M53/10^9</f>
        <v>0.68310960075577398</v>
      </c>
      <c r="N64" s="2">
        <f>N9*'Output-Calculation-sheet'!N53/10^9</f>
        <v>0.71490357557083306</v>
      </c>
      <c r="O64" s="2">
        <f>O9*'Output-Calculation-sheet'!O53/10^9</f>
        <v>0.63644797811714116</v>
      </c>
      <c r="P64" s="2">
        <f>P9*'Output-Calculation-sheet'!P53/10^9</f>
        <v>0.53147633340727718</v>
      </c>
      <c r="Q64" s="2">
        <f>Q9*'Output-Calculation-sheet'!Q53/10^9</f>
        <v>0.54796121854338165</v>
      </c>
      <c r="R64" s="2">
        <f>R9*'Output-Calculation-sheet'!R53/10^9</f>
        <v>0.43807047607978949</v>
      </c>
      <c r="S64" s="2">
        <f>S9*'Output-Calculation-sheet'!S53/10^9</f>
        <v>0.40314844478046663</v>
      </c>
      <c r="T64" s="2">
        <f>T9*'Output-Calculation-sheet'!T53/10^9</f>
        <v>0.13684323647824626</v>
      </c>
      <c r="U64" s="2">
        <f>U9*'Output-Calculation-sheet'!U53/10^9</f>
        <v>0.13772503458559585</v>
      </c>
      <c r="V64" s="2">
        <f>V9*'Output-Calculation-sheet'!V53/10^9</f>
        <v>0.10245799591781868</v>
      </c>
      <c r="W64" s="2">
        <f>W9*'Output-Calculation-sheet'!W53/10^9</f>
        <v>6.4024386475183034E-2</v>
      </c>
      <c r="X64" s="2">
        <f>X9*'Output-Calculation-sheet'!X53/10^9</f>
        <v>8.1312338306125054E-2</v>
      </c>
      <c r="Y64" s="2">
        <f>Y9*'Output-Calculation-sheet'!Y53/10^9</f>
        <v>5.3644462885421698E-2</v>
      </c>
      <c r="AA64" s="2">
        <f t="shared" si="4"/>
        <v>22.092496046489892</v>
      </c>
    </row>
    <row r="65" spans="1:27" x14ac:dyDescent="0.25">
      <c r="A65" s="2">
        <v>2033</v>
      </c>
      <c r="B65" s="2">
        <f>B10*'Output-Calculation-sheet'!B54/10^9</f>
        <v>7.0342352343525976</v>
      </c>
      <c r="C65" s="2">
        <f>C10*'Output-Calculation-sheet'!C54/10^9</f>
        <v>3.4052019459021738</v>
      </c>
      <c r="D65" s="2">
        <f>D10*'Output-Calculation-sheet'!D54/10^9</f>
        <v>1.5363740897723628</v>
      </c>
      <c r="E65" s="2">
        <f>E10*'Output-Calculation-sheet'!E54/10^9</f>
        <v>1.7107037927150035</v>
      </c>
      <c r="F65" s="2">
        <f>F10*'Output-Calculation-sheet'!F54/10^9</f>
        <v>0.78857182114920166</v>
      </c>
      <c r="G65" s="2">
        <f>G10*'Output-Calculation-sheet'!G54/10^9</f>
        <v>0.54587282685934357</v>
      </c>
      <c r="H65" s="2">
        <f>H10*'Output-Calculation-sheet'!H54/10^9</f>
        <v>1.020169828735731</v>
      </c>
      <c r="I65" s="2">
        <f>I10*'Output-Calculation-sheet'!I54/10^9</f>
        <v>0.53851051631493807</v>
      </c>
      <c r="J65" s="2">
        <f>J10*'Output-Calculation-sheet'!J54/10^9</f>
        <v>0.48604869673878176</v>
      </c>
      <c r="K65" s="2">
        <f>K10*'Output-Calculation-sheet'!K54/10^9</f>
        <v>0.62759791305938517</v>
      </c>
      <c r="L65" s="2">
        <f>L10*'Output-Calculation-sheet'!L54/10^9</f>
        <v>0.51845803208790375</v>
      </c>
      <c r="M65" s="2">
        <f>M10*'Output-Calculation-sheet'!M54/10^9</f>
        <v>0.7048817720515288</v>
      </c>
      <c r="N65" s="2">
        <f>N10*'Output-Calculation-sheet'!N54/10^9</f>
        <v>0.7384704270693383</v>
      </c>
      <c r="O65" s="2">
        <f>O10*'Output-Calculation-sheet'!O54/10^9</f>
        <v>0.66308846903478313</v>
      </c>
      <c r="P65" s="2">
        <f>P10*'Output-Calculation-sheet'!P54/10^9</f>
        <v>0.55161912856140027</v>
      </c>
      <c r="Q65" s="2">
        <f>Q10*'Output-Calculation-sheet'!Q54/10^9</f>
        <v>0.56859042968044315</v>
      </c>
      <c r="R65" s="2">
        <f>R10*'Output-Calculation-sheet'!R54/10^9</f>
        <v>0.4544080913240795</v>
      </c>
      <c r="S65" s="2">
        <f>S10*'Output-Calculation-sheet'!S54/10^9</f>
        <v>0.41711345580112974</v>
      </c>
      <c r="T65" s="2">
        <f>T10*'Output-Calculation-sheet'!T54/10^9</f>
        <v>0.14184331523293414</v>
      </c>
      <c r="U65" s="2">
        <f>U10*'Output-Calculation-sheet'!U54/10^9</f>
        <v>0.14292862918733593</v>
      </c>
      <c r="V65" s="2">
        <f>V10*'Output-Calculation-sheet'!V54/10^9</f>
        <v>0.10620872171139019</v>
      </c>
      <c r="W65" s="2">
        <f>W10*'Output-Calculation-sheet'!W54/10^9</f>
        <v>6.6332460840162491E-2</v>
      </c>
      <c r="X65" s="2">
        <f>X10*'Output-Calculation-sheet'!X54/10^9</f>
        <v>8.3981871863076582E-2</v>
      </c>
      <c r="Y65" s="2">
        <f>Y10*'Output-Calculation-sheet'!Y54/10^9</f>
        <v>5.5643736505067085E-2</v>
      </c>
      <c r="AA65" s="2">
        <f t="shared" si="4"/>
        <v>22.906855206550087</v>
      </c>
    </row>
    <row r="66" spans="1:27" x14ac:dyDescent="0.25">
      <c r="A66" s="2">
        <v>2034</v>
      </c>
      <c r="B66" s="2">
        <f>B11*'Output-Calculation-sheet'!B55/10^9</f>
        <v>6.9049431575837232</v>
      </c>
      <c r="C66" s="2">
        <f>C11*'Output-Calculation-sheet'!C55/10^9</f>
        <v>3.3360952064698077</v>
      </c>
      <c r="D66" s="2">
        <f>D11*'Output-Calculation-sheet'!D55/10^9</f>
        <v>1.5097919444611034</v>
      </c>
      <c r="E66" s="2">
        <f>E11*'Output-Calculation-sheet'!E55/10^9</f>
        <v>1.6817073289939306</v>
      </c>
      <c r="F66" s="2">
        <f>F11*'Output-Calculation-sheet'!F55/10^9</f>
        <v>0.77441580096656504</v>
      </c>
      <c r="G66" s="2">
        <f>G11*'Output-Calculation-sheet'!G55/10^9</f>
        <v>0.53647961861011173</v>
      </c>
      <c r="H66" s="2">
        <f>H11*'Output-Calculation-sheet'!H55/10^9</f>
        <v>0.99761737215655755</v>
      </c>
      <c r="I66" s="2">
        <f>I11*'Output-Calculation-sheet'!I55/10^9</f>
        <v>0.52916467633441366</v>
      </c>
      <c r="J66" s="2">
        <f>J11*'Output-Calculation-sheet'!J55/10^9</f>
        <v>0.4775912075048982</v>
      </c>
      <c r="K66" s="2">
        <f>K11*'Output-Calculation-sheet'!K55/10^9</f>
        <v>0.6167966561469258</v>
      </c>
      <c r="L66" s="2">
        <f>L11*'Output-Calculation-sheet'!L55/10^9</f>
        <v>0.50954303873312934</v>
      </c>
      <c r="M66" s="2">
        <f>M11*'Output-Calculation-sheet'!M55/10^9</f>
        <v>0.68932939692776563</v>
      </c>
      <c r="N66" s="2">
        <f>N11*'Output-Calculation-sheet'!N55/10^9</f>
        <v>0.72281970678931806</v>
      </c>
      <c r="O66" s="2">
        <f>O11*'Output-Calculation-sheet'!O55/10^9</f>
        <v>0.65499972090176795</v>
      </c>
      <c r="P66" s="2">
        <f>P11*'Output-Calculation-sheet'!P55/10^9</f>
        <v>0.5427881197134401</v>
      </c>
      <c r="Q66" s="2">
        <f>Q11*'Output-Calculation-sheet'!Q55/10^9</f>
        <v>0.55934553917235186</v>
      </c>
      <c r="R66" s="2">
        <f>R11*'Output-Calculation-sheet'!R55/10^9</f>
        <v>0.44687617570449617</v>
      </c>
      <c r="S66" s="2">
        <f>S11*'Output-Calculation-sheet'!S55/10^9</f>
        <v>0.40883668427301051</v>
      </c>
      <c r="T66" s="2">
        <f>T11*'Output-Calculation-sheet'!T55/10^9</f>
        <v>0.13938996036280818</v>
      </c>
      <c r="U66" s="2">
        <f>U11*'Output-Calculation-sheet'!U55/10^9</f>
        <v>0.14062662060324049</v>
      </c>
      <c r="V66" s="2">
        <f>V11*'Output-Calculation-sheet'!V55/10^9</f>
        <v>0.10437776421582937</v>
      </c>
      <c r="W66" s="2">
        <f>W11*'Output-Calculation-sheet'!W55/10^9</f>
        <v>6.5154677331421551E-2</v>
      </c>
      <c r="X66" s="2">
        <f>X11*'Output-Calculation-sheet'!X55/10^9</f>
        <v>8.220698119075534E-2</v>
      </c>
      <c r="Y66" s="2">
        <f>Y11*'Output-Calculation-sheet'!Y55/10^9</f>
        <v>5.472033474829413E-2</v>
      </c>
      <c r="AA66" s="2">
        <f t="shared" si="4"/>
        <v>22.485617689895651</v>
      </c>
    </row>
    <row r="67" spans="1:27" x14ac:dyDescent="0.25">
      <c r="A67" s="2">
        <v>2035</v>
      </c>
      <c r="B67" s="2">
        <f>B12*'Output-Calculation-sheet'!B56/10^9</f>
        <v>6.4185479557990224</v>
      </c>
      <c r="C67" s="2">
        <f>C12*'Output-Calculation-sheet'!C56/10^9</f>
        <v>3.0968042868026919</v>
      </c>
      <c r="D67" s="2">
        <f>D12*'Output-Calculation-sheet'!D56/10^9</f>
        <v>1.406448709016157</v>
      </c>
      <c r="E67" s="2">
        <f>E12*'Output-Calculation-sheet'!E56/10^9</f>
        <v>1.567155534526484</v>
      </c>
      <c r="F67" s="2">
        <f>F12*'Output-Calculation-sheet'!F56/10^9</f>
        <v>0.72092435242404629</v>
      </c>
      <c r="G67" s="2">
        <f>G12*'Output-Calculation-sheet'!G56/10^9</f>
        <v>0.49981429496264584</v>
      </c>
      <c r="H67" s="2">
        <f>H12*'Output-Calculation-sheet'!H56/10^9</f>
        <v>0.92445434033049778</v>
      </c>
      <c r="I67" s="2">
        <f>I12*'Output-Calculation-sheet'!I56/10^9</f>
        <v>0.49291438235079371</v>
      </c>
      <c r="J67" s="2">
        <f>J12*'Output-Calculation-sheet'!J56/10^9</f>
        <v>0.44486016112122828</v>
      </c>
      <c r="K67" s="2">
        <f>K12*'Output-Calculation-sheet'!K56/10^9</f>
        <v>0.57462885144020637</v>
      </c>
      <c r="L67" s="2">
        <f>L12*'Output-Calculation-sheet'!L56/10^9</f>
        <v>0.47471971872924623</v>
      </c>
      <c r="M67" s="2">
        <f>M12*'Output-Calculation-sheet'!M56/10^9</f>
        <v>0.63880330754120529</v>
      </c>
      <c r="N67" s="2">
        <f>N12*'Output-Calculation-sheet'!N56/10^9</f>
        <v>0.67043134606538712</v>
      </c>
      <c r="O67" s="2">
        <f>O12*'Output-Calculation-sheet'!O56/10^9</f>
        <v>0.60980944483879151</v>
      </c>
      <c r="P67" s="2">
        <f>P12*'Output-Calculation-sheet'!P56/10^9</f>
        <v>0.5062950159982027</v>
      </c>
      <c r="Q67" s="2">
        <f>Q12*'Output-Calculation-sheet'!Q56/10^9</f>
        <v>0.52159028757763182</v>
      </c>
      <c r="R67" s="2">
        <f>R12*'Output-Calculation-sheet'!R56/10^9</f>
        <v>0.41659454840768706</v>
      </c>
      <c r="S67" s="2">
        <f>S12*'Output-Calculation-sheet'!S56/10^9</f>
        <v>0.37963591495903515</v>
      </c>
      <c r="T67" s="2">
        <f>T12*'Output-Calculation-sheet'!T56/10^9</f>
        <v>0.12984973184030743</v>
      </c>
      <c r="U67" s="2">
        <f>U12*'Output-Calculation-sheet'!U56/10^9</f>
        <v>0.13116083270863518</v>
      </c>
      <c r="V67" s="2">
        <f>V12*'Output-Calculation-sheet'!V56/10^9</f>
        <v>9.7237277229033775E-2</v>
      </c>
      <c r="W67" s="2">
        <f>W12*'Output-Calculation-sheet'!W56/10^9</f>
        <v>6.0666720087552486E-2</v>
      </c>
      <c r="X67" s="2">
        <f>X12*'Output-Calculation-sheet'!X56/10^9</f>
        <v>7.6250271739099373E-2</v>
      </c>
      <c r="Y67" s="2">
        <f>Y12*'Output-Calculation-sheet'!Y56/10^9</f>
        <v>5.1011673986483382E-2</v>
      </c>
      <c r="AA67" s="2">
        <f t="shared" si="4"/>
        <v>20.910608960482072</v>
      </c>
    </row>
    <row r="68" spans="1:27" x14ac:dyDescent="0.25">
      <c r="B68" s="2">
        <f>SUM(B60:B67)</f>
        <v>45.706117892713017</v>
      </c>
      <c r="C68" s="2">
        <f t="shared" ref="C68:Y68" si="5">SUM(C60:C67)</f>
        <v>21.991635141714156</v>
      </c>
      <c r="D68" s="2">
        <f t="shared" si="5"/>
        <v>10.008986519188309</v>
      </c>
      <c r="E68" s="2">
        <f t="shared" si="5"/>
        <v>11.139570595287353</v>
      </c>
      <c r="F68" s="2">
        <f t="shared" si="5"/>
        <v>5.1413823203917657</v>
      </c>
      <c r="G68" s="2">
        <f t="shared" si="5"/>
        <v>3.5558469382481688</v>
      </c>
      <c r="H68" s="2">
        <f t="shared" si="5"/>
        <v>6.6635012750105291</v>
      </c>
      <c r="I68" s="2">
        <f t="shared" si="5"/>
        <v>3.5083623760762799</v>
      </c>
      <c r="J68" s="2">
        <f t="shared" si="5"/>
        <v>3.1668654079631762</v>
      </c>
      <c r="K68" s="2">
        <f t="shared" si="5"/>
        <v>4.0879023104109491</v>
      </c>
      <c r="L68" s="2">
        <f t="shared" si="5"/>
        <v>3.3770387605083854</v>
      </c>
      <c r="M68" s="2">
        <f t="shared" si="5"/>
        <v>4.6034982052277167</v>
      </c>
      <c r="N68" s="2">
        <f t="shared" si="5"/>
        <v>4.8175143095360236</v>
      </c>
      <c r="O68" s="2">
        <f t="shared" si="5"/>
        <v>4.289348508337425</v>
      </c>
      <c r="P68" s="2">
        <f t="shared" si="5"/>
        <v>3.5875255038180427</v>
      </c>
      <c r="Q68" s="2">
        <f t="shared" si="5"/>
        <v>3.6988838186721322</v>
      </c>
      <c r="R68" s="2">
        <f t="shared" si="5"/>
        <v>2.9575485980165257</v>
      </c>
      <c r="S68" s="2">
        <f t="shared" si="5"/>
        <v>2.7151795644325625</v>
      </c>
      <c r="T68" s="2">
        <f t="shared" si="5"/>
        <v>0.9240306055717219</v>
      </c>
      <c r="U68" s="2">
        <f t="shared" si="5"/>
        <v>0.9297287027733937</v>
      </c>
      <c r="V68" s="2">
        <f t="shared" si="5"/>
        <v>0.69181269639051568</v>
      </c>
      <c r="W68" s="2">
        <f t="shared" si="5"/>
        <v>0.4323742722034975</v>
      </c>
      <c r="X68" s="2">
        <f t="shared" si="5"/>
        <v>0.54779438281510617</v>
      </c>
      <c r="Y68" s="2">
        <f t="shared" si="5"/>
        <v>0.36217444107370572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12473139828.489748</v>
      </c>
      <c r="C96" s="2">
        <f>C8/'Output-Calculation-sheet'!C7*'Output-Calculation-sheet'!C79</f>
        <v>0</v>
      </c>
      <c r="D96" s="2">
        <f>D8/'Output-Calculation-sheet'!D7*'Output-Calculation-sheet'!D79</f>
        <v>7592271622.5255423</v>
      </c>
      <c r="E96" s="2">
        <f>E8/'Output-Calculation-sheet'!E7*'Output-Calculation-sheet'!E79</f>
        <v>11892216599.397593</v>
      </c>
      <c r="F96" s="2">
        <f>F8/'Output-Calculation-sheet'!F7*'Output-Calculation-sheet'!F79</f>
        <v>5692529967.9349632</v>
      </c>
      <c r="G96" s="2">
        <f>G8/'Output-Calculation-sheet'!G7*'Output-Calculation-sheet'!G79</f>
        <v>4339715896.6499128</v>
      </c>
      <c r="H96" s="2">
        <f>H8/'Output-Calculation-sheet'!H7*'Output-Calculation-sheet'!H79</f>
        <v>1172872157.0770133</v>
      </c>
      <c r="I96" s="2">
        <f>I8/'Output-Calculation-sheet'!I7*'Output-Calculation-sheet'!I79</f>
        <v>2976103671.8253493</v>
      </c>
      <c r="J96" s="2">
        <f>J8/'Output-Calculation-sheet'!J7*'Output-Calculation-sheet'!J79</f>
        <v>2118458157.5196385</v>
      </c>
      <c r="K96" s="2">
        <f>K8/'Output-Calculation-sheet'!K7*'Output-Calculation-sheet'!K79</f>
        <v>2640290118.7104197</v>
      </c>
      <c r="L96" s="2">
        <f>L8/'Output-Calculation-sheet'!L7*'Output-Calculation-sheet'!L79</f>
        <v>1837273576.7411394</v>
      </c>
      <c r="M96" s="2">
        <f>M8/'Output-Calculation-sheet'!M7*'Output-Calculation-sheet'!M79</f>
        <v>869480537.01605499</v>
      </c>
      <c r="N96" s="2">
        <f>N8/'Output-Calculation-sheet'!N7*'Output-Calculation-sheet'!N79</f>
        <v>969039283.32319021</v>
      </c>
      <c r="O96" s="2">
        <f>O8/'Output-Calculation-sheet'!O7*'Output-Calculation-sheet'!O79</f>
        <v>0</v>
      </c>
      <c r="P96" s="2">
        <f>P8/'Output-Calculation-sheet'!P7*'Output-Calculation-sheet'!P79</f>
        <v>2241165853.6586514</v>
      </c>
      <c r="Q96" s="2">
        <f>Q8/'Output-Calculation-sheet'!Q7*'Output-Calculation-sheet'!Q79</f>
        <v>1040461873.5824645</v>
      </c>
      <c r="R96" s="2">
        <f>R8/'Output-Calculation-sheet'!R7*'Output-Calculation-sheet'!R79</f>
        <v>1605296988.4858408</v>
      </c>
      <c r="S96" s="2">
        <f>S8/'Output-Calculation-sheet'!S7*'Output-Calculation-sheet'!S79</f>
        <v>587997336.2281673</v>
      </c>
      <c r="T96" s="2">
        <f>T8/'Output-Calculation-sheet'!T7*'Output-Calculation-sheet'!T79</f>
        <v>841425725.89773631</v>
      </c>
      <c r="U96" s="2">
        <f>U8/'Output-Calculation-sheet'!U7*'Output-Calculation-sheet'!U79</f>
        <v>427221840.16698778</v>
      </c>
      <c r="V96" s="2">
        <f>V8/'Output-Calculation-sheet'!V7*'Output-Calculation-sheet'!V79</f>
        <v>258984742.89713529</v>
      </c>
      <c r="W96" s="2">
        <f>W8/'Output-Calculation-sheet'!W7*'Output-Calculation-sheet'!W79</f>
        <v>901908384.65091765</v>
      </c>
      <c r="X96" s="2">
        <f>X8/'Output-Calculation-sheet'!X7*'Output-Calculation-sheet'!X79</f>
        <v>84087207.523680031</v>
      </c>
      <c r="Y96" s="2">
        <f>Y8/'Output-Calculation-sheet'!Y7*'Output-Calculation-sheet'!Y79</f>
        <v>383646840.83639199</v>
      </c>
      <c r="AA96" s="2">
        <f t="shared" si="8"/>
        <v>62.945588211138521</v>
      </c>
    </row>
    <row r="97" spans="1:27" x14ac:dyDescent="0.25">
      <c r="A97" s="2">
        <v>2032</v>
      </c>
      <c r="B97" s="2">
        <f>B9/'Output-Calculation-sheet'!B8*'Output-Calculation-sheet'!B80</f>
        <v>13895450740.489698</v>
      </c>
      <c r="C97" s="2">
        <f>C9/'Output-Calculation-sheet'!C8*'Output-Calculation-sheet'!C80</f>
        <v>0</v>
      </c>
      <c r="D97" s="2">
        <f>D9/'Output-Calculation-sheet'!D8*'Output-Calculation-sheet'!D80</f>
        <v>8066722157.2087841</v>
      </c>
      <c r="E97" s="2">
        <f>E9/'Output-Calculation-sheet'!E8*'Output-Calculation-sheet'!E80</f>
        <v>13014263321.367613</v>
      </c>
      <c r="F97" s="2">
        <f>F9/'Output-Calculation-sheet'!F8*'Output-Calculation-sheet'!F80</f>
        <v>6208008525.0328665</v>
      </c>
      <c r="G97" s="2">
        <f>G9/'Output-Calculation-sheet'!G8*'Output-Calculation-sheet'!G80</f>
        <v>4596888111.2377052</v>
      </c>
      <c r="H97" s="2">
        <f>H9/'Output-Calculation-sheet'!H8*'Output-Calculation-sheet'!H80</f>
        <v>1312786341.7098532</v>
      </c>
      <c r="I97" s="2">
        <f>I9/'Output-Calculation-sheet'!I8*'Output-Calculation-sheet'!I80</f>
        <v>3277925360.2059417</v>
      </c>
      <c r="J97" s="2">
        <f>J9/'Output-Calculation-sheet'!J8*'Output-Calculation-sheet'!J80</f>
        <v>2266980682.0235577</v>
      </c>
      <c r="K97" s="2">
        <f>K9/'Output-Calculation-sheet'!K8*'Output-Calculation-sheet'!K80</f>
        <v>2851670116.5342612</v>
      </c>
      <c r="L97" s="2">
        <f>L9/'Output-Calculation-sheet'!L8*'Output-Calculation-sheet'!L80</f>
        <v>2047458938.8450902</v>
      </c>
      <c r="M97" s="2">
        <f>M9/'Output-Calculation-sheet'!M8*'Output-Calculation-sheet'!M80</f>
        <v>974925591.82501042</v>
      </c>
      <c r="N97" s="2">
        <f>N9/'Output-Calculation-sheet'!N8*'Output-Calculation-sheet'!N80</f>
        <v>1037704192.0448918</v>
      </c>
      <c r="O97" s="2">
        <f>O9/'Output-Calculation-sheet'!O8*'Output-Calculation-sheet'!O80</f>
        <v>0</v>
      </c>
      <c r="P97" s="2">
        <f>P9/'Output-Calculation-sheet'!P8*'Output-Calculation-sheet'!P80</f>
        <v>2428412706.9101968</v>
      </c>
      <c r="Q97" s="2">
        <f>Q9/'Output-Calculation-sheet'!Q8*'Output-Calculation-sheet'!Q80</f>
        <v>1132244049.4706566</v>
      </c>
      <c r="R97" s="2">
        <f>R9/'Output-Calculation-sheet'!R8*'Output-Calculation-sheet'!R80</f>
        <v>1754891559.9838486</v>
      </c>
      <c r="S97" s="2">
        <f>S9/'Output-Calculation-sheet'!S8*'Output-Calculation-sheet'!S80</f>
        <v>661226923.62004232</v>
      </c>
      <c r="T97" s="2">
        <f>T9/'Output-Calculation-sheet'!T8*'Output-Calculation-sheet'!T80</f>
        <v>902419984.83554542</v>
      </c>
      <c r="U97" s="2">
        <f>U9/'Output-Calculation-sheet'!U8*'Output-Calculation-sheet'!U80</f>
        <v>467237660.52332461</v>
      </c>
      <c r="V97" s="2">
        <f>V9/'Output-Calculation-sheet'!V8*'Output-Calculation-sheet'!V80</f>
        <v>286432815.03550053</v>
      </c>
      <c r="W97" s="2">
        <f>W9/'Output-Calculation-sheet'!W8*'Output-Calculation-sheet'!W80</f>
        <v>975161973.74967945</v>
      </c>
      <c r="X97" s="2">
        <f>X9/'Output-Calculation-sheet'!X8*'Output-Calculation-sheet'!X80</f>
        <v>96544379.040429339</v>
      </c>
      <c r="Y97" s="2">
        <f>Y9/'Output-Calculation-sheet'!Y8*'Output-Calculation-sheet'!Y80</f>
        <v>415226815.2773186</v>
      </c>
      <c r="AA97" s="2">
        <f t="shared" si="8"/>
        <v>68.67058294697182</v>
      </c>
    </row>
    <row r="98" spans="1:27" x14ac:dyDescent="0.25">
      <c r="A98" s="2">
        <v>2033</v>
      </c>
      <c r="B98" s="2">
        <f>B10/'Output-Calculation-sheet'!B9*'Output-Calculation-sheet'!B81</f>
        <v>15175824635.416111</v>
      </c>
      <c r="C98" s="2">
        <f>C10/'Output-Calculation-sheet'!C9*'Output-Calculation-sheet'!C81</f>
        <v>1987584781.8500049</v>
      </c>
      <c r="D98" s="2">
        <f>D10/'Output-Calculation-sheet'!D9*'Output-Calculation-sheet'!D81</f>
        <v>8090726508.8994818</v>
      </c>
      <c r="E98" s="2">
        <f>E10/'Output-Calculation-sheet'!E9*'Output-Calculation-sheet'!E81</f>
        <v>13433435169.138796</v>
      </c>
      <c r="F98" s="2">
        <f>F10/'Output-Calculation-sheet'!F9*'Output-Calculation-sheet'!F81</f>
        <v>6395524166.0488243</v>
      </c>
      <c r="G98" s="2">
        <f>G10/'Output-Calculation-sheet'!G9*'Output-Calculation-sheet'!G81</f>
        <v>4592480287.8515034</v>
      </c>
      <c r="H98" s="2">
        <f>H10/'Output-Calculation-sheet'!H9*'Output-Calculation-sheet'!H81</f>
        <v>1384057067.2047272</v>
      </c>
      <c r="I98" s="2">
        <f>I10/'Output-Calculation-sheet'!I9*'Output-Calculation-sheet'!I81</f>
        <v>3408659402.6268296</v>
      </c>
      <c r="J98" s="2">
        <f>J10/'Output-Calculation-sheet'!J9*'Output-Calculation-sheet'!J81</f>
        <v>2292074376.2539525</v>
      </c>
      <c r="K98" s="2">
        <f>K10/'Output-Calculation-sheet'!K9*'Output-Calculation-sheet'!K81</f>
        <v>2910859598.3489151</v>
      </c>
      <c r="L98" s="2">
        <f>L10/'Output-Calculation-sheet'!L9*'Output-Calculation-sheet'!L81</f>
        <v>2152128527.6815705</v>
      </c>
      <c r="M98" s="2">
        <f>M10/'Output-Calculation-sheet'!M9*'Output-Calculation-sheet'!M81</f>
        <v>1031958063.7708468</v>
      </c>
      <c r="N98" s="2">
        <f>N10/'Output-Calculation-sheet'!N9*'Output-Calculation-sheet'!N81</f>
        <v>1050123694.4463115</v>
      </c>
      <c r="O98" s="2">
        <f>O10/'Output-Calculation-sheet'!O9*'Output-Calculation-sheet'!O81</f>
        <v>0</v>
      </c>
      <c r="P98" s="2">
        <f>P10/'Output-Calculation-sheet'!P9*'Output-Calculation-sheet'!P81</f>
        <v>2476431502.1412916</v>
      </c>
      <c r="Q98" s="2">
        <f>Q10/'Output-Calculation-sheet'!Q9*'Output-Calculation-sheet'!Q81</f>
        <v>1162401202.2766931</v>
      </c>
      <c r="R98" s="2">
        <f>R10/'Output-Calculation-sheet'!R9*'Output-Calculation-sheet'!R81</f>
        <v>1813878746.991962</v>
      </c>
      <c r="S98" s="2">
        <f>S10/'Output-Calculation-sheet'!S9*'Output-Calculation-sheet'!S81</f>
        <v>688759527.14422119</v>
      </c>
      <c r="T98" s="2">
        <f>T10/'Output-Calculation-sheet'!T9*'Output-Calculation-sheet'!T81</f>
        <v>914197345.02338827</v>
      </c>
      <c r="U98" s="2">
        <f>U10/'Output-Calculation-sheet'!U9*'Output-Calculation-sheet'!U81</f>
        <v>481875256.47973639</v>
      </c>
      <c r="V98" s="2">
        <f>V10/'Output-Calculation-sheet'!V9*'Output-Calculation-sheet'!V81</f>
        <v>298614784.49523222</v>
      </c>
      <c r="W98" s="2">
        <f>W10/'Output-Calculation-sheet'!W9*'Output-Calculation-sheet'!W81</f>
        <v>992795920.92816615</v>
      </c>
      <c r="X98" s="2">
        <f>X10/'Output-Calculation-sheet'!X9*'Output-Calculation-sheet'!X81</f>
        <v>103276449.98671262</v>
      </c>
      <c r="Y98" s="2">
        <f>Y10/'Output-Calculation-sheet'!Y9*'Output-Calculation-sheet'!Y81</f>
        <v>423828054.82563889</v>
      </c>
      <c r="AA98" s="2">
        <f t="shared" si="8"/>
        <v>73.261495069830914</v>
      </c>
    </row>
    <row r="99" spans="1:27" x14ac:dyDescent="0.25">
      <c r="A99" s="2">
        <v>2034</v>
      </c>
      <c r="B99" s="2">
        <f>B11/'Output-Calculation-sheet'!B10*'Output-Calculation-sheet'!B82</f>
        <v>15423542695.046125</v>
      </c>
      <c r="C99" s="2">
        <f>C11/'Output-Calculation-sheet'!C10*'Output-Calculation-sheet'!C82</f>
        <v>2091815186.0147157</v>
      </c>
      <c r="D99" s="2">
        <f>D11/'Output-Calculation-sheet'!D10*'Output-Calculation-sheet'!D82</f>
        <v>7695617860.2757463</v>
      </c>
      <c r="E99" s="2">
        <f>E11/'Output-Calculation-sheet'!E10*'Output-Calculation-sheet'!E82</f>
        <v>13160819148.352289</v>
      </c>
      <c r="F99" s="2">
        <f>F11/'Output-Calculation-sheet'!F10*'Output-Calculation-sheet'!F82</f>
        <v>6250180588.7284012</v>
      </c>
      <c r="G99" s="2">
        <f>G11/'Output-Calculation-sheet'!G10*'Output-Calculation-sheet'!G82</f>
        <v>4341732188.9806919</v>
      </c>
      <c r="H99" s="2">
        <f>H11/'Output-Calculation-sheet'!H10*'Output-Calculation-sheet'!H82</f>
        <v>1385417954.983839</v>
      </c>
      <c r="I99" s="2">
        <f>I11/'Output-Calculation-sheet'!I10*'Output-Calculation-sheet'!I82</f>
        <v>3365619812.9466252</v>
      </c>
      <c r="J99" s="2">
        <f>J11/'Output-Calculation-sheet'!J10*'Output-Calculation-sheet'!J82</f>
        <v>2198871705.6777349</v>
      </c>
      <c r="K99" s="2">
        <f>K11/'Output-Calculation-sheet'!K10*'Output-Calculation-sheet'!K82</f>
        <v>2819347140.7585402</v>
      </c>
      <c r="L99" s="2">
        <f>L11/'Output-Calculation-sheet'!L10*'Output-Calculation-sheet'!L82</f>
        <v>2143841220.5666552</v>
      </c>
      <c r="M99" s="2">
        <f>M11/'Output-Calculation-sheet'!M10*'Output-Calculation-sheet'!M82</f>
        <v>1036335588.5342889</v>
      </c>
      <c r="N99" s="2">
        <f>N11/'Output-Calculation-sheet'!N10*'Output-Calculation-sheet'!N82</f>
        <v>1011417078.7644426</v>
      </c>
      <c r="O99" s="2">
        <f>O11/'Output-Calculation-sheet'!O10*'Output-Calculation-sheet'!O82</f>
        <v>0</v>
      </c>
      <c r="P99" s="2">
        <f>P11/'Output-Calculation-sheet'!P10*'Output-Calculation-sheet'!P82</f>
        <v>2392245534.2057629</v>
      </c>
      <c r="Q99" s="2">
        <f>Q11/'Output-Calculation-sheet'!Q10*'Output-Calculation-sheet'!Q82</f>
        <v>1132744021.022768</v>
      </c>
      <c r="R99" s="2">
        <f>R11/'Output-Calculation-sheet'!R10*'Output-Calculation-sheet'!R82</f>
        <v>1777653285.4095447</v>
      </c>
      <c r="S99" s="2">
        <f>S11/'Output-Calculation-sheet'!S10*'Output-Calculation-sheet'!S82</f>
        <v>692633241.79460764</v>
      </c>
      <c r="T99" s="2">
        <f>T11/'Output-Calculation-sheet'!T10*'Output-Calculation-sheet'!T82</f>
        <v>878295811.39424109</v>
      </c>
      <c r="U99" s="2">
        <f>U11/'Output-Calculation-sheet'!U10*'Output-Calculation-sheet'!U82</f>
        <v>472108026.92311054</v>
      </c>
      <c r="V99" s="2">
        <f>V11/'Output-Calculation-sheet'!V10*'Output-Calculation-sheet'!V82</f>
        <v>295338771.30847853</v>
      </c>
      <c r="W99" s="2">
        <f>W11/'Output-Calculation-sheet'!W10*'Output-Calculation-sheet'!W82</f>
        <v>957373093.85723436</v>
      </c>
      <c r="X99" s="2">
        <f>X11/'Output-Calculation-sheet'!X10*'Output-Calculation-sheet'!X82</f>
        <v>105343440.95496325</v>
      </c>
      <c r="Y99" s="2">
        <f>Y11/'Output-Calculation-sheet'!Y10*'Output-Calculation-sheet'!Y82</f>
        <v>409634098.20707136</v>
      </c>
      <c r="AA99" s="2">
        <f t="shared" si="8"/>
        <v>72.037927494707873</v>
      </c>
    </row>
    <row r="100" spans="1:27" x14ac:dyDescent="0.25">
      <c r="A100" s="2">
        <v>2035</v>
      </c>
      <c r="B100" s="2">
        <f>B12/'Output-Calculation-sheet'!B11*'Output-Calculation-sheet'!B83</f>
        <v>14617417639.432934</v>
      </c>
      <c r="C100" s="2">
        <f>C12/'Output-Calculation-sheet'!C11*'Output-Calculation-sheet'!C83</f>
        <v>2068151293.223681</v>
      </c>
      <c r="D100" s="2">
        <f>D12/'Output-Calculation-sheet'!D11*'Output-Calculation-sheet'!D83</f>
        <v>6952102930.4599609</v>
      </c>
      <c r="E100" s="2">
        <f>E12/'Output-Calculation-sheet'!E11*'Output-Calculation-sheet'!E83</f>
        <v>12230960280.005192</v>
      </c>
      <c r="F100" s="2">
        <f>F12/'Output-Calculation-sheet'!F11*'Output-Calculation-sheet'!F83</f>
        <v>5796334283.3291245</v>
      </c>
      <c r="G100" s="2">
        <f>G12/'Output-Calculation-sheet'!G11*'Output-Calculation-sheet'!G83</f>
        <v>3887458395.6084428</v>
      </c>
      <c r="H100" s="2">
        <f>H12/'Output-Calculation-sheet'!H11*'Output-Calculation-sheet'!H83</f>
        <v>1309913543.6632421</v>
      </c>
      <c r="I100" s="2">
        <f>I12/'Output-Calculation-sheet'!I11*'Output-Calculation-sheet'!I83</f>
        <v>3149738564.3110371</v>
      </c>
      <c r="J100" s="2">
        <f>J12/'Output-Calculation-sheet'!J11*'Output-Calculation-sheet'!J83</f>
        <v>2001083101.6632998</v>
      </c>
      <c r="K100" s="2">
        <f>K12/'Output-Calculation-sheet'!K11*'Output-Calculation-sheet'!K83</f>
        <v>2590230804.5412021</v>
      </c>
      <c r="L100" s="2">
        <f>L12/'Output-Calculation-sheet'!L11*'Output-Calculation-sheet'!L83</f>
        <v>2023843432.0687838</v>
      </c>
      <c r="M100" s="2">
        <f>M12/'Output-Calculation-sheet'!M11*'Output-Calculation-sheet'!M83</f>
        <v>981843507.72874546</v>
      </c>
      <c r="N100" s="2">
        <f>N12/'Output-Calculation-sheet'!N11*'Output-Calculation-sheet'!N83</f>
        <v>924925268.57635021</v>
      </c>
      <c r="O100" s="2">
        <f>O12/'Output-Calculation-sheet'!O11*'Output-Calculation-sheet'!O83</f>
        <v>249533046.67151386</v>
      </c>
      <c r="P100" s="2">
        <f>P12/'Output-Calculation-sheet'!P11*'Output-Calculation-sheet'!P83</f>
        <v>2190995113.8432145</v>
      </c>
      <c r="Q100" s="2">
        <f>Q12/'Output-Calculation-sheet'!Q11*'Output-Calculation-sheet'!Q83</f>
        <v>1050749844.4507415</v>
      </c>
      <c r="R100" s="2">
        <f>R12/'Output-Calculation-sheet'!R11*'Output-Calculation-sheet'!R83</f>
        <v>1655142116.5874133</v>
      </c>
      <c r="S100" s="2">
        <f>S12/'Output-Calculation-sheet'!S11*'Output-Calculation-sheet'!S83</f>
        <v>641949275.71780634</v>
      </c>
      <c r="T100" s="2">
        <f>T12/'Output-Calculation-sheet'!T11*'Output-Calculation-sheet'!T83</f>
        <v>800150112.35719681</v>
      </c>
      <c r="U100" s="2">
        <f>U12/'Output-Calculation-sheet'!U11*'Output-Calculation-sheet'!U83</f>
        <v>438318367.73963553</v>
      </c>
      <c r="V100" s="2">
        <f>V12/'Output-Calculation-sheet'!V11*'Output-Calculation-sheet'!V83</f>
        <v>277035991.77755088</v>
      </c>
      <c r="W100" s="2">
        <f>W12/'Output-Calculation-sheet'!W11*'Output-Calculation-sheet'!W83</f>
        <v>874195265.00753093</v>
      </c>
      <c r="X100" s="2">
        <f>X12/'Output-Calculation-sheet'!X11*'Output-Calculation-sheet'!X83</f>
        <v>101723078.13463064</v>
      </c>
      <c r="Y100" s="2">
        <f>Y12/'Output-Calculation-sheet'!Y11*'Output-Calculation-sheet'!Y83</f>
        <v>375335646.02080989</v>
      </c>
      <c r="AA100" s="2">
        <f t="shared" si="8"/>
        <v>67.189130902920027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4.5226689776487421E-4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4070514126.4922452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2788907868.052691</v>
      </c>
      <c r="N118" s="2">
        <f>N8/'Output-Calculation-sheet'!N7*'Output-Calculation-sheet'!N97</f>
        <v>1843642030.4534912</v>
      </c>
      <c r="O118" s="2">
        <f>O8/'Output-Calculation-sheet'!O7*'Output-Calculation-sheet'!O97</f>
        <v>2.4883623004013157E-5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457040050.26483625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265059852.5996052</v>
      </c>
      <c r="Y118" s="2">
        <f>Y8/'Output-Calculation-sheet'!Y7*'Output-Calculation-sheet'!Y97</f>
        <v>0</v>
      </c>
      <c r="AA118" s="2">
        <f t="shared" si="10"/>
        <v>9425.1639278633447</v>
      </c>
    </row>
    <row r="119" spans="1:27" x14ac:dyDescent="0.25">
      <c r="A119" s="2">
        <v>2032</v>
      </c>
      <c r="B119" s="2">
        <f>B9/'Output-Calculation-sheet'!B8*'Output-Calculation-sheet'!B98</f>
        <v>4307619.7561653554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4625756336.7216158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3165566600.7978926</v>
      </c>
      <c r="N119" s="2">
        <f>N9/'Output-Calculation-sheet'!N8*'Output-Calculation-sheet'!N98</f>
        <v>2309556808.5132008</v>
      </c>
      <c r="O119" s="2">
        <f>O9/'Output-Calculation-sheet'!O8*'Output-Calculation-sheet'!O98</f>
        <v>2.3555899874893514E-4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726680020.33562875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304876263.2082392</v>
      </c>
      <c r="Y119" s="2">
        <f>Y9/'Output-Calculation-sheet'!Y8*'Output-Calculation-sheet'!Y98</f>
        <v>0</v>
      </c>
      <c r="AA119" s="2">
        <f t="shared" si="10"/>
        <v>11136.743649332979</v>
      </c>
    </row>
    <row r="120" spans="1:27" x14ac:dyDescent="0.25">
      <c r="A120" s="2">
        <v>2033</v>
      </c>
      <c r="B120" s="2">
        <f>B10/'Output-Calculation-sheet'!B9*'Output-Calculation-sheet'!B99</f>
        <v>6009184422.7706966</v>
      </c>
      <c r="C120" s="2">
        <f>C10/'Output-Calculation-sheet'!C9*'Output-Calculation-sheet'!C99</f>
        <v>11184744495.716972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4947528305.2845354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3389026609.4849739</v>
      </c>
      <c r="N120" s="2">
        <f>N10/'Output-Calculation-sheet'!N9*'Output-Calculation-sheet'!N99</f>
        <v>2678787556.5164528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937047659.0172255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326575930.75580788</v>
      </c>
      <c r="Y120" s="2">
        <f>Y10/'Output-Calculation-sheet'!Y9*'Output-Calculation-sheet'!Y99</f>
        <v>0</v>
      </c>
      <c r="AA120" s="2">
        <f t="shared" si="10"/>
        <v>29472.894979546669</v>
      </c>
    </row>
    <row r="121" spans="1:27" x14ac:dyDescent="0.25">
      <c r="A121" s="2">
        <v>2034</v>
      </c>
      <c r="B121" s="2">
        <f>B11/'Output-Calculation-sheet'!B10*'Output-Calculation-sheet'!B100</f>
        <v>10099172025.126184</v>
      </c>
      <c r="C121" s="2">
        <f>C11/'Output-Calculation-sheet'!C10*'Output-Calculation-sheet'!C100</f>
        <v>11700487979.050268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5020208442.2967796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3439365318.7533159</v>
      </c>
      <c r="N121" s="2">
        <f>N11/'Output-Calculation-sheet'!N10*'Output-Calculation-sheet'!N100</f>
        <v>2808032111.5576868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1077968412.7958479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333421027.93177783</v>
      </c>
      <c r="Y121" s="2">
        <f>Y11/'Output-Calculation-sheet'!Y10*'Output-Calculation-sheet'!Y100</f>
        <v>0</v>
      </c>
      <c r="AA121" s="2">
        <f t="shared" si="10"/>
        <v>34478.655317511853</v>
      </c>
    </row>
    <row r="122" spans="1:27" x14ac:dyDescent="0.25">
      <c r="A122" s="2">
        <v>2035</v>
      </c>
      <c r="B122" s="2">
        <f>B12/'Output-Calculation-sheet'!B11*'Output-Calculation-sheet'!B101</f>
        <v>11765399784.612705</v>
      </c>
      <c r="C122" s="2">
        <f>C12/'Output-Calculation-sheet'!C11*'Output-Calculation-sheet'!C101</f>
        <v>11499629335.550264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4807941125.9126644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3290213971.1844749</v>
      </c>
      <c r="N122" s="2">
        <f>N12/'Output-Calculation-sheet'!N11*'Output-Calculation-sheet'!N101</f>
        <v>2749962892.4534988</v>
      </c>
      <c r="O122" s="2">
        <f>O12/'Output-Calculation-sheet'!O11*'Output-Calculation-sheet'!O101</f>
        <v>1965383689.2278013</v>
      </c>
      <c r="P122" s="2">
        <f>P12/'Output-Calculation-sheet'!P11*'Output-Calculation-sheet'!P101</f>
        <v>0</v>
      </c>
      <c r="Q122" s="2">
        <f>Q12/'Output-Calculation-sheet'!Q11*'Output-Calculation-sheet'!Q101</f>
        <v>35877311.693275303</v>
      </c>
      <c r="R122" s="2">
        <f>R12/'Output-Calculation-sheet'!R11*'Output-Calculation-sheet'!R101</f>
        <v>0</v>
      </c>
      <c r="S122" s="2">
        <f>S12/'Output-Calculation-sheet'!S11*'Output-Calculation-sheet'!S101</f>
        <v>1157817883.6436596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322133839.17076629</v>
      </c>
      <c r="Y122" s="2">
        <f>Y12/'Output-Calculation-sheet'!Y11*'Output-Calculation-sheet'!Y101</f>
        <v>0</v>
      </c>
      <c r="AA122" s="2">
        <f t="shared" si="10"/>
        <v>37594.359833449118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51014356440.538765</v>
      </c>
      <c r="C129" s="2">
        <f>C8/'Output-Calculation-sheet'!C7*'Output-Calculation-sheet'!C106</f>
        <v>0</v>
      </c>
      <c r="D129" s="2">
        <f>D8/'Output-Calculation-sheet'!D7*'Output-Calculation-sheet'!D106</f>
        <v>36929108758.916306</v>
      </c>
      <c r="E129" s="2">
        <f>E8/'Output-Calculation-sheet'!E7*'Output-Calculation-sheet'!E106</f>
        <v>25813098261.198296</v>
      </c>
      <c r="F129" s="2">
        <f>F8/'Output-Calculation-sheet'!F7*'Output-Calculation-sheet'!F106</f>
        <v>19217877373.140739</v>
      </c>
      <c r="G129" s="2">
        <f>G8/'Output-Calculation-sheet'!G7*'Output-Calculation-sheet'!G106</f>
        <v>13215840392.404028</v>
      </c>
      <c r="H129" s="2">
        <f>H8/'Output-Calculation-sheet'!H7*'Output-Calculation-sheet'!H106</f>
        <v>0</v>
      </c>
      <c r="I129" s="2">
        <f>I8/'Output-Calculation-sheet'!I7*'Output-Calculation-sheet'!I106</f>
        <v>11853592289.261654</v>
      </c>
      <c r="J129" s="2">
        <f>J8/'Output-Calculation-sheet'!J7*'Output-Calculation-sheet'!J106</f>
        <v>12144812383.111147</v>
      </c>
      <c r="K129" s="2">
        <f>K8/'Output-Calculation-sheet'!K7*'Output-Calculation-sheet'!K106</f>
        <v>10478277371.44211</v>
      </c>
      <c r="L129" s="2">
        <f>L8/'Output-Calculation-sheet'!L7*'Output-Calculation-sheet'!L106</f>
        <v>8289792156.2028675</v>
      </c>
      <c r="M129" s="2">
        <f>M8/'Output-Calculation-sheet'!M7*'Output-Calculation-sheet'!M106</f>
        <v>0</v>
      </c>
      <c r="N129" s="2">
        <f>N8/'Output-Calculation-sheet'!N7*'Output-Calculation-sheet'!N106</f>
        <v>2256371048.6542439</v>
      </c>
      <c r="O129" s="2">
        <f>O8/'Output-Calculation-sheet'!O7*'Output-Calculation-sheet'!O106</f>
        <v>0</v>
      </c>
      <c r="P129" s="2">
        <f>P8/'Output-Calculation-sheet'!P7*'Output-Calculation-sheet'!P106</f>
        <v>5105106514.7135172</v>
      </c>
      <c r="Q129" s="2">
        <f>Q8/'Output-Calculation-sheet'!Q7*'Output-Calculation-sheet'!Q106</f>
        <v>5003279391.8753405</v>
      </c>
      <c r="R129" s="2">
        <f>R8/'Output-Calculation-sheet'!R7*'Output-Calculation-sheet'!R106</f>
        <v>5952480058.4881516</v>
      </c>
      <c r="S129" s="2">
        <f>S8/'Output-Calculation-sheet'!S7*'Output-Calculation-sheet'!S106</f>
        <v>2029977378.4252145</v>
      </c>
      <c r="T129" s="2">
        <f>T8/'Output-Calculation-sheet'!T7*'Output-Calculation-sheet'!T106</f>
        <v>2577082336.9126053</v>
      </c>
      <c r="U129" s="2">
        <f>U8/'Output-Calculation-sheet'!U7*'Output-Calculation-sheet'!U106</f>
        <v>1814207469.8569229</v>
      </c>
      <c r="V129" s="2">
        <f>V8/'Output-Calculation-sheet'!V7*'Output-Calculation-sheet'!V106</f>
        <v>1632173192.5500653</v>
      </c>
      <c r="W129" s="2">
        <f>W8/'Output-Calculation-sheet'!W7*'Output-Calculation-sheet'!W106</f>
        <v>1665387862.8927095</v>
      </c>
      <c r="X129" s="2">
        <f>X8/'Output-Calculation-sheet'!X7*'Output-Calculation-sheet'!X106</f>
        <v>0</v>
      </c>
      <c r="Y129" s="2">
        <f>Y8/'Output-Calculation-sheet'!Y7*'Output-Calculation-sheet'!Y106</f>
        <v>751965787.69463849</v>
      </c>
      <c r="AA129" s="2">
        <f t="shared" si="11"/>
        <v>217744.78646827934</v>
      </c>
    </row>
    <row r="130" spans="1:27" x14ac:dyDescent="0.25">
      <c r="A130" s="2">
        <v>2032</v>
      </c>
      <c r="B130" s="2">
        <f>B9/'Output-Calculation-sheet'!B8*'Output-Calculation-sheet'!B107</f>
        <v>56859105988.606255</v>
      </c>
      <c r="C130" s="2">
        <f>C9/'Output-Calculation-sheet'!C8*'Output-Calculation-sheet'!C107</f>
        <v>0</v>
      </c>
      <c r="D130" s="2">
        <f>D9/'Output-Calculation-sheet'!D8*'Output-Calculation-sheet'!D107</f>
        <v>40853781294.871902</v>
      </c>
      <c r="E130" s="2">
        <f>E9/'Output-Calculation-sheet'!E8*'Output-Calculation-sheet'!E107</f>
        <v>28593538724.893978</v>
      </c>
      <c r="F130" s="2">
        <f>F9/'Output-Calculation-sheet'!F8*'Output-Calculation-sheet'!F107</f>
        <v>21254611304.864685</v>
      </c>
      <c r="G130" s="2">
        <f>G9/'Output-Calculation-sheet'!G8*'Output-Calculation-sheet'!G107</f>
        <v>14609167129.449453</v>
      </c>
      <c r="H130" s="2">
        <f>H9/'Output-Calculation-sheet'!H8*'Output-Calculation-sheet'!H107</f>
        <v>0</v>
      </c>
      <c r="I130" s="2">
        <f>I9/'Output-Calculation-sheet'!I8*'Output-Calculation-sheet'!I107</f>
        <v>13114409089.793079</v>
      </c>
      <c r="J130" s="2">
        <f>J9/'Output-Calculation-sheet'!J8*'Output-Calculation-sheet'!J107</f>
        <v>13428369302.995621</v>
      </c>
      <c r="K130" s="2">
        <f>K9/'Output-Calculation-sheet'!K8*'Output-Calculation-sheet'!K107</f>
        <v>11604137979.81955</v>
      </c>
      <c r="L130" s="2">
        <f>L9/'Output-Calculation-sheet'!L8*'Output-Calculation-sheet'!L107</f>
        <v>9183030223.4908085</v>
      </c>
      <c r="M130" s="2">
        <f>M9/'Output-Calculation-sheet'!M8*'Output-Calculation-sheet'!M107</f>
        <v>0</v>
      </c>
      <c r="N130" s="2">
        <f>N9/'Output-Calculation-sheet'!N8*'Output-Calculation-sheet'!N107</f>
        <v>2216740158.24752</v>
      </c>
      <c r="O130" s="2">
        <f>O9/'Output-Calculation-sheet'!O8*'Output-Calculation-sheet'!O107</f>
        <v>0</v>
      </c>
      <c r="P130" s="2">
        <f>P9/'Output-Calculation-sheet'!P8*'Output-Calculation-sheet'!P107</f>
        <v>5696900469.4174738</v>
      </c>
      <c r="Q130" s="2">
        <f>Q9/'Output-Calculation-sheet'!Q8*'Output-Calculation-sheet'!Q107</f>
        <v>5586697343.9968262</v>
      </c>
      <c r="R130" s="2">
        <f>R9/'Output-Calculation-sheet'!R8*'Output-Calculation-sheet'!R107</f>
        <v>6593057868.6538219</v>
      </c>
      <c r="S130" s="2">
        <f>S9/'Output-Calculation-sheet'!S8*'Output-Calculation-sheet'!S107</f>
        <v>2118145610.4639034</v>
      </c>
      <c r="T130" s="2">
        <f>T9/'Output-Calculation-sheet'!T8*'Output-Calculation-sheet'!T107</f>
        <v>2851477617.4618778</v>
      </c>
      <c r="U130" s="2">
        <f>U9/'Output-Calculation-sheet'!U8*'Output-Calculation-sheet'!U107</f>
        <v>2011409234.8453412</v>
      </c>
      <c r="V130" s="2">
        <f>V9/'Output-Calculation-sheet'!V8*'Output-Calculation-sheet'!V107</f>
        <v>1810816278.6227326</v>
      </c>
      <c r="W130" s="2">
        <f>W9/'Output-Calculation-sheet'!W8*'Output-Calculation-sheet'!W107</f>
        <v>1843034197.5128164</v>
      </c>
      <c r="X130" s="2">
        <f>X9/'Output-Calculation-sheet'!X8*'Output-Calculation-sheet'!X107</f>
        <v>0</v>
      </c>
      <c r="Y130" s="2">
        <f>Y9/'Output-Calculation-sheet'!Y8*'Output-Calculation-sheet'!Y107</f>
        <v>833068367.64868271</v>
      </c>
      <c r="AA130" s="2">
        <f t="shared" si="11"/>
        <v>241061.49818565635</v>
      </c>
    </row>
    <row r="131" spans="1:27" x14ac:dyDescent="0.25">
      <c r="A131" s="2">
        <v>2033</v>
      </c>
      <c r="B131" s="2">
        <f>B10/'Output-Calculation-sheet'!B9*'Output-Calculation-sheet'!B108</f>
        <v>56121324112.95285</v>
      </c>
      <c r="C131" s="2">
        <f>C10/'Output-Calculation-sheet'!C9*'Output-Calculation-sheet'!C108</f>
        <v>0</v>
      </c>
      <c r="D131" s="2">
        <f>D10/'Output-Calculation-sheet'!D9*'Output-Calculation-sheet'!D108</f>
        <v>42638256715.877197</v>
      </c>
      <c r="E131" s="2">
        <f>E10/'Output-Calculation-sheet'!E9*'Output-Calculation-sheet'!E108</f>
        <v>29859821643.251846</v>
      </c>
      <c r="F131" s="2">
        <f>F10/'Output-Calculation-sheet'!F9*'Output-Calculation-sheet'!F108</f>
        <v>22189100089.88372</v>
      </c>
      <c r="G131" s="2">
        <f>G10/'Output-Calculation-sheet'!G9*'Output-Calculation-sheet'!G108</f>
        <v>15247683155.76927</v>
      </c>
      <c r="H131" s="2">
        <f>H10/'Output-Calculation-sheet'!H9*'Output-Calculation-sheet'!H108</f>
        <v>0</v>
      </c>
      <c r="I131" s="2">
        <f>I10/'Output-Calculation-sheet'!I9*'Output-Calculation-sheet'!I108</f>
        <v>13690157682.738804</v>
      </c>
      <c r="J131" s="2">
        <f>J10/'Output-Calculation-sheet'!J9*'Output-Calculation-sheet'!J108</f>
        <v>14012782901.952019</v>
      </c>
      <c r="K131" s="2">
        <f>K10/'Output-Calculation-sheet'!K9*'Output-Calculation-sheet'!K108</f>
        <v>12134039427.286888</v>
      </c>
      <c r="L131" s="2">
        <f>L10/'Output-Calculation-sheet'!L9*'Output-Calculation-sheet'!L108</f>
        <v>9595596150.466423</v>
      </c>
      <c r="M131" s="2">
        <f>M10/'Output-Calculation-sheet'!M9*'Output-Calculation-sheet'!M108</f>
        <v>0</v>
      </c>
      <c r="N131" s="2">
        <f>N10/'Output-Calculation-sheet'!N9*'Output-Calculation-sheet'!N108</f>
        <v>2039319656.1212027</v>
      </c>
      <c r="O131" s="2">
        <f>O10/'Output-Calculation-sheet'!O9*'Output-Calculation-sheet'!O108</f>
        <v>0</v>
      </c>
      <c r="P131" s="2">
        <f>P10/'Output-Calculation-sheet'!P9*'Output-Calculation-sheet'!P108</f>
        <v>5985224503.8951569</v>
      </c>
      <c r="Q131" s="2">
        <f>Q10/'Output-Calculation-sheet'!Q9*'Output-Calculation-sheet'!Q108</f>
        <v>5878608363.620801</v>
      </c>
      <c r="R131" s="2">
        <f>R10/'Output-Calculation-sheet'!R9*'Output-Calculation-sheet'!R108</f>
        <v>6899229140.2451477</v>
      </c>
      <c r="S131" s="2">
        <f>S10/'Output-Calculation-sheet'!S9*'Output-Calculation-sheet'!S108</f>
        <v>2074518518.9924061</v>
      </c>
      <c r="T131" s="2">
        <f>T10/'Output-Calculation-sheet'!T9*'Output-Calculation-sheet'!T108</f>
        <v>2979258323.1871328</v>
      </c>
      <c r="U131" s="2">
        <f>U10/'Output-Calculation-sheet'!U9*'Output-Calculation-sheet'!U108</f>
        <v>2102067687.0728788</v>
      </c>
      <c r="V131" s="2">
        <f>V10/'Output-Calculation-sheet'!V9*'Output-Calculation-sheet'!V108</f>
        <v>1893927993.5158134</v>
      </c>
      <c r="W131" s="2">
        <f>W10/'Output-Calculation-sheet'!W9*'Output-Calculation-sheet'!W108</f>
        <v>1922706712.9343133</v>
      </c>
      <c r="X131" s="2">
        <f>X10/'Output-Calculation-sheet'!X9*'Output-Calculation-sheet'!X108</f>
        <v>0</v>
      </c>
      <c r="Y131" s="2">
        <f>Y10/'Output-Calculation-sheet'!Y9*'Output-Calculation-sheet'!Y108</f>
        <v>871014884.35133493</v>
      </c>
      <c r="AA131" s="2">
        <f t="shared" si="11"/>
        <v>248134.6376641152</v>
      </c>
    </row>
    <row r="132" spans="1:27" x14ac:dyDescent="0.25">
      <c r="A132" s="2">
        <v>2034</v>
      </c>
      <c r="B132" s="2">
        <f>B11/'Output-Calculation-sheet'!B10*'Output-Calculation-sheet'!B109</f>
        <v>53066916091.665329</v>
      </c>
      <c r="C132" s="2">
        <f>C11/'Output-Calculation-sheet'!C10*'Output-Calculation-sheet'!C109</f>
        <v>0</v>
      </c>
      <c r="D132" s="2">
        <f>D11/'Output-Calculation-sheet'!D10*'Output-Calculation-sheet'!D109</f>
        <v>42172233761.555252</v>
      </c>
      <c r="E132" s="2">
        <f>E11/'Output-Calculation-sheet'!E10*'Output-Calculation-sheet'!E109</f>
        <v>29580692070.109047</v>
      </c>
      <c r="F132" s="2">
        <f>F11/'Output-Calculation-sheet'!F10*'Output-Calculation-sheet'!F109</f>
        <v>21957747988.801243</v>
      </c>
      <c r="G132" s="2">
        <f>G11/'Output-Calculation-sheet'!G10*'Output-Calculation-sheet'!G109</f>
        <v>15075007844.169004</v>
      </c>
      <c r="H132" s="2">
        <f>H11/'Output-Calculation-sheet'!H10*'Output-Calculation-sheet'!H109</f>
        <v>0</v>
      </c>
      <c r="I132" s="2">
        <f>I11/'Output-Calculation-sheet'!I10*'Output-Calculation-sheet'!I109</f>
        <v>13561523181.288095</v>
      </c>
      <c r="J132" s="2">
        <f>J11/'Output-Calculation-sheet'!J10*'Output-Calculation-sheet'!J109</f>
        <v>13858113811.256826</v>
      </c>
      <c r="K132" s="2">
        <f>K11/'Output-Calculation-sheet'!K10*'Output-Calculation-sheet'!K109</f>
        <v>12027799949.775991</v>
      </c>
      <c r="L132" s="2">
        <f>L11/'Output-Calculation-sheet'!L10*'Output-Calculation-sheet'!L109</f>
        <v>9503019314.5762825</v>
      </c>
      <c r="M132" s="2">
        <f>M11/'Output-Calculation-sheet'!M10*'Output-Calculation-sheet'!M109</f>
        <v>0</v>
      </c>
      <c r="N132" s="2">
        <f>N11/'Output-Calculation-sheet'!N10*'Output-Calculation-sheet'!N109</f>
        <v>1868411070.3104489</v>
      </c>
      <c r="O132" s="2">
        <f>O11/'Output-Calculation-sheet'!O10*'Output-Calculation-sheet'!O109</f>
        <v>0</v>
      </c>
      <c r="P132" s="2">
        <f>P11/'Output-Calculation-sheet'!P10*'Output-Calculation-sheet'!P109</f>
        <v>5958121881.4317026</v>
      </c>
      <c r="Q132" s="2">
        <f>Q11/'Output-Calculation-sheet'!Q10*'Output-Calculation-sheet'!Q109</f>
        <v>5864848716.5715485</v>
      </c>
      <c r="R132" s="2">
        <f>R11/'Output-Calculation-sheet'!R10*'Output-Calculation-sheet'!R109</f>
        <v>6840181010.7922754</v>
      </c>
      <c r="S132" s="2">
        <f>S11/'Output-Calculation-sheet'!S10*'Output-Calculation-sheet'!S109</f>
        <v>1997237190.7846701</v>
      </c>
      <c r="T132" s="2">
        <f>T11/'Output-Calculation-sheet'!T10*'Output-Calculation-sheet'!T109</f>
        <v>2950767556.3097897</v>
      </c>
      <c r="U132" s="2">
        <f>U11/'Output-Calculation-sheet'!U10*'Output-Calculation-sheet'!U109</f>
        <v>2086095031.1047964</v>
      </c>
      <c r="V132" s="2">
        <f>V11/'Output-Calculation-sheet'!V10*'Output-Calculation-sheet'!V109</f>
        <v>1879383829.7004921</v>
      </c>
      <c r="W132" s="2">
        <f>W11/'Output-Calculation-sheet'!W10*'Output-Calculation-sheet'!W109</f>
        <v>1902074851.8261597</v>
      </c>
      <c r="X132" s="2">
        <f>X11/'Output-Calculation-sheet'!X10*'Output-Calculation-sheet'!X109</f>
        <v>0</v>
      </c>
      <c r="Y132" s="2">
        <f>Y11/'Output-Calculation-sheet'!Y10*'Output-Calculation-sheet'!Y109</f>
        <v>862910426.02295268</v>
      </c>
      <c r="AA132" s="2">
        <f t="shared" si="11"/>
        <v>243013.08557805195</v>
      </c>
    </row>
    <row r="133" spans="1:27" x14ac:dyDescent="0.25">
      <c r="A133" s="2">
        <v>2035</v>
      </c>
      <c r="B133" s="2">
        <f>B12/'Output-Calculation-sheet'!B11*'Output-Calculation-sheet'!B110</f>
        <v>48114287278.156334</v>
      </c>
      <c r="C133" s="2">
        <f>C12/'Output-Calculation-sheet'!C11*'Output-Calculation-sheet'!C110</f>
        <v>0</v>
      </c>
      <c r="D133" s="2">
        <f>D12/'Output-Calculation-sheet'!D11*'Output-Calculation-sheet'!D110</f>
        <v>39584242351.320755</v>
      </c>
      <c r="E133" s="2">
        <f>E12/'Output-Calculation-sheet'!E11*'Output-Calculation-sheet'!E110</f>
        <v>27783038078.825375</v>
      </c>
      <c r="F133" s="2">
        <f>F12/'Output-Calculation-sheet'!F11*'Output-Calculation-sheet'!F110</f>
        <v>20604315243.431564</v>
      </c>
      <c r="G133" s="2">
        <f>G12/'Output-Calculation-sheet'!G11*'Output-Calculation-sheet'!G110</f>
        <v>14129136681.205479</v>
      </c>
      <c r="H133" s="2">
        <f>H12/'Output-Calculation-sheet'!H11*'Output-Calculation-sheet'!H110</f>
        <v>0</v>
      </c>
      <c r="I133" s="2">
        <f>I12/'Output-Calculation-sheet'!I11*'Output-Calculation-sheet'!I110</f>
        <v>12726088670.77277</v>
      </c>
      <c r="J133" s="2">
        <f>J12/'Output-Calculation-sheet'!J11*'Output-Calculation-sheet'!J110</f>
        <v>12985019498.441751</v>
      </c>
      <c r="K133" s="2">
        <f>K12/'Output-Calculation-sheet'!K11*'Output-Calculation-sheet'!K110</f>
        <v>11298068320.317141</v>
      </c>
      <c r="L133" s="2">
        <f>L12/'Output-Calculation-sheet'!L11*'Output-Calculation-sheet'!L110</f>
        <v>8919557372.9513683</v>
      </c>
      <c r="M133" s="2">
        <f>M12/'Output-Calculation-sheet'!M11*'Output-Calculation-sheet'!M110</f>
        <v>0</v>
      </c>
      <c r="N133" s="2">
        <f>N12/'Output-Calculation-sheet'!N11*'Output-Calculation-sheet'!N110</f>
        <v>1646675580.9142351</v>
      </c>
      <c r="O133" s="2">
        <f>O12/'Output-Calculation-sheet'!O11*'Output-Calculation-sheet'!O110</f>
        <v>0</v>
      </c>
      <c r="P133" s="2">
        <f>P12/'Output-Calculation-sheet'!P11*'Output-Calculation-sheet'!P110</f>
        <v>5624248643.2168531</v>
      </c>
      <c r="Q133" s="2">
        <f>Q12/'Output-Calculation-sheet'!Q11*'Output-Calculation-sheet'!Q110</f>
        <v>5527306741.8096924</v>
      </c>
      <c r="R133" s="2">
        <f>R12/'Output-Calculation-sheet'!R11*'Output-Calculation-sheet'!R110</f>
        <v>6438255715.4287348</v>
      </c>
      <c r="S133" s="2">
        <f>S12/'Output-Calculation-sheet'!S11*'Output-Calculation-sheet'!S110</f>
        <v>1733889818.8597338</v>
      </c>
      <c r="T133" s="2">
        <f>T12/'Output-Calculation-sheet'!T11*'Output-Calculation-sheet'!T110</f>
        <v>2769958396.7419848</v>
      </c>
      <c r="U133" s="2">
        <f>U12/'Output-Calculation-sheet'!U11*'Output-Calculation-sheet'!U110</f>
        <v>1961126865.6146781</v>
      </c>
      <c r="V133" s="2">
        <f>V12/'Output-Calculation-sheet'!V11*'Output-Calculation-sheet'!V110</f>
        <v>1768952694.4833641</v>
      </c>
      <c r="W133" s="2">
        <f>W12/'Output-Calculation-sheet'!W11*'Output-Calculation-sheet'!W110</f>
        <v>1783801736.6261914</v>
      </c>
      <c r="X133" s="2">
        <f>X12/'Output-Calculation-sheet'!X11*'Output-Calculation-sheet'!X110</f>
        <v>0</v>
      </c>
      <c r="Y133" s="2">
        <f>Y12/'Output-Calculation-sheet'!Y11*'Output-Calculation-sheet'!Y110</f>
        <v>810953109.97300363</v>
      </c>
      <c r="AA133" s="2">
        <f t="shared" si="11"/>
        <v>226208.922799091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63445810013.844215</v>
      </c>
      <c r="C151" s="2">
        <f>C8/'Output-Calculation-sheet'!C7*'Output-Calculation-sheet'!C124</f>
        <v>53939363827.226181</v>
      </c>
      <c r="D151" s="2">
        <f>D8/'Output-Calculation-sheet'!D7*'Output-Calculation-sheet'!D124</f>
        <v>11145338300.551517</v>
      </c>
      <c r="E151" s="2">
        <f>E8/'Output-Calculation-sheet'!E7*'Output-Calculation-sheet'!E124</f>
        <v>12329134227.742775</v>
      </c>
      <c r="F151" s="2">
        <f>F8/'Output-Calculation-sheet'!F7*'Output-Calculation-sheet'!F124</f>
        <v>5335640075.379137</v>
      </c>
      <c r="G151" s="2">
        <f>G8/'Output-Calculation-sheet'!G7*'Output-Calculation-sheet'!G124</f>
        <v>4036176381.7345495</v>
      </c>
      <c r="H151" s="2">
        <f>H8/'Output-Calculation-sheet'!H7*'Output-Calculation-sheet'!H124</f>
        <v>12758183841.717794</v>
      </c>
      <c r="I151" s="2">
        <f>I8/'Output-Calculation-sheet'!I7*'Output-Calculation-sheet'!I124</f>
        <v>3864316470.5855598</v>
      </c>
      <c r="J151" s="2">
        <f>J8/'Output-Calculation-sheet'!J7*'Output-Calculation-sheet'!J124</f>
        <v>3153869049.3172212</v>
      </c>
      <c r="K151" s="2">
        <f>K8/'Output-Calculation-sheet'!K7*'Output-Calculation-sheet'!K124</f>
        <v>4673756452.0799847</v>
      </c>
      <c r="L151" s="2">
        <f>L8/'Output-Calculation-sheet'!L7*'Output-Calculation-sheet'!L124</f>
        <v>3865396354.6234198</v>
      </c>
      <c r="M151" s="2">
        <f>M8/'Output-Calculation-sheet'!M7*'Output-Calculation-sheet'!M124</f>
        <v>8821417674.9048958</v>
      </c>
      <c r="N151" s="2">
        <f>N8/'Output-Calculation-sheet'!N7*'Output-Calculation-sheet'!N124</f>
        <v>7295469160.1146326</v>
      </c>
      <c r="O151" s="2">
        <f>O8/'Output-Calculation-sheet'!O7*'Output-Calculation-sheet'!O124</f>
        <v>10480465233.580826</v>
      </c>
      <c r="P151" s="2">
        <f>P8/'Output-Calculation-sheet'!P7*'Output-Calculation-sheet'!P124</f>
        <v>5268774166.3125477</v>
      </c>
      <c r="Q151" s="2">
        <f>Q8/'Output-Calculation-sheet'!Q7*'Output-Calculation-sheet'!Q124</f>
        <v>5202922607.1176767</v>
      </c>
      <c r="R151" s="2">
        <f>R8/'Output-Calculation-sheet'!R7*'Output-Calculation-sheet'!R124</f>
        <v>3866374678.4709377</v>
      </c>
      <c r="S151" s="2">
        <f>S8/'Output-Calculation-sheet'!S7*'Output-Calculation-sheet'!S124</f>
        <v>4039081207.2594948</v>
      </c>
      <c r="T151" s="2">
        <f>T8/'Output-Calculation-sheet'!T7*'Output-Calculation-sheet'!T124</f>
        <v>1032219496.0426096</v>
      </c>
      <c r="U151" s="2">
        <f>U8/'Output-Calculation-sheet'!U7*'Output-Calculation-sheet'!U124</f>
        <v>1329376977.3551111</v>
      </c>
      <c r="V151" s="2">
        <f>V8/'Output-Calculation-sheet'!V7*'Output-Calculation-sheet'!V124</f>
        <v>788439230.96687615</v>
      </c>
      <c r="W151" s="2">
        <f>W8/'Output-Calculation-sheet'!W7*'Output-Calculation-sheet'!W124</f>
        <v>430342312.19615197</v>
      </c>
      <c r="X151" s="2">
        <f>X8/'Output-Calculation-sheet'!X7*'Output-Calculation-sheet'!X124</f>
        <v>992371709.58991671</v>
      </c>
      <c r="Y151" s="2">
        <f>Y8/'Output-Calculation-sheet'!Y7*'Output-Calculation-sheet'!Y124</f>
        <v>470874686.70458984</v>
      </c>
      <c r="AA151" s="2">
        <f t="shared" si="13"/>
        <v>228565.1141354187</v>
      </c>
    </row>
    <row r="152" spans="1:27" x14ac:dyDescent="0.25">
      <c r="A152" s="2">
        <v>2032</v>
      </c>
      <c r="B152" s="2">
        <f>B9/'Output-Calculation-sheet'!B8*'Output-Calculation-sheet'!B125</f>
        <v>69514891828.141953</v>
      </c>
      <c r="C152" s="2">
        <f>C9/'Output-Calculation-sheet'!C8*'Output-Calculation-sheet'!C125</f>
        <v>59555786847.148773</v>
      </c>
      <c r="D152" s="2">
        <f>D9/'Output-Calculation-sheet'!D8*'Output-Calculation-sheet'!D125</f>
        <v>12226405765.529301</v>
      </c>
      <c r="E152" s="2">
        <f>E9/'Output-Calculation-sheet'!E8*'Output-Calculation-sheet'!E125</f>
        <v>13520248482.511658</v>
      </c>
      <c r="F152" s="2">
        <f>F9/'Output-Calculation-sheet'!F8*'Output-Calculation-sheet'!F125</f>
        <v>5855535121.6990633</v>
      </c>
      <c r="G152" s="2">
        <f>G9/'Output-Calculation-sheet'!G8*'Output-Calculation-sheet'!G125</f>
        <v>4439211657.0541019</v>
      </c>
      <c r="H152" s="2">
        <f>H9/'Output-Calculation-sheet'!H8*'Output-Calculation-sheet'!H125</f>
        <v>13955225677.083178</v>
      </c>
      <c r="I152" s="2">
        <f>I9/'Output-Calculation-sheet'!I8*'Output-Calculation-sheet'!I125</f>
        <v>4240123061.9542418</v>
      </c>
      <c r="J152" s="2">
        <f>J9/'Output-Calculation-sheet'!J8*'Output-Calculation-sheet'!J125</f>
        <v>3463281922.5928979</v>
      </c>
      <c r="K152" s="2">
        <f>K9/'Output-Calculation-sheet'!K8*'Output-Calculation-sheet'!K125</f>
        <v>5125597646.7430992</v>
      </c>
      <c r="L152" s="2">
        <f>L9/'Output-Calculation-sheet'!L8*'Output-Calculation-sheet'!L125</f>
        <v>4237814307.72118</v>
      </c>
      <c r="M152" s="2">
        <f>M9/'Output-Calculation-sheet'!M8*'Output-Calculation-sheet'!M125</f>
        <v>9653681239.7442989</v>
      </c>
      <c r="N152" s="2">
        <f>N9/'Output-Calculation-sheet'!N8*'Output-Calculation-sheet'!N125</f>
        <v>8055737063.7748079</v>
      </c>
      <c r="O152" s="2">
        <f>O9/'Output-Calculation-sheet'!O8*'Output-Calculation-sheet'!O125</f>
        <v>11571741103.758417</v>
      </c>
      <c r="P152" s="2">
        <f>P9/'Output-Calculation-sheet'!P8*'Output-Calculation-sheet'!P125</f>
        <v>5757156865.333663</v>
      </c>
      <c r="Q152" s="2">
        <f>Q9/'Output-Calculation-sheet'!Q8*'Output-Calculation-sheet'!Q125</f>
        <v>5682222933.1860161</v>
      </c>
      <c r="R152" s="2">
        <f>R9/'Output-Calculation-sheet'!R8*'Output-Calculation-sheet'!R125</f>
        <v>4248182707.9042392</v>
      </c>
      <c r="S152" s="2">
        <f>S9/'Output-Calculation-sheet'!S8*'Output-Calculation-sheet'!S125</f>
        <v>4360801913.0006762</v>
      </c>
      <c r="T152" s="2">
        <f>T9/'Output-Calculation-sheet'!T8*'Output-Calculation-sheet'!T125</f>
        <v>1133641883.0021708</v>
      </c>
      <c r="U152" s="2">
        <f>U9/'Output-Calculation-sheet'!U8*'Output-Calculation-sheet'!U125</f>
        <v>1459500171.3881869</v>
      </c>
      <c r="V152" s="2">
        <f>V9/'Output-Calculation-sheet'!V8*'Output-Calculation-sheet'!V125</f>
        <v>861841819.39081705</v>
      </c>
      <c r="W152" s="2">
        <f>W9/'Output-Calculation-sheet'!W8*'Output-Calculation-sheet'!W125</f>
        <v>470913595.2118718</v>
      </c>
      <c r="X152" s="2">
        <f>X9/'Output-Calculation-sheet'!X8*'Output-Calculation-sheet'!X125</f>
        <v>1083484915.7228768</v>
      </c>
      <c r="Y152" s="2">
        <f>Y9/'Output-Calculation-sheet'!Y8*'Output-Calculation-sheet'!Y125</f>
        <v>517100071.01997668</v>
      </c>
      <c r="AA152" s="2">
        <f t="shared" si="13"/>
        <v>250990.12860061749</v>
      </c>
    </row>
    <row r="153" spans="1:27" x14ac:dyDescent="0.25">
      <c r="A153" s="2">
        <v>2033</v>
      </c>
      <c r="B153" s="2">
        <f>B10/'Output-Calculation-sheet'!B9*'Output-Calculation-sheet'!B126</f>
        <v>69537755601.201935</v>
      </c>
      <c r="C153" s="2">
        <f>C10/'Output-Calculation-sheet'!C9*'Output-Calculation-sheet'!C126</f>
        <v>50864073596.027458</v>
      </c>
      <c r="D153" s="2">
        <f>D10/'Output-Calculation-sheet'!D9*'Output-Calculation-sheet'!D126</f>
        <v>12663765105.430548</v>
      </c>
      <c r="E153" s="2">
        <f>E10/'Output-Calculation-sheet'!E9*'Output-Calculation-sheet'!E126</f>
        <v>14016767873.504354</v>
      </c>
      <c r="F153" s="2">
        <f>F10/'Output-Calculation-sheet'!F9*'Output-Calculation-sheet'!F126</f>
        <v>6055825037.3515911</v>
      </c>
      <c r="G153" s="2">
        <f>G10/'Output-Calculation-sheet'!G9*'Output-Calculation-sheet'!G126</f>
        <v>4598024209.825551</v>
      </c>
      <c r="H153" s="2">
        <f>H10/'Output-Calculation-sheet'!H9*'Output-Calculation-sheet'!H126</f>
        <v>14411217955.716169</v>
      </c>
      <c r="I153" s="2">
        <f>I10/'Output-Calculation-sheet'!I9*'Output-Calculation-sheet'!I126</f>
        <v>4390800135.2320023</v>
      </c>
      <c r="J153" s="2">
        <f>J10/'Output-Calculation-sheet'!J9*'Output-Calculation-sheet'!J126</f>
        <v>3585922151.6252513</v>
      </c>
      <c r="K153" s="2">
        <f>K10/'Output-Calculation-sheet'!K9*'Output-Calculation-sheet'!K126</f>
        <v>5295970825.5421743</v>
      </c>
      <c r="L153" s="2">
        <f>L10/'Output-Calculation-sheet'!L9*'Output-Calculation-sheet'!L126</f>
        <v>4387019176.0563974</v>
      </c>
      <c r="M153" s="2">
        <f>M10/'Output-Calculation-sheet'!M9*'Output-Calculation-sheet'!M126</f>
        <v>9966810343.4577103</v>
      </c>
      <c r="N153" s="2">
        <f>N10/'Output-Calculation-sheet'!N9*'Output-Calculation-sheet'!N126</f>
        <v>8390586615.4630566</v>
      </c>
      <c r="O153" s="2">
        <f>O10/'Output-Calculation-sheet'!O9*'Output-Calculation-sheet'!O126</f>
        <v>12056111978.323816</v>
      </c>
      <c r="P153" s="2">
        <f>P10/'Output-Calculation-sheet'!P9*'Output-Calculation-sheet'!P126</f>
        <v>5948277688.7048731</v>
      </c>
      <c r="Q153" s="2">
        <f>Q10/'Output-Calculation-sheet'!Q9*'Output-Calculation-sheet'!Q126</f>
        <v>5862007289.4890051</v>
      </c>
      <c r="R153" s="2">
        <f>R10/'Output-Calculation-sheet'!R9*'Output-Calculation-sheet'!R126</f>
        <v>4395804960.7580595</v>
      </c>
      <c r="S153" s="2">
        <f>S10/'Output-Calculation-sheet'!S9*'Output-Calculation-sheet'!S126</f>
        <v>4495675106.0123873</v>
      </c>
      <c r="T153" s="2">
        <f>T10/'Output-Calculation-sheet'!T9*'Output-Calculation-sheet'!T126</f>
        <v>1172670631.479141</v>
      </c>
      <c r="U153" s="2">
        <f>U10/'Output-Calculation-sheet'!U9*'Output-Calculation-sheet'!U126</f>
        <v>1514127325.6705086</v>
      </c>
      <c r="V153" s="2">
        <f>V10/'Output-Calculation-sheet'!V9*'Output-Calculation-sheet'!V126</f>
        <v>890602443.21854043</v>
      </c>
      <c r="W153" s="2">
        <f>W10/'Output-Calculation-sheet'!W9*'Output-Calculation-sheet'!W126</f>
        <v>488098256.51176256</v>
      </c>
      <c r="X153" s="2">
        <f>X10/'Output-Calculation-sheet'!X9*'Output-Calculation-sheet'!X126</f>
        <v>1119899524.3854084</v>
      </c>
      <c r="Y153" s="2">
        <f>Y10/'Output-Calculation-sheet'!Y9*'Output-Calculation-sheet'!Y126</f>
        <v>535669013.968952</v>
      </c>
      <c r="AA153" s="2">
        <f t="shared" si="13"/>
        <v>246643.4828449566</v>
      </c>
    </row>
    <row r="154" spans="1:27" x14ac:dyDescent="0.25">
      <c r="A154" s="2">
        <v>2034</v>
      </c>
      <c r="B154" s="2">
        <f>B11/'Output-Calculation-sheet'!B10*'Output-Calculation-sheet'!B127</f>
        <v>66896004293.426765</v>
      </c>
      <c r="C154" s="2">
        <f>C11/'Output-Calculation-sheet'!C10*'Output-Calculation-sheet'!C127</f>
        <v>49591421668.446945</v>
      </c>
      <c r="D154" s="2">
        <f>D11/'Output-Calculation-sheet'!D10*'Output-Calculation-sheet'!D127</f>
        <v>12455175717.539446</v>
      </c>
      <c r="E154" s="2">
        <f>E11/'Output-Calculation-sheet'!E10*'Output-Calculation-sheet'!E127</f>
        <v>13760664671.368536</v>
      </c>
      <c r="F154" s="2">
        <f>F11/'Output-Calculation-sheet'!F10*'Output-Calculation-sheet'!F127</f>
        <v>5942628716.8295698</v>
      </c>
      <c r="G154" s="2">
        <f>G11/'Output-Calculation-sheet'!G10*'Output-Calculation-sheet'!G127</f>
        <v>4528609761.3135824</v>
      </c>
      <c r="H154" s="2">
        <f>H11/'Output-Calculation-sheet'!H10*'Output-Calculation-sheet'!H127</f>
        <v>14102388300.21792</v>
      </c>
      <c r="I154" s="2">
        <f>I11/'Output-Calculation-sheet'!I10*'Output-Calculation-sheet'!I127</f>
        <v>4298874065.0098009</v>
      </c>
      <c r="J154" s="2">
        <f>J11/'Output-Calculation-sheet'!J10*'Output-Calculation-sheet'!J127</f>
        <v>3525911754.9017854</v>
      </c>
      <c r="K154" s="2">
        <f>K11/'Output-Calculation-sheet'!K10*'Output-Calculation-sheet'!K127</f>
        <v>5189590347.9833021</v>
      </c>
      <c r="L154" s="2">
        <f>L11/'Output-Calculation-sheet'!L10*'Output-Calculation-sheet'!L127</f>
        <v>4309027741.0463991</v>
      </c>
      <c r="M154" s="2">
        <f>M11/'Output-Calculation-sheet'!M10*'Output-Calculation-sheet'!M127</f>
        <v>9753549179.2487373</v>
      </c>
      <c r="N154" s="2">
        <f>N11/'Output-Calculation-sheet'!N10*'Output-Calculation-sheet'!N127</f>
        <v>8272342990.3466845</v>
      </c>
      <c r="O154" s="2">
        <f>O11/'Output-Calculation-sheet'!O10*'Output-Calculation-sheet'!O127</f>
        <v>11909044342.842173</v>
      </c>
      <c r="P154" s="2">
        <f>P11/'Output-Calculation-sheet'!P10*'Output-Calculation-sheet'!P127</f>
        <v>5829808342.8889866</v>
      </c>
      <c r="Q154" s="2">
        <f>Q11/'Output-Calculation-sheet'!Q10*'Output-Calculation-sheet'!Q127</f>
        <v>5732547913.1660414</v>
      </c>
      <c r="R154" s="2">
        <f>R11/'Output-Calculation-sheet'!R10*'Output-Calculation-sheet'!R127</f>
        <v>4317069536.0347862</v>
      </c>
      <c r="S154" s="2">
        <f>S11/'Output-Calculation-sheet'!S10*'Output-Calculation-sheet'!S127</f>
        <v>4340457879.3546858</v>
      </c>
      <c r="T154" s="2">
        <f>T11/'Output-Calculation-sheet'!T10*'Output-Calculation-sheet'!T127</f>
        <v>1150513695.7514994</v>
      </c>
      <c r="U154" s="2">
        <f>U11/'Output-Calculation-sheet'!U10*'Output-Calculation-sheet'!U127</f>
        <v>1485987480.7825212</v>
      </c>
      <c r="V154" s="2">
        <f>V11/'Output-Calculation-sheet'!V10*'Output-Calculation-sheet'!V127</f>
        <v>871179246.08088863</v>
      </c>
      <c r="W154" s="2">
        <f>W11/'Output-Calculation-sheet'!W10*'Output-Calculation-sheet'!W127</f>
        <v>479321916.68863136</v>
      </c>
      <c r="X154" s="2">
        <f>X11/'Output-Calculation-sheet'!X10*'Output-Calculation-sheet'!X127</f>
        <v>1095409457.9728947</v>
      </c>
      <c r="Y154" s="2">
        <f>Y11/'Output-Calculation-sheet'!Y10*'Output-Calculation-sheet'!Y127</f>
        <v>526613904.17387784</v>
      </c>
      <c r="AA154" s="2">
        <f t="shared" si="13"/>
        <v>240364.14292341648</v>
      </c>
    </row>
    <row r="155" spans="1:27" x14ac:dyDescent="0.25">
      <c r="A155" s="2">
        <v>2035</v>
      </c>
      <c r="B155" s="2">
        <f>B12/'Output-Calculation-sheet'!B11*'Output-Calculation-sheet'!B128</f>
        <v>61915540323.699226</v>
      </c>
      <c r="C155" s="2">
        <f>C12/'Output-Calculation-sheet'!C11*'Output-Calculation-sheet'!C128</f>
        <v>45896518608.24942</v>
      </c>
      <c r="D155" s="2">
        <f>D12/'Output-Calculation-sheet'!D11*'Output-Calculation-sheet'!D128</f>
        <v>11571006235.31867</v>
      </c>
      <c r="E155" s="2">
        <f>E12/'Output-Calculation-sheet'!E11*'Output-Calculation-sheet'!E128</f>
        <v>12803504147.71566</v>
      </c>
      <c r="F155" s="2">
        <f>F12/'Output-Calculation-sheet'!F11*'Output-Calculation-sheet'!F128</f>
        <v>5522689133.7941732</v>
      </c>
      <c r="G155" s="2">
        <f>G12/'Output-Calculation-sheet'!G11*'Output-Calculation-sheet'!G128</f>
        <v>4228457855.6645193</v>
      </c>
      <c r="H155" s="2">
        <f>H12/'Output-Calculation-sheet'!H11*'Output-Calculation-sheet'!H128</f>
        <v>13099206654.453049</v>
      </c>
      <c r="I155" s="2">
        <f>I12/'Output-Calculation-sheet'!I11*'Output-Calculation-sheet'!I128</f>
        <v>3999086116.5210261</v>
      </c>
      <c r="J155" s="2">
        <f>J12/'Output-Calculation-sheet'!J11*'Output-Calculation-sheet'!J128</f>
        <v>3294062209.0523868</v>
      </c>
      <c r="K155" s="2">
        <f>K12/'Output-Calculation-sheet'!K11*'Output-Calculation-sheet'!K128</f>
        <v>4824968016.9836226</v>
      </c>
      <c r="L155" s="2">
        <f>L12/'Output-Calculation-sheet'!L11*'Output-Calculation-sheet'!L128</f>
        <v>4014583900.0541668</v>
      </c>
      <c r="M155" s="2">
        <f>M12/'Output-Calculation-sheet'!M11*'Output-Calculation-sheet'!M128</f>
        <v>9064147350.6861172</v>
      </c>
      <c r="N155" s="2">
        <f>N12/'Output-Calculation-sheet'!N11*'Output-Calculation-sheet'!N128</f>
        <v>7729111532.4713917</v>
      </c>
      <c r="O155" s="2">
        <f>O12/'Output-Calculation-sheet'!O11*'Output-Calculation-sheet'!O128</f>
        <v>9186687269.5089722</v>
      </c>
      <c r="P155" s="2">
        <f>P12/'Output-Calculation-sheet'!P11*'Output-Calculation-sheet'!P128</f>
        <v>5414431518.6075459</v>
      </c>
      <c r="Q155" s="2">
        <f>Q12/'Output-Calculation-sheet'!Q11*'Output-Calculation-sheet'!Q128</f>
        <v>5297070953.1034546</v>
      </c>
      <c r="R155" s="2">
        <f>R12/'Output-Calculation-sheet'!R11*'Output-Calculation-sheet'!R128</f>
        <v>4009830235.1786509</v>
      </c>
      <c r="S155" s="2">
        <f>S12/'Output-Calculation-sheet'!S11*'Output-Calculation-sheet'!S128</f>
        <v>4052609728.1490374</v>
      </c>
      <c r="T155" s="2">
        <f>T12/'Output-Calculation-sheet'!T11*'Output-Calculation-sheet'!T128</f>
        <v>1070641834.4087806</v>
      </c>
      <c r="U155" s="2">
        <f>U12/'Output-Calculation-sheet'!U11*'Output-Calculation-sheet'!U128</f>
        <v>1383910959.8085234</v>
      </c>
      <c r="V155" s="2">
        <f>V12/'Output-Calculation-sheet'!V11*'Output-Calculation-sheet'!V128</f>
        <v>806782441.4196142</v>
      </c>
      <c r="W155" s="2">
        <f>W12/'Output-Calculation-sheet'!W11*'Output-Calculation-sheet'!W128</f>
        <v>446231152.6668849</v>
      </c>
      <c r="X155" s="2">
        <f>X12/'Output-Calculation-sheet'!X11*'Output-Calculation-sheet'!X128</f>
        <v>1015878801.1283995</v>
      </c>
      <c r="Y155" s="2">
        <f>Y12/'Output-Calculation-sheet'!Y11*'Output-Calculation-sheet'!Y128</f>
        <v>490251839.34896749</v>
      </c>
      <c r="AA155" s="2">
        <f t="shared" si="13"/>
        <v>221137.20881799227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2.8224316667052778E-10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2555.9554450917767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1750.4345321098888</v>
      </c>
      <c r="N19" s="2">
        <f>N8/'Output-Calculation-sheet'!N7*'Output-Calculation-sheet'!N25</f>
        <v>1177.4207401664569</v>
      </c>
      <c r="O19" s="2">
        <f>O8/'Output-Calculation-sheet'!O7*'Output-Calculation-sheet'!O25</f>
        <v>1.5533637961864079E-11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312.30455952479372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166.1219076768603</v>
      </c>
      <c r="Y19" s="2">
        <f>Y8/'Output-Calculation-sheet'!Y7*'Output-Calculation-sheet'!Y25</f>
        <v>0</v>
      </c>
      <c r="AA19" s="2">
        <f t="shared" si="0"/>
        <v>5.9622371845700748</v>
      </c>
    </row>
    <row r="20" spans="1:27" x14ac:dyDescent="0.25">
      <c r="A20" s="2">
        <v>2032</v>
      </c>
      <c r="B20" s="2">
        <f>B9/'Output-Calculation-sheet'!B8*'Output-Calculation-sheet'!B26</f>
        <v>2.9166365437300374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3028.0502210271447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2070.785813383151</v>
      </c>
      <c r="N20" s="2">
        <f>N9/'Output-Calculation-sheet'!N8*'Output-Calculation-sheet'!N26</f>
        <v>1508.1090018569789</v>
      </c>
      <c r="O20" s="2">
        <f>O9/'Output-Calculation-sheet'!O8*'Output-Calculation-sheet'!O26</f>
        <v>1.5268474752375382E-10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518.86528450548303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199.32092983895873</v>
      </c>
      <c r="Y20" s="2">
        <f>Y9/'Output-Calculation-sheet'!Y8*'Output-Calculation-sheet'!Y26</f>
        <v>0</v>
      </c>
      <c r="AA20" s="2">
        <f t="shared" si="0"/>
        <v>7.3280478871555985</v>
      </c>
    </row>
    <row r="21" spans="1:27" x14ac:dyDescent="0.25">
      <c r="A21" s="2">
        <v>2033</v>
      </c>
      <c r="B21" s="2">
        <f>B10/'Output-Calculation-sheet'!B9*'Output-Calculation-sheet'!B27</f>
        <v>4940.0819876541482</v>
      </c>
      <c r="C21" s="2">
        <f>C10/'Output-Calculation-sheet'!C9*'Output-Calculation-sheet'!C27</f>
        <v>7708.8318554039524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3458.6688892266702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2367.641714826374</v>
      </c>
      <c r="N21" s="2">
        <f>N10/'Output-Calculation-sheet'!N9*'Output-Calculation-sheet'!N27</f>
        <v>1849.9055762192693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705.72075888357847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227.89775521069387</v>
      </c>
      <c r="Y21" s="2">
        <f>Y10/'Output-Calculation-sheet'!Y9*'Output-Calculation-sheet'!Y27</f>
        <v>0</v>
      </c>
      <c r="AA21" s="2">
        <f t="shared" si="0"/>
        <v>21.258748537424687</v>
      </c>
    </row>
    <row r="22" spans="1:27" x14ac:dyDescent="0.25">
      <c r="A22" s="2">
        <v>2034</v>
      </c>
      <c r="B22" s="2">
        <f>B11/'Output-Calculation-sheet'!B10*'Output-Calculation-sheet'!B28</f>
        <v>9147.7070154936246</v>
      </c>
      <c r="C22" s="2">
        <f>C11/'Output-Calculation-sheet'!C10*'Output-Calculation-sheet'!C28</f>
        <v>8862.7336869283899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3872.149936342289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2650.9070187853645</v>
      </c>
      <c r="N22" s="2">
        <f>N11/'Output-Calculation-sheet'!N10*'Output-Calculation-sheet'!N28</f>
        <v>2125.6948905977633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867.13737304617098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256.8370710539358</v>
      </c>
      <c r="Y22" s="2">
        <f>Y11/'Output-Calculation-sheet'!Y10*'Output-Calculation-sheet'!Y28</f>
        <v>0</v>
      </c>
      <c r="AA22" s="2">
        <f t="shared" si="0"/>
        <v>27.783166992247533</v>
      </c>
    </row>
    <row r="23" spans="1:27" x14ac:dyDescent="0.25">
      <c r="A23" s="2">
        <v>2035</v>
      </c>
      <c r="B23" s="2">
        <f>B12/'Output-Calculation-sheet'!B11*'Output-Calculation-sheet'!B29</f>
        <v>12161.443524013097</v>
      </c>
      <c r="C23" s="2">
        <f>C12/'Output-Calculation-sheet'!C11*'Output-Calculation-sheet'!C29</f>
        <v>9965.3718277915286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4251.6376529996624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2906.1792551860699</v>
      </c>
      <c r="N23" s="2">
        <f>N12/'Output-Calculation-sheet'!N11*'Output-Calculation-sheet'!N29</f>
        <v>2375.5392562998186</v>
      </c>
      <c r="O23" s="2">
        <f>O12/'Output-Calculation-sheet'!O11*'Output-Calculation-sheet'!O29</f>
        <v>1694.3416845923823</v>
      </c>
      <c r="P23" s="2">
        <f>P12/'Output-Calculation-sheet'!P11*'Output-Calculation-sheet'!P29</f>
        <v>0</v>
      </c>
      <c r="Q23" s="2">
        <f>Q12/'Output-Calculation-sheet'!Q11*'Output-Calculation-sheet'!Q29</f>
        <v>32.429274911742048</v>
      </c>
      <c r="R23" s="2">
        <f>R12/'Output-Calculation-sheet'!R11*'Output-Calculation-sheet'!R29</f>
        <v>0</v>
      </c>
      <c r="S23" s="2">
        <f>S12/'Output-Calculation-sheet'!S11*'Output-Calculation-sheet'!S29</f>
        <v>1043.2383287852201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284.88195008189831</v>
      </c>
      <c r="Y23" s="2">
        <f>Y12/'Output-Calculation-sheet'!Y11*'Output-Calculation-sheet'!Y29</f>
        <v>0</v>
      </c>
      <c r="AA23" s="2">
        <f t="shared" si="0"/>
        <v>34.715062754661425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20089.42572507737</v>
      </c>
      <c r="C30" s="2">
        <f>C8/'Output-Calculation-sheet'!C7*'Output-Calculation-sheet'!C16</f>
        <v>0</v>
      </c>
      <c r="D30" s="2">
        <f>D8/'Output-Calculation-sheet'!D7*'Output-Calculation-sheet'!D16</f>
        <v>6271.1981401347912</v>
      </c>
      <c r="E30" s="2">
        <f>E8/'Output-Calculation-sheet'!E7*'Output-Calculation-sheet'!E16</f>
        <v>6486.4931581864548</v>
      </c>
      <c r="F30" s="2">
        <f>F8/'Output-Calculation-sheet'!F7*'Output-Calculation-sheet'!F16</f>
        <v>3634.0070723319013</v>
      </c>
      <c r="G30" s="2">
        <f>G8/'Output-Calculation-sheet'!G7*'Output-Calculation-sheet'!G16</f>
        <v>2191.7057550714549</v>
      </c>
      <c r="H30" s="2">
        <f>H8/'Output-Calculation-sheet'!H7*'Output-Calculation-sheet'!H16</f>
        <v>0</v>
      </c>
      <c r="I30" s="2">
        <f>I8/'Output-Calculation-sheet'!I7*'Output-Calculation-sheet'!I16</f>
        <v>2218.2418582442228</v>
      </c>
      <c r="J30" s="2">
        <f>J8/'Output-Calculation-sheet'!J7*'Output-Calculation-sheet'!J16</f>
        <v>2024.6978826223153</v>
      </c>
      <c r="K30" s="2">
        <f>K8/'Output-Calculation-sheet'!K7*'Output-Calculation-sheet'!K16</f>
        <v>2504.0197768924663</v>
      </c>
      <c r="L30" s="2">
        <f>L8/'Output-Calculation-sheet'!L7*'Output-Calculation-sheet'!L16</f>
        <v>2066.4725125701398</v>
      </c>
      <c r="M30" s="2">
        <f>M8/'Output-Calculation-sheet'!M7*'Output-Calculation-sheet'!M16</f>
        <v>0</v>
      </c>
      <c r="N30" s="2">
        <f>N8/'Output-Calculation-sheet'!N7*'Output-Calculation-sheet'!N16</f>
        <v>1013.922426910525</v>
      </c>
      <c r="O30" s="2">
        <f>O8/'Output-Calculation-sheet'!O7*'Output-Calculation-sheet'!O16</f>
        <v>0</v>
      </c>
      <c r="P30" s="2">
        <f>P8/'Output-Calculation-sheet'!P7*'Output-Calculation-sheet'!P16</f>
        <v>1647.0861618645499</v>
      </c>
      <c r="Q30" s="2">
        <f>Q8/'Output-Calculation-sheet'!Q7*'Output-Calculation-sheet'!Q16</f>
        <v>1806.5551114626749</v>
      </c>
      <c r="R30" s="2">
        <f>R8/'Output-Calculation-sheet'!R7*'Output-Calculation-sheet'!R16</f>
        <v>1582.7932648179933</v>
      </c>
      <c r="S30" s="2">
        <f>S8/'Output-Calculation-sheet'!S7*'Output-Calculation-sheet'!S16</f>
        <v>845.26657253535359</v>
      </c>
      <c r="T30" s="2">
        <f>T8/'Output-Calculation-sheet'!T7*'Output-Calculation-sheet'!T16</f>
        <v>577.42827615421459</v>
      </c>
      <c r="U30" s="2">
        <f>U8/'Output-Calculation-sheet'!U7*'Output-Calculation-sheet'!U16</f>
        <v>443.79381901340076</v>
      </c>
      <c r="V30" s="2">
        <f>V8/'Output-Calculation-sheet'!V7*'Output-Calculation-sheet'!V16</f>
        <v>424.9696763953803</v>
      </c>
      <c r="W30" s="2">
        <f>W8/'Output-Calculation-sheet'!W7*'Output-Calculation-sheet'!W16</f>
        <v>295.03483678093556</v>
      </c>
      <c r="X30" s="2">
        <f>X8/'Output-Calculation-sheet'!X7*'Output-Calculation-sheet'!X16</f>
        <v>0</v>
      </c>
      <c r="Y30" s="2">
        <f>Y8/'Output-Calculation-sheet'!Y7*'Output-Calculation-sheet'!Y16</f>
        <v>195.04704647421136</v>
      </c>
      <c r="AA30" s="2">
        <f t="shared" si="1"/>
        <v>56.318159073540343</v>
      </c>
    </row>
    <row r="31" spans="1:27" x14ac:dyDescent="0.25">
      <c r="A31" s="2">
        <v>2032</v>
      </c>
      <c r="B31" s="2">
        <f>B9/'Output-Calculation-sheet'!B8*'Output-Calculation-sheet'!B17</f>
        <v>23324.446605799956</v>
      </c>
      <c r="C31" s="2">
        <f>C9/'Output-Calculation-sheet'!C8*'Output-Calculation-sheet'!C17</f>
        <v>0</v>
      </c>
      <c r="D31" s="2">
        <f>D9/'Output-Calculation-sheet'!D8*'Output-Calculation-sheet'!D17</f>
        <v>7231.0313749789866</v>
      </c>
      <c r="E31" s="2">
        <f>E9/'Output-Calculation-sheet'!E8*'Output-Calculation-sheet'!E17</f>
        <v>7488.5655852370219</v>
      </c>
      <c r="F31" s="2">
        <f>F9/'Output-Calculation-sheet'!F8*'Output-Calculation-sheet'!F17</f>
        <v>4183.5769762858035</v>
      </c>
      <c r="G31" s="2">
        <f>G9/'Output-Calculation-sheet'!G8*'Output-Calculation-sheet'!G17</f>
        <v>2522.0250295541155</v>
      </c>
      <c r="H31" s="2">
        <f>H9/'Output-Calculation-sheet'!H8*'Output-Calculation-sheet'!H17</f>
        <v>0</v>
      </c>
      <c r="I31" s="2">
        <f>I9/'Output-Calculation-sheet'!I8*'Output-Calculation-sheet'!I17</f>
        <v>2557.0141496707774</v>
      </c>
      <c r="J31" s="2">
        <f>J9/'Output-Calculation-sheet'!J8*'Output-Calculation-sheet'!J17</f>
        <v>2332.1695887401861</v>
      </c>
      <c r="K31" s="2">
        <f>K9/'Output-Calculation-sheet'!K8*'Output-Calculation-sheet'!K17</f>
        <v>2888.8150940188821</v>
      </c>
      <c r="L31" s="2">
        <f>L9/'Output-Calculation-sheet'!L8*'Output-Calculation-sheet'!L17</f>
        <v>2384.6733957978645</v>
      </c>
      <c r="M31" s="2">
        <f>M9/'Output-Calculation-sheet'!M8*'Output-Calculation-sheet'!M17</f>
        <v>0</v>
      </c>
      <c r="N31" s="2">
        <f>N9/'Output-Calculation-sheet'!N8*'Output-Calculation-sheet'!N17</f>
        <v>1054.852908084345</v>
      </c>
      <c r="O31" s="2">
        <f>O9/'Output-Calculation-sheet'!O8*'Output-Calculation-sheet'!O17</f>
        <v>0</v>
      </c>
      <c r="P31" s="2">
        <f>P9/'Output-Calculation-sheet'!P8*'Output-Calculation-sheet'!P17</f>
        <v>1918.416262888825</v>
      </c>
      <c r="Q31" s="2">
        <f>Q9/'Output-Calculation-sheet'!Q8*'Output-Calculation-sheet'!Q17</f>
        <v>2102.3995678030305</v>
      </c>
      <c r="R31" s="2">
        <f>R9/'Output-Calculation-sheet'!R8*'Output-Calculation-sheet'!R17</f>
        <v>1825.4148753006573</v>
      </c>
      <c r="S31" s="2">
        <f>S9/'Output-Calculation-sheet'!S8*'Output-Calculation-sheet'!S17</f>
        <v>910.78833894801278</v>
      </c>
      <c r="T31" s="2">
        <f>T9/'Output-Calculation-sheet'!T8*'Output-Calculation-sheet'!T17</f>
        <v>665.19627910149541</v>
      </c>
      <c r="U31" s="2">
        <f>U9/'Output-Calculation-sheet'!U8*'Output-Calculation-sheet'!U17</f>
        <v>513.032558111669</v>
      </c>
      <c r="V31" s="2">
        <f>V9/'Output-Calculation-sheet'!V8*'Output-Calculation-sheet'!V17</f>
        <v>491.63571024908254</v>
      </c>
      <c r="W31" s="2">
        <f>W9/'Output-Calculation-sheet'!W8*'Output-Calculation-sheet'!W17</f>
        <v>340.43980759800633</v>
      </c>
      <c r="X31" s="2">
        <f>X9/'Output-Calculation-sheet'!X8*'Output-Calculation-sheet'!X17</f>
        <v>0</v>
      </c>
      <c r="Y31" s="2">
        <f>Y9/'Output-Calculation-sheet'!Y8*'Output-Calculation-sheet'!Y17</f>
        <v>225.0637347542646</v>
      </c>
      <c r="AA31" s="2">
        <f t="shared" si="1"/>
        <v>64.95955784292299</v>
      </c>
    </row>
    <row r="32" spans="1:27" x14ac:dyDescent="0.25">
      <c r="A32" s="2">
        <v>2033</v>
      </c>
      <c r="B32" s="2">
        <f>B10/'Output-Calculation-sheet'!B9*'Output-Calculation-sheet'!B18</f>
        <v>24108.419860417463</v>
      </c>
      <c r="C32" s="2">
        <f>C10/'Output-Calculation-sheet'!C9*'Output-Calculation-sheet'!C18</f>
        <v>0</v>
      </c>
      <c r="D32" s="2">
        <f>D10/'Output-Calculation-sheet'!D9*'Output-Calculation-sheet'!D18</f>
        <v>8048.412515572857</v>
      </c>
      <c r="E32" s="2">
        <f>E10/'Output-Calculation-sheet'!E9*'Output-Calculation-sheet'!E18</f>
        <v>8334.368613890485</v>
      </c>
      <c r="F32" s="2">
        <f>F10/'Output-Calculation-sheet'!F9*'Output-Calculation-sheet'!F18</f>
        <v>4655.2712044437476</v>
      </c>
      <c r="G32" s="2">
        <f>G10/'Output-Calculation-sheet'!G9*'Output-Calculation-sheet'!G18</f>
        <v>2807.669618013937</v>
      </c>
      <c r="H32" s="2">
        <f>H10/'Output-Calculation-sheet'!H9*'Output-Calculation-sheet'!H18</f>
        <v>0</v>
      </c>
      <c r="I32" s="2">
        <f>I10/'Output-Calculation-sheet'!I9*'Output-Calculation-sheet'!I18</f>
        <v>2846.3261319187104</v>
      </c>
      <c r="J32" s="2">
        <f>J10/'Output-Calculation-sheet'!J9*'Output-Calculation-sheet'!J18</f>
        <v>2595.9779360937805</v>
      </c>
      <c r="K32" s="2">
        <f>K10/'Output-Calculation-sheet'!K9*'Output-Calculation-sheet'!K18</f>
        <v>3222.9476413481125</v>
      </c>
      <c r="L32" s="2">
        <f>L10/'Output-Calculation-sheet'!L9*'Output-Calculation-sheet'!L18</f>
        <v>2656.1466819185757</v>
      </c>
      <c r="M32" s="2">
        <f>M10/'Output-Calculation-sheet'!M9*'Output-Calculation-sheet'!M18</f>
        <v>0</v>
      </c>
      <c r="N32" s="2">
        <f>N10/'Output-Calculation-sheet'!N9*'Output-Calculation-sheet'!N18</f>
        <v>1051.343560235124</v>
      </c>
      <c r="O32" s="2">
        <f>O10/'Output-Calculation-sheet'!O9*'Output-Calculation-sheet'!O18</f>
        <v>0</v>
      </c>
      <c r="P32" s="2">
        <f>P10/'Output-Calculation-sheet'!P9*'Output-Calculation-sheet'!P18</f>
        <v>2151.081411187894</v>
      </c>
      <c r="Q32" s="2">
        <f>Q10/'Output-Calculation-sheet'!Q9*'Output-Calculation-sheet'!Q18</f>
        <v>2359.1644195987842</v>
      </c>
      <c r="R32" s="2">
        <f>R10/'Output-Calculation-sheet'!R9*'Output-Calculation-sheet'!R18</f>
        <v>2037.7379018133065</v>
      </c>
      <c r="S32" s="2">
        <f>S10/'Output-Calculation-sheet'!S9*'Output-Calculation-sheet'!S18</f>
        <v>948.49428086491923</v>
      </c>
      <c r="T32" s="2">
        <f>T10/'Output-Calculation-sheet'!T9*'Output-Calculation-sheet'!T18</f>
        <v>741.2135510319398</v>
      </c>
      <c r="U32" s="2">
        <f>U10/'Output-Calculation-sheet'!U9*'Output-Calculation-sheet'!U18</f>
        <v>571.64515577261443</v>
      </c>
      <c r="V32" s="2">
        <f>V10/'Output-Calculation-sheet'!V9*'Output-Calculation-sheet'!V18</f>
        <v>548.39267662145539</v>
      </c>
      <c r="W32" s="2">
        <f>W10/'Output-Calculation-sheet'!W9*'Output-Calculation-sheet'!W18</f>
        <v>378.41051410832381</v>
      </c>
      <c r="X32" s="2">
        <f>X10/'Output-Calculation-sheet'!X9*'Output-Calculation-sheet'!X18</f>
        <v>0</v>
      </c>
      <c r="Y32" s="2">
        <f>Y10/'Output-Calculation-sheet'!Y9*'Output-Calculation-sheet'!Y18</f>
        <v>250.90349061051049</v>
      </c>
      <c r="AA32" s="2">
        <f t="shared" si="1"/>
        <v>70.31392716546253</v>
      </c>
    </row>
    <row r="33" spans="1:27" x14ac:dyDescent="0.25">
      <c r="A33" s="2">
        <v>2034</v>
      </c>
      <c r="B33" s="2">
        <f>B11/'Output-Calculation-sheet'!B10*'Output-Calculation-sheet'!B19</f>
        <v>24752.353331669714</v>
      </c>
      <c r="C33" s="2">
        <f>C11/'Output-Calculation-sheet'!C10*'Output-Calculation-sheet'!C19</f>
        <v>0</v>
      </c>
      <c r="D33" s="2">
        <f>D11/'Output-Calculation-sheet'!D10*'Output-Calculation-sheet'!D19</f>
        <v>8751.9185305693936</v>
      </c>
      <c r="E33" s="2">
        <f>E11/'Output-Calculation-sheet'!E10*'Output-Calculation-sheet'!E19</f>
        <v>9084.2680009778724</v>
      </c>
      <c r="F33" s="2">
        <f>F11/'Output-Calculation-sheet'!F10*'Output-Calculation-sheet'!F19</f>
        <v>5064.7655564455927</v>
      </c>
      <c r="G33" s="2">
        <f>G11/'Output-Calculation-sheet'!G10*'Output-Calculation-sheet'!G19</f>
        <v>3049.8565729589764</v>
      </c>
      <c r="H33" s="2">
        <f>H11/'Output-Calculation-sheet'!H10*'Output-Calculation-sheet'!H19</f>
        <v>0</v>
      </c>
      <c r="I33" s="2">
        <f>I11/'Output-Calculation-sheet'!I10*'Output-Calculation-sheet'!I19</f>
        <v>3106.3016994367863</v>
      </c>
      <c r="J33" s="2">
        <f>J11/'Output-Calculation-sheet'!J10*'Output-Calculation-sheet'!J19</f>
        <v>2823.0680014897225</v>
      </c>
      <c r="K33" s="2">
        <f>K11/'Output-Calculation-sheet'!K10*'Output-Calculation-sheet'!K19</f>
        <v>3516.3398111204569</v>
      </c>
      <c r="L33" s="2">
        <f>L11/'Output-Calculation-sheet'!L10*'Output-Calculation-sheet'!L19</f>
        <v>2892.1492576734995</v>
      </c>
      <c r="M33" s="2">
        <f>M11/'Output-Calculation-sheet'!M10*'Output-Calculation-sheet'!M19</f>
        <v>0</v>
      </c>
      <c r="N33" s="2">
        <f>N11/'Output-Calculation-sheet'!N10*'Output-Calculation-sheet'!N19</f>
        <v>1071.7804415425203</v>
      </c>
      <c r="O33" s="2">
        <f>O11/'Output-Calculation-sheet'!O10*'Output-Calculation-sheet'!O19</f>
        <v>0</v>
      </c>
      <c r="P33" s="2">
        <f>P11/'Output-Calculation-sheet'!P10*'Output-Calculation-sheet'!P19</f>
        <v>2357.3905538342874</v>
      </c>
      <c r="Q33" s="2">
        <f>Q11/'Output-Calculation-sheet'!Q10*'Output-Calculation-sheet'!Q19</f>
        <v>2589.8283802648943</v>
      </c>
      <c r="R33" s="2">
        <f>R11/'Output-Calculation-sheet'!R10*'Output-Calculation-sheet'!R19</f>
        <v>2222.4758276865241</v>
      </c>
      <c r="S33" s="2">
        <f>S11/'Output-Calculation-sheet'!S10*'Output-Calculation-sheet'!S19</f>
        <v>1025.0440451086793</v>
      </c>
      <c r="T33" s="2">
        <f>T11/'Output-Calculation-sheet'!T10*'Output-Calculation-sheet'!T19</f>
        <v>807.66658735935789</v>
      </c>
      <c r="U33" s="2">
        <f>U11/'Output-Calculation-sheet'!U10*'Output-Calculation-sheet'!U19</f>
        <v>624.99616738623547</v>
      </c>
      <c r="V33" s="2">
        <f>V11/'Output-Calculation-sheet'!V10*'Output-Calculation-sheet'!V19</f>
        <v>599.1592941013289</v>
      </c>
      <c r="W33" s="2">
        <f>W11/'Output-Calculation-sheet'!W10*'Output-Calculation-sheet'!W19</f>
        <v>411.64976435513171</v>
      </c>
      <c r="X33" s="2">
        <f>X11/'Output-Calculation-sheet'!X10*'Output-Calculation-sheet'!X19</f>
        <v>0</v>
      </c>
      <c r="Y33" s="2">
        <f>Y11/'Output-Calculation-sheet'!Y10*'Output-Calculation-sheet'!Y19</f>
        <v>273.31930453531925</v>
      </c>
      <c r="AA33" s="2">
        <f t="shared" si="1"/>
        <v>75.02433112851628</v>
      </c>
    </row>
    <row r="34" spans="1:27" x14ac:dyDescent="0.25">
      <c r="A34" s="2">
        <v>2035</v>
      </c>
      <c r="B34" s="2">
        <f>B12/'Output-Calculation-sheet'!B11*'Output-Calculation-sheet'!B20</f>
        <v>25420.38068994584</v>
      </c>
      <c r="C34" s="2">
        <f>C12/'Output-Calculation-sheet'!C11*'Output-Calculation-sheet'!C20</f>
        <v>0</v>
      </c>
      <c r="D34" s="2">
        <f>D12/'Output-Calculation-sheet'!D11*'Output-Calculation-sheet'!D20</f>
        <v>9401.1971781591528</v>
      </c>
      <c r="E34" s="2">
        <f>E12/'Output-Calculation-sheet'!E11*'Output-Calculation-sheet'!E20</f>
        <v>9754.1492032679307</v>
      </c>
      <c r="F34" s="2">
        <f>F12/'Output-Calculation-sheet'!F11*'Output-Calculation-sheet'!F20</f>
        <v>5430.3508442601242</v>
      </c>
      <c r="G34" s="2">
        <f>G12/'Output-Calculation-sheet'!G11*'Output-Calculation-sheet'!G20</f>
        <v>3262.7991837566901</v>
      </c>
      <c r="H34" s="2">
        <f>H12/'Output-Calculation-sheet'!H11*'Output-Calculation-sheet'!H20</f>
        <v>0</v>
      </c>
      <c r="I34" s="2">
        <f>I12/'Output-Calculation-sheet'!I11*'Output-Calculation-sheet'!I20</f>
        <v>3332.5632166423229</v>
      </c>
      <c r="J34" s="2">
        <f>J12/'Output-Calculation-sheet'!J11*'Output-Calculation-sheet'!J20</f>
        <v>3018.2004472168546</v>
      </c>
      <c r="K34" s="2">
        <f>K12/'Output-Calculation-sheet'!K11*'Output-Calculation-sheet'!K20</f>
        <v>3775.6060650206487</v>
      </c>
      <c r="L34" s="2">
        <f>L12/'Output-Calculation-sheet'!L11*'Output-Calculation-sheet'!L20</f>
        <v>3100.01433911083</v>
      </c>
      <c r="M34" s="2">
        <f>M12/'Output-Calculation-sheet'!M11*'Output-Calculation-sheet'!M20</f>
        <v>0</v>
      </c>
      <c r="N34" s="2">
        <f>N12/'Output-Calculation-sheet'!N11*'Output-Calculation-sheet'!N20</f>
        <v>1090.613963209599</v>
      </c>
      <c r="O34" s="2">
        <f>O12/'Output-Calculation-sheet'!O11*'Output-Calculation-sheet'!O20</f>
        <v>0</v>
      </c>
      <c r="P34" s="2">
        <f>P12/'Output-Calculation-sheet'!P11*'Output-Calculation-sheet'!P20</f>
        <v>2545.5828798663442</v>
      </c>
      <c r="Q34" s="2">
        <f>Q12/'Output-Calculation-sheet'!Q11*'Output-Calculation-sheet'!Q20</f>
        <v>2791.3486831394889</v>
      </c>
      <c r="R34" s="2">
        <f>R12/'Output-Calculation-sheet'!R11*'Output-Calculation-sheet'!R20</f>
        <v>2393.58700874448</v>
      </c>
      <c r="S34" s="2">
        <f>S12/'Output-Calculation-sheet'!S11*'Output-Calculation-sheet'!S20</f>
        <v>1029.3579402431883</v>
      </c>
      <c r="T34" s="2">
        <f>T12/'Output-Calculation-sheet'!T11*'Output-Calculation-sheet'!T20</f>
        <v>866.38673681753187</v>
      </c>
      <c r="U34" s="2">
        <f>U12/'Output-Calculation-sheet'!U11*'Output-Calculation-sheet'!U20</f>
        <v>672.04109889877236</v>
      </c>
      <c r="V34" s="2">
        <f>V12/'Output-Calculation-sheet'!V11*'Output-Calculation-sheet'!V20</f>
        <v>645.40395483514021</v>
      </c>
      <c r="W34" s="2">
        <f>W12/'Output-Calculation-sheet'!W11*'Output-Calculation-sheet'!W20</f>
        <v>441.03457521338163</v>
      </c>
      <c r="X34" s="2">
        <f>X12/'Output-Calculation-sheet'!X11*'Output-Calculation-sheet'!X20</f>
        <v>0</v>
      </c>
      <c r="Y34" s="2">
        <f>Y12/'Output-Calculation-sheet'!Y11*'Output-Calculation-sheet'!Y20</f>
        <v>293.59496830704308</v>
      </c>
      <c r="AA34" s="2">
        <f t="shared" si="1"/>
        <v>79.264212976655372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6.2648990323569578</v>
      </c>
      <c r="C63" s="2">
        <f>C8*'Output-Calculation-sheet'!C52/10^9</f>
        <v>3.0145318245991843</v>
      </c>
      <c r="D63" s="2">
        <f>D8*'Output-Calculation-sheet'!D52/10^9</f>
        <v>1.3710696160128222</v>
      </c>
      <c r="E63" s="2">
        <f>E8*'Output-Calculation-sheet'!E52/10^9</f>
        <v>1.5255471503334557</v>
      </c>
      <c r="F63" s="2">
        <f>F8*'Output-Calculation-sheet'!F52/10^9</f>
        <v>0.70463629513686621</v>
      </c>
      <c r="G63" s="2">
        <f>G8*'Output-Calculation-sheet'!G52/10^9</f>
        <v>0.48704937890779898</v>
      </c>
      <c r="H63" s="2">
        <f>H8*'Output-Calculation-sheet'!H52/10^9</f>
        <v>0.91840747273089585</v>
      </c>
      <c r="I63" s="2">
        <f>I8*'Output-Calculation-sheet'!I52/10^9</f>
        <v>0.48061143868130785</v>
      </c>
      <c r="J63" s="2">
        <f>J8*'Output-Calculation-sheet'!J52/10^9</f>
        <v>0.43384040242394645</v>
      </c>
      <c r="K63" s="2">
        <f>K8*'Output-Calculation-sheet'!K52/10^9</f>
        <v>0.55994552035128753</v>
      </c>
      <c r="L63" s="2">
        <f>L8*'Output-Calculation-sheet'!L52/10^9</f>
        <v>0.46256579402724818</v>
      </c>
      <c r="M63" s="2">
        <f>M8*'Output-Calculation-sheet'!M52/10^9</f>
        <v>0.63451119547631774</v>
      </c>
      <c r="N63" s="2">
        <f>N8*'Output-Calculation-sheet'!N52/10^9</f>
        <v>0.66319047144197285</v>
      </c>
      <c r="O63" s="2">
        <f>O8*'Output-Calculation-sheet'!O52/10^9</f>
        <v>0.58573040317119618</v>
      </c>
      <c r="P63" s="2">
        <f>P8*'Output-Calculation-sheet'!P52/10^9</f>
        <v>0.49095941212938665</v>
      </c>
      <c r="Q63" s="2">
        <f>Q8*'Output-Calculation-sheet'!Q52/10^9</f>
        <v>0.506306640875268</v>
      </c>
      <c r="R63" s="2">
        <f>R8*'Output-Calculation-sheet'!R52/10^9</f>
        <v>0.40491458059335422</v>
      </c>
      <c r="S63" s="2">
        <f>S8*'Output-Calculation-sheet'!S52/10^9</f>
        <v>0.37326032547805438</v>
      </c>
      <c r="T63" s="2">
        <f>T8*'Output-Calculation-sheet'!T52/10^9</f>
        <v>0.12657762334761502</v>
      </c>
      <c r="U63" s="2">
        <f>U8*'Output-Calculation-sheet'!U52/10^9</f>
        <v>0.1272418393320745</v>
      </c>
      <c r="V63" s="2">
        <f>V8*'Output-Calculation-sheet'!V52/10^9</f>
        <v>9.4764631922508516E-2</v>
      </c>
      <c r="W63" s="2">
        <f>W8*'Output-Calculation-sheet'!W52/10^9</f>
        <v>5.9249126141613692E-2</v>
      </c>
      <c r="X63" s="2">
        <f>X8*'Output-Calculation-sheet'!X52/10^9</f>
        <v>7.5454748952314188E-2</v>
      </c>
      <c r="Y63" s="2">
        <f>Y8*'Output-Calculation-sheet'!Y52/10^9</f>
        <v>4.9585811260265074E-2</v>
      </c>
      <c r="AA63" s="2">
        <f t="shared" si="4"/>
        <v>20.414850735683711</v>
      </c>
    </row>
    <row r="64" spans="1:27" x14ac:dyDescent="0.25">
      <c r="A64" s="2">
        <v>2032</v>
      </c>
      <c r="B64" s="2">
        <f>B9*'Output-Calculation-sheet'!B53/10^9</f>
        <v>7.1594104597019319</v>
      </c>
      <c r="C64" s="2">
        <f>C9*'Output-Calculation-sheet'!C53/10^9</f>
        <v>3.4572718571664085</v>
      </c>
      <c r="D64" s="2">
        <f>D9*'Output-Calculation-sheet'!D53/10^9</f>
        <v>1.564464926347352</v>
      </c>
      <c r="E64" s="2">
        <f>E9*'Output-Calculation-sheet'!E53/10^9</f>
        <v>1.7413560019850749</v>
      </c>
      <c r="F64" s="2">
        <f>F9*'Output-Calculation-sheet'!F53/10^9</f>
        <v>0.80351174447706564</v>
      </c>
      <c r="G64" s="2">
        <f>G9*'Output-Calculation-sheet'!G53/10^9</f>
        <v>0.55580032697853687</v>
      </c>
      <c r="H64" s="2">
        <f>H9*'Output-Calculation-sheet'!H53/10^9</f>
        <v>1.0435514731240256</v>
      </c>
      <c r="I64" s="2">
        <f>I9*'Output-Calculation-sheet'!I53/10^9</f>
        <v>0.54837991340357251</v>
      </c>
      <c r="J64" s="2">
        <f>J9*'Output-Calculation-sheet'!J53/10^9</f>
        <v>0.49498531729249395</v>
      </c>
      <c r="K64" s="2">
        <f>K9*'Output-Calculation-sheet'!K53/10^9</f>
        <v>0.6390037039966241</v>
      </c>
      <c r="L64" s="2">
        <f>L9*'Output-Calculation-sheet'!L53/10^9</f>
        <v>0.52787632028907994</v>
      </c>
      <c r="M64" s="2">
        <f>M9*'Output-Calculation-sheet'!M53/10^9</f>
        <v>0.72100604042785155</v>
      </c>
      <c r="N64" s="2">
        <f>N9*'Output-Calculation-sheet'!N53/10^9</f>
        <v>0.75456382949348089</v>
      </c>
      <c r="O64" s="2">
        <f>O9*'Output-Calculation-sheet'!O53/10^9</f>
        <v>0.67175580043503458</v>
      </c>
      <c r="P64" s="2">
        <f>P9*'Output-Calculation-sheet'!P53/10^9</f>
        <v>0.56096071012196902</v>
      </c>
      <c r="Q64" s="2">
        <f>Q9*'Output-Calculation-sheet'!Q53/10^9</f>
        <v>0.578360116814161</v>
      </c>
      <c r="R64" s="2">
        <f>R9*'Output-Calculation-sheet'!R53/10^9</f>
        <v>0.46237303506960431</v>
      </c>
      <c r="S64" s="2">
        <f>S9*'Output-Calculation-sheet'!S53/10^9</f>
        <v>0.42551365630671639</v>
      </c>
      <c r="T64" s="2">
        <f>T9*'Output-Calculation-sheet'!T53/10^9</f>
        <v>0.14443480223869259</v>
      </c>
      <c r="U64" s="2">
        <f>U9*'Output-Calculation-sheet'!U53/10^9</f>
        <v>0.14536551930244559</v>
      </c>
      <c r="V64" s="2">
        <f>V9*'Output-Calculation-sheet'!V53/10^9</f>
        <v>0.10814199341532971</v>
      </c>
      <c r="W64" s="2">
        <f>W9*'Output-Calculation-sheet'!W53/10^9</f>
        <v>6.7576226907397952E-2</v>
      </c>
      <c r="X64" s="2">
        <f>X9*'Output-Calculation-sheet'!X53/10^9</f>
        <v>8.5823251518008487E-2</v>
      </c>
      <c r="Y64" s="2">
        <f>Y9*'Output-Calculation-sheet'!Y53/10^9</f>
        <v>5.662046285560101E-2</v>
      </c>
      <c r="AA64" s="2">
        <f t="shared" si="4"/>
        <v>23.318107489668453</v>
      </c>
    </row>
    <row r="65" spans="1:27" x14ac:dyDescent="0.25">
      <c r="A65" s="2">
        <v>2033</v>
      </c>
      <c r="B65" s="2">
        <f>B10*'Output-Calculation-sheet'!B54/10^9</f>
        <v>7.8932443757725785</v>
      </c>
      <c r="C65" s="2">
        <f>C10*'Output-Calculation-sheet'!C54/10^9</f>
        <v>3.821039560434309</v>
      </c>
      <c r="D65" s="2">
        <f>D10*'Output-Calculation-sheet'!D54/10^9</f>
        <v>1.7239935457311351</v>
      </c>
      <c r="E65" s="2">
        <f>E10*'Output-Calculation-sheet'!E54/10^9</f>
        <v>1.919612102893127</v>
      </c>
      <c r="F65" s="2">
        <f>F10*'Output-Calculation-sheet'!F54/10^9</f>
        <v>0.8848709042002264</v>
      </c>
      <c r="G65" s="2">
        <f>G10*'Output-Calculation-sheet'!G54/10^9</f>
        <v>0.61253391121361156</v>
      </c>
      <c r="H65" s="2">
        <f>H10*'Output-Calculation-sheet'!H54/10^9</f>
        <v>1.1447512763968999</v>
      </c>
      <c r="I65" s="2">
        <f>I10*'Output-Calculation-sheet'!I54/10^9</f>
        <v>0.60427252751499438</v>
      </c>
      <c r="J65" s="2">
        <f>J10*'Output-Calculation-sheet'!J54/10^9</f>
        <v>0.54540415753356242</v>
      </c>
      <c r="K65" s="2">
        <f>K10*'Output-Calculation-sheet'!K54/10^9</f>
        <v>0.70423912940957045</v>
      </c>
      <c r="L65" s="2">
        <f>L10*'Output-Calculation-sheet'!L54/10^9</f>
        <v>0.58177126716869099</v>
      </c>
      <c r="M65" s="2">
        <f>M10*'Output-Calculation-sheet'!M54/10^9</f>
        <v>0.79096076509622271</v>
      </c>
      <c r="N65" s="2">
        <f>N10*'Output-Calculation-sheet'!N54/10^9</f>
        <v>0.82865121096222472</v>
      </c>
      <c r="O65" s="2">
        <f>O10*'Output-Calculation-sheet'!O54/10^9</f>
        <v>0.74406373322403685</v>
      </c>
      <c r="P65" s="2">
        <f>P10*'Output-Calculation-sheet'!P54/10^9</f>
        <v>0.61898194175000087</v>
      </c>
      <c r="Q65" s="2">
        <f>Q10*'Output-Calculation-sheet'!Q54/10^9</f>
        <v>0.63802575001692141</v>
      </c>
      <c r="R65" s="2">
        <f>R10*'Output-Calculation-sheet'!R54/10^9</f>
        <v>0.50989965385760272</v>
      </c>
      <c r="S65" s="2">
        <f>S10*'Output-Calculation-sheet'!S54/10^9</f>
        <v>0.46805065929307776</v>
      </c>
      <c r="T65" s="2">
        <f>T10*'Output-Calculation-sheet'!T54/10^9</f>
        <v>0.15916498565978626</v>
      </c>
      <c r="U65" s="2">
        <f>U10*'Output-Calculation-sheet'!U54/10^9</f>
        <v>0.16038283635444214</v>
      </c>
      <c r="V65" s="2">
        <f>V10*'Output-Calculation-sheet'!V54/10^9</f>
        <v>0.11917875467290683</v>
      </c>
      <c r="W65" s="2">
        <f>W10*'Output-Calculation-sheet'!W54/10^9</f>
        <v>7.4432870953874977E-2</v>
      </c>
      <c r="X65" s="2">
        <f>X10*'Output-Calculation-sheet'!X54/10^9</f>
        <v>9.4237598781567081E-2</v>
      </c>
      <c r="Y65" s="2">
        <f>Y10*'Output-Calculation-sheet'!Y54/10^9</f>
        <v>6.2438857328889874E-2</v>
      </c>
      <c r="AA65" s="2">
        <f t="shared" si="4"/>
        <v>25.704202376220252</v>
      </c>
    </row>
    <row r="66" spans="1:27" x14ac:dyDescent="0.25">
      <c r="A66" s="2">
        <v>2034</v>
      </c>
      <c r="B66" s="2">
        <f>B11*'Output-Calculation-sheet'!B55/10^9</f>
        <v>8.4988342837354605</v>
      </c>
      <c r="C66" s="2">
        <f>C11*'Output-Calculation-sheet'!C55/10^9</f>
        <v>4.1061772222427386</v>
      </c>
      <c r="D66" s="2">
        <f>D11*'Output-Calculation-sheet'!D55/10^9</f>
        <v>1.8583022692664461</v>
      </c>
      <c r="E66" s="2">
        <f>E11*'Output-Calculation-sheet'!E55/10^9</f>
        <v>2.0699014570692369</v>
      </c>
      <c r="F66" s="2">
        <f>F11*'Output-Calculation-sheet'!F55/10^9</f>
        <v>0.95317679073034389</v>
      </c>
      <c r="G66" s="2">
        <f>G11*'Output-Calculation-sheet'!G55/10^9</f>
        <v>0.66031700350223466</v>
      </c>
      <c r="H66" s="2">
        <f>H11*'Output-Calculation-sheet'!H55/10^9</f>
        <v>1.227900727209053</v>
      </c>
      <c r="I66" s="2">
        <f>I11*'Output-Calculation-sheet'!I55/10^9</f>
        <v>0.65131352863250025</v>
      </c>
      <c r="J66" s="2">
        <f>J11*'Output-Calculation-sheet'!J55/10^9</f>
        <v>0.58783518347942743</v>
      </c>
      <c r="K66" s="2">
        <f>K11*'Output-Calculation-sheet'!K55/10^9</f>
        <v>0.75917389147476477</v>
      </c>
      <c r="L66" s="2">
        <f>L11*'Output-Calculation-sheet'!L55/10^9</f>
        <v>0.62716256278918658</v>
      </c>
      <c r="M66" s="2">
        <f>M11*'Output-Calculation-sheet'!M55/10^9</f>
        <v>0.84844960743260822</v>
      </c>
      <c r="N66" s="2">
        <f>N11*'Output-Calculation-sheet'!N55/10^9</f>
        <v>0.88967059754484068</v>
      </c>
      <c r="O66" s="2">
        <f>O11*'Output-Calculation-sheet'!O55/10^9</f>
        <v>0.80619549745650554</v>
      </c>
      <c r="P66" s="2">
        <f>P11*'Output-Calculation-sheet'!P55/10^9</f>
        <v>0.66808171701722774</v>
      </c>
      <c r="Q66" s="2">
        <f>Q11*'Output-Calculation-sheet'!Q55/10^9</f>
        <v>0.68846114099453248</v>
      </c>
      <c r="R66" s="2">
        <f>R11*'Output-Calculation-sheet'!R55/10^9</f>
        <v>0.55003009814652681</v>
      </c>
      <c r="S66" s="2">
        <f>S11*'Output-Calculation-sheet'!S55/10^9</f>
        <v>0.50320982366552702</v>
      </c>
      <c r="T66" s="2">
        <f>T11*'Output-Calculation-sheet'!T55/10^9</f>
        <v>0.17156581117381881</v>
      </c>
      <c r="U66" s="2">
        <f>U11*'Output-Calculation-sheet'!U55/10^9</f>
        <v>0.17308793383418788</v>
      </c>
      <c r="V66" s="2">
        <f>V11*'Output-Calculation-sheet'!V55/10^9</f>
        <v>0.12847163267417397</v>
      </c>
      <c r="W66" s="2">
        <f>W11*'Output-Calculation-sheet'!W55/10^9</f>
        <v>8.0194549442718296E-2</v>
      </c>
      <c r="X66" s="2">
        <f>X11*'Output-Calculation-sheet'!X55/10^9</f>
        <v>0.10118309364198649</v>
      </c>
      <c r="Y66" s="2">
        <f>Y11*'Output-Calculation-sheet'!Y55/10^9</f>
        <v>6.7351612658173313E-2</v>
      </c>
      <c r="AA66" s="2">
        <f t="shared" si="4"/>
        <v>27.676048035814222</v>
      </c>
    </row>
    <row r="67" spans="1:27" x14ac:dyDescent="0.25">
      <c r="A67" s="2">
        <v>2035</v>
      </c>
      <c r="B67" s="2">
        <f>B12*'Output-Calculation-sheet'!B56/10^9</f>
        <v>9.0026503333651835</v>
      </c>
      <c r="C67" s="2">
        <f>C12*'Output-Calculation-sheet'!C56/10^9</f>
        <v>4.343575266079065</v>
      </c>
      <c r="D67" s="2">
        <f>D12*'Output-Calculation-sheet'!D56/10^9</f>
        <v>1.9726838572025778</v>
      </c>
      <c r="E67" s="2">
        <f>E12*'Output-Calculation-sheet'!E56/10^9</f>
        <v>2.1980911247368904</v>
      </c>
      <c r="F67" s="2">
        <f>F12*'Output-Calculation-sheet'!F56/10^9</f>
        <v>1.0111679318088809</v>
      </c>
      <c r="G67" s="2">
        <f>G12*'Output-Calculation-sheet'!G56/10^9</f>
        <v>0.70103913847068844</v>
      </c>
      <c r="H67" s="2">
        <f>H12*'Output-Calculation-sheet'!H56/10^9</f>
        <v>1.2966389333646728</v>
      </c>
      <c r="I67" s="2">
        <f>I12*'Output-Calculation-sheet'!I56/10^9</f>
        <v>0.69136132644793058</v>
      </c>
      <c r="J67" s="2">
        <f>J12*'Output-Calculation-sheet'!J56/10^9</f>
        <v>0.6239605134056142</v>
      </c>
      <c r="K67" s="2">
        <f>K12*'Output-Calculation-sheet'!K56/10^9</f>
        <v>0.80597397676300964</v>
      </c>
      <c r="L67" s="2">
        <f>L12*'Output-Calculation-sheet'!L56/10^9</f>
        <v>0.66584150550930199</v>
      </c>
      <c r="M67" s="2">
        <f>M12*'Output-Calculation-sheet'!M56/10^9</f>
        <v>0.89598501860452329</v>
      </c>
      <c r="N67" s="2">
        <f>N12*'Output-Calculation-sheet'!N56/10^9</f>
        <v>0.9403464806554781</v>
      </c>
      <c r="O67" s="2">
        <f>O12*'Output-Calculation-sheet'!O56/10^9</f>
        <v>0.85531824949709578</v>
      </c>
      <c r="P67" s="2">
        <f>P12*'Output-Calculation-sheet'!P56/10^9</f>
        <v>0.71012899271700469</v>
      </c>
      <c r="Q67" s="2">
        <f>Q12*'Output-Calculation-sheet'!Q56/10^9</f>
        <v>0.73158212864926042</v>
      </c>
      <c r="R67" s="2">
        <f>R12*'Output-Calculation-sheet'!R56/10^9</f>
        <v>0.58431518716193809</v>
      </c>
      <c r="S67" s="2">
        <f>S12*'Output-Calculation-sheet'!S56/10^9</f>
        <v>0.53247703684686309</v>
      </c>
      <c r="T67" s="2">
        <f>T12*'Output-Calculation-sheet'!T56/10^9</f>
        <v>0.18212713213170961</v>
      </c>
      <c r="U67" s="2">
        <f>U12*'Output-Calculation-sheet'!U56/10^9</f>
        <v>0.18396608118227514</v>
      </c>
      <c r="V67" s="2">
        <f>V12*'Output-Calculation-sheet'!V56/10^9</f>
        <v>0.13638492884836734</v>
      </c>
      <c r="W67" s="2">
        <f>W12*'Output-Calculation-sheet'!W56/10^9</f>
        <v>8.5091094057641412E-2</v>
      </c>
      <c r="X67" s="2">
        <f>X12*'Output-Calculation-sheet'!X56/10^9</f>
        <v>0.1069485713931593</v>
      </c>
      <c r="Y67" s="2">
        <f>Y12*'Output-Calculation-sheet'!Y56/10^9</f>
        <v>7.1548933961771949E-2</v>
      </c>
      <c r="AA67" s="2">
        <f t="shared" si="4"/>
        <v>29.329203742860908</v>
      </c>
    </row>
    <row r="68" spans="1:27" x14ac:dyDescent="0.25">
      <c r="B68" s="2">
        <f>SUM(B60:B67)</f>
        <v>51.218924406872382</v>
      </c>
      <c r="C68" s="2">
        <f t="shared" ref="C68:Y68" si="5">SUM(C60:C67)</f>
        <v>24.65391970979298</v>
      </c>
      <c r="D68" s="2">
        <f t="shared" si="5"/>
        <v>11.215356392410113</v>
      </c>
      <c r="E68" s="2">
        <f t="shared" si="5"/>
        <v>12.483364526459734</v>
      </c>
      <c r="F68" s="2">
        <f t="shared" si="5"/>
        <v>5.7601102719815049</v>
      </c>
      <c r="G68" s="2">
        <f t="shared" si="5"/>
        <v>3.9845189104980645</v>
      </c>
      <c r="H68" s="2">
        <f t="shared" si="5"/>
        <v>7.4599867791199053</v>
      </c>
      <c r="I68" s="2">
        <f t="shared" si="5"/>
        <v>3.9311765725329586</v>
      </c>
      <c r="J68" s="2">
        <f t="shared" si="5"/>
        <v>3.5484723025810139</v>
      </c>
      <c r="K68" s="2">
        <f t="shared" si="5"/>
        <v>4.5807455241838522</v>
      </c>
      <c r="L68" s="2">
        <f t="shared" si="5"/>
        <v>3.7841854079100861</v>
      </c>
      <c r="M68" s="2">
        <f t="shared" si="5"/>
        <v>5.1538531228014772</v>
      </c>
      <c r="N68" s="2">
        <f t="shared" si="5"/>
        <v>5.3946544318396299</v>
      </c>
      <c r="O68" s="2">
        <f t="shared" si="5"/>
        <v>4.811638983084868</v>
      </c>
      <c r="P68" s="2">
        <f t="shared" si="5"/>
        <v>4.0212978835830997</v>
      </c>
      <c r="Q68" s="2">
        <f t="shared" si="5"/>
        <v>4.1458668469029769</v>
      </c>
      <c r="R68" s="2">
        <f t="shared" si="5"/>
        <v>3.3146482977798013</v>
      </c>
      <c r="S68" s="2">
        <f t="shared" si="5"/>
        <v>3.0416245120997281</v>
      </c>
      <c r="T68" s="2">
        <f t="shared" si="5"/>
        <v>1.0354074498406782</v>
      </c>
      <c r="U68" s="2">
        <f t="shared" si="5"/>
        <v>1.042110862687937</v>
      </c>
      <c r="V68" s="2">
        <f t="shared" si="5"/>
        <v>0.77521333711719786</v>
      </c>
      <c r="W68" s="2">
        <f t="shared" si="5"/>
        <v>0.48443178740188825</v>
      </c>
      <c r="X68" s="2">
        <f t="shared" si="5"/>
        <v>0.6134338378739691</v>
      </c>
      <c r="Y68" s="2">
        <f t="shared" si="5"/>
        <v>0.40590164165090004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12674440414.416977</v>
      </c>
      <c r="C96" s="2">
        <f>C8/'Output-Calculation-sheet'!C7*'Output-Calculation-sheet'!C79</f>
        <v>0</v>
      </c>
      <c r="D96" s="2">
        <f>D8/'Output-Calculation-sheet'!D7*'Output-Calculation-sheet'!D79</f>
        <v>7714801213.8833036</v>
      </c>
      <c r="E96" s="2">
        <f>E8/'Output-Calculation-sheet'!E7*'Output-Calculation-sheet'!E79</f>
        <v>12084141824.509262</v>
      </c>
      <c r="F96" s="2">
        <f>F8/'Output-Calculation-sheet'!F7*'Output-Calculation-sheet'!F79</f>
        <v>5784400149.2774553</v>
      </c>
      <c r="G96" s="2">
        <f>G8/'Output-Calculation-sheet'!G7*'Output-Calculation-sheet'!G79</f>
        <v>4409753382.3804903</v>
      </c>
      <c r="H96" s="2">
        <f>H8/'Output-Calculation-sheet'!H7*'Output-Calculation-sheet'!H79</f>
        <v>1191800819.4414051</v>
      </c>
      <c r="I96" s="2">
        <f>I8/'Output-Calculation-sheet'!I7*'Output-Calculation-sheet'!I79</f>
        <v>3024134193.5028372</v>
      </c>
      <c r="J96" s="2">
        <f>J8/'Output-Calculation-sheet'!J7*'Output-Calculation-sheet'!J79</f>
        <v>2152647373.2451749</v>
      </c>
      <c r="K96" s="2">
        <f>K8/'Output-Calculation-sheet'!K7*'Output-Calculation-sheet'!K79</f>
        <v>2682901037.4704504</v>
      </c>
      <c r="L96" s="2">
        <f>L8/'Output-Calculation-sheet'!L7*'Output-Calculation-sheet'!L79</f>
        <v>1866924831.564873</v>
      </c>
      <c r="M96" s="2">
        <f>M8/'Output-Calculation-sheet'!M7*'Output-Calculation-sheet'!M79</f>
        <v>883512845.1566143</v>
      </c>
      <c r="N96" s="2">
        <f>N8/'Output-Calculation-sheet'!N7*'Output-Calculation-sheet'!N79</f>
        <v>984678342.7903105</v>
      </c>
      <c r="O96" s="2">
        <f>O8/'Output-Calculation-sheet'!O7*'Output-Calculation-sheet'!O79</f>
        <v>0</v>
      </c>
      <c r="P96" s="2">
        <f>P8/'Output-Calculation-sheet'!P7*'Output-Calculation-sheet'!P79</f>
        <v>2277335415.269043</v>
      </c>
      <c r="Q96" s="2">
        <f>Q8/'Output-Calculation-sheet'!Q7*'Output-Calculation-sheet'!Q79</f>
        <v>1057253602.663277</v>
      </c>
      <c r="R96" s="2">
        <f>R8/'Output-Calculation-sheet'!R7*'Output-Calculation-sheet'!R79</f>
        <v>1631204436.7156215</v>
      </c>
      <c r="S96" s="2">
        <f>S8/'Output-Calculation-sheet'!S7*'Output-Calculation-sheet'!S79</f>
        <v>597486864.12041664</v>
      </c>
      <c r="T96" s="2">
        <f>T8/'Output-Calculation-sheet'!T7*'Output-Calculation-sheet'!T79</f>
        <v>855005265.12895548</v>
      </c>
      <c r="U96" s="2">
        <f>U8/'Output-Calculation-sheet'!U7*'Output-Calculation-sheet'!U79</f>
        <v>434116656.38239574</v>
      </c>
      <c r="V96" s="2">
        <f>V8/'Output-Calculation-sheet'!V7*'Output-Calculation-sheet'!V79</f>
        <v>263164426.69834843</v>
      </c>
      <c r="W96" s="2">
        <f>W8/'Output-Calculation-sheet'!W7*'Output-Calculation-sheet'!W79</f>
        <v>916464036.9389025</v>
      </c>
      <c r="X96" s="2">
        <f>X8/'Output-Calculation-sheet'!X7*'Output-Calculation-sheet'!X79</f>
        <v>85444267.925170854</v>
      </c>
      <c r="Y96" s="2">
        <f>Y8/'Output-Calculation-sheet'!Y7*'Output-Calculation-sheet'!Y79</f>
        <v>389838412.07758814</v>
      </c>
      <c r="AA96" s="2">
        <f t="shared" si="8"/>
        <v>63.961449811558886</v>
      </c>
    </row>
    <row r="97" spans="1:27" x14ac:dyDescent="0.25">
      <c r="A97" s="2">
        <v>2032</v>
      </c>
      <c r="B97" s="2">
        <f>B9/'Output-Calculation-sheet'!B8*'Output-Calculation-sheet'!B80</f>
        <v>14666319880.845348</v>
      </c>
      <c r="C97" s="2">
        <f>C9/'Output-Calculation-sheet'!C8*'Output-Calculation-sheet'!C80</f>
        <v>0</v>
      </c>
      <c r="D97" s="2">
        <f>D9/'Output-Calculation-sheet'!D8*'Output-Calculation-sheet'!D80</f>
        <v>8514234605.0558891</v>
      </c>
      <c r="E97" s="2">
        <f>E9/'Output-Calculation-sheet'!E8*'Output-Calculation-sheet'!E80</f>
        <v>13736247384.084757</v>
      </c>
      <c r="F97" s="2">
        <f>F9/'Output-Calculation-sheet'!F8*'Output-Calculation-sheet'!F80</f>
        <v>6552406291.2073784</v>
      </c>
      <c r="G97" s="2">
        <f>G9/'Output-Calculation-sheet'!G8*'Output-Calculation-sheet'!G80</f>
        <v>4851906768.2644463</v>
      </c>
      <c r="H97" s="2">
        <f>H9/'Output-Calculation-sheet'!H8*'Output-Calculation-sheet'!H80</f>
        <v>1385614960.0543957</v>
      </c>
      <c r="I97" s="2">
        <f>I9/'Output-Calculation-sheet'!I8*'Output-Calculation-sheet'!I80</f>
        <v>3459772754.1309896</v>
      </c>
      <c r="J97" s="2">
        <f>J9/'Output-Calculation-sheet'!J8*'Output-Calculation-sheet'!J80</f>
        <v>2392744536.8413239</v>
      </c>
      <c r="K97" s="2">
        <f>K9/'Output-Calculation-sheet'!K8*'Output-Calculation-sheet'!K80</f>
        <v>3009870417.6518917</v>
      </c>
      <c r="L97" s="2">
        <f>L9/'Output-Calculation-sheet'!L8*'Output-Calculation-sheet'!L80</f>
        <v>2161044524.6297932</v>
      </c>
      <c r="M97" s="2">
        <f>M9/'Output-Calculation-sheet'!M8*'Output-Calculation-sheet'!M80</f>
        <v>1029010922.8384887</v>
      </c>
      <c r="N97" s="2">
        <f>N9/'Output-Calculation-sheet'!N8*'Output-Calculation-sheet'!N80</f>
        <v>1095272251.7936976</v>
      </c>
      <c r="O97" s="2">
        <f>O9/'Output-Calculation-sheet'!O8*'Output-Calculation-sheet'!O80</f>
        <v>0</v>
      </c>
      <c r="P97" s="2">
        <f>P9/'Output-Calculation-sheet'!P8*'Output-Calculation-sheet'!P80</f>
        <v>2563132224.1655703</v>
      </c>
      <c r="Q97" s="2">
        <f>Q9/'Output-Calculation-sheet'!Q8*'Output-Calculation-sheet'!Q80</f>
        <v>1195056837.1512301</v>
      </c>
      <c r="R97" s="2">
        <f>R9/'Output-Calculation-sheet'!R8*'Output-Calculation-sheet'!R80</f>
        <v>1852246570.1614063</v>
      </c>
      <c r="S97" s="2">
        <f>S9/'Output-Calculation-sheet'!S8*'Output-Calculation-sheet'!S80</f>
        <v>697909391.84007144</v>
      </c>
      <c r="T97" s="2">
        <f>T9/'Output-Calculation-sheet'!T8*'Output-Calculation-sheet'!T80</f>
        <v>952482968.10552311</v>
      </c>
      <c r="U97" s="2">
        <f>U9/'Output-Calculation-sheet'!U8*'Output-Calculation-sheet'!U80</f>
        <v>493158308.97410715</v>
      </c>
      <c r="V97" s="2">
        <f>V9/'Output-Calculation-sheet'!V8*'Output-Calculation-sheet'!V80</f>
        <v>302323067.32164431</v>
      </c>
      <c r="W97" s="2">
        <f>W9/'Output-Calculation-sheet'!W8*'Output-Calculation-sheet'!W80</f>
        <v>1029260418.3738256</v>
      </c>
      <c r="X97" s="2">
        <f>X9/'Output-Calculation-sheet'!X8*'Output-Calculation-sheet'!X80</f>
        <v>101900310.55117953</v>
      </c>
      <c r="Y97" s="2">
        <f>Y9/'Output-Calculation-sheet'!Y8*'Output-Calculation-sheet'!Y80</f>
        <v>438262090.93143964</v>
      </c>
      <c r="AA97" s="2">
        <f t="shared" si="8"/>
        <v>72.480177484974405</v>
      </c>
    </row>
    <row r="98" spans="1:27" x14ac:dyDescent="0.25">
      <c r="A98" s="2">
        <v>2033</v>
      </c>
      <c r="B98" s="2">
        <f>B10/'Output-Calculation-sheet'!B9*'Output-Calculation-sheet'!B81</f>
        <v>17029071172.686453</v>
      </c>
      <c r="C98" s="2">
        <f>C10/'Output-Calculation-sheet'!C9*'Output-Calculation-sheet'!C81</f>
        <v>2230305339.2488127</v>
      </c>
      <c r="D98" s="2">
        <f>D10/'Output-Calculation-sheet'!D9*'Output-Calculation-sheet'!D81</f>
        <v>9078752612.7085171</v>
      </c>
      <c r="E98" s="2">
        <f>E10/'Output-Calculation-sheet'!E9*'Output-Calculation-sheet'!E81</f>
        <v>15073903994.322308</v>
      </c>
      <c r="F98" s="2">
        <f>F10/'Output-Calculation-sheet'!F9*'Output-Calculation-sheet'!F81</f>
        <v>7176534971.029952</v>
      </c>
      <c r="G98" s="2">
        <f>G10/'Output-Calculation-sheet'!G9*'Output-Calculation-sheet'!G81</f>
        <v>5153306364.5498886</v>
      </c>
      <c r="H98" s="2">
        <f>H10/'Output-Calculation-sheet'!H9*'Output-Calculation-sheet'!H81</f>
        <v>1553075820.9662669</v>
      </c>
      <c r="I98" s="2">
        <f>I10/'Output-Calculation-sheet'!I9*'Output-Calculation-sheet'!I81</f>
        <v>3824919236.0404196</v>
      </c>
      <c r="J98" s="2">
        <f>J10/'Output-Calculation-sheet'!J9*'Output-Calculation-sheet'!J81</f>
        <v>2571978697.9634686</v>
      </c>
      <c r="K98" s="2">
        <f>K10/'Output-Calculation-sheet'!K9*'Output-Calculation-sheet'!K81</f>
        <v>3266328945.2027869</v>
      </c>
      <c r="L98" s="2">
        <f>L10/'Output-Calculation-sheet'!L9*'Output-Calculation-sheet'!L81</f>
        <v>2414942894.4461098</v>
      </c>
      <c r="M98" s="2">
        <f>M10/'Output-Calculation-sheet'!M9*'Output-Calculation-sheet'!M81</f>
        <v>1157979071.145191</v>
      </c>
      <c r="N98" s="2">
        <f>N10/'Output-Calculation-sheet'!N9*'Output-Calculation-sheet'!N81</f>
        <v>1178363058.5133176</v>
      </c>
      <c r="O98" s="2">
        <f>O10/'Output-Calculation-sheet'!O9*'Output-Calculation-sheet'!O81</f>
        <v>0</v>
      </c>
      <c r="P98" s="2">
        <f>P10/'Output-Calculation-sheet'!P9*'Output-Calculation-sheet'!P81</f>
        <v>2778849210.3309393</v>
      </c>
      <c r="Q98" s="2">
        <f>Q10/'Output-Calculation-sheet'!Q9*'Output-Calculation-sheet'!Q81</f>
        <v>1304351709.4017446</v>
      </c>
      <c r="R98" s="2">
        <f>R10/'Output-Calculation-sheet'!R9*'Output-Calculation-sheet'!R81</f>
        <v>2035386611.4836335</v>
      </c>
      <c r="S98" s="2">
        <f>S10/'Output-Calculation-sheet'!S9*'Output-Calculation-sheet'!S81</f>
        <v>772869698.37756085</v>
      </c>
      <c r="T98" s="2">
        <f>T10/'Output-Calculation-sheet'!T9*'Output-Calculation-sheet'!T81</f>
        <v>1025837608.7157131</v>
      </c>
      <c r="U98" s="2">
        <f>U10/'Output-Calculation-sheet'!U9*'Output-Calculation-sheet'!U81</f>
        <v>540721063.671211</v>
      </c>
      <c r="V98" s="2">
        <f>V10/'Output-Calculation-sheet'!V9*'Output-Calculation-sheet'!V81</f>
        <v>335081126.76252639</v>
      </c>
      <c r="W98" s="2">
        <f>W10/'Output-Calculation-sheet'!W9*'Output-Calculation-sheet'!W81</f>
        <v>1114034512.3640771</v>
      </c>
      <c r="X98" s="2">
        <f>X10/'Output-Calculation-sheet'!X9*'Output-Calculation-sheet'!X81</f>
        <v>115888398.78801748</v>
      </c>
      <c r="Y98" s="2">
        <f>Y10/'Output-Calculation-sheet'!Y9*'Output-Calculation-sheet'!Y81</f>
        <v>475585234.01513761</v>
      </c>
      <c r="AA98" s="2">
        <f t="shared" si="8"/>
        <v>82.208067352734048</v>
      </c>
    </row>
    <row r="99" spans="1:27" x14ac:dyDescent="0.25">
      <c r="A99" s="2">
        <v>2034</v>
      </c>
      <c r="B99" s="2">
        <f>B11/'Output-Calculation-sheet'!B10*'Output-Calculation-sheet'!B82</f>
        <v>18983810647.209698</v>
      </c>
      <c r="C99" s="2">
        <f>C11/'Output-Calculation-sheet'!C10*'Output-Calculation-sheet'!C82</f>
        <v>2574675882.5399899</v>
      </c>
      <c r="D99" s="2">
        <f>D11/'Output-Calculation-sheet'!D10*'Output-Calculation-sheet'!D82</f>
        <v>9472023072.8626995</v>
      </c>
      <c r="E99" s="2">
        <f>E11/'Output-Calculation-sheet'!E10*'Output-Calculation-sheet'!E82</f>
        <v>16198775055.405277</v>
      </c>
      <c r="F99" s="2">
        <f>F11/'Output-Calculation-sheet'!F10*'Output-Calculation-sheet'!F82</f>
        <v>7692930680.925559</v>
      </c>
      <c r="G99" s="2">
        <f>G11/'Output-Calculation-sheet'!G10*'Output-Calculation-sheet'!G82</f>
        <v>5343948753.2898645</v>
      </c>
      <c r="H99" s="2">
        <f>H11/'Output-Calculation-sheet'!H10*'Output-Calculation-sheet'!H82</f>
        <v>1705218615.7662163</v>
      </c>
      <c r="I99" s="2">
        <f>I11/'Output-Calculation-sheet'!I10*'Output-Calculation-sheet'!I82</f>
        <v>4142517092.3926291</v>
      </c>
      <c r="J99" s="2">
        <f>J11/'Output-Calculation-sheet'!J10*'Output-Calculation-sheet'!J82</f>
        <v>2706444616.7416854</v>
      </c>
      <c r="K99" s="2">
        <f>K11/'Output-Calculation-sheet'!K10*'Output-Calculation-sheet'!K82</f>
        <v>3470146471.99718</v>
      </c>
      <c r="L99" s="2">
        <f>L11/'Output-Calculation-sheet'!L10*'Output-Calculation-sheet'!L82</f>
        <v>2638711260.6750298</v>
      </c>
      <c r="M99" s="2">
        <f>M11/'Output-Calculation-sheet'!M10*'Output-Calculation-sheet'!M82</f>
        <v>1275556398.9859807</v>
      </c>
      <c r="N99" s="2">
        <f>N11/'Output-Calculation-sheet'!N10*'Output-Calculation-sheet'!N82</f>
        <v>1244885866.2533584</v>
      </c>
      <c r="O99" s="2">
        <f>O11/'Output-Calculation-sheet'!O10*'Output-Calculation-sheet'!O82</f>
        <v>0</v>
      </c>
      <c r="P99" s="2">
        <f>P11/'Output-Calculation-sheet'!P10*'Output-Calculation-sheet'!P82</f>
        <v>2944455572.9457464</v>
      </c>
      <c r="Q99" s="2">
        <f>Q11/'Output-Calculation-sheet'!Q10*'Output-Calculation-sheet'!Q82</f>
        <v>1394219112.4327054</v>
      </c>
      <c r="R99" s="2">
        <f>R11/'Output-Calculation-sheet'!R10*'Output-Calculation-sheet'!R82</f>
        <v>2187994939.5442119</v>
      </c>
      <c r="S99" s="2">
        <f>S11/'Output-Calculation-sheet'!S10*'Output-Calculation-sheet'!S82</f>
        <v>852516089.86144948</v>
      </c>
      <c r="T99" s="2">
        <f>T11/'Output-Calculation-sheet'!T10*'Output-Calculation-sheet'!T82</f>
        <v>1081035771.4444551</v>
      </c>
      <c r="U99" s="2">
        <f>U11/'Output-Calculation-sheet'!U10*'Output-Calculation-sheet'!U82</f>
        <v>581086301.98266566</v>
      </c>
      <c r="V99" s="2">
        <f>V11/'Output-Calculation-sheet'!V10*'Output-Calculation-sheet'!V82</f>
        <v>363512807.80002129</v>
      </c>
      <c r="W99" s="2">
        <f>W11/'Output-Calculation-sheet'!W10*'Output-Calculation-sheet'!W82</f>
        <v>1178366727.5324845</v>
      </c>
      <c r="X99" s="2">
        <f>X11/'Output-Calculation-sheet'!X10*'Output-Calculation-sheet'!X82</f>
        <v>129660219.80519806</v>
      </c>
      <c r="Y99" s="2">
        <f>Y11/'Output-Calculation-sheet'!Y10*'Output-Calculation-sheet'!Y82</f>
        <v>504191307.32534271</v>
      </c>
      <c r="AA99" s="2">
        <f t="shared" si="8"/>
        <v>88.666683265719456</v>
      </c>
    </row>
    <row r="100" spans="1:27" x14ac:dyDescent="0.25">
      <c r="A100" s="2">
        <v>2035</v>
      </c>
      <c r="B100" s="2">
        <f>B12/'Output-Calculation-sheet'!B11*'Output-Calculation-sheet'!B83</f>
        <v>20502378527.169102</v>
      </c>
      <c r="C100" s="2">
        <f>C12/'Output-Calculation-sheet'!C11*'Output-Calculation-sheet'!C83</f>
        <v>2900787383.3158903</v>
      </c>
      <c r="D100" s="2">
        <f>D12/'Output-Calculation-sheet'!D11*'Output-Calculation-sheet'!D83</f>
        <v>9751014122.7422142</v>
      </c>
      <c r="E100" s="2">
        <f>E12/'Output-Calculation-sheet'!E11*'Output-Calculation-sheet'!E83</f>
        <v>17155135304.813297</v>
      </c>
      <c r="F100" s="2">
        <f>F12/'Output-Calculation-sheet'!F11*'Output-Calculation-sheet'!F83</f>
        <v>8129933923.912384</v>
      </c>
      <c r="G100" s="2">
        <f>G12/'Output-Calculation-sheet'!G11*'Output-Calculation-sheet'!G83</f>
        <v>5452546099.5501595</v>
      </c>
      <c r="H100" s="2">
        <f>H12/'Output-Calculation-sheet'!H11*'Output-Calculation-sheet'!H83</f>
        <v>1837283709.921495</v>
      </c>
      <c r="I100" s="2">
        <f>I12/'Output-Calculation-sheet'!I11*'Output-Calculation-sheet'!I83</f>
        <v>4417820842.2340889</v>
      </c>
      <c r="J100" s="2">
        <f>J12/'Output-Calculation-sheet'!J11*'Output-Calculation-sheet'!J83</f>
        <v>2806717590.3865166</v>
      </c>
      <c r="K100" s="2">
        <f>K12/'Output-Calculation-sheet'!K11*'Output-Calculation-sheet'!K83</f>
        <v>3633055696.7993731</v>
      </c>
      <c r="L100" s="2">
        <f>L12/'Output-Calculation-sheet'!L11*'Output-Calculation-sheet'!L83</f>
        <v>2838641211.978735</v>
      </c>
      <c r="M100" s="2">
        <f>M12/'Output-Calculation-sheet'!M11*'Output-Calculation-sheet'!M83</f>
        <v>1377132934.588516</v>
      </c>
      <c r="N100" s="2">
        <f>N12/'Output-Calculation-sheet'!N11*'Output-Calculation-sheet'!N83</f>
        <v>1297299456.9532957</v>
      </c>
      <c r="O100" s="2">
        <f>O12/'Output-Calculation-sheet'!O11*'Output-Calculation-sheet'!O83</f>
        <v>349994855.7326436</v>
      </c>
      <c r="P100" s="2">
        <f>P12/'Output-Calculation-sheet'!P11*'Output-Calculation-sheet'!P83</f>
        <v>3073088029.859026</v>
      </c>
      <c r="Q100" s="2">
        <f>Q12/'Output-Calculation-sheet'!Q11*'Output-Calculation-sheet'!Q83</f>
        <v>1473780908.4812386</v>
      </c>
      <c r="R100" s="2">
        <f>R12/'Output-Calculation-sheet'!R11*'Output-Calculation-sheet'!R83</f>
        <v>2321501035.7911234</v>
      </c>
      <c r="S100" s="2">
        <f>S12/'Output-Calculation-sheet'!S11*'Output-Calculation-sheet'!S83</f>
        <v>900397551.10390985</v>
      </c>
      <c r="T100" s="2">
        <f>T12/'Output-Calculation-sheet'!T11*'Output-Calculation-sheet'!T83</f>
        <v>1122289920.6114867</v>
      </c>
      <c r="U100" s="2">
        <f>U12/'Output-Calculation-sheet'!U11*'Output-Calculation-sheet'!U83</f>
        <v>614784999.13460326</v>
      </c>
      <c r="V100" s="2">
        <f>V12/'Output-Calculation-sheet'!V11*'Output-Calculation-sheet'!V83</f>
        <v>388570464.98764455</v>
      </c>
      <c r="W100" s="2">
        <f>W12/'Output-Calculation-sheet'!W11*'Output-Calculation-sheet'!W83</f>
        <v>1226145593.6986287</v>
      </c>
      <c r="X100" s="2">
        <f>X12/'Output-Calculation-sheet'!X11*'Output-Calculation-sheet'!X83</f>
        <v>142676709.6835787</v>
      </c>
      <c r="Y100" s="2">
        <f>Y12/'Output-Calculation-sheet'!Y11*'Output-Calculation-sheet'!Y83</f>
        <v>526445483.00370824</v>
      </c>
      <c r="AA100" s="2">
        <f t="shared" si="8"/>
        <v>94.239422356452636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4.5956590930225897E-4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4136207038.6182175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2833917287.94661</v>
      </c>
      <c r="N118" s="2">
        <f>N8/'Output-Calculation-sheet'!N7*'Output-Calculation-sheet'!N97</f>
        <v>1873396064.0066681</v>
      </c>
      <c r="O118" s="2">
        <f>O8/'Output-Calculation-sheet'!O7*'Output-Calculation-sheet'!O97</f>
        <v>2.5285212977313942E-5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464416094.40252644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269337580.93166596</v>
      </c>
      <c r="Y118" s="2">
        <f>Y8/'Output-Calculation-sheet'!Y7*'Output-Calculation-sheet'!Y97</f>
        <v>0</v>
      </c>
      <c r="AA118" s="2">
        <f t="shared" si="10"/>
        <v>9577.274065906171</v>
      </c>
    </row>
    <row r="119" spans="1:27" x14ac:dyDescent="0.25">
      <c r="A119" s="2">
        <v>2032</v>
      </c>
      <c r="B119" s="2">
        <f>B9/'Output-Calculation-sheet'!B8*'Output-Calculation-sheet'!B98</f>
        <v>4546590.8554430734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4882376498.0520315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3341180738.82546</v>
      </c>
      <c r="N119" s="2">
        <f>N9/'Output-Calculation-sheet'!N8*'Output-Calculation-sheet'!N98</f>
        <v>2437682632.1968708</v>
      </c>
      <c r="O119" s="2">
        <f>O9/'Output-Calculation-sheet'!O8*'Output-Calculation-sheet'!O98</f>
        <v>2.4862695647552487E-4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766993588.64309406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321789691.01446062</v>
      </c>
      <c r="Y119" s="2">
        <f>Y9/'Output-Calculation-sheet'!Y8*'Output-Calculation-sheet'!Y98</f>
        <v>0</v>
      </c>
      <c r="AA119" s="2">
        <f t="shared" si="10"/>
        <v>11754.569739587609</v>
      </c>
    </row>
    <row r="120" spans="1:27" x14ac:dyDescent="0.25">
      <c r="A120" s="2">
        <v>2033</v>
      </c>
      <c r="B120" s="2">
        <f>B10/'Output-Calculation-sheet'!B9*'Output-Calculation-sheet'!B99</f>
        <v>6743016058.9988337</v>
      </c>
      <c r="C120" s="2">
        <f>C10/'Output-Calculation-sheet'!C9*'Output-Calculation-sheet'!C99</f>
        <v>12550606945.034388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5551712257.0691204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3802888918.7586112</v>
      </c>
      <c r="N120" s="2">
        <f>N10/'Output-Calculation-sheet'!N9*'Output-Calculation-sheet'!N99</f>
        <v>3005916650.4841938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1051478365.1600903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366456841.83438045</v>
      </c>
      <c r="Y120" s="2">
        <f>Y10/'Output-Calculation-sheet'!Y9*'Output-Calculation-sheet'!Y99</f>
        <v>0</v>
      </c>
      <c r="AA120" s="2">
        <f t="shared" si="10"/>
        <v>33072.076037339619</v>
      </c>
    </row>
    <row r="121" spans="1:27" x14ac:dyDescent="0.25">
      <c r="A121" s="2">
        <v>2034</v>
      </c>
      <c r="B121" s="2">
        <f>B11/'Output-Calculation-sheet'!B10*'Output-Calculation-sheet'!B100</f>
        <v>12430397685.492285</v>
      </c>
      <c r="C121" s="2">
        <f>C11/'Output-Calculation-sheet'!C10*'Output-Calculation-sheet'!C100</f>
        <v>14401350757.47455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6179039949.6670637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4233285519.9839497</v>
      </c>
      <c r="N121" s="2">
        <f>N11/'Output-Calculation-sheet'!N10*'Output-Calculation-sheet'!N100</f>
        <v>3456219556.7570357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1326799467.333945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410385719.105111</v>
      </c>
      <c r="Y121" s="2">
        <f>Y11/'Output-Calculation-sheet'!Y10*'Output-Calculation-sheet'!Y100</f>
        <v>0</v>
      </c>
      <c r="AA121" s="2">
        <f t="shared" si="10"/>
        <v>42437.478655813939</v>
      </c>
    </row>
    <row r="122" spans="1:27" x14ac:dyDescent="0.25">
      <c r="A122" s="2">
        <v>2035</v>
      </c>
      <c r="B122" s="2">
        <f>B12/'Output-Calculation-sheet'!B11*'Output-Calculation-sheet'!B101</f>
        <v>16502140518.779163</v>
      </c>
      <c r="C122" s="2">
        <f>C12/'Output-Calculation-sheet'!C11*'Output-Calculation-sheet'!C101</f>
        <v>16129371095.176291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6743614455.8040504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4614851537.8412123</v>
      </c>
      <c r="N122" s="2">
        <f>N12/'Output-Calculation-sheet'!N11*'Output-Calculation-sheet'!N101</f>
        <v>3857095798.1424727</v>
      </c>
      <c r="O122" s="2">
        <f>O12/'Output-Calculation-sheet'!O11*'Output-Calculation-sheet'!O101</f>
        <v>2756645622.4777918</v>
      </c>
      <c r="P122" s="2">
        <f>P12/'Output-Calculation-sheet'!P11*'Output-Calculation-sheet'!P101</f>
        <v>0</v>
      </c>
      <c r="Q122" s="2">
        <f>Q12/'Output-Calculation-sheet'!Q11*'Output-Calculation-sheet'!Q101</f>
        <v>50321489.268284731</v>
      </c>
      <c r="R122" s="2">
        <f>R12/'Output-Calculation-sheet'!R11*'Output-Calculation-sheet'!R101</f>
        <v>0</v>
      </c>
      <c r="S122" s="2">
        <f>S12/'Output-Calculation-sheet'!S11*'Output-Calculation-sheet'!S101</f>
        <v>1623954456.3569727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451824670.40364844</v>
      </c>
      <c r="Y122" s="2">
        <f>Y12/'Output-Calculation-sheet'!Y11*'Output-Calculation-sheet'!Y101</f>
        <v>0</v>
      </c>
      <c r="AA122" s="2">
        <f t="shared" si="10"/>
        <v>52729.819644249888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51837663160.689941</v>
      </c>
      <c r="C129" s="2">
        <f>C8/'Output-Calculation-sheet'!C7*'Output-Calculation-sheet'!C106</f>
        <v>0</v>
      </c>
      <c r="D129" s="2">
        <f>D8/'Output-Calculation-sheet'!D7*'Output-Calculation-sheet'!D106</f>
        <v>37525097526.232185</v>
      </c>
      <c r="E129" s="2">
        <f>E8/'Output-Calculation-sheet'!E7*'Output-Calculation-sheet'!E106</f>
        <v>26229688780.989288</v>
      </c>
      <c r="F129" s="2">
        <f>F8/'Output-Calculation-sheet'!F7*'Output-Calculation-sheet'!F106</f>
        <v>19528029430.175701</v>
      </c>
      <c r="G129" s="2">
        <f>G8/'Output-Calculation-sheet'!G7*'Output-Calculation-sheet'!G106</f>
        <v>13429127219.224905</v>
      </c>
      <c r="H129" s="2">
        <f>H8/'Output-Calculation-sheet'!H7*'Output-Calculation-sheet'!H106</f>
        <v>0</v>
      </c>
      <c r="I129" s="2">
        <f>I8/'Output-Calculation-sheet'!I7*'Output-Calculation-sheet'!I106</f>
        <v>12044894167.215487</v>
      </c>
      <c r="J129" s="2">
        <f>J8/'Output-Calculation-sheet'!J7*'Output-Calculation-sheet'!J106</f>
        <v>12340814182.362404</v>
      </c>
      <c r="K129" s="2">
        <f>K8/'Output-Calculation-sheet'!K7*'Output-Calculation-sheet'!K106</f>
        <v>10647383418.787266</v>
      </c>
      <c r="L129" s="2">
        <f>L8/'Output-Calculation-sheet'!L7*'Output-Calculation-sheet'!L106</f>
        <v>8423578840.3260612</v>
      </c>
      <c r="M129" s="2">
        <f>M8/'Output-Calculation-sheet'!M7*'Output-Calculation-sheet'!M106</f>
        <v>0</v>
      </c>
      <c r="N129" s="2">
        <f>N8/'Output-Calculation-sheet'!N7*'Output-Calculation-sheet'!N106</f>
        <v>2292786002.7402935</v>
      </c>
      <c r="O129" s="2">
        <f>O8/'Output-Calculation-sheet'!O7*'Output-Calculation-sheet'!O106</f>
        <v>0</v>
      </c>
      <c r="P129" s="2">
        <f>P8/'Output-Calculation-sheet'!P7*'Output-Calculation-sheet'!P106</f>
        <v>5187496429.904357</v>
      </c>
      <c r="Q129" s="2">
        <f>Q8/'Output-Calculation-sheet'!Q7*'Output-Calculation-sheet'!Q106</f>
        <v>5084025947.032342</v>
      </c>
      <c r="R129" s="2">
        <f>R8/'Output-Calculation-sheet'!R7*'Output-Calculation-sheet'!R106</f>
        <v>6048545503.113163</v>
      </c>
      <c r="S129" s="2">
        <f>S8/'Output-Calculation-sheet'!S7*'Output-Calculation-sheet'!S106</f>
        <v>2062738627.1015627</v>
      </c>
      <c r="T129" s="2">
        <f>T8/'Output-Calculation-sheet'!T7*'Output-Calculation-sheet'!T106</f>
        <v>2618673162.6017642</v>
      </c>
      <c r="U129" s="2">
        <f>U8/'Output-Calculation-sheet'!U7*'Output-Calculation-sheet'!U106</f>
        <v>1843486467.101995</v>
      </c>
      <c r="V129" s="2">
        <f>V8/'Output-Calculation-sheet'!V7*'Output-Calculation-sheet'!V106</f>
        <v>1658514388.4728901</v>
      </c>
      <c r="W129" s="2">
        <f>W8/'Output-Calculation-sheet'!W7*'Output-Calculation-sheet'!W106</f>
        <v>1692265101.2790437</v>
      </c>
      <c r="X129" s="2">
        <f>X8/'Output-Calculation-sheet'!X7*'Output-Calculation-sheet'!X106</f>
        <v>0</v>
      </c>
      <c r="Y129" s="2">
        <f>Y8/'Output-Calculation-sheet'!Y7*'Output-Calculation-sheet'!Y106</f>
        <v>764101557.49611342</v>
      </c>
      <c r="AA129" s="2">
        <f t="shared" si="11"/>
        <v>221258.90991284678</v>
      </c>
    </row>
    <row r="130" spans="1:27" x14ac:dyDescent="0.25">
      <c r="A130" s="2">
        <v>2032</v>
      </c>
      <c r="B130" s="2">
        <f>B9/'Output-Calculation-sheet'!B8*'Output-Calculation-sheet'!B107</f>
        <v>60013442682.925179</v>
      </c>
      <c r="C130" s="2">
        <f>C9/'Output-Calculation-sheet'!C8*'Output-Calculation-sheet'!C107</f>
        <v>0</v>
      </c>
      <c r="D130" s="2">
        <f>D9/'Output-Calculation-sheet'!D8*'Output-Calculation-sheet'!D107</f>
        <v>43120200704.735947</v>
      </c>
      <c r="E130" s="2">
        <f>E9/'Output-Calculation-sheet'!E8*'Output-Calculation-sheet'!E107</f>
        <v>30179804404.808739</v>
      </c>
      <c r="F130" s="2">
        <f>F9/'Output-Calculation-sheet'!F8*'Output-Calculation-sheet'!F107</f>
        <v>22433739945.681782</v>
      </c>
      <c r="G130" s="2">
        <f>G9/'Output-Calculation-sheet'!G8*'Output-Calculation-sheet'!G107</f>
        <v>15419630662.926298</v>
      </c>
      <c r="H130" s="2">
        <f>H9/'Output-Calculation-sheet'!H8*'Output-Calculation-sheet'!H107</f>
        <v>0</v>
      </c>
      <c r="I130" s="2">
        <f>I9/'Output-Calculation-sheet'!I8*'Output-Calculation-sheet'!I107</f>
        <v>13841948876.02421</v>
      </c>
      <c r="J130" s="2">
        <f>J9/'Output-Calculation-sheet'!J8*'Output-Calculation-sheet'!J107</f>
        <v>14173326461.586767</v>
      </c>
      <c r="K130" s="2">
        <f>K9/'Output-Calculation-sheet'!K8*'Output-Calculation-sheet'!K107</f>
        <v>12247893410.005518</v>
      </c>
      <c r="L130" s="2">
        <f>L9/'Output-Calculation-sheet'!L8*'Output-Calculation-sheet'!L107</f>
        <v>9692471388.548893</v>
      </c>
      <c r="M130" s="2">
        <f>M9/'Output-Calculation-sheet'!M8*'Output-Calculation-sheet'!M107</f>
        <v>0</v>
      </c>
      <c r="N130" s="2">
        <f>N9/'Output-Calculation-sheet'!N8*'Output-Calculation-sheet'!N107</f>
        <v>2339716851.274168</v>
      </c>
      <c r="O130" s="2">
        <f>O9/'Output-Calculation-sheet'!O8*'Output-Calculation-sheet'!O107</f>
        <v>0</v>
      </c>
      <c r="P130" s="2">
        <f>P9/'Output-Calculation-sheet'!P8*'Output-Calculation-sheet'!P107</f>
        <v>6012943816.9538755</v>
      </c>
      <c r="Q130" s="2">
        <f>Q9/'Output-Calculation-sheet'!Q8*'Output-Calculation-sheet'!Q107</f>
        <v>5896627022.3803463</v>
      </c>
      <c r="R130" s="2">
        <f>R9/'Output-Calculation-sheet'!R8*'Output-Calculation-sheet'!R107</f>
        <v>6958816773.9561682</v>
      </c>
      <c r="S130" s="2">
        <f>S9/'Output-Calculation-sheet'!S8*'Output-Calculation-sheet'!S107</f>
        <v>2235652636.0639133</v>
      </c>
      <c r="T130" s="2">
        <f>T9/'Output-Calculation-sheet'!T8*'Output-Calculation-sheet'!T107</f>
        <v>3009667239.4301066</v>
      </c>
      <c r="U130" s="2">
        <f>U9/'Output-Calculation-sheet'!U8*'Output-Calculation-sheet'!U107</f>
        <v>2122994913.9806406</v>
      </c>
      <c r="V130" s="2">
        <f>V9/'Output-Calculation-sheet'!V8*'Output-Calculation-sheet'!V107</f>
        <v>1911273789.0780375</v>
      </c>
      <c r="W130" s="2">
        <f>W9/'Output-Calculation-sheet'!W8*'Output-Calculation-sheet'!W107</f>
        <v>1945279041.0962565</v>
      </c>
      <c r="X130" s="2">
        <f>X9/'Output-Calculation-sheet'!X8*'Output-Calculation-sheet'!X107</f>
        <v>0</v>
      </c>
      <c r="Y130" s="2">
        <f>Y9/'Output-Calculation-sheet'!Y8*'Output-Calculation-sheet'!Y107</f>
        <v>879283975.07446909</v>
      </c>
      <c r="AA130" s="2">
        <f t="shared" si="11"/>
        <v>254434.71459653135</v>
      </c>
    </row>
    <row r="131" spans="1:27" x14ac:dyDescent="0.25">
      <c r="A131" s="2">
        <v>2033</v>
      </c>
      <c r="B131" s="2">
        <f>B10/'Output-Calculation-sheet'!B9*'Output-Calculation-sheet'!B108</f>
        <v>62974767143.431351</v>
      </c>
      <c r="C131" s="2">
        <f>C10/'Output-Calculation-sheet'!C9*'Output-Calculation-sheet'!C108</f>
        <v>0</v>
      </c>
      <c r="D131" s="2">
        <f>D10/'Output-Calculation-sheet'!D9*'Output-Calculation-sheet'!D108</f>
        <v>47845169915.805374</v>
      </c>
      <c r="E131" s="2">
        <f>E10/'Output-Calculation-sheet'!E9*'Output-Calculation-sheet'!E108</f>
        <v>33506253543.547001</v>
      </c>
      <c r="F131" s="2">
        <f>F10/'Output-Calculation-sheet'!F9*'Output-Calculation-sheet'!F108</f>
        <v>24898796195.01366</v>
      </c>
      <c r="G131" s="2">
        <f>G10/'Output-Calculation-sheet'!G9*'Output-Calculation-sheet'!G108</f>
        <v>17109704936.376776</v>
      </c>
      <c r="H131" s="2">
        <f>H10/'Output-Calculation-sheet'!H9*'Output-Calculation-sheet'!H108</f>
        <v>0</v>
      </c>
      <c r="I131" s="2">
        <f>I10/'Output-Calculation-sheet'!I9*'Output-Calculation-sheet'!I108</f>
        <v>15361977035.540979</v>
      </c>
      <c r="J131" s="2">
        <f>J10/'Output-Calculation-sheet'!J9*'Output-Calculation-sheet'!J108</f>
        <v>15724000711.490942</v>
      </c>
      <c r="K131" s="2">
        <f>K10/'Output-Calculation-sheet'!K9*'Output-Calculation-sheet'!K108</f>
        <v>13615828199.360731</v>
      </c>
      <c r="L131" s="2">
        <f>L10/'Output-Calculation-sheet'!L9*'Output-Calculation-sheet'!L108</f>
        <v>10767394439.265566</v>
      </c>
      <c r="M131" s="2">
        <f>M10/'Output-Calculation-sheet'!M9*'Output-Calculation-sheet'!M108</f>
        <v>0</v>
      </c>
      <c r="N131" s="2">
        <f>N10/'Output-Calculation-sheet'!N9*'Output-Calculation-sheet'!N108</f>
        <v>2288357990.5701914</v>
      </c>
      <c r="O131" s="2">
        <f>O10/'Output-Calculation-sheet'!O9*'Output-Calculation-sheet'!O108</f>
        <v>0</v>
      </c>
      <c r="P131" s="2">
        <f>P10/'Output-Calculation-sheet'!P9*'Output-Calculation-sheet'!P108</f>
        <v>6716130194.5647402</v>
      </c>
      <c r="Q131" s="2">
        <f>Q10/'Output-Calculation-sheet'!Q9*'Output-Calculation-sheet'!Q108</f>
        <v>6596494268.049612</v>
      </c>
      <c r="R131" s="2">
        <f>R10/'Output-Calculation-sheet'!R9*'Output-Calculation-sheet'!R108</f>
        <v>7741751561.3434448</v>
      </c>
      <c r="S131" s="2">
        <f>S10/'Output-Calculation-sheet'!S9*'Output-Calculation-sheet'!S108</f>
        <v>2327855280.2023153</v>
      </c>
      <c r="T131" s="2">
        <f>T10/'Output-Calculation-sheet'!T9*'Output-Calculation-sheet'!T108</f>
        <v>3343080408.8875198</v>
      </c>
      <c r="U131" s="2">
        <f>U10/'Output-Calculation-sheet'!U9*'Output-Calculation-sheet'!U108</f>
        <v>2358768707.0019264</v>
      </c>
      <c r="V131" s="2">
        <f>V10/'Output-Calculation-sheet'!V9*'Output-Calculation-sheet'!V108</f>
        <v>2125211339.2413163</v>
      </c>
      <c r="W131" s="2">
        <f>W10/'Output-Calculation-sheet'!W9*'Output-Calculation-sheet'!W108</f>
        <v>2157504468.1492977</v>
      </c>
      <c r="X131" s="2">
        <f>X10/'Output-Calculation-sheet'!X9*'Output-Calculation-sheet'!X108</f>
        <v>0</v>
      </c>
      <c r="Y131" s="2">
        <f>Y10/'Output-Calculation-sheet'!Y9*'Output-Calculation-sheet'!Y108</f>
        <v>977381777.55909765</v>
      </c>
      <c r="AA131" s="2">
        <f t="shared" si="11"/>
        <v>278436.42811540177</v>
      </c>
    </row>
    <row r="132" spans="1:27" x14ac:dyDescent="0.25">
      <c r="A132" s="2">
        <v>2034</v>
      </c>
      <c r="B132" s="2">
        <f>B11/'Output-Calculation-sheet'!B10*'Output-Calculation-sheet'!B109</f>
        <v>65316529842.337059</v>
      </c>
      <c r="C132" s="2">
        <f>C11/'Output-Calculation-sheet'!C10*'Output-Calculation-sheet'!C109</f>
        <v>0</v>
      </c>
      <c r="D132" s="2">
        <f>D11/'Output-Calculation-sheet'!D10*'Output-Calculation-sheet'!D109</f>
        <v>51906991547.173515</v>
      </c>
      <c r="E132" s="2">
        <f>E11/'Output-Calculation-sheet'!E10*'Output-Calculation-sheet'!E109</f>
        <v>36408902168.289307</v>
      </c>
      <c r="F132" s="2">
        <f>F11/'Output-Calculation-sheet'!F10*'Output-Calculation-sheet'!F109</f>
        <v>27026328405.888062</v>
      </c>
      <c r="G132" s="2">
        <f>G11/'Output-Calculation-sheet'!G10*'Output-Calculation-sheet'!G109</f>
        <v>18554822330.852921</v>
      </c>
      <c r="H132" s="2">
        <f>H11/'Output-Calculation-sheet'!H10*'Output-Calculation-sheet'!H109</f>
        <v>0</v>
      </c>
      <c r="I132" s="2">
        <f>I11/'Output-Calculation-sheet'!I10*'Output-Calculation-sheet'!I109</f>
        <v>16691974940.621653</v>
      </c>
      <c r="J132" s="2">
        <f>J11/'Output-Calculation-sheet'!J10*'Output-Calculation-sheet'!J109</f>
        <v>17057028577.803949</v>
      </c>
      <c r="K132" s="2">
        <f>K11/'Output-Calculation-sheet'!K10*'Output-Calculation-sheet'!K109</f>
        <v>14804217245.263889</v>
      </c>
      <c r="L132" s="2">
        <f>L11/'Output-Calculation-sheet'!L10*'Output-Calculation-sheet'!L109</f>
        <v>11696633050.630859</v>
      </c>
      <c r="M132" s="2">
        <f>M11/'Output-Calculation-sheet'!M10*'Output-Calculation-sheet'!M109</f>
        <v>0</v>
      </c>
      <c r="N132" s="2">
        <f>N11/'Output-Calculation-sheet'!N10*'Output-Calculation-sheet'!N109</f>
        <v>2299702647.5192628</v>
      </c>
      <c r="O132" s="2">
        <f>O11/'Output-Calculation-sheet'!O10*'Output-Calculation-sheet'!O109</f>
        <v>0</v>
      </c>
      <c r="P132" s="2">
        <f>P11/'Output-Calculation-sheet'!P10*'Output-Calculation-sheet'!P109</f>
        <v>7333455085.284996</v>
      </c>
      <c r="Q132" s="2">
        <f>Q11/'Output-Calculation-sheet'!Q10*'Output-Calculation-sheet'!Q109</f>
        <v>7218651363.7807331</v>
      </c>
      <c r="R132" s="2">
        <f>R11/'Output-Calculation-sheet'!R10*'Output-Calculation-sheet'!R109</f>
        <v>8419122873.9702759</v>
      </c>
      <c r="S132" s="2">
        <f>S11/'Output-Calculation-sheet'!S10*'Output-Calculation-sheet'!S109</f>
        <v>2458266132.3068891</v>
      </c>
      <c r="T132" s="2">
        <f>T11/'Output-Calculation-sheet'!T10*'Output-Calculation-sheet'!T109</f>
        <v>3631903101.6724014</v>
      </c>
      <c r="U132" s="2">
        <f>U11/'Output-Calculation-sheet'!U10*'Output-Calculation-sheet'!U109</f>
        <v>2567635325.1382527</v>
      </c>
      <c r="V132" s="2">
        <f>V11/'Output-Calculation-sheet'!V10*'Output-Calculation-sheet'!V109</f>
        <v>2313208285.6632724</v>
      </c>
      <c r="W132" s="2">
        <f>W11/'Output-Calculation-sheet'!W10*'Output-Calculation-sheet'!W109</f>
        <v>2341137152.327848</v>
      </c>
      <c r="X132" s="2">
        <f>X11/'Output-Calculation-sheet'!X10*'Output-Calculation-sheet'!X109</f>
        <v>0</v>
      </c>
      <c r="Y132" s="2">
        <f>Y11/'Output-Calculation-sheet'!Y10*'Output-Calculation-sheet'!Y109</f>
        <v>1062098926.1036825</v>
      </c>
      <c r="AA132" s="2">
        <f t="shared" si="11"/>
        <v>299108.60900262877</v>
      </c>
    </row>
    <row r="133" spans="1:27" x14ac:dyDescent="0.25">
      <c r="A133" s="2">
        <v>2035</v>
      </c>
      <c r="B133" s="2">
        <f>B12/'Output-Calculation-sheet'!B11*'Output-Calculation-sheet'!B110</f>
        <v>67485061635.003426</v>
      </c>
      <c r="C133" s="2">
        <f>C12/'Output-Calculation-sheet'!C11*'Output-Calculation-sheet'!C110</f>
        <v>0</v>
      </c>
      <c r="D133" s="2">
        <f>D12/'Output-Calculation-sheet'!D11*'Output-Calculation-sheet'!D110</f>
        <v>55520827304.586777</v>
      </c>
      <c r="E133" s="2">
        <f>E12/'Output-Calculation-sheet'!E11*'Output-Calculation-sheet'!E110</f>
        <v>38968467439.159004</v>
      </c>
      <c r="F133" s="2">
        <f>F12/'Output-Calculation-sheet'!F11*'Output-Calculation-sheet'!F110</f>
        <v>28899596415.331139</v>
      </c>
      <c r="G133" s="2">
        <f>G12/'Output-Calculation-sheet'!G11*'Output-Calculation-sheet'!G110</f>
        <v>19817516037.765903</v>
      </c>
      <c r="H133" s="2">
        <f>H12/'Output-Calculation-sheet'!H11*'Output-Calculation-sheet'!H110</f>
        <v>0</v>
      </c>
      <c r="I133" s="2">
        <f>I12/'Output-Calculation-sheet'!I11*'Output-Calculation-sheet'!I110</f>
        <v>17849601997.731762</v>
      </c>
      <c r="J133" s="2">
        <f>J12/'Output-Calculation-sheet'!J11*'Output-Calculation-sheet'!J110</f>
        <v>18212778173.727547</v>
      </c>
      <c r="K133" s="2">
        <f>K12/'Output-Calculation-sheet'!K11*'Output-Calculation-sheet'!K110</f>
        <v>15846661773.149258</v>
      </c>
      <c r="L133" s="2">
        <f>L12/'Output-Calculation-sheet'!L11*'Output-Calculation-sheet'!L110</f>
        <v>12510564182.124937</v>
      </c>
      <c r="M133" s="2">
        <f>M12/'Output-Calculation-sheet'!M11*'Output-Calculation-sheet'!M110</f>
        <v>0</v>
      </c>
      <c r="N133" s="2">
        <f>N12/'Output-Calculation-sheet'!N11*'Output-Calculation-sheet'!N110</f>
        <v>2309625879.4901218</v>
      </c>
      <c r="O133" s="2">
        <f>O12/'Output-Calculation-sheet'!O11*'Output-Calculation-sheet'!O110</f>
        <v>0</v>
      </c>
      <c r="P133" s="2">
        <f>P12/'Output-Calculation-sheet'!P11*'Output-Calculation-sheet'!P110</f>
        <v>7888566739.9335842</v>
      </c>
      <c r="Q133" s="2">
        <f>Q12/'Output-Calculation-sheet'!Q11*'Output-Calculation-sheet'!Q110</f>
        <v>7752596104.9815264</v>
      </c>
      <c r="R133" s="2">
        <f>R12/'Output-Calculation-sheet'!R11*'Output-Calculation-sheet'!R110</f>
        <v>9030292421.5792313</v>
      </c>
      <c r="S133" s="2">
        <f>S12/'Output-Calculation-sheet'!S11*'Output-Calculation-sheet'!S110</f>
        <v>2431952501.2932448</v>
      </c>
      <c r="T133" s="2">
        <f>T12/'Output-Calculation-sheet'!T11*'Output-Calculation-sheet'!T110</f>
        <v>3885141476.7894492</v>
      </c>
      <c r="U133" s="2">
        <f>U12/'Output-Calculation-sheet'!U11*'Output-Calculation-sheet'!U110</f>
        <v>2750675005.0135822</v>
      </c>
      <c r="V133" s="2">
        <f>V12/'Output-Calculation-sheet'!V11*'Output-Calculation-sheet'!V110</f>
        <v>2481131663.1684203</v>
      </c>
      <c r="W133" s="2">
        <f>W12/'Output-Calculation-sheet'!W11*'Output-Calculation-sheet'!W110</f>
        <v>2501958918.0425549</v>
      </c>
      <c r="X133" s="2">
        <f>X12/'Output-Calculation-sheet'!X11*'Output-Calculation-sheet'!X110</f>
        <v>0</v>
      </c>
      <c r="Y133" s="2">
        <f>Y12/'Output-Calculation-sheet'!Y11*'Output-Calculation-sheet'!Y110</f>
        <v>1137442196.6024168</v>
      </c>
      <c r="AA133" s="2">
        <f t="shared" si="11"/>
        <v>317280.45786547381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64469744556.87265</v>
      </c>
      <c r="C151" s="2">
        <f>C8/'Output-Calculation-sheet'!C7*'Output-Calculation-sheet'!C124</f>
        <v>54809876440.109901</v>
      </c>
      <c r="D151" s="2">
        <f>D8/'Output-Calculation-sheet'!D7*'Output-Calculation-sheet'!D124</f>
        <v>11325209861.450218</v>
      </c>
      <c r="E151" s="2">
        <f>E8/'Output-Calculation-sheet'!E7*'Output-Calculation-sheet'!E124</f>
        <v>12528110746.738518</v>
      </c>
      <c r="F151" s="2">
        <f>F8/'Output-Calculation-sheet'!F7*'Output-Calculation-sheet'!F124</f>
        <v>5421750508.5370617</v>
      </c>
      <c r="G151" s="2">
        <f>G8/'Output-Calculation-sheet'!G7*'Output-Calculation-sheet'!G124</f>
        <v>4101315126.4067631</v>
      </c>
      <c r="H151" s="2">
        <f>H8/'Output-Calculation-sheet'!H7*'Output-Calculation-sheet'!H124</f>
        <v>12964084674.869606</v>
      </c>
      <c r="I151" s="2">
        <f>I8/'Output-Calculation-sheet'!I7*'Output-Calculation-sheet'!I124</f>
        <v>3926681615.2430696</v>
      </c>
      <c r="J151" s="2">
        <f>J8/'Output-Calculation-sheet'!J7*'Output-Calculation-sheet'!J124</f>
        <v>3204768477.712563</v>
      </c>
      <c r="K151" s="2">
        <f>K8/'Output-Calculation-sheet'!K7*'Output-Calculation-sheet'!K124</f>
        <v>4749184926.804203</v>
      </c>
      <c r="L151" s="2">
        <f>L8/'Output-Calculation-sheet'!L7*'Output-Calculation-sheet'!L124</f>
        <v>3927778927.2335181</v>
      </c>
      <c r="M151" s="2">
        <f>M8/'Output-Calculation-sheet'!M7*'Output-Calculation-sheet'!M124</f>
        <v>8963784117.6037235</v>
      </c>
      <c r="N151" s="2">
        <f>N8/'Output-Calculation-sheet'!N7*'Output-Calculation-sheet'!N124</f>
        <v>7413208737.8583784</v>
      </c>
      <c r="O151" s="2">
        <f>O8/'Output-Calculation-sheet'!O7*'Output-Calculation-sheet'!O124</f>
        <v>10649606590.233543</v>
      </c>
      <c r="P151" s="2">
        <f>P8/'Output-Calculation-sheet'!P7*'Output-Calculation-sheet'!P124</f>
        <v>5353805468.8859739</v>
      </c>
      <c r="Q151" s="2">
        <f>Q8/'Output-Calculation-sheet'!Q7*'Output-Calculation-sheet'!Q124</f>
        <v>5286891149.4212418</v>
      </c>
      <c r="R151" s="2">
        <f>R8/'Output-Calculation-sheet'!R7*'Output-Calculation-sheet'!R124</f>
        <v>3928773039.9815397</v>
      </c>
      <c r="S151" s="2">
        <f>S8/'Output-Calculation-sheet'!S7*'Output-Calculation-sheet'!S124</f>
        <v>4104266832.1149039</v>
      </c>
      <c r="T151" s="2">
        <f>T8/'Output-Calculation-sheet'!T7*'Output-Calculation-sheet'!T124</f>
        <v>1048878203.6508001</v>
      </c>
      <c r="U151" s="2">
        <f>U8/'Output-Calculation-sheet'!U7*'Output-Calculation-sheet'!U124</f>
        <v>1350831428.130089</v>
      </c>
      <c r="V151" s="2">
        <f>V8/'Output-Calculation-sheet'!V7*'Output-Calculation-sheet'!V124</f>
        <v>801163635.6752342</v>
      </c>
      <c r="W151" s="2">
        <f>W8/'Output-Calculation-sheet'!W7*'Output-Calculation-sheet'!W124</f>
        <v>437287488.85459834</v>
      </c>
      <c r="X151" s="2">
        <f>X8/'Output-Calculation-sheet'!X7*'Output-Calculation-sheet'!X124</f>
        <v>1008387324.6912385</v>
      </c>
      <c r="Y151" s="2">
        <f>Y8/'Output-Calculation-sheet'!Y7*'Output-Calculation-sheet'!Y124</f>
        <v>478474004.24895275</v>
      </c>
      <c r="AA151" s="2">
        <f t="shared" si="13"/>
        <v>232253.86388332827</v>
      </c>
    </row>
    <row r="152" spans="1:27" x14ac:dyDescent="0.25">
      <c r="A152" s="2">
        <v>2032</v>
      </c>
      <c r="B152" s="2">
        <f>B9/'Output-Calculation-sheet'!B8*'Output-Calculation-sheet'!B125</f>
        <v>73371325556.436203</v>
      </c>
      <c r="C152" s="2">
        <f>C9/'Output-Calculation-sheet'!C8*'Output-Calculation-sheet'!C125</f>
        <v>62859725601.455627</v>
      </c>
      <c r="D152" s="2">
        <f>D9/'Output-Calculation-sheet'!D8*'Output-Calculation-sheet'!D125</f>
        <v>12904682352.459274</v>
      </c>
      <c r="E152" s="2">
        <f>E9/'Output-Calculation-sheet'!E8*'Output-Calculation-sheet'!E125</f>
        <v>14270302764.287424</v>
      </c>
      <c r="F152" s="2">
        <f>F9/'Output-Calculation-sheet'!F8*'Output-Calculation-sheet'!F125</f>
        <v>6180378943.6006899</v>
      </c>
      <c r="G152" s="2">
        <f>G9/'Output-Calculation-sheet'!G8*'Output-Calculation-sheet'!G125</f>
        <v>4685482997.0660257</v>
      </c>
      <c r="H152" s="2">
        <f>H9/'Output-Calculation-sheet'!H8*'Output-Calculation-sheet'!H125</f>
        <v>14729410913.825136</v>
      </c>
      <c r="I152" s="2">
        <f>I9/'Output-Calculation-sheet'!I8*'Output-Calculation-sheet'!I125</f>
        <v>4475349689.7775888</v>
      </c>
      <c r="J152" s="2">
        <f>J9/'Output-Calculation-sheet'!J8*'Output-Calculation-sheet'!J125</f>
        <v>3655412225.4048214</v>
      </c>
      <c r="K152" s="2">
        <f>K9/'Output-Calculation-sheet'!K8*'Output-Calculation-sheet'!K125</f>
        <v>5409947188.585639</v>
      </c>
      <c r="L152" s="2">
        <f>L9/'Output-Calculation-sheet'!L8*'Output-Calculation-sheet'!L125</f>
        <v>4472912854.2448149</v>
      </c>
      <c r="M152" s="2">
        <f>M9/'Output-Calculation-sheet'!M8*'Output-Calculation-sheet'!M125</f>
        <v>10189232413.832148</v>
      </c>
      <c r="N152" s="2">
        <f>N9/'Output-Calculation-sheet'!N8*'Output-Calculation-sheet'!N125</f>
        <v>8502640098.5348291</v>
      </c>
      <c r="O152" s="2">
        <f>O9/'Output-Calculation-sheet'!O8*'Output-Calculation-sheet'!O125</f>
        <v>12213699272.92235</v>
      </c>
      <c r="P152" s="2">
        <f>P9/'Output-Calculation-sheet'!P8*'Output-Calculation-sheet'!P125</f>
        <v>6076543018.8709879</v>
      </c>
      <c r="Q152" s="2">
        <f>Q9/'Output-Calculation-sheet'!Q8*'Output-Calculation-sheet'!Q125</f>
        <v>5997452024.3194714</v>
      </c>
      <c r="R152" s="2">
        <f>R9/'Output-Calculation-sheet'!R8*'Output-Calculation-sheet'!R125</f>
        <v>4483856455.6131563</v>
      </c>
      <c r="S152" s="2">
        <f>S9/'Output-Calculation-sheet'!S8*'Output-Calculation-sheet'!S125</f>
        <v>4602723365.1879568</v>
      </c>
      <c r="T152" s="2">
        <f>T9/'Output-Calculation-sheet'!T8*'Output-Calculation-sheet'!T125</f>
        <v>1196532217.4102969</v>
      </c>
      <c r="U152" s="2">
        <f>U9/'Output-Calculation-sheet'!U8*'Output-Calculation-sheet'!U125</f>
        <v>1540467940.1550233</v>
      </c>
      <c r="V152" s="2">
        <f>V9/'Output-Calculation-sheet'!V8*'Output-Calculation-sheet'!V125</f>
        <v>909653673.41729057</v>
      </c>
      <c r="W152" s="2">
        <f>W9/'Output-Calculation-sheet'!W8*'Output-Calculation-sheet'!W125</f>
        <v>497038171.16859031</v>
      </c>
      <c r="X152" s="2">
        <f>X9/'Output-Calculation-sheet'!X8*'Output-Calculation-sheet'!X125</f>
        <v>1143592723.7508569</v>
      </c>
      <c r="Y152" s="2">
        <f>Y9/'Output-Calculation-sheet'!Y8*'Output-Calculation-sheet'!Y125</f>
        <v>545786904.91040194</v>
      </c>
      <c r="AA152" s="2">
        <f t="shared" si="13"/>
        <v>264914.14936723659</v>
      </c>
    </row>
    <row r="153" spans="1:27" x14ac:dyDescent="0.25">
      <c r="A153" s="2">
        <v>2033</v>
      </c>
      <c r="B153" s="2">
        <f>B10/'Output-Calculation-sheet'!B9*'Output-Calculation-sheet'!B126</f>
        <v>78029590995.55217</v>
      </c>
      <c r="C153" s="2">
        <f>C10/'Output-Calculation-sheet'!C9*'Output-Calculation-sheet'!C126</f>
        <v>57075509911.871346</v>
      </c>
      <c r="D153" s="2">
        <f>D10/'Output-Calculation-sheet'!D9*'Output-Calculation-sheet'!D126</f>
        <v>14210243098.835527</v>
      </c>
      <c r="E153" s="2">
        <f>E10/'Output-Calculation-sheet'!E9*'Output-Calculation-sheet'!E126</f>
        <v>15728472321.160673</v>
      </c>
      <c r="F153" s="2">
        <f>F10/'Output-Calculation-sheet'!F9*'Output-Calculation-sheet'!F126</f>
        <v>6795352348.0847216</v>
      </c>
      <c r="G153" s="2">
        <f>G10/'Output-Calculation-sheet'!G9*'Output-Calculation-sheet'!G126</f>
        <v>5159527301.0815058</v>
      </c>
      <c r="H153" s="2">
        <f>H10/'Output-Calculation-sheet'!H9*'Output-Calculation-sheet'!H126</f>
        <v>16171091993.266081</v>
      </c>
      <c r="I153" s="2">
        <f>I10/'Output-Calculation-sheet'!I9*'Output-Calculation-sheet'!I126</f>
        <v>4926997366.1537962</v>
      </c>
      <c r="J153" s="2">
        <f>J10/'Output-Calculation-sheet'!J9*'Output-Calculation-sheet'!J126</f>
        <v>4023829017.9784341</v>
      </c>
      <c r="K153" s="2">
        <f>K10/'Output-Calculation-sheet'!K9*'Output-Calculation-sheet'!K126</f>
        <v>5942706000.0522928</v>
      </c>
      <c r="L153" s="2">
        <f>L10/'Output-Calculation-sheet'!L9*'Output-Calculation-sheet'!L126</f>
        <v>4922754682.5139141</v>
      </c>
      <c r="M153" s="2">
        <f>M10/'Output-Calculation-sheet'!M9*'Output-Calculation-sheet'!M126</f>
        <v>11183940693.892651</v>
      </c>
      <c r="N153" s="2">
        <f>N10/'Output-Calculation-sheet'!N9*'Output-Calculation-sheet'!N126</f>
        <v>9415231138.2051582</v>
      </c>
      <c r="O153" s="2">
        <f>O10/'Output-Calculation-sheet'!O9*'Output-Calculation-sheet'!O126</f>
        <v>13528384379.563215</v>
      </c>
      <c r="P153" s="2">
        <f>P10/'Output-Calculation-sheet'!P9*'Output-Calculation-sheet'!P126</f>
        <v>6674671495.5750895</v>
      </c>
      <c r="Q153" s="2">
        <f>Q10/'Output-Calculation-sheet'!Q9*'Output-Calculation-sheet'!Q126</f>
        <v>6577865898.2756462</v>
      </c>
      <c r="R153" s="2">
        <f>R10/'Output-Calculation-sheet'!R9*'Output-Calculation-sheet'!R126</f>
        <v>4932613372.6732187</v>
      </c>
      <c r="S153" s="2">
        <f>S10/'Output-Calculation-sheet'!S9*'Output-Calculation-sheet'!S126</f>
        <v>5044679494.443861</v>
      </c>
      <c r="T153" s="2">
        <f>T10/'Output-Calculation-sheet'!T9*'Output-Calculation-sheet'!T126</f>
        <v>1315875224.2678316</v>
      </c>
      <c r="U153" s="2">
        <f>U10/'Output-Calculation-sheet'!U9*'Output-Calculation-sheet'!U126</f>
        <v>1699030043.6906376</v>
      </c>
      <c r="V153" s="2">
        <f>V10/'Output-Calculation-sheet'!V9*'Output-Calculation-sheet'!V126</f>
        <v>999361336.63165033</v>
      </c>
      <c r="W153" s="2">
        <f>W10/'Output-Calculation-sheet'!W9*'Output-Calculation-sheet'!W126</f>
        <v>547704006.14708138</v>
      </c>
      <c r="X153" s="2">
        <f>X10/'Output-Calculation-sheet'!X9*'Output-Calculation-sheet'!X126</f>
        <v>1256659797.0900922</v>
      </c>
      <c r="Y153" s="2">
        <f>Y10/'Output-Calculation-sheet'!Y9*'Output-Calculation-sheet'!Y126</f>
        <v>601084025.61479259</v>
      </c>
      <c r="AA153" s="2">
        <f t="shared" si="13"/>
        <v>276763.17594262143</v>
      </c>
    </row>
    <row r="154" spans="1:27" x14ac:dyDescent="0.25">
      <c r="A154" s="2">
        <v>2034</v>
      </c>
      <c r="B154" s="2">
        <f>B11/'Output-Calculation-sheet'!B10*'Output-Calculation-sheet'!B127</f>
        <v>82337832732.114914</v>
      </c>
      <c r="C154" s="2">
        <f>C11/'Output-Calculation-sheet'!C10*'Output-Calculation-sheet'!C127</f>
        <v>61038775415.852242</v>
      </c>
      <c r="D154" s="2">
        <f>D11/'Output-Calculation-sheet'!D10*'Output-Calculation-sheet'!D127</f>
        <v>15330245591.075335</v>
      </c>
      <c r="E154" s="2">
        <f>E11/'Output-Calculation-sheet'!E10*'Output-Calculation-sheet'!E127</f>
        <v>16937084926.987141</v>
      </c>
      <c r="F154" s="2">
        <f>F11/'Output-Calculation-sheet'!F10*'Output-Calculation-sheet'!F127</f>
        <v>7314385581.6730013</v>
      </c>
      <c r="G154" s="2">
        <f>G11/'Output-Calculation-sheet'!G10*'Output-Calculation-sheet'!G127</f>
        <v>5573963900.7512379</v>
      </c>
      <c r="H154" s="2">
        <f>H11/'Output-Calculation-sheet'!H10*'Output-Calculation-sheet'!H127</f>
        <v>17357689764.151932</v>
      </c>
      <c r="I154" s="2">
        <f>I11/'Output-Calculation-sheet'!I10*'Output-Calculation-sheet'!I127</f>
        <v>5291197545.2020254</v>
      </c>
      <c r="J154" s="2">
        <f>J11/'Output-Calculation-sheet'!J10*'Output-Calculation-sheet'!J127</f>
        <v>4339809759.4870481</v>
      </c>
      <c r="K154" s="2">
        <f>K11/'Output-Calculation-sheet'!K10*'Output-Calculation-sheet'!K127</f>
        <v>6387520847.2269516</v>
      </c>
      <c r="L154" s="2">
        <f>L11/'Output-Calculation-sheet'!L10*'Output-Calculation-sheet'!L127</f>
        <v>5303695028.2422752</v>
      </c>
      <c r="M154" s="2">
        <f>M11/'Output-Calculation-sheet'!M10*'Output-Calculation-sheet'!M127</f>
        <v>12004993561.989935</v>
      </c>
      <c r="N154" s="2">
        <f>N11/'Output-Calculation-sheet'!N10*'Output-Calculation-sheet'!N127</f>
        <v>10181875593.857798</v>
      </c>
      <c r="O154" s="2">
        <f>O11/'Output-Calculation-sheet'!O10*'Output-Calculation-sheet'!O127</f>
        <v>14658048884.343142</v>
      </c>
      <c r="P154" s="2">
        <f>P11/'Output-Calculation-sheet'!P10*'Output-Calculation-sheet'!P127</f>
        <v>7175522503.4307156</v>
      </c>
      <c r="Q154" s="2">
        <f>Q11/'Output-Calculation-sheet'!Q10*'Output-Calculation-sheet'!Q127</f>
        <v>7055811123.3779526</v>
      </c>
      <c r="R154" s="2">
        <f>R11/'Output-Calculation-sheet'!R10*'Output-Calculation-sheet'!R127</f>
        <v>5313593137.667695</v>
      </c>
      <c r="S154" s="2">
        <f>S11/'Output-Calculation-sheet'!S10*'Output-Calculation-sheet'!S127</f>
        <v>5342380290.5103121</v>
      </c>
      <c r="T154" s="2">
        <f>T11/'Output-Calculation-sheet'!T10*'Output-Calculation-sheet'!T127</f>
        <v>1416090620.6187656</v>
      </c>
      <c r="U154" s="2">
        <f>U11/'Output-Calculation-sheet'!U10*'Output-Calculation-sheet'!U127</f>
        <v>1829002941.610827</v>
      </c>
      <c r="V154" s="2">
        <f>V11/'Output-Calculation-sheet'!V10*'Output-Calculation-sheet'!V127</f>
        <v>1072276465.5548569</v>
      </c>
      <c r="W154" s="2">
        <f>W11/'Output-Calculation-sheet'!W10*'Output-Calculation-sheet'!W127</f>
        <v>589965398.05327713</v>
      </c>
      <c r="X154" s="2">
        <f>X11/'Output-Calculation-sheet'!X10*'Output-Calculation-sheet'!X127</f>
        <v>1348266487.3096364</v>
      </c>
      <c r="Y154" s="2">
        <f>Y11/'Output-Calculation-sheet'!Y10*'Output-Calculation-sheet'!Y127</f>
        <v>648173953.20179605</v>
      </c>
      <c r="AA154" s="2">
        <f t="shared" si="13"/>
        <v>295848.20205429092</v>
      </c>
    </row>
    <row r="155" spans="1:27" x14ac:dyDescent="0.25">
      <c r="A155" s="2">
        <v>2035</v>
      </c>
      <c r="B155" s="2">
        <f>B12/'Output-Calculation-sheet'!B11*'Output-Calculation-sheet'!B128</f>
        <v>86842688342.311676</v>
      </c>
      <c r="C155" s="2">
        <f>C12/'Output-Calculation-sheet'!C11*'Output-Calculation-sheet'!C128</f>
        <v>64374421036.388641</v>
      </c>
      <c r="D155" s="2">
        <f>D12/'Output-Calculation-sheet'!D11*'Output-Calculation-sheet'!D128</f>
        <v>16229484278.862028</v>
      </c>
      <c r="E155" s="2">
        <f>E12/'Output-Calculation-sheet'!E11*'Output-Calculation-sheet'!E128</f>
        <v>17958184885.030727</v>
      </c>
      <c r="F155" s="2">
        <f>F12/'Output-Calculation-sheet'!F11*'Output-Calculation-sheet'!F128</f>
        <v>7746119451.5972185</v>
      </c>
      <c r="G155" s="2">
        <f>G12/'Output-Calculation-sheet'!G11*'Output-Calculation-sheet'!G128</f>
        <v>5930831675.0248423</v>
      </c>
      <c r="H155" s="2">
        <f>H12/'Output-Calculation-sheet'!H11*'Output-Calculation-sheet'!H128</f>
        <v>18372936989.274357</v>
      </c>
      <c r="I155" s="2">
        <f>I12/'Output-Calculation-sheet'!I11*'Output-Calculation-sheet'!I128</f>
        <v>5609115053.4330273</v>
      </c>
      <c r="J155" s="2">
        <f>J12/'Output-Calculation-sheet'!J11*'Output-Calculation-sheet'!J128</f>
        <v>4620249073.2593479</v>
      </c>
      <c r="K155" s="2">
        <f>K12/'Output-Calculation-sheet'!K11*'Output-Calculation-sheet'!K128</f>
        <v>6767496359.8782606</v>
      </c>
      <c r="L155" s="2">
        <f>L12/'Output-Calculation-sheet'!L11*'Output-Calculation-sheet'!L128</f>
        <v>5630852232.4728756</v>
      </c>
      <c r="M155" s="2">
        <f>M12/'Output-Calculation-sheet'!M11*'Output-Calculation-sheet'!M128</f>
        <v>12713365971.598043</v>
      </c>
      <c r="N155" s="2">
        <f>N12/'Output-Calculation-sheet'!N11*'Output-Calculation-sheet'!N128</f>
        <v>10840845779.075924</v>
      </c>
      <c r="O155" s="2">
        <f>O12/'Output-Calculation-sheet'!O11*'Output-Calculation-sheet'!O128</f>
        <v>12885240365.719292</v>
      </c>
      <c r="P155" s="2">
        <f>P12/'Output-Calculation-sheet'!P11*'Output-Calculation-sheet'!P128</f>
        <v>7594277405.3648338</v>
      </c>
      <c r="Q155" s="2">
        <f>Q12/'Output-Calculation-sheet'!Q11*'Output-Calculation-sheet'!Q128</f>
        <v>7429667568.1500559</v>
      </c>
      <c r="R155" s="2">
        <f>R12/'Output-Calculation-sheet'!R11*'Output-Calculation-sheet'!R128</f>
        <v>5624184745.8433466</v>
      </c>
      <c r="S155" s="2">
        <f>S12/'Output-Calculation-sheet'!S11*'Output-Calculation-sheet'!S128</f>
        <v>5684187229.1625051</v>
      </c>
      <c r="T155" s="2">
        <f>T12/'Output-Calculation-sheet'!T11*'Output-Calculation-sheet'!T128</f>
        <v>1501681398.0094414</v>
      </c>
      <c r="U155" s="2">
        <f>U12/'Output-Calculation-sheet'!U11*'Output-Calculation-sheet'!U128</f>
        <v>1941072427.8240542</v>
      </c>
      <c r="V155" s="2">
        <f>V12/'Output-Calculation-sheet'!V11*'Output-Calculation-sheet'!V128</f>
        <v>1131592420.1574802</v>
      </c>
      <c r="W155" s="2">
        <f>W12/'Output-Calculation-sheet'!W11*'Output-Calculation-sheet'!W128</f>
        <v>625883465.07327235</v>
      </c>
      <c r="X155" s="2">
        <f>X12/'Output-Calculation-sheet'!X11*'Output-Calculation-sheet'!X128</f>
        <v>1424870810.4415343</v>
      </c>
      <c r="Y155" s="2">
        <f>Y12/'Output-Calculation-sheet'!Y11*'Output-Calculation-sheet'!Y128</f>
        <v>687626845.71988165</v>
      </c>
      <c r="AA155" s="2">
        <f t="shared" si="13"/>
        <v>310166.87580967258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2.8256779409829629E-10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2558.8952265979829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1752.4478281848276</v>
      </c>
      <c r="N19" s="2">
        <f>N8/'Output-Calculation-sheet'!N7*'Output-Calculation-sheet'!N25</f>
        <v>1178.774973364697</v>
      </c>
      <c r="O19" s="2">
        <f>O8/'Output-Calculation-sheet'!O7*'Output-Calculation-sheet'!O25</f>
        <v>1.5551504275493327E-11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312.66376264398656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166.31297599649858</v>
      </c>
      <c r="Y19" s="2">
        <f>Y8/'Output-Calculation-sheet'!Y7*'Output-Calculation-sheet'!Y25</f>
        <v>0</v>
      </c>
      <c r="AA19" s="2">
        <f t="shared" si="0"/>
        <v>5.9690947667882908</v>
      </c>
    </row>
    <row r="20" spans="1:27" x14ac:dyDescent="0.25">
      <c r="A20" s="2">
        <v>2032</v>
      </c>
      <c r="B20" s="2">
        <f>B9/'Output-Calculation-sheet'!B8*'Output-Calculation-sheet'!B26</f>
        <v>2.9208558335304611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3032.4306850380667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2073.7814713371913</v>
      </c>
      <c r="N20" s="2">
        <f>N9/'Output-Calculation-sheet'!N8*'Output-Calculation-sheet'!N26</f>
        <v>1510.290675450537</v>
      </c>
      <c r="O20" s="2">
        <f>O9/'Output-Calculation-sheet'!O8*'Output-Calculation-sheet'!O26</f>
        <v>1.5290562564423545E-10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519.61588985856133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199.60927319394008</v>
      </c>
      <c r="Y20" s="2">
        <f>Y9/'Output-Calculation-sheet'!Y8*'Output-Calculation-sheet'!Y26</f>
        <v>0</v>
      </c>
      <c r="AA20" s="2">
        <f t="shared" si="0"/>
        <v>7.33864885071198</v>
      </c>
    </row>
    <row r="21" spans="1:27" x14ac:dyDescent="0.25">
      <c r="A21" s="2">
        <v>2033</v>
      </c>
      <c r="B21" s="2">
        <f>B10/'Output-Calculation-sheet'!B9*'Output-Calculation-sheet'!B27</f>
        <v>4943.8364950408059</v>
      </c>
      <c r="C21" s="2">
        <f>C10/'Output-Calculation-sheet'!C9*'Output-Calculation-sheet'!C27</f>
        <v>7714.690637953704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3461.2975091412909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2369.4411441333145</v>
      </c>
      <c r="N21" s="2">
        <f>N10/'Output-Calculation-sheet'!N9*'Output-Calculation-sheet'!N27</f>
        <v>1851.3115213367578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706.25711309971655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228.07095958411915</v>
      </c>
      <c r="Y21" s="2">
        <f>Y10/'Output-Calculation-sheet'!Y9*'Output-Calculation-sheet'!Y27</f>
        <v>0</v>
      </c>
      <c r="AA21" s="2">
        <f t="shared" si="0"/>
        <v>21.274905380289706</v>
      </c>
    </row>
    <row r="22" spans="1:27" x14ac:dyDescent="0.25">
      <c r="A22" s="2">
        <v>2034</v>
      </c>
      <c r="B22" s="2">
        <f>B11/'Output-Calculation-sheet'!B10*'Output-Calculation-sheet'!B28</f>
        <v>9153.0213962401613</v>
      </c>
      <c r="C22" s="2">
        <f>C11/'Output-Calculation-sheet'!C10*'Output-Calculation-sheet'!C28</f>
        <v>8867.8825117855613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3874.3994704642882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2652.447069116844</v>
      </c>
      <c r="N22" s="2">
        <f>N11/'Output-Calculation-sheet'!N10*'Output-Calculation-sheet'!N28</f>
        <v>2126.9298177746477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867.64113843263499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256.98628112188987</v>
      </c>
      <c r="Y22" s="2">
        <f>Y11/'Output-Calculation-sheet'!Y10*'Output-Calculation-sheet'!Y28</f>
        <v>0</v>
      </c>
      <c r="AA22" s="2">
        <f t="shared" si="0"/>
        <v>27.799307684936025</v>
      </c>
    </row>
    <row r="23" spans="1:27" x14ac:dyDescent="0.25">
      <c r="A23" s="2">
        <v>2035</v>
      </c>
      <c r="B23" s="2">
        <f>B12/'Output-Calculation-sheet'!B11*'Output-Calculation-sheet'!B29</f>
        <v>12191.611636803627</v>
      </c>
      <c r="C23" s="2">
        <f>C12/'Output-Calculation-sheet'!C11*'Output-Calculation-sheet'!C29</f>
        <v>9990.0922864037639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4262.1844177818948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2913.388427632322</v>
      </c>
      <c r="N23" s="2">
        <f>N12/'Output-Calculation-sheet'!N11*'Output-Calculation-sheet'!N29</f>
        <v>2381.4321041415151</v>
      </c>
      <c r="O23" s="2">
        <f>O12/'Output-Calculation-sheet'!O11*'Output-Calculation-sheet'!O29</f>
        <v>1698.5447293169295</v>
      </c>
      <c r="P23" s="2">
        <f>P12/'Output-Calculation-sheet'!P11*'Output-Calculation-sheet'!P29</f>
        <v>0</v>
      </c>
      <c r="Q23" s="2">
        <f>Q12/'Output-Calculation-sheet'!Q11*'Output-Calculation-sheet'!Q29</f>
        <v>32.50972013366993</v>
      </c>
      <c r="R23" s="2">
        <f>R12/'Output-Calculation-sheet'!R11*'Output-Calculation-sheet'!R29</f>
        <v>0</v>
      </c>
      <c r="S23" s="2">
        <f>S12/'Output-Calculation-sheet'!S11*'Output-Calculation-sheet'!S29</f>
        <v>1045.8262231834515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285.58863846022183</v>
      </c>
      <c r="Y23" s="2">
        <f>Y12/'Output-Calculation-sheet'!Y11*'Output-Calculation-sheet'!Y29</f>
        <v>0</v>
      </c>
      <c r="AA23" s="2">
        <f t="shared" si="0"/>
        <v>34.801178183857395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20112.531965966777</v>
      </c>
      <c r="C30" s="2">
        <f>C8/'Output-Calculation-sheet'!C7*'Output-Calculation-sheet'!C16</f>
        <v>0</v>
      </c>
      <c r="D30" s="2">
        <f>D8/'Output-Calculation-sheet'!D7*'Output-Calculation-sheet'!D16</f>
        <v>6278.4110797615458</v>
      </c>
      <c r="E30" s="2">
        <f>E8/'Output-Calculation-sheet'!E7*'Output-Calculation-sheet'!E16</f>
        <v>6493.9537235351936</v>
      </c>
      <c r="F30" s="2">
        <f>F8/'Output-Calculation-sheet'!F7*'Output-Calculation-sheet'!F16</f>
        <v>3638.1867957324707</v>
      </c>
      <c r="G30" s="2">
        <f>G8/'Output-Calculation-sheet'!G7*'Output-Calculation-sheet'!G16</f>
        <v>2194.2265877636592</v>
      </c>
      <c r="H30" s="2">
        <f>H8/'Output-Calculation-sheet'!H7*'Output-Calculation-sheet'!H16</f>
        <v>0</v>
      </c>
      <c r="I30" s="2">
        <f>I8/'Output-Calculation-sheet'!I7*'Output-Calculation-sheet'!I16</f>
        <v>2220.7932119478569</v>
      </c>
      <c r="J30" s="2">
        <f>J8/'Output-Calculation-sheet'!J7*'Output-Calculation-sheet'!J16</f>
        <v>2027.026627985392</v>
      </c>
      <c r="K30" s="2">
        <f>K8/'Output-Calculation-sheet'!K7*'Output-Calculation-sheet'!K16</f>
        <v>2506.8998235871063</v>
      </c>
      <c r="L30" s="2">
        <f>L8/'Output-Calculation-sheet'!L7*'Output-Calculation-sheet'!L16</f>
        <v>2068.8493058304462</v>
      </c>
      <c r="M30" s="2">
        <f>M8/'Output-Calculation-sheet'!M7*'Output-Calculation-sheet'!M16</f>
        <v>0</v>
      </c>
      <c r="N30" s="2">
        <f>N8/'Output-Calculation-sheet'!N7*'Output-Calculation-sheet'!N16</f>
        <v>1015.088609366907</v>
      </c>
      <c r="O30" s="2">
        <f>O8/'Output-Calculation-sheet'!O7*'Output-Calculation-sheet'!O16</f>
        <v>0</v>
      </c>
      <c r="P30" s="2">
        <f>P8/'Output-Calculation-sheet'!P7*'Output-Calculation-sheet'!P16</f>
        <v>1648.9805898159746</v>
      </c>
      <c r="Q30" s="2">
        <f>Q8/'Output-Calculation-sheet'!Q7*'Output-Calculation-sheet'!Q16</f>
        <v>1808.6329557055465</v>
      </c>
      <c r="R30" s="2">
        <f>R8/'Output-Calculation-sheet'!R7*'Output-Calculation-sheet'!R16</f>
        <v>1584.6137450524961</v>
      </c>
      <c r="S30" s="2">
        <f>S8/'Output-Calculation-sheet'!S7*'Output-Calculation-sheet'!S16</f>
        <v>846.23877220437578</v>
      </c>
      <c r="T30" s="2">
        <f>T8/'Output-Calculation-sheet'!T7*'Output-Calculation-sheet'!T16</f>
        <v>578.09241643516452</v>
      </c>
      <c r="U30" s="2">
        <f>U8/'Output-Calculation-sheet'!U7*'Output-Calculation-sheet'!U16</f>
        <v>444.30425704322232</v>
      </c>
      <c r="V30" s="2">
        <f>V8/'Output-Calculation-sheet'!V7*'Output-Calculation-sheet'!V16</f>
        <v>425.4584634741085</v>
      </c>
      <c r="W30" s="2">
        <f>W8/'Output-Calculation-sheet'!W7*'Output-Calculation-sheet'!W16</f>
        <v>295.37417679506638</v>
      </c>
      <c r="X30" s="2">
        <f>X8/'Output-Calculation-sheet'!X7*'Output-Calculation-sheet'!X16</f>
        <v>0</v>
      </c>
      <c r="Y30" s="2">
        <f>Y8/'Output-Calculation-sheet'!Y7*'Output-Calculation-sheet'!Y16</f>
        <v>195.27138360073138</v>
      </c>
      <c r="AA30" s="2">
        <f t="shared" si="1"/>
        <v>56.382934491604047</v>
      </c>
    </row>
    <row r="31" spans="1:27" x14ac:dyDescent="0.25">
      <c r="A31" s="2">
        <v>2032</v>
      </c>
      <c r="B31" s="2">
        <f>B9/'Output-Calculation-sheet'!B8*'Output-Calculation-sheet'!B17</f>
        <v>23358.188417022866</v>
      </c>
      <c r="C31" s="2">
        <f>C9/'Output-Calculation-sheet'!C8*'Output-Calculation-sheet'!C17</f>
        <v>0</v>
      </c>
      <c r="D31" s="2">
        <f>D9/'Output-Calculation-sheet'!D8*'Output-Calculation-sheet'!D17</f>
        <v>7241.4919916754961</v>
      </c>
      <c r="E31" s="2">
        <f>E9/'Output-Calculation-sheet'!E8*'Output-Calculation-sheet'!E17</f>
        <v>7499.3987582840764</v>
      </c>
      <c r="F31" s="2">
        <f>F9/'Output-Calculation-sheet'!F8*'Output-Calculation-sheet'!F17</f>
        <v>4189.629058333283</v>
      </c>
      <c r="G31" s="2">
        <f>G9/'Output-Calculation-sheet'!G8*'Output-Calculation-sheet'!G17</f>
        <v>2525.6734630575934</v>
      </c>
      <c r="H31" s="2">
        <f>H9/'Output-Calculation-sheet'!H8*'Output-Calculation-sheet'!H17</f>
        <v>0</v>
      </c>
      <c r="I31" s="2">
        <f>I9/'Output-Calculation-sheet'!I8*'Output-Calculation-sheet'!I17</f>
        <v>2560.71319943563</v>
      </c>
      <c r="J31" s="2">
        <f>J9/'Output-Calculation-sheet'!J8*'Output-Calculation-sheet'!J17</f>
        <v>2335.5433719356902</v>
      </c>
      <c r="K31" s="2">
        <f>K9/'Output-Calculation-sheet'!K8*'Output-Calculation-sheet'!K17</f>
        <v>2892.9941365148366</v>
      </c>
      <c r="L31" s="2">
        <f>L9/'Output-Calculation-sheet'!L8*'Output-Calculation-sheet'!L17</f>
        <v>2388.1231325015551</v>
      </c>
      <c r="M31" s="2">
        <f>M9/'Output-Calculation-sheet'!M8*'Output-Calculation-sheet'!M17</f>
        <v>0</v>
      </c>
      <c r="N31" s="2">
        <f>N9/'Output-Calculation-sheet'!N8*'Output-Calculation-sheet'!N17</f>
        <v>1056.3788884556723</v>
      </c>
      <c r="O31" s="2">
        <f>O9/'Output-Calculation-sheet'!O8*'Output-Calculation-sheet'!O17</f>
        <v>0</v>
      </c>
      <c r="P31" s="2">
        <f>P9/'Output-Calculation-sheet'!P8*'Output-Calculation-sheet'!P17</f>
        <v>1921.1914986954168</v>
      </c>
      <c r="Q31" s="2">
        <f>Q9/'Output-Calculation-sheet'!Q8*'Output-Calculation-sheet'!Q17</f>
        <v>2105.4409591179392</v>
      </c>
      <c r="R31" s="2">
        <f>R9/'Output-Calculation-sheet'!R8*'Output-Calculation-sheet'!R17</f>
        <v>1828.0555726413857</v>
      </c>
      <c r="S31" s="2">
        <f>S9/'Output-Calculation-sheet'!S8*'Output-Calculation-sheet'!S17</f>
        <v>912.10591139533369</v>
      </c>
      <c r="T31" s="2">
        <f>T9/'Output-Calculation-sheet'!T8*'Output-Calculation-sheet'!T17</f>
        <v>666.15857105443899</v>
      </c>
      <c r="U31" s="2">
        <f>U9/'Output-Calculation-sheet'!U8*'Output-Calculation-sheet'!U17</f>
        <v>513.77472567600921</v>
      </c>
      <c r="V31" s="2">
        <f>V9/'Output-Calculation-sheet'!V8*'Output-Calculation-sheet'!V17</f>
        <v>492.34692452164495</v>
      </c>
      <c r="W31" s="2">
        <f>W9/'Output-Calculation-sheet'!W8*'Output-Calculation-sheet'!W17</f>
        <v>340.93229755564073</v>
      </c>
      <c r="X31" s="2">
        <f>X9/'Output-Calculation-sheet'!X8*'Output-Calculation-sheet'!X17</f>
        <v>0</v>
      </c>
      <c r="Y31" s="2">
        <f>Y9/'Output-Calculation-sheet'!Y8*'Output-Calculation-sheet'!Y17</f>
        <v>225.38931838673167</v>
      </c>
      <c r="AA31" s="2">
        <f t="shared" si="1"/>
        <v>65.053530196261249</v>
      </c>
    </row>
    <row r="32" spans="1:27" x14ac:dyDescent="0.25">
      <c r="A32" s="2">
        <v>2033</v>
      </c>
      <c r="B32" s="2">
        <f>B10/'Output-Calculation-sheet'!B9*'Output-Calculation-sheet'!B18</f>
        <v>24126.742479489938</v>
      </c>
      <c r="C32" s="2">
        <f>C10/'Output-Calculation-sheet'!C9*'Output-Calculation-sheet'!C18</f>
        <v>0</v>
      </c>
      <c r="D32" s="2">
        <f>D10/'Output-Calculation-sheet'!D9*'Output-Calculation-sheet'!D18</f>
        <v>8054.52938252286</v>
      </c>
      <c r="E32" s="2">
        <f>E10/'Output-Calculation-sheet'!E9*'Output-Calculation-sheet'!E18</f>
        <v>8340.7028100844327</v>
      </c>
      <c r="F32" s="2">
        <f>F10/'Output-Calculation-sheet'!F9*'Output-Calculation-sheet'!F18</f>
        <v>4658.8092530363947</v>
      </c>
      <c r="G32" s="2">
        <f>G10/'Output-Calculation-sheet'!G9*'Output-Calculation-sheet'!G18</f>
        <v>2809.8034725423586</v>
      </c>
      <c r="H32" s="2">
        <f>H10/'Output-Calculation-sheet'!H9*'Output-Calculation-sheet'!H18</f>
        <v>0</v>
      </c>
      <c r="I32" s="2">
        <f>I10/'Output-Calculation-sheet'!I9*'Output-Calculation-sheet'!I18</f>
        <v>2848.4893657504226</v>
      </c>
      <c r="J32" s="2">
        <f>J10/'Output-Calculation-sheet'!J9*'Output-Calculation-sheet'!J18</f>
        <v>2597.9509030123509</v>
      </c>
      <c r="K32" s="2">
        <f>K10/'Output-Calculation-sheet'!K9*'Output-Calculation-sheet'!K18</f>
        <v>3225.397110963494</v>
      </c>
      <c r="L32" s="2">
        <f>L10/'Output-Calculation-sheet'!L9*'Output-Calculation-sheet'!L18</f>
        <v>2658.1653776329854</v>
      </c>
      <c r="M32" s="2">
        <f>M10/'Output-Calculation-sheet'!M9*'Output-Calculation-sheet'!M18</f>
        <v>0</v>
      </c>
      <c r="N32" s="2">
        <f>N10/'Output-Calculation-sheet'!N9*'Output-Calculation-sheet'!N18</f>
        <v>1052.142590933943</v>
      </c>
      <c r="O32" s="2">
        <f>O10/'Output-Calculation-sheet'!O9*'Output-Calculation-sheet'!O18</f>
        <v>0</v>
      </c>
      <c r="P32" s="2">
        <f>P10/'Output-Calculation-sheet'!P9*'Output-Calculation-sheet'!P18</f>
        <v>2152.7162526880538</v>
      </c>
      <c r="Q32" s="2">
        <f>Q10/'Output-Calculation-sheet'!Q9*'Output-Calculation-sheet'!Q18</f>
        <v>2360.957406084</v>
      </c>
      <c r="R32" s="2">
        <f>R10/'Output-Calculation-sheet'!R9*'Output-Calculation-sheet'!R18</f>
        <v>2039.2866012121326</v>
      </c>
      <c r="S32" s="2">
        <f>S10/'Output-Calculation-sheet'!S9*'Output-Calculation-sheet'!S18</f>
        <v>949.21514517296316</v>
      </c>
      <c r="T32" s="2">
        <f>T10/'Output-Calculation-sheet'!T9*'Output-Calculation-sheet'!T18</f>
        <v>741.77688009396661</v>
      </c>
      <c r="U32" s="2">
        <f>U10/'Output-Calculation-sheet'!U9*'Output-Calculation-sheet'!U18</f>
        <v>572.07961130700835</v>
      </c>
      <c r="V32" s="2">
        <f>V10/'Output-Calculation-sheet'!V9*'Output-Calculation-sheet'!V18</f>
        <v>548.80946005952592</v>
      </c>
      <c r="W32" s="2">
        <f>W10/'Output-Calculation-sheet'!W9*'Output-Calculation-sheet'!W18</f>
        <v>378.69810955187296</v>
      </c>
      <c r="X32" s="2">
        <f>X10/'Output-Calculation-sheet'!X9*'Output-Calculation-sheet'!X18</f>
        <v>0</v>
      </c>
      <c r="Y32" s="2">
        <f>Y10/'Output-Calculation-sheet'!Y9*'Output-Calculation-sheet'!Y18</f>
        <v>251.09417955275671</v>
      </c>
      <c r="AA32" s="2">
        <f t="shared" si="1"/>
        <v>70.367366391691462</v>
      </c>
    </row>
    <row r="33" spans="1:27" x14ac:dyDescent="0.25">
      <c r="A33" s="2">
        <v>2034</v>
      </c>
      <c r="B33" s="2">
        <f>B11/'Output-Calculation-sheet'!B10*'Output-Calculation-sheet'!B19</f>
        <v>24766.733266417788</v>
      </c>
      <c r="C33" s="2">
        <f>C11/'Output-Calculation-sheet'!C10*'Output-Calculation-sheet'!C19</f>
        <v>0</v>
      </c>
      <c r="D33" s="2">
        <f>D11/'Output-Calculation-sheet'!D10*'Output-Calculation-sheet'!D19</f>
        <v>8757.0029771148893</v>
      </c>
      <c r="E33" s="2">
        <f>E11/'Output-Calculation-sheet'!E10*'Output-Calculation-sheet'!E19</f>
        <v>9089.5455266877616</v>
      </c>
      <c r="F33" s="2">
        <f>F11/'Output-Calculation-sheet'!F10*'Output-Calculation-sheet'!F19</f>
        <v>5067.707943265953</v>
      </c>
      <c r="G33" s="2">
        <f>G11/'Output-Calculation-sheet'!G10*'Output-Calculation-sheet'!G19</f>
        <v>3051.6283939217137</v>
      </c>
      <c r="H33" s="2">
        <f>H11/'Output-Calculation-sheet'!H10*'Output-Calculation-sheet'!H19</f>
        <v>0</v>
      </c>
      <c r="I33" s="2">
        <f>I11/'Output-Calculation-sheet'!I10*'Output-Calculation-sheet'!I19</f>
        <v>3108.1063123213557</v>
      </c>
      <c r="J33" s="2">
        <f>J11/'Output-Calculation-sheet'!J10*'Output-Calculation-sheet'!J19</f>
        <v>2824.7080691272049</v>
      </c>
      <c r="K33" s="2">
        <f>K11/'Output-Calculation-sheet'!K10*'Output-Calculation-sheet'!K19</f>
        <v>3518.3826365584432</v>
      </c>
      <c r="L33" s="2">
        <f>L11/'Output-Calculation-sheet'!L10*'Output-Calculation-sheet'!L19</f>
        <v>2893.8294582204849</v>
      </c>
      <c r="M33" s="2">
        <f>M11/'Output-Calculation-sheet'!M10*'Output-Calculation-sheet'!M19</f>
        <v>0</v>
      </c>
      <c r="N33" s="2">
        <f>N11/'Output-Calculation-sheet'!N10*'Output-Calculation-sheet'!N19</f>
        <v>1072.4030947750082</v>
      </c>
      <c r="O33" s="2">
        <f>O11/'Output-Calculation-sheet'!O10*'Output-Calculation-sheet'!O19</f>
        <v>0</v>
      </c>
      <c r="P33" s="2">
        <f>P11/'Output-Calculation-sheet'!P10*'Output-Calculation-sheet'!P19</f>
        <v>2358.7600851223083</v>
      </c>
      <c r="Q33" s="2">
        <f>Q11/'Output-Calculation-sheet'!Q10*'Output-Calculation-sheet'!Q19</f>
        <v>2591.3329468254115</v>
      </c>
      <c r="R33" s="2">
        <f>R11/'Output-Calculation-sheet'!R10*'Output-Calculation-sheet'!R19</f>
        <v>2223.7669799641712</v>
      </c>
      <c r="S33" s="2">
        <f>S11/'Output-Calculation-sheet'!S10*'Output-Calculation-sheet'!S19</f>
        <v>1025.6395467276591</v>
      </c>
      <c r="T33" s="2">
        <f>T11/'Output-Calculation-sheet'!T10*'Output-Calculation-sheet'!T19</f>
        <v>808.13580306053996</v>
      </c>
      <c r="U33" s="2">
        <f>U11/'Output-Calculation-sheet'!U10*'Output-Calculation-sheet'!U19</f>
        <v>625.35926030044789</v>
      </c>
      <c r="V33" s="2">
        <f>V11/'Output-Calculation-sheet'!V10*'Output-Calculation-sheet'!V19</f>
        <v>599.50737702651315</v>
      </c>
      <c r="W33" s="2">
        <f>W11/'Output-Calculation-sheet'!W10*'Output-Calculation-sheet'!W19</f>
        <v>411.88891320175514</v>
      </c>
      <c r="X33" s="2">
        <f>X11/'Output-Calculation-sheet'!X10*'Output-Calculation-sheet'!X19</f>
        <v>0</v>
      </c>
      <c r="Y33" s="2">
        <f>Y11/'Output-Calculation-sheet'!Y10*'Output-Calculation-sheet'!Y19</f>
        <v>273.47808999349138</v>
      </c>
      <c r="AA33" s="2">
        <f t="shared" si="1"/>
        <v>75.067916680632891</v>
      </c>
    </row>
    <row r="34" spans="1:27" x14ac:dyDescent="0.25">
      <c r="A34" s="2">
        <v>2035</v>
      </c>
      <c r="B34" s="2">
        <f>B12/'Output-Calculation-sheet'!B11*'Output-Calculation-sheet'!B20</f>
        <v>25483.43939759993</v>
      </c>
      <c r="C34" s="2">
        <f>C12/'Output-Calculation-sheet'!C11*'Output-Calculation-sheet'!C20</f>
        <v>0</v>
      </c>
      <c r="D34" s="2">
        <f>D12/'Output-Calculation-sheet'!D11*'Output-Calculation-sheet'!D20</f>
        <v>9424.5181249099824</v>
      </c>
      <c r="E34" s="2">
        <f>E12/'Output-Calculation-sheet'!E11*'Output-Calculation-sheet'!E20</f>
        <v>9778.3456954654939</v>
      </c>
      <c r="F34" s="2">
        <f>F12/'Output-Calculation-sheet'!F11*'Output-Calculation-sheet'!F20</f>
        <v>5443.821567241187</v>
      </c>
      <c r="G34" s="2">
        <f>G12/'Output-Calculation-sheet'!G11*'Output-Calculation-sheet'!G20</f>
        <v>3270.8930003824939</v>
      </c>
      <c r="H34" s="2">
        <f>H12/'Output-Calculation-sheet'!H11*'Output-Calculation-sheet'!H20</f>
        <v>0</v>
      </c>
      <c r="I34" s="2">
        <f>I12/'Output-Calculation-sheet'!I11*'Output-Calculation-sheet'!I20</f>
        <v>3340.830092429127</v>
      </c>
      <c r="J34" s="2">
        <f>J12/'Output-Calculation-sheet'!J11*'Output-Calculation-sheet'!J20</f>
        <v>3025.6875034479913</v>
      </c>
      <c r="K34" s="2">
        <f>K12/'Output-Calculation-sheet'!K11*'Output-Calculation-sheet'!K20</f>
        <v>3784.9719687801226</v>
      </c>
      <c r="L34" s="2">
        <f>L12/'Output-Calculation-sheet'!L11*'Output-Calculation-sheet'!L20</f>
        <v>3107.7043458152075</v>
      </c>
      <c r="M34" s="2">
        <f>M12/'Output-Calculation-sheet'!M11*'Output-Calculation-sheet'!M20</f>
        <v>0</v>
      </c>
      <c r="N34" s="2">
        <f>N12/'Output-Calculation-sheet'!N11*'Output-Calculation-sheet'!N20</f>
        <v>1093.3193793049886</v>
      </c>
      <c r="O34" s="2">
        <f>O12/'Output-Calculation-sheet'!O11*'Output-Calculation-sheet'!O20</f>
        <v>0</v>
      </c>
      <c r="P34" s="2">
        <f>P12/'Output-Calculation-sheet'!P11*'Output-Calculation-sheet'!P20</f>
        <v>2551.8975440166832</v>
      </c>
      <c r="Q34" s="2">
        <f>Q12/'Output-Calculation-sheet'!Q11*'Output-Calculation-sheet'!Q20</f>
        <v>2798.2730027520729</v>
      </c>
      <c r="R34" s="2">
        <f>R12/'Output-Calculation-sheet'!R11*'Output-Calculation-sheet'!R20</f>
        <v>2399.5246264878979</v>
      </c>
      <c r="S34" s="2">
        <f>S12/'Output-Calculation-sheet'!S11*'Output-Calculation-sheet'!S20</f>
        <v>1031.9114024519936</v>
      </c>
      <c r="T34" s="2">
        <f>T12/'Output-Calculation-sheet'!T11*'Output-Calculation-sheet'!T20</f>
        <v>868.53592681664054</v>
      </c>
      <c r="U34" s="2">
        <f>U12/'Output-Calculation-sheet'!U11*'Output-Calculation-sheet'!U20</f>
        <v>673.70818814121481</v>
      </c>
      <c r="V34" s="2">
        <f>V12/'Output-Calculation-sheet'!V11*'Output-Calculation-sheet'!V20</f>
        <v>647.00496702308305</v>
      </c>
      <c r="W34" s="2">
        <f>W12/'Output-Calculation-sheet'!W11*'Output-Calculation-sheet'!W20</f>
        <v>442.12862139164088</v>
      </c>
      <c r="X34" s="2">
        <f>X12/'Output-Calculation-sheet'!X11*'Output-Calculation-sheet'!X20</f>
        <v>0</v>
      </c>
      <c r="Y34" s="2">
        <f>Y12/'Output-Calculation-sheet'!Y11*'Output-Calculation-sheet'!Y20</f>
        <v>294.32327051073554</v>
      </c>
      <c r="AA34" s="2">
        <f t="shared" si="1"/>
        <v>79.460838624968488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6.2721047269432777</v>
      </c>
      <c r="C63" s="2">
        <f>C8*'Output-Calculation-sheet'!C52/10^9</f>
        <v>3.0179990465825894</v>
      </c>
      <c r="D63" s="2">
        <f>D8*'Output-Calculation-sheet'!D52/10^9</f>
        <v>1.372646578204638</v>
      </c>
      <c r="E63" s="2">
        <f>E8*'Output-Calculation-sheet'!E52/10^9</f>
        <v>1.5273017878440618</v>
      </c>
      <c r="F63" s="2">
        <f>F8*'Output-Calculation-sheet'!F52/10^9</f>
        <v>0.70544674617701364</v>
      </c>
      <c r="G63" s="2">
        <f>G8*'Output-Calculation-sheet'!G52/10^9</f>
        <v>0.48760956815502238</v>
      </c>
      <c r="H63" s="2">
        <f>H8*'Output-Calculation-sheet'!H52/10^9</f>
        <v>0.91946379681850088</v>
      </c>
      <c r="I63" s="2">
        <f>I8*'Output-Calculation-sheet'!I52/10^9</f>
        <v>0.48116422320727431</v>
      </c>
      <c r="J63" s="2">
        <f>J8*'Output-Calculation-sheet'!J52/10^9</f>
        <v>0.43433939233949448</v>
      </c>
      <c r="K63" s="2">
        <f>K8*'Output-Calculation-sheet'!K52/10^9</f>
        <v>0.56058955250308917</v>
      </c>
      <c r="L63" s="2">
        <f>L8*'Output-Calculation-sheet'!L52/10^9</f>
        <v>0.46309782300658597</v>
      </c>
      <c r="M63" s="2">
        <f>M8*'Output-Calculation-sheet'!M52/10^9</f>
        <v>0.63524099077909746</v>
      </c>
      <c r="N63" s="2">
        <f>N8*'Output-Calculation-sheet'!N52/10^9</f>
        <v>0.66395325276775119</v>
      </c>
      <c r="O63" s="2">
        <f>O8*'Output-Calculation-sheet'!O52/10^9</f>
        <v>0.58640409230383428</v>
      </c>
      <c r="P63" s="2">
        <f>P8*'Output-Calculation-sheet'!P52/10^9</f>
        <v>0.49152409857681573</v>
      </c>
      <c r="Q63" s="2">
        <f>Q8*'Output-Calculation-sheet'!Q52/10^9</f>
        <v>0.50688897923416731</v>
      </c>
      <c r="R63" s="2">
        <f>R8*'Output-Calculation-sheet'!R52/10^9</f>
        <v>0.40538030091641669</v>
      </c>
      <c r="S63" s="2">
        <f>S8*'Output-Calculation-sheet'!S52/10^9</f>
        <v>0.37368963804840766</v>
      </c>
      <c r="T63" s="2">
        <f>T8*'Output-Calculation-sheet'!T52/10^9</f>
        <v>0.12672320904510104</v>
      </c>
      <c r="U63" s="2">
        <f>U8*'Output-Calculation-sheet'!U52/10^9</f>
        <v>0.12738818899039989</v>
      </c>
      <c r="V63" s="2">
        <f>V8*'Output-Calculation-sheet'!V52/10^9</f>
        <v>9.4873627293653687E-2</v>
      </c>
      <c r="W63" s="2">
        <f>W8*'Output-Calculation-sheet'!W52/10^9</f>
        <v>5.9317272668042584E-2</v>
      </c>
      <c r="X63" s="2">
        <f>X8*'Output-Calculation-sheet'!X52/10^9</f>
        <v>7.5541534688721032E-2</v>
      </c>
      <c r="Y63" s="2">
        <f>Y8*'Output-Calculation-sheet'!Y52/10^9</f>
        <v>4.9642843338501448E-2</v>
      </c>
      <c r="AA63" s="2">
        <f t="shared" si="4"/>
        <v>20.43833127043245</v>
      </c>
    </row>
    <row r="64" spans="1:27" x14ac:dyDescent="0.25">
      <c r="A64" s="2">
        <v>2032</v>
      </c>
      <c r="B64" s="2">
        <f>B9*'Output-Calculation-sheet'!B53/10^9</f>
        <v>7.1697674675350136</v>
      </c>
      <c r="C64" s="2">
        <f>C9*'Output-Calculation-sheet'!C53/10^9</f>
        <v>3.4622732454660898</v>
      </c>
      <c r="D64" s="2">
        <f>D9*'Output-Calculation-sheet'!D53/10^9</f>
        <v>1.5667281260322934</v>
      </c>
      <c r="E64" s="2">
        <f>E9*'Output-Calculation-sheet'!E53/10^9</f>
        <v>1.7438750973567203</v>
      </c>
      <c r="F64" s="2">
        <f>F9*'Output-Calculation-sheet'!F53/10^9</f>
        <v>0.80467412753616885</v>
      </c>
      <c r="G64" s="2">
        <f>G9*'Output-Calculation-sheet'!G53/10^9</f>
        <v>0.5566043636198984</v>
      </c>
      <c r="H64" s="2">
        <f>H9*'Output-Calculation-sheet'!H53/10^9</f>
        <v>1.0450611045164713</v>
      </c>
      <c r="I64" s="2">
        <f>I9*'Output-Calculation-sheet'!I53/10^9</f>
        <v>0.54917321546253328</v>
      </c>
      <c r="J64" s="2">
        <f>J9*'Output-Calculation-sheet'!J53/10^9</f>
        <v>0.49570137720235874</v>
      </c>
      <c r="K64" s="2">
        <f>K9*'Output-Calculation-sheet'!K53/10^9</f>
        <v>0.6399281050216683</v>
      </c>
      <c r="L64" s="2">
        <f>L9*'Output-Calculation-sheet'!L53/10^9</f>
        <v>0.52863996126411628</v>
      </c>
      <c r="M64" s="2">
        <f>M9*'Output-Calculation-sheet'!M53/10^9</f>
        <v>0.72204906837693239</v>
      </c>
      <c r="N64" s="2">
        <f>N9*'Output-Calculation-sheet'!N53/10^9</f>
        <v>0.75565540309952195</v>
      </c>
      <c r="O64" s="2">
        <f>O9*'Output-Calculation-sheet'!O53/10^9</f>
        <v>0.67272758157905266</v>
      </c>
      <c r="P64" s="2">
        <f>P9*'Output-Calculation-sheet'!P53/10^9</f>
        <v>0.5617722119211026</v>
      </c>
      <c r="Q64" s="2">
        <f>Q9*'Output-Calculation-sheet'!Q53/10^9</f>
        <v>0.57919678909240269</v>
      </c>
      <c r="R64" s="2">
        <f>R9*'Output-Calculation-sheet'!R53/10^9</f>
        <v>0.46304191711973636</v>
      </c>
      <c r="S64" s="2">
        <f>S9*'Output-Calculation-sheet'!S53/10^9</f>
        <v>0.42612921652585151</v>
      </c>
      <c r="T64" s="2">
        <f>T9*'Output-Calculation-sheet'!T53/10^9</f>
        <v>0.14464374575248828</v>
      </c>
      <c r="U64" s="2">
        <f>U9*'Output-Calculation-sheet'!U53/10^9</f>
        <v>0.14557580921815164</v>
      </c>
      <c r="V64" s="2">
        <f>V9*'Output-Calculation-sheet'!V53/10^9</f>
        <v>0.10829843471439925</v>
      </c>
      <c r="W64" s="2">
        <f>W9*'Output-Calculation-sheet'!W53/10^9</f>
        <v>6.7673984609006158E-2</v>
      </c>
      <c r="X64" s="2">
        <f>X9*'Output-Calculation-sheet'!X53/10^9</f>
        <v>8.5947405887035894E-2</v>
      </c>
      <c r="Y64" s="2">
        <f>Y9*'Output-Calculation-sheet'!Y53/10^9</f>
        <v>5.6702371635745541E-2</v>
      </c>
      <c r="AA64" s="2">
        <f t="shared" si="4"/>
        <v>23.351840130544758</v>
      </c>
    </row>
    <row r="65" spans="1:27" x14ac:dyDescent="0.25">
      <c r="A65" s="2">
        <v>2033</v>
      </c>
      <c r="B65" s="2">
        <f>B10*'Output-Calculation-sheet'!B54/10^9</f>
        <v>7.8992433135204925</v>
      </c>
      <c r="C65" s="2">
        <f>C10*'Output-Calculation-sheet'!C54/10^9</f>
        <v>3.8239435853655177</v>
      </c>
      <c r="D65" s="2">
        <f>D10*'Output-Calculation-sheet'!D54/10^9</f>
        <v>1.7253037965565614</v>
      </c>
      <c r="E65" s="2">
        <f>E10*'Output-Calculation-sheet'!E54/10^9</f>
        <v>1.9210710256069286</v>
      </c>
      <c r="F65" s="2">
        <f>F10*'Output-Calculation-sheet'!F54/10^9</f>
        <v>0.88554341416147031</v>
      </c>
      <c r="G65" s="2">
        <f>G10*'Output-Calculation-sheet'!G54/10^9</f>
        <v>0.61299944257523231</v>
      </c>
      <c r="H65" s="2">
        <f>H10*'Output-Calculation-sheet'!H54/10^9</f>
        <v>1.1456212978123055</v>
      </c>
      <c r="I65" s="2">
        <f>I10*'Output-Calculation-sheet'!I54/10^9</f>
        <v>0.60473178014962259</v>
      </c>
      <c r="J65" s="2">
        <f>J10*'Output-Calculation-sheet'!J54/10^9</f>
        <v>0.54581866966985726</v>
      </c>
      <c r="K65" s="2">
        <f>K10*'Output-Calculation-sheet'!K54/10^9</f>
        <v>0.70477435757378915</v>
      </c>
      <c r="L65" s="2">
        <f>L10*'Output-Calculation-sheet'!L54/10^9</f>
        <v>0.5822134186401422</v>
      </c>
      <c r="M65" s="2">
        <f>M10*'Output-Calculation-sheet'!M54/10^9</f>
        <v>0.79156190249485947</v>
      </c>
      <c r="N65" s="2">
        <f>N10*'Output-Calculation-sheet'!N54/10^9</f>
        <v>0.82928099344362805</v>
      </c>
      <c r="O65" s="2">
        <f>O10*'Output-Calculation-sheet'!O54/10^9</f>
        <v>0.74462922845053625</v>
      </c>
      <c r="P65" s="2">
        <f>P10*'Output-Calculation-sheet'!P54/10^9</f>
        <v>0.61945237367366457</v>
      </c>
      <c r="Q65" s="2">
        <f>Q10*'Output-Calculation-sheet'!Q54/10^9</f>
        <v>0.63851065540863416</v>
      </c>
      <c r="R65" s="2">
        <f>R10*'Output-Calculation-sheet'!R54/10^9</f>
        <v>0.51028718224714098</v>
      </c>
      <c r="S65" s="2">
        <f>S10*'Output-Calculation-sheet'!S54/10^9</f>
        <v>0.4684063820648936</v>
      </c>
      <c r="T65" s="2">
        <f>T10*'Output-Calculation-sheet'!T54/10^9</f>
        <v>0.15928595250119706</v>
      </c>
      <c r="U65" s="2">
        <f>U10*'Output-Calculation-sheet'!U54/10^9</f>
        <v>0.16050472877349325</v>
      </c>
      <c r="V65" s="2">
        <f>V10*'Output-Calculation-sheet'!V54/10^9</f>
        <v>0.11926933161391114</v>
      </c>
      <c r="W65" s="2">
        <f>W10*'Output-Calculation-sheet'!W54/10^9</f>
        <v>7.4489440614966596E-2</v>
      </c>
      <c r="X65" s="2">
        <f>X10*'Output-Calculation-sheet'!X54/10^9</f>
        <v>9.430922021651704E-2</v>
      </c>
      <c r="Y65" s="2">
        <f>Y10*'Output-Calculation-sheet'!Y54/10^9</f>
        <v>6.2486311430186507E-2</v>
      </c>
      <c r="AA65" s="2">
        <f t="shared" si="4"/>
        <v>25.723737804565548</v>
      </c>
    </row>
    <row r="66" spans="1:27" x14ac:dyDescent="0.25">
      <c r="A66" s="2">
        <v>2034</v>
      </c>
      <c r="B66" s="2">
        <f>B11*'Output-Calculation-sheet'!B55/10^9</f>
        <v>8.5037717004245827</v>
      </c>
      <c r="C66" s="2">
        <f>C11*'Output-Calculation-sheet'!C55/10^9</f>
        <v>4.108562715037249</v>
      </c>
      <c r="D66" s="2">
        <f>D11*'Output-Calculation-sheet'!D55/10^9</f>
        <v>1.8593818541049536</v>
      </c>
      <c r="E66" s="2">
        <f>E11*'Output-Calculation-sheet'!E55/10^9</f>
        <v>2.0711039709267585</v>
      </c>
      <c r="F66" s="2">
        <f>F11*'Output-Calculation-sheet'!F55/10^9</f>
        <v>0.95373054090797027</v>
      </c>
      <c r="G66" s="2">
        <f>G11*'Output-Calculation-sheet'!G55/10^9</f>
        <v>0.66070061613478615</v>
      </c>
      <c r="H66" s="2">
        <f>H11*'Output-Calculation-sheet'!H55/10^9</f>
        <v>1.2286140788689048</v>
      </c>
      <c r="I66" s="2">
        <f>I11*'Output-Calculation-sheet'!I55/10^9</f>
        <v>0.6516919106762914</v>
      </c>
      <c r="J66" s="2">
        <f>J11*'Output-Calculation-sheet'!J55/10^9</f>
        <v>0.58817668763734698</v>
      </c>
      <c r="K66" s="2">
        <f>K11*'Output-Calculation-sheet'!K55/10^9</f>
        <v>0.75961493523636459</v>
      </c>
      <c r="L66" s="2">
        <f>L11*'Output-Calculation-sheet'!L55/10^9</f>
        <v>0.62752691427562912</v>
      </c>
      <c r="M66" s="2">
        <f>M11*'Output-Calculation-sheet'!M55/10^9</f>
        <v>0.84894251612005411</v>
      </c>
      <c r="N66" s="2">
        <f>N11*'Output-Calculation-sheet'!N55/10^9</f>
        <v>0.89018745365821905</v>
      </c>
      <c r="O66" s="2">
        <f>O11*'Output-Calculation-sheet'!O55/10^9</f>
        <v>0.8066638585247351</v>
      </c>
      <c r="P66" s="2">
        <f>P11*'Output-Calculation-sheet'!P55/10^9</f>
        <v>0.66846984057737424</v>
      </c>
      <c r="Q66" s="2">
        <f>Q11*'Output-Calculation-sheet'!Q55/10^9</f>
        <v>0.68886110402638767</v>
      </c>
      <c r="R66" s="2">
        <f>R11*'Output-Calculation-sheet'!R55/10^9</f>
        <v>0.55034963935599657</v>
      </c>
      <c r="S66" s="2">
        <f>S11*'Output-Calculation-sheet'!S55/10^9</f>
        <v>0.50350216453235053</v>
      </c>
      <c r="T66" s="2">
        <f>T11*'Output-Calculation-sheet'!T55/10^9</f>
        <v>0.17166548271359613</v>
      </c>
      <c r="U66" s="2">
        <f>U11*'Output-Calculation-sheet'!U55/10^9</f>
        <v>0.17318848965451186</v>
      </c>
      <c r="V66" s="2">
        <f>V11*'Output-Calculation-sheet'!V55/10^9</f>
        <v>0.12854626855505685</v>
      </c>
      <c r="W66" s="2">
        <f>W11*'Output-Calculation-sheet'!W55/10^9</f>
        <v>8.0241138644669516E-2</v>
      </c>
      <c r="X66" s="2">
        <f>X11*'Output-Calculation-sheet'!X55/10^9</f>
        <v>0.10124187618539493</v>
      </c>
      <c r="Y66" s="2">
        <f>Y11*'Output-Calculation-sheet'!Y55/10^9</f>
        <v>6.7390740727420878E-2</v>
      </c>
      <c r="AA66" s="2">
        <f t="shared" si="4"/>
        <v>27.692126497506596</v>
      </c>
    </row>
    <row r="67" spans="1:27" x14ac:dyDescent="0.25">
      <c r="A67" s="2">
        <v>2035</v>
      </c>
      <c r="B67" s="2">
        <f>B12*'Output-Calculation-sheet'!B56/10^9</f>
        <v>9.024982630525006</v>
      </c>
      <c r="C67" s="2">
        <f>C12*'Output-Calculation-sheet'!C56/10^9</f>
        <v>4.3543500946002442</v>
      </c>
      <c r="D67" s="2">
        <f>D12*'Output-Calculation-sheet'!D56/10^9</f>
        <v>1.9775773674990027</v>
      </c>
      <c r="E67" s="2">
        <f>E12*'Output-Calculation-sheet'!E56/10^9</f>
        <v>2.2035437883819582</v>
      </c>
      <c r="F67" s="2">
        <f>F12*'Output-Calculation-sheet'!F56/10^9</f>
        <v>1.0136762712306564</v>
      </c>
      <c r="G67" s="2">
        <f>G12*'Output-Calculation-sheet'!G56/10^9</f>
        <v>0.70277816128966586</v>
      </c>
      <c r="H67" s="2">
        <f>H12*'Output-Calculation-sheet'!H56/10^9</f>
        <v>1.2998554223869756</v>
      </c>
      <c r="I67" s="2">
        <f>I12*'Output-Calculation-sheet'!I56/10^9</f>
        <v>0.69307634213945701</v>
      </c>
      <c r="J67" s="2">
        <f>J12*'Output-Calculation-sheet'!J56/10^9</f>
        <v>0.6255083322240047</v>
      </c>
      <c r="K67" s="2">
        <f>K12*'Output-Calculation-sheet'!K56/10^9</f>
        <v>0.80797330470374407</v>
      </c>
      <c r="L67" s="2">
        <f>L12*'Output-Calculation-sheet'!L56/10^9</f>
        <v>0.66749321581812848</v>
      </c>
      <c r="M67" s="2">
        <f>M12*'Output-Calculation-sheet'!M56/10^9</f>
        <v>0.89820763116252411</v>
      </c>
      <c r="N67" s="2">
        <f>N12*'Output-Calculation-sheet'!N56/10^9</f>
        <v>0.94267913784659041</v>
      </c>
      <c r="O67" s="2">
        <f>O12*'Output-Calculation-sheet'!O56/10^9</f>
        <v>0.85743998260975474</v>
      </c>
      <c r="P67" s="2">
        <f>P12*'Output-Calculation-sheet'!P56/10^9</f>
        <v>0.71189056415429441</v>
      </c>
      <c r="Q67" s="2">
        <f>Q12*'Output-Calculation-sheet'!Q56/10^9</f>
        <v>0.73339691750463354</v>
      </c>
      <c r="R67" s="2">
        <f>R12*'Output-Calculation-sheet'!R56/10^9</f>
        <v>0.58576466036277286</v>
      </c>
      <c r="S67" s="2">
        <f>S12*'Output-Calculation-sheet'!S56/10^9</f>
        <v>0.533797918473641</v>
      </c>
      <c r="T67" s="2">
        <f>T12*'Output-Calculation-sheet'!T56/10^9</f>
        <v>0.18257892322489003</v>
      </c>
      <c r="U67" s="2">
        <f>U12*'Output-Calculation-sheet'!U56/10^9</f>
        <v>0.18442243403839631</v>
      </c>
      <c r="V67" s="2">
        <f>V12*'Output-Calculation-sheet'!V56/10^9</f>
        <v>0.13672325019223597</v>
      </c>
      <c r="W67" s="2">
        <f>W12*'Output-Calculation-sheet'!W56/10^9</f>
        <v>8.530217407605635E-2</v>
      </c>
      <c r="X67" s="2">
        <f>X12*'Output-Calculation-sheet'!X56/10^9</f>
        <v>0.10721387185343811</v>
      </c>
      <c r="Y67" s="2">
        <f>Y12*'Output-Calculation-sheet'!Y56/10^9</f>
        <v>7.1726420812369837E-2</v>
      </c>
      <c r="AA67" s="2">
        <f t="shared" si="4"/>
        <v>29.401958817110447</v>
      </c>
    </row>
    <row r="68" spans="1:27" x14ac:dyDescent="0.25">
      <c r="B68" s="2">
        <f>SUM(B60:B67)</f>
        <v>51.269755760888643</v>
      </c>
      <c r="C68" s="2">
        <f t="shared" ref="C68:Y68" si="5">SUM(C60:C67)</f>
        <v>24.678452666322968</v>
      </c>
      <c r="D68" s="2">
        <f t="shared" si="5"/>
        <v>11.226479900247229</v>
      </c>
      <c r="E68" s="2">
        <f t="shared" si="5"/>
        <v>12.495752359558377</v>
      </c>
      <c r="F68" s="2">
        <f t="shared" si="5"/>
        <v>5.7658177056414015</v>
      </c>
      <c r="G68" s="2">
        <f t="shared" si="5"/>
        <v>3.9884713031997991</v>
      </c>
      <c r="H68" s="2">
        <f t="shared" si="5"/>
        <v>7.4673525966975145</v>
      </c>
      <c r="I68" s="2">
        <f t="shared" si="5"/>
        <v>3.9350753094878321</v>
      </c>
      <c r="J68" s="2">
        <f t="shared" si="5"/>
        <v>3.5519911875190315</v>
      </c>
      <c r="K68" s="2">
        <f t="shared" si="5"/>
        <v>4.5852895572272505</v>
      </c>
      <c r="L68" s="2">
        <f t="shared" si="5"/>
        <v>3.7879392911311807</v>
      </c>
      <c r="M68" s="2">
        <f t="shared" si="5"/>
        <v>5.1589426046974207</v>
      </c>
      <c r="N68" s="2">
        <f t="shared" si="5"/>
        <v>5.3999880825573436</v>
      </c>
      <c r="O68" s="2">
        <f t="shared" si="5"/>
        <v>4.816440042768912</v>
      </c>
      <c r="P68" s="2">
        <f t="shared" si="5"/>
        <v>4.0252941987507631</v>
      </c>
      <c r="Q68" s="2">
        <f t="shared" si="5"/>
        <v>4.1499855148190594</v>
      </c>
      <c r="R68" s="2">
        <f t="shared" si="5"/>
        <v>3.3179394429528379</v>
      </c>
      <c r="S68" s="2">
        <f t="shared" si="5"/>
        <v>3.0446383301546343</v>
      </c>
      <c r="T68" s="2">
        <f t="shared" si="5"/>
        <v>1.0364344085263286</v>
      </c>
      <c r="U68" s="2">
        <f t="shared" si="5"/>
        <v>1.0431463033574646</v>
      </c>
      <c r="V68" s="2">
        <f t="shared" si="5"/>
        <v>0.77598230795316847</v>
      </c>
      <c r="W68" s="2">
        <f t="shared" si="5"/>
        <v>0.48491193051138309</v>
      </c>
      <c r="X68" s="2">
        <f t="shared" si="5"/>
        <v>0.61404048241804077</v>
      </c>
      <c r="Y68" s="2">
        <f t="shared" si="5"/>
        <v>0.40630465153042311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12689018166.780918</v>
      </c>
      <c r="C96" s="2">
        <f>C8/'Output-Calculation-sheet'!C7*'Output-Calculation-sheet'!C79</f>
        <v>0</v>
      </c>
      <c r="D96" s="2">
        <f>D8/'Output-Calculation-sheet'!D7*'Output-Calculation-sheet'!D79</f>
        <v>7723674541.4587822</v>
      </c>
      <c r="E96" s="2">
        <f>E8/'Output-Calculation-sheet'!E7*'Output-Calculation-sheet'!E79</f>
        <v>12098040633.552387</v>
      </c>
      <c r="F96" s="2">
        <f>F8/'Output-Calculation-sheet'!F7*'Output-Calculation-sheet'!F79</f>
        <v>5791053188.7958069</v>
      </c>
      <c r="G96" s="2">
        <f>G8/'Output-Calculation-sheet'!G7*'Output-Calculation-sheet'!G79</f>
        <v>4414825345.3778687</v>
      </c>
      <c r="H96" s="2">
        <f>H8/'Output-Calculation-sheet'!H7*'Output-Calculation-sheet'!H79</f>
        <v>1193171592.1654773</v>
      </c>
      <c r="I96" s="2">
        <f>I8/'Output-Calculation-sheet'!I7*'Output-Calculation-sheet'!I79</f>
        <v>3027612459.8362427</v>
      </c>
      <c r="J96" s="2">
        <f>J8/'Output-Calculation-sheet'!J7*'Output-Calculation-sheet'!J79</f>
        <v>2155123282.1853724</v>
      </c>
      <c r="K96" s="2">
        <f>K8/'Output-Calculation-sheet'!K7*'Output-Calculation-sheet'!K79</f>
        <v>2685986827.9008288</v>
      </c>
      <c r="L96" s="2">
        <f>L8/'Output-Calculation-sheet'!L7*'Output-Calculation-sheet'!L79</f>
        <v>1869072111.206954</v>
      </c>
      <c r="M96" s="2">
        <f>M8/'Output-Calculation-sheet'!M7*'Output-Calculation-sheet'!M79</f>
        <v>884529034.51456058</v>
      </c>
      <c r="N96" s="2">
        <f>N8/'Output-Calculation-sheet'!N7*'Output-Calculation-sheet'!N79</f>
        <v>985810889.59868944</v>
      </c>
      <c r="O96" s="2">
        <f>O8/'Output-Calculation-sheet'!O7*'Output-Calculation-sheet'!O79</f>
        <v>0</v>
      </c>
      <c r="P96" s="2">
        <f>P8/'Output-Calculation-sheet'!P7*'Output-Calculation-sheet'!P79</f>
        <v>2279954736.5682826</v>
      </c>
      <c r="Q96" s="2">
        <f>Q8/'Output-Calculation-sheet'!Q7*'Output-Calculation-sheet'!Q79</f>
        <v>1058469623.3081</v>
      </c>
      <c r="R96" s="2">
        <f>R8/'Output-Calculation-sheet'!R7*'Output-Calculation-sheet'!R79</f>
        <v>1633080597.9942176</v>
      </c>
      <c r="S96" s="2">
        <f>S8/'Output-Calculation-sheet'!S7*'Output-Calculation-sheet'!S79</f>
        <v>598174075.17361224</v>
      </c>
      <c r="T96" s="2">
        <f>T8/'Output-Calculation-sheet'!T7*'Output-Calculation-sheet'!T79</f>
        <v>855988665.94330144</v>
      </c>
      <c r="U96" s="2">
        <f>U8/'Output-Calculation-sheet'!U7*'Output-Calculation-sheet'!U79</f>
        <v>434615964.0367682</v>
      </c>
      <c r="V96" s="2">
        <f>V8/'Output-Calculation-sheet'!V7*'Output-Calculation-sheet'!V79</f>
        <v>263467110.34496087</v>
      </c>
      <c r="W96" s="2">
        <f>W8/'Output-Calculation-sheet'!W7*'Output-Calculation-sheet'!W79</f>
        <v>917518125.74630713</v>
      </c>
      <c r="X96" s="2">
        <f>X8/'Output-Calculation-sheet'!X7*'Output-Calculation-sheet'!X79</f>
        <v>85542543.299704507</v>
      </c>
      <c r="Y96" s="2">
        <f>Y8/'Output-Calculation-sheet'!Y7*'Output-Calculation-sheet'!Y79</f>
        <v>390286792.25433779</v>
      </c>
      <c r="AA96" s="2">
        <f t="shared" si="8"/>
        <v>64.035016308043467</v>
      </c>
    </row>
    <row r="97" spans="1:27" x14ac:dyDescent="0.25">
      <c r="A97" s="2">
        <v>2032</v>
      </c>
      <c r="B97" s="2">
        <f>B9/'Output-Calculation-sheet'!B8*'Output-Calculation-sheet'!B80</f>
        <v>14687536598.442894</v>
      </c>
      <c r="C97" s="2">
        <f>C9/'Output-Calculation-sheet'!C8*'Output-Calculation-sheet'!C80</f>
        <v>0</v>
      </c>
      <c r="D97" s="2">
        <f>D9/'Output-Calculation-sheet'!D8*'Output-Calculation-sheet'!D80</f>
        <v>8526551540.2272434</v>
      </c>
      <c r="E97" s="2">
        <f>E9/'Output-Calculation-sheet'!E8*'Output-Calculation-sheet'!E80</f>
        <v>13756118632.221022</v>
      </c>
      <c r="F97" s="2">
        <f>F9/'Output-Calculation-sheet'!F8*'Output-Calculation-sheet'!F80</f>
        <v>6561885189.4582272</v>
      </c>
      <c r="G97" s="2">
        <f>G9/'Output-Calculation-sheet'!G8*'Output-Calculation-sheet'!G80</f>
        <v>4858925675.2941732</v>
      </c>
      <c r="H97" s="2">
        <f>H9/'Output-Calculation-sheet'!H8*'Output-Calculation-sheet'!H80</f>
        <v>1387619430.2654128</v>
      </c>
      <c r="I97" s="2">
        <f>I9/'Output-Calculation-sheet'!I8*'Output-Calculation-sheet'!I80</f>
        <v>3464777760.2997117</v>
      </c>
      <c r="J97" s="2">
        <f>J9/'Output-Calculation-sheet'!J8*'Output-Calculation-sheet'!J80</f>
        <v>2396205949.4883728</v>
      </c>
      <c r="K97" s="2">
        <f>K9/'Output-Calculation-sheet'!K8*'Output-Calculation-sheet'!K80</f>
        <v>3014224582.2395554</v>
      </c>
      <c r="L97" s="2">
        <f>L9/'Output-Calculation-sheet'!L8*'Output-Calculation-sheet'!L80</f>
        <v>2164170753.4156981</v>
      </c>
      <c r="M97" s="2">
        <f>M9/'Output-Calculation-sheet'!M8*'Output-Calculation-sheet'!M80</f>
        <v>1030499519.4552288</v>
      </c>
      <c r="N97" s="2">
        <f>N9/'Output-Calculation-sheet'!N8*'Output-Calculation-sheet'!N80</f>
        <v>1096856703.9430802</v>
      </c>
      <c r="O97" s="2">
        <f>O9/'Output-Calculation-sheet'!O8*'Output-Calculation-sheet'!O80</f>
        <v>0</v>
      </c>
      <c r="P97" s="2">
        <f>P9/'Output-Calculation-sheet'!P8*'Output-Calculation-sheet'!P80</f>
        <v>2566840124.5118809</v>
      </c>
      <c r="Q97" s="2">
        <f>Q9/'Output-Calculation-sheet'!Q8*'Output-Calculation-sheet'!Q80</f>
        <v>1196785640.534277</v>
      </c>
      <c r="R97" s="2">
        <f>R9/'Output-Calculation-sheet'!R8*'Output-Calculation-sheet'!R80</f>
        <v>1854926082.9989429</v>
      </c>
      <c r="S97" s="2">
        <f>S9/'Output-Calculation-sheet'!S8*'Output-Calculation-sheet'!S80</f>
        <v>698919007.51705408</v>
      </c>
      <c r="T97" s="2">
        <f>T9/'Output-Calculation-sheet'!T8*'Output-Calculation-sheet'!T80</f>
        <v>953860857.19528437</v>
      </c>
      <c r="U97" s="2">
        <f>U9/'Output-Calculation-sheet'!U8*'Output-Calculation-sheet'!U80</f>
        <v>493871725.88151097</v>
      </c>
      <c r="V97" s="2">
        <f>V9/'Output-Calculation-sheet'!V8*'Output-Calculation-sheet'!V80</f>
        <v>302760416.51317286</v>
      </c>
      <c r="W97" s="2">
        <f>W9/'Output-Calculation-sheet'!W8*'Output-Calculation-sheet'!W80</f>
        <v>1030749375.9179393</v>
      </c>
      <c r="X97" s="2">
        <f>X9/'Output-Calculation-sheet'!X8*'Output-Calculation-sheet'!X80</f>
        <v>102047722.45339024</v>
      </c>
      <c r="Y97" s="2">
        <f>Y9/'Output-Calculation-sheet'!Y8*'Output-Calculation-sheet'!Y80</f>
        <v>438896093.40053523</v>
      </c>
      <c r="AA97" s="2">
        <f t="shared" si="8"/>
        <v>72.585029381674588</v>
      </c>
    </row>
    <row r="98" spans="1:27" x14ac:dyDescent="0.25">
      <c r="A98" s="2">
        <v>2033</v>
      </c>
      <c r="B98" s="2">
        <f>B10/'Output-Calculation-sheet'!B9*'Output-Calculation-sheet'!B81</f>
        <v>17042013422.160358</v>
      </c>
      <c r="C98" s="2">
        <f>C10/'Output-Calculation-sheet'!C9*'Output-Calculation-sheet'!C81</f>
        <v>2232000391.6571808</v>
      </c>
      <c r="D98" s="2">
        <f>D10/'Output-Calculation-sheet'!D9*'Output-Calculation-sheet'!D81</f>
        <v>9085652547.5337353</v>
      </c>
      <c r="E98" s="2">
        <f>E10/'Output-Calculation-sheet'!E9*'Output-Calculation-sheet'!E81</f>
        <v>15085360298.900635</v>
      </c>
      <c r="F98" s="2">
        <f>F10/'Output-Calculation-sheet'!F9*'Output-Calculation-sheet'!F81</f>
        <v>7181989203.0906105</v>
      </c>
      <c r="G98" s="2">
        <f>G10/'Output-Calculation-sheet'!G9*'Output-Calculation-sheet'!G81</f>
        <v>5157222924.4085646</v>
      </c>
      <c r="H98" s="2">
        <f>H10/'Output-Calculation-sheet'!H9*'Output-Calculation-sheet'!H81</f>
        <v>1554256172.7613242</v>
      </c>
      <c r="I98" s="2">
        <f>I10/'Output-Calculation-sheet'!I9*'Output-Calculation-sheet'!I81</f>
        <v>3827826209.5604892</v>
      </c>
      <c r="J98" s="2">
        <f>J10/'Output-Calculation-sheet'!J9*'Output-Calculation-sheet'!J81</f>
        <v>2573933425.2420774</v>
      </c>
      <c r="K98" s="2">
        <f>K10/'Output-Calculation-sheet'!K9*'Output-Calculation-sheet'!K81</f>
        <v>3268811385.0049329</v>
      </c>
      <c r="L98" s="2">
        <f>L10/'Output-Calculation-sheet'!L9*'Output-Calculation-sheet'!L81</f>
        <v>2416778273.0811639</v>
      </c>
      <c r="M98" s="2">
        <f>M10/'Output-Calculation-sheet'!M9*'Output-Calculation-sheet'!M81</f>
        <v>1158859145.8053029</v>
      </c>
      <c r="N98" s="2">
        <f>N10/'Output-Calculation-sheet'!N9*'Output-Calculation-sheet'!N81</f>
        <v>1179258625.1898241</v>
      </c>
      <c r="O98" s="2">
        <f>O10/'Output-Calculation-sheet'!O9*'Output-Calculation-sheet'!O81</f>
        <v>0</v>
      </c>
      <c r="P98" s="2">
        <f>P10/'Output-Calculation-sheet'!P9*'Output-Calculation-sheet'!P81</f>
        <v>2780961161.0865483</v>
      </c>
      <c r="Q98" s="2">
        <f>Q10/'Output-Calculation-sheet'!Q9*'Output-Calculation-sheet'!Q81</f>
        <v>1305343028.6025164</v>
      </c>
      <c r="R98" s="2">
        <f>R10/'Output-Calculation-sheet'!R9*'Output-Calculation-sheet'!R81</f>
        <v>2036933523.8803546</v>
      </c>
      <c r="S98" s="2">
        <f>S10/'Output-Calculation-sheet'!S9*'Output-Calculation-sheet'!S81</f>
        <v>773457086.4004184</v>
      </c>
      <c r="T98" s="2">
        <f>T10/'Output-Calculation-sheet'!T9*'Output-Calculation-sheet'!T81</f>
        <v>1026617254.6586471</v>
      </c>
      <c r="U98" s="2">
        <f>U10/'Output-Calculation-sheet'!U9*'Output-Calculation-sheet'!U81</f>
        <v>541132016.61343932</v>
      </c>
      <c r="V98" s="2">
        <f>V10/'Output-Calculation-sheet'!V9*'Output-Calculation-sheet'!V81</f>
        <v>335335791.47633153</v>
      </c>
      <c r="W98" s="2">
        <f>W10/'Output-Calculation-sheet'!W9*'Output-Calculation-sheet'!W81</f>
        <v>1114881188.7585409</v>
      </c>
      <c r="X98" s="2">
        <f>X10/'Output-Calculation-sheet'!X9*'Output-Calculation-sheet'!X81</f>
        <v>115976475.02852623</v>
      </c>
      <c r="Y98" s="2">
        <f>Y10/'Output-Calculation-sheet'!Y9*'Output-Calculation-sheet'!Y81</f>
        <v>475946683.13249183</v>
      </c>
      <c r="AA98" s="2">
        <f t="shared" si="8"/>
        <v>82.270546234034001</v>
      </c>
    </row>
    <row r="99" spans="1:27" x14ac:dyDescent="0.25">
      <c r="A99" s="2">
        <v>2034</v>
      </c>
      <c r="B99" s="2">
        <f>B11/'Output-Calculation-sheet'!B10*'Output-Calculation-sheet'!B82</f>
        <v>18994839334.248817</v>
      </c>
      <c r="C99" s="2">
        <f>C11/'Output-Calculation-sheet'!C10*'Output-Calculation-sheet'!C82</f>
        <v>2576171646.2232351</v>
      </c>
      <c r="D99" s="2">
        <f>D11/'Output-Calculation-sheet'!D10*'Output-Calculation-sheet'!D82</f>
        <v>9477525865.7444477</v>
      </c>
      <c r="E99" s="2">
        <f>E11/'Output-Calculation-sheet'!E10*'Output-Calculation-sheet'!E82</f>
        <v>16208185769.819956</v>
      </c>
      <c r="F99" s="2">
        <f>F11/'Output-Calculation-sheet'!F10*'Output-Calculation-sheet'!F82</f>
        <v>7697399906.1232958</v>
      </c>
      <c r="G99" s="2">
        <f>G11/'Output-Calculation-sheet'!G10*'Output-Calculation-sheet'!G82</f>
        <v>5347053332.2096815</v>
      </c>
      <c r="H99" s="2">
        <f>H11/'Output-Calculation-sheet'!H10*'Output-Calculation-sheet'!H82</f>
        <v>1706209266.3155744</v>
      </c>
      <c r="I99" s="2">
        <f>I11/'Output-Calculation-sheet'!I10*'Output-Calculation-sheet'!I82</f>
        <v>4144923696.9155693</v>
      </c>
      <c r="J99" s="2">
        <f>J11/'Output-Calculation-sheet'!J10*'Output-Calculation-sheet'!J82</f>
        <v>2708016931.7642827</v>
      </c>
      <c r="K99" s="2">
        <f>K11/'Output-Calculation-sheet'!K10*'Output-Calculation-sheet'!K82</f>
        <v>3472162461.3120112</v>
      </c>
      <c r="L99" s="2">
        <f>L11/'Output-Calculation-sheet'!L10*'Output-Calculation-sheet'!L82</f>
        <v>2640244225.8536973</v>
      </c>
      <c r="M99" s="2">
        <f>M11/'Output-Calculation-sheet'!M10*'Output-Calculation-sheet'!M82</f>
        <v>1276297436.3143966</v>
      </c>
      <c r="N99" s="2">
        <f>N11/'Output-Calculation-sheet'!N10*'Output-Calculation-sheet'!N82</f>
        <v>1245609085.4675338</v>
      </c>
      <c r="O99" s="2">
        <f>O11/'Output-Calculation-sheet'!O10*'Output-Calculation-sheet'!O82</f>
        <v>0</v>
      </c>
      <c r="P99" s="2">
        <f>P11/'Output-Calculation-sheet'!P10*'Output-Calculation-sheet'!P82</f>
        <v>2946166160.9629831</v>
      </c>
      <c r="Q99" s="2">
        <f>Q11/'Output-Calculation-sheet'!Q10*'Output-Calculation-sheet'!Q82</f>
        <v>1395029087.128552</v>
      </c>
      <c r="R99" s="2">
        <f>R11/'Output-Calculation-sheet'!R10*'Output-Calculation-sheet'!R82</f>
        <v>2189266060.073164</v>
      </c>
      <c r="S99" s="2">
        <f>S11/'Output-Calculation-sheet'!S10*'Output-Calculation-sheet'!S82</f>
        <v>853011360.98091137</v>
      </c>
      <c r="T99" s="2">
        <f>T11/'Output-Calculation-sheet'!T10*'Output-Calculation-sheet'!T82</f>
        <v>1081663801.5814447</v>
      </c>
      <c r="U99" s="2">
        <f>U11/'Output-Calculation-sheet'!U10*'Output-Calculation-sheet'!U82</f>
        <v>581423885.36286163</v>
      </c>
      <c r="V99" s="2">
        <f>V11/'Output-Calculation-sheet'!V10*'Output-Calculation-sheet'!V82</f>
        <v>363723991.3746177</v>
      </c>
      <c r="W99" s="2">
        <f>W11/'Output-Calculation-sheet'!W10*'Output-Calculation-sheet'!W82</f>
        <v>1179051302.3049986</v>
      </c>
      <c r="X99" s="2">
        <f>X11/'Output-Calculation-sheet'!X10*'Output-Calculation-sheet'!X82</f>
        <v>129735546.19841959</v>
      </c>
      <c r="Y99" s="2">
        <f>Y11/'Output-Calculation-sheet'!Y10*'Output-Calculation-sheet'!Y82</f>
        <v>504484218.38728237</v>
      </c>
      <c r="AA99" s="2">
        <f t="shared" si="8"/>
        <v>88.718194372667725</v>
      </c>
    </row>
    <row r="100" spans="1:27" x14ac:dyDescent="0.25">
      <c r="A100" s="2">
        <v>2035</v>
      </c>
      <c r="B100" s="2">
        <f>B12/'Output-Calculation-sheet'!B11*'Output-Calculation-sheet'!B83</f>
        <v>20553237462.348999</v>
      </c>
      <c r="C100" s="2">
        <f>C12/'Output-Calculation-sheet'!C11*'Output-Calculation-sheet'!C83</f>
        <v>2907983180.4914837</v>
      </c>
      <c r="D100" s="2">
        <f>D12/'Output-Calculation-sheet'!D11*'Output-Calculation-sheet'!D83</f>
        <v>9775202837.9466305</v>
      </c>
      <c r="E100" s="2">
        <f>E12/'Output-Calculation-sheet'!E11*'Output-Calculation-sheet'!E83</f>
        <v>17197690948.457951</v>
      </c>
      <c r="F100" s="2">
        <f>F12/'Output-Calculation-sheet'!F11*'Output-Calculation-sheet'!F83</f>
        <v>8150101329.4602461</v>
      </c>
      <c r="G100" s="2">
        <f>G12/'Output-Calculation-sheet'!G11*'Output-Calculation-sheet'!G83</f>
        <v>5466071880.8771887</v>
      </c>
      <c r="H100" s="2">
        <f>H12/'Output-Calculation-sheet'!H11*'Output-Calculation-sheet'!H83</f>
        <v>1841841341.7585113</v>
      </c>
      <c r="I100" s="2">
        <f>I12/'Output-Calculation-sheet'!I11*'Output-Calculation-sheet'!I83</f>
        <v>4428779846.9931641</v>
      </c>
      <c r="J100" s="2">
        <f>J12/'Output-Calculation-sheet'!J11*'Output-Calculation-sheet'!J83</f>
        <v>2813680034.6613898</v>
      </c>
      <c r="K100" s="2">
        <f>K12/'Output-Calculation-sheet'!K11*'Output-Calculation-sheet'!K83</f>
        <v>3642067985.0050402</v>
      </c>
      <c r="L100" s="2">
        <f>L12/'Output-Calculation-sheet'!L11*'Output-Calculation-sheet'!L83</f>
        <v>2845682847.1337843</v>
      </c>
      <c r="M100" s="2">
        <f>M12/'Output-Calculation-sheet'!M11*'Output-Calculation-sheet'!M83</f>
        <v>1380549099.9159453</v>
      </c>
      <c r="N100" s="2">
        <f>N12/'Output-Calculation-sheet'!N11*'Output-Calculation-sheet'!N83</f>
        <v>1300517584.494092</v>
      </c>
      <c r="O100" s="2">
        <f>O12/'Output-Calculation-sheet'!O11*'Output-Calculation-sheet'!O83</f>
        <v>350863065.51900655</v>
      </c>
      <c r="P100" s="2">
        <f>P12/'Output-Calculation-sheet'!P11*'Output-Calculation-sheet'!P83</f>
        <v>3080711242.1953712</v>
      </c>
      <c r="Q100" s="2">
        <f>Q12/'Output-Calculation-sheet'!Q11*'Output-Calculation-sheet'!Q83</f>
        <v>1477436822.2375133</v>
      </c>
      <c r="R100" s="2">
        <f>R12/'Output-Calculation-sheet'!R11*'Output-Calculation-sheet'!R83</f>
        <v>2327259834.4857683</v>
      </c>
      <c r="S100" s="2">
        <f>S12/'Output-Calculation-sheet'!S11*'Output-Calculation-sheet'!S83</f>
        <v>902631109.54821694</v>
      </c>
      <c r="T100" s="2">
        <f>T12/'Output-Calculation-sheet'!T11*'Output-Calculation-sheet'!T83</f>
        <v>1125073913.222383</v>
      </c>
      <c r="U100" s="2">
        <f>U12/'Output-Calculation-sheet'!U11*'Output-Calculation-sheet'!U83</f>
        <v>616310056.84335315</v>
      </c>
      <c r="V100" s="2">
        <f>V12/'Output-Calculation-sheet'!V11*'Output-Calculation-sheet'!V83</f>
        <v>389534366.81325197</v>
      </c>
      <c r="W100" s="2">
        <f>W12/'Output-Calculation-sheet'!W11*'Output-Calculation-sheet'!W83</f>
        <v>1229187214.4153862</v>
      </c>
      <c r="X100" s="2">
        <f>X12/'Output-Calculation-sheet'!X11*'Output-Calculation-sheet'!X83</f>
        <v>143030638.644546</v>
      </c>
      <c r="Y100" s="2">
        <f>Y12/'Output-Calculation-sheet'!Y11*'Output-Calculation-sheet'!Y83</f>
        <v>527751402.54179293</v>
      </c>
      <c r="AA100" s="2">
        <f t="shared" si="8"/>
        <v>94.473196046011026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4.6009448790625769E-4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4140964377.0066152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2837176772.6333332</v>
      </c>
      <c r="N118" s="2">
        <f>N8/'Output-Calculation-sheet'!N7*'Output-Calculation-sheet'!N97</f>
        <v>1875550786.6616907</v>
      </c>
      <c r="O118" s="2">
        <f>O8/'Output-Calculation-sheet'!O7*'Output-Calculation-sheet'!O97</f>
        <v>2.5314295253233085E-5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464950251.54056692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269647364.75081259</v>
      </c>
      <c r="Y118" s="2">
        <f>Y8/'Output-Calculation-sheet'!Y7*'Output-Calculation-sheet'!Y97</f>
        <v>0</v>
      </c>
      <c r="AA118" s="2">
        <f t="shared" si="10"/>
        <v>9588.2895525935037</v>
      </c>
    </row>
    <row r="119" spans="1:27" x14ac:dyDescent="0.25">
      <c r="A119" s="2">
        <v>2032</v>
      </c>
      <c r="B119" s="2">
        <f>B9/'Output-Calculation-sheet'!B8*'Output-Calculation-sheet'!B98</f>
        <v>4553168.0837454172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4889439483.4638891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3346014186.3947172</v>
      </c>
      <c r="N119" s="2">
        <f>N9/'Output-Calculation-sheet'!N8*'Output-Calculation-sheet'!N98</f>
        <v>2441209053.5772824</v>
      </c>
      <c r="O119" s="2">
        <f>O9/'Output-Calculation-sheet'!O8*'Output-Calculation-sheet'!O98</f>
        <v>2.4898662733812256E-4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768103143.49404347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322255201.18030465</v>
      </c>
      <c r="Y119" s="2">
        <f>Y9/'Output-Calculation-sheet'!Y8*'Output-Calculation-sheet'!Y98</f>
        <v>0</v>
      </c>
      <c r="AA119" s="2">
        <f t="shared" si="10"/>
        <v>11771.574236194232</v>
      </c>
    </row>
    <row r="120" spans="1:27" x14ac:dyDescent="0.25">
      <c r="A120" s="2">
        <v>2033</v>
      </c>
      <c r="B120" s="2">
        <f>B10/'Output-Calculation-sheet'!B9*'Output-Calculation-sheet'!B99</f>
        <v>6748140812.7306814</v>
      </c>
      <c r="C120" s="2">
        <f>C10/'Output-Calculation-sheet'!C9*'Output-Calculation-sheet'!C99</f>
        <v>12560145520.831291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5555931609.0413866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3805779149.03653</v>
      </c>
      <c r="N120" s="2">
        <f>N10/'Output-Calculation-sheet'!N9*'Output-Calculation-sheet'!N99</f>
        <v>3008201174.5662084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1052277498.3118823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366735352.37792951</v>
      </c>
      <c r="Y120" s="2">
        <f>Y10/'Output-Calculation-sheet'!Y9*'Output-Calculation-sheet'!Y99</f>
        <v>0</v>
      </c>
      <c r="AA120" s="2">
        <f t="shared" si="10"/>
        <v>33097.211116895909</v>
      </c>
    </row>
    <row r="121" spans="1:27" x14ac:dyDescent="0.25">
      <c r="A121" s="2">
        <v>2034</v>
      </c>
      <c r="B121" s="2">
        <f>B11/'Output-Calculation-sheet'!B10*'Output-Calculation-sheet'!B100</f>
        <v>12437619152.688349</v>
      </c>
      <c r="C121" s="2">
        <f>C11/'Output-Calculation-sheet'!C10*'Output-Calculation-sheet'!C100</f>
        <v>14409717254.243633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6182629676.6756992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4235744856.6268797</v>
      </c>
      <c r="N121" s="2">
        <f>N11/'Output-Calculation-sheet'!N10*'Output-Calculation-sheet'!N100</f>
        <v>3458227455.1994686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1327570274.4369462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410624133.6018337</v>
      </c>
      <c r="Y121" s="2">
        <f>Y11/'Output-Calculation-sheet'!Y10*'Output-Calculation-sheet'!Y100</f>
        <v>0</v>
      </c>
      <c r="AA121" s="2">
        <f t="shared" si="10"/>
        <v>42462.132803472807</v>
      </c>
    </row>
    <row r="122" spans="1:27" x14ac:dyDescent="0.25">
      <c r="A122" s="2">
        <v>2035</v>
      </c>
      <c r="B122" s="2">
        <f>B12/'Output-Calculation-sheet'!B11*'Output-Calculation-sheet'!B101</f>
        <v>16543076320.147867</v>
      </c>
      <c r="C122" s="2">
        <f>C12/'Output-Calculation-sheet'!C11*'Output-Calculation-sheet'!C101</f>
        <v>16169382191.349113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6760342907.5800962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4626299304.0073147</v>
      </c>
      <c r="N122" s="2">
        <f>N12/'Output-Calculation-sheet'!N11*'Output-Calculation-sheet'!N101</f>
        <v>3866663848.2553148</v>
      </c>
      <c r="O122" s="2">
        <f>O12/'Output-Calculation-sheet'!O11*'Output-Calculation-sheet'!O101</f>
        <v>2763483856.4340019</v>
      </c>
      <c r="P122" s="2">
        <f>P12/'Output-Calculation-sheet'!P11*'Output-Calculation-sheet'!P101</f>
        <v>0</v>
      </c>
      <c r="Q122" s="2">
        <f>Q12/'Output-Calculation-sheet'!Q11*'Output-Calculation-sheet'!Q101</f>
        <v>50446318.558577091</v>
      </c>
      <c r="R122" s="2">
        <f>R12/'Output-Calculation-sheet'!R11*'Output-Calculation-sheet'!R101</f>
        <v>0</v>
      </c>
      <c r="S122" s="2">
        <f>S12/'Output-Calculation-sheet'!S11*'Output-Calculation-sheet'!S101</f>
        <v>1627982895.999794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452945482.87885904</v>
      </c>
      <c r="Y122" s="2">
        <f>Y12/'Output-Calculation-sheet'!Y11*'Output-Calculation-sheet'!Y101</f>
        <v>0</v>
      </c>
      <c r="AA122" s="2">
        <f t="shared" si="10"/>
        <v>52860.623125210943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51897285249.868912</v>
      </c>
      <c r="C129" s="2">
        <f>C8/'Output-Calculation-sheet'!C7*'Output-Calculation-sheet'!C106</f>
        <v>0</v>
      </c>
      <c r="D129" s="2">
        <f>D8/'Output-Calculation-sheet'!D7*'Output-Calculation-sheet'!D106</f>
        <v>37568257741.696045</v>
      </c>
      <c r="E129" s="2">
        <f>E8/'Output-Calculation-sheet'!E7*'Output-Calculation-sheet'!E106</f>
        <v>26259857363.990208</v>
      </c>
      <c r="F129" s="2">
        <f>F8/'Output-Calculation-sheet'!F7*'Output-Calculation-sheet'!F106</f>
        <v>19550489970.276947</v>
      </c>
      <c r="G129" s="2">
        <f>G8/'Output-Calculation-sheet'!G7*'Output-Calculation-sheet'!G106</f>
        <v>13444572989.189081</v>
      </c>
      <c r="H129" s="2">
        <f>H8/'Output-Calculation-sheet'!H7*'Output-Calculation-sheet'!H106</f>
        <v>0</v>
      </c>
      <c r="I129" s="2">
        <f>I8/'Output-Calculation-sheet'!I7*'Output-Calculation-sheet'!I106</f>
        <v>12058747834.807772</v>
      </c>
      <c r="J129" s="2">
        <f>J8/'Output-Calculation-sheet'!J7*'Output-Calculation-sheet'!J106</f>
        <v>12355008208.073807</v>
      </c>
      <c r="K129" s="2">
        <f>K8/'Output-Calculation-sheet'!K7*'Output-Calculation-sheet'!K106</f>
        <v>10659629712.408754</v>
      </c>
      <c r="L129" s="2">
        <f>L8/'Output-Calculation-sheet'!L7*'Output-Calculation-sheet'!L106</f>
        <v>8433267382.1738529</v>
      </c>
      <c r="M129" s="2">
        <f>M8/'Output-Calculation-sheet'!M7*'Output-Calculation-sheet'!M106</f>
        <v>0</v>
      </c>
      <c r="N129" s="2">
        <f>N8/'Output-Calculation-sheet'!N7*'Output-Calculation-sheet'!N106</f>
        <v>2295423094.8310375</v>
      </c>
      <c r="O129" s="2">
        <f>O8/'Output-Calculation-sheet'!O7*'Output-Calculation-sheet'!O106</f>
        <v>0</v>
      </c>
      <c r="P129" s="2">
        <f>P8/'Output-Calculation-sheet'!P7*'Output-Calculation-sheet'!P106</f>
        <v>5193462929.0847044</v>
      </c>
      <c r="Q129" s="2">
        <f>Q8/'Output-Calculation-sheet'!Q7*'Output-Calculation-sheet'!Q106</f>
        <v>5089873437.638979</v>
      </c>
      <c r="R129" s="2">
        <f>R8/'Output-Calculation-sheet'!R7*'Output-Calculation-sheet'!R106</f>
        <v>6055502354.5104141</v>
      </c>
      <c r="S129" s="2">
        <f>S8/'Output-Calculation-sheet'!S7*'Output-Calculation-sheet'!S106</f>
        <v>2065111125.7614026</v>
      </c>
      <c r="T129" s="2">
        <f>T8/'Output-Calculation-sheet'!T7*'Output-Calculation-sheet'!T106</f>
        <v>2621685080.1017342</v>
      </c>
      <c r="U129" s="2">
        <f>U8/'Output-Calculation-sheet'!U7*'Output-Calculation-sheet'!U106</f>
        <v>1845606788.6566355</v>
      </c>
      <c r="V129" s="2">
        <f>V8/'Output-Calculation-sheet'!V7*'Output-Calculation-sheet'!V106</f>
        <v>1660421960.8198078</v>
      </c>
      <c r="W129" s="2">
        <f>W8/'Output-Calculation-sheet'!W7*'Output-Calculation-sheet'!W106</f>
        <v>1694211492.6599622</v>
      </c>
      <c r="X129" s="2">
        <f>X8/'Output-Calculation-sheet'!X7*'Output-Calculation-sheet'!X106</f>
        <v>0</v>
      </c>
      <c r="Y129" s="2">
        <f>Y8/'Output-Calculation-sheet'!Y7*'Output-Calculation-sheet'!Y106</f>
        <v>764980403.65593374</v>
      </c>
      <c r="AA129" s="2">
        <f t="shared" si="11"/>
        <v>221513.39512020603</v>
      </c>
    </row>
    <row r="130" spans="1:27" x14ac:dyDescent="0.25">
      <c r="A130" s="2">
        <v>2032</v>
      </c>
      <c r="B130" s="2">
        <f>B9/'Output-Calculation-sheet'!B8*'Output-Calculation-sheet'!B107</f>
        <v>60100259844.681152</v>
      </c>
      <c r="C130" s="2">
        <f>C9/'Output-Calculation-sheet'!C8*'Output-Calculation-sheet'!C107</f>
        <v>0</v>
      </c>
      <c r="D130" s="2">
        <f>D9/'Output-Calculation-sheet'!D8*'Output-Calculation-sheet'!D107</f>
        <v>43182579619.728569</v>
      </c>
      <c r="E130" s="2">
        <f>E9/'Output-Calculation-sheet'!E8*'Output-Calculation-sheet'!E107</f>
        <v>30223463372.593983</v>
      </c>
      <c r="F130" s="2">
        <f>F9/'Output-Calculation-sheet'!F8*'Output-Calculation-sheet'!F107</f>
        <v>22466193235.188026</v>
      </c>
      <c r="G130" s="2">
        <f>G9/'Output-Calculation-sheet'!G8*'Output-Calculation-sheet'!G107</f>
        <v>15441937141.435678</v>
      </c>
      <c r="H130" s="2">
        <f>H9/'Output-Calculation-sheet'!H8*'Output-Calculation-sheet'!H107</f>
        <v>0</v>
      </c>
      <c r="I130" s="2">
        <f>I9/'Output-Calculation-sheet'!I8*'Output-Calculation-sheet'!I107</f>
        <v>13861973034.960346</v>
      </c>
      <c r="J130" s="2">
        <f>J9/'Output-Calculation-sheet'!J8*'Output-Calculation-sheet'!J107</f>
        <v>14193830000.811085</v>
      </c>
      <c r="K130" s="2">
        <f>K9/'Output-Calculation-sheet'!K8*'Output-Calculation-sheet'!K107</f>
        <v>12265611562.736135</v>
      </c>
      <c r="L130" s="2">
        <f>L9/'Output-Calculation-sheet'!L8*'Output-Calculation-sheet'!L107</f>
        <v>9706492794.7328472</v>
      </c>
      <c r="M130" s="2">
        <f>M9/'Output-Calculation-sheet'!M8*'Output-Calculation-sheet'!M107</f>
        <v>0</v>
      </c>
      <c r="N130" s="2">
        <f>N9/'Output-Calculation-sheet'!N8*'Output-Calculation-sheet'!N107</f>
        <v>2343101552.5554032</v>
      </c>
      <c r="O130" s="2">
        <f>O9/'Output-Calculation-sheet'!O8*'Output-Calculation-sheet'!O107</f>
        <v>0</v>
      </c>
      <c r="P130" s="2">
        <f>P9/'Output-Calculation-sheet'!P8*'Output-Calculation-sheet'!P107</f>
        <v>6021642313.3681555</v>
      </c>
      <c r="Q130" s="2">
        <f>Q9/'Output-Calculation-sheet'!Q8*'Output-Calculation-sheet'!Q107</f>
        <v>5905157251.5945129</v>
      </c>
      <c r="R130" s="2">
        <f>R9/'Output-Calculation-sheet'!R8*'Output-Calculation-sheet'!R107</f>
        <v>6968883597.2291918</v>
      </c>
      <c r="S130" s="2">
        <f>S9/'Output-Calculation-sheet'!S8*'Output-Calculation-sheet'!S107</f>
        <v>2238886795.0765996</v>
      </c>
      <c r="T130" s="2">
        <f>T9/'Output-Calculation-sheet'!T8*'Output-Calculation-sheet'!T107</f>
        <v>3014021110.0943465</v>
      </c>
      <c r="U130" s="2">
        <f>U9/'Output-Calculation-sheet'!U8*'Output-Calculation-sheet'!U107</f>
        <v>2126066099.1120777</v>
      </c>
      <c r="V130" s="2">
        <f>V9/'Output-Calculation-sheet'!V8*'Output-Calculation-sheet'!V107</f>
        <v>1914038692.3778367</v>
      </c>
      <c r="W130" s="2">
        <f>W9/'Output-Calculation-sheet'!W8*'Output-Calculation-sheet'!W107</f>
        <v>1948093137.3657146</v>
      </c>
      <c r="X130" s="2">
        <f>X9/'Output-Calculation-sheet'!X8*'Output-Calculation-sheet'!X107</f>
        <v>0</v>
      </c>
      <c r="Y130" s="2">
        <f>Y9/'Output-Calculation-sheet'!Y8*'Output-Calculation-sheet'!Y107</f>
        <v>880555972.40841281</v>
      </c>
      <c r="AA130" s="2">
        <f t="shared" si="11"/>
        <v>254802.78712805014</v>
      </c>
    </row>
    <row r="131" spans="1:27" x14ac:dyDescent="0.25">
      <c r="A131" s="2">
        <v>2033</v>
      </c>
      <c r="B131" s="2">
        <f>B10/'Output-Calculation-sheet'!B9*'Output-Calculation-sheet'!B108</f>
        <v>63022628541.076965</v>
      </c>
      <c r="C131" s="2">
        <f>C10/'Output-Calculation-sheet'!C9*'Output-Calculation-sheet'!C108</f>
        <v>0</v>
      </c>
      <c r="D131" s="2">
        <f>D10/'Output-Calculation-sheet'!D9*'Output-Calculation-sheet'!D108</f>
        <v>47881532681.507179</v>
      </c>
      <c r="E131" s="2">
        <f>E10/'Output-Calculation-sheet'!E9*'Output-Calculation-sheet'!E108</f>
        <v>33531718601.969696</v>
      </c>
      <c r="F131" s="2">
        <f>F10/'Output-Calculation-sheet'!F9*'Output-Calculation-sheet'!F108</f>
        <v>24917719507.312263</v>
      </c>
      <c r="G131" s="2">
        <f>G10/'Output-Calculation-sheet'!G9*'Output-Calculation-sheet'!G108</f>
        <v>17122708468.246836</v>
      </c>
      <c r="H131" s="2">
        <f>H10/'Output-Calculation-sheet'!H9*'Output-Calculation-sheet'!H108</f>
        <v>0</v>
      </c>
      <c r="I131" s="2">
        <f>I10/'Output-Calculation-sheet'!I9*'Output-Calculation-sheet'!I108</f>
        <v>15373652278.259167</v>
      </c>
      <c r="J131" s="2">
        <f>J10/'Output-Calculation-sheet'!J9*'Output-Calculation-sheet'!J108</f>
        <v>15735951095.506157</v>
      </c>
      <c r="K131" s="2">
        <f>K10/'Output-Calculation-sheet'!K9*'Output-Calculation-sheet'!K108</f>
        <v>13626176353.030592</v>
      </c>
      <c r="L131" s="2">
        <f>L10/'Output-Calculation-sheet'!L9*'Output-Calculation-sheet'!L108</f>
        <v>10775577757.287073</v>
      </c>
      <c r="M131" s="2">
        <f>M10/'Output-Calculation-sheet'!M9*'Output-Calculation-sheet'!M108</f>
        <v>0</v>
      </c>
      <c r="N131" s="2">
        <f>N10/'Output-Calculation-sheet'!N9*'Output-Calculation-sheet'!N108</f>
        <v>2290097163.5232692</v>
      </c>
      <c r="O131" s="2">
        <f>O10/'Output-Calculation-sheet'!O9*'Output-Calculation-sheet'!O108</f>
        <v>0</v>
      </c>
      <c r="P131" s="2">
        <f>P10/'Output-Calculation-sheet'!P9*'Output-Calculation-sheet'!P108</f>
        <v>6721234514.7942972</v>
      </c>
      <c r="Q131" s="2">
        <f>Q10/'Output-Calculation-sheet'!Q9*'Output-Calculation-sheet'!Q108</f>
        <v>6601507663.8833923</v>
      </c>
      <c r="R131" s="2">
        <f>R10/'Output-Calculation-sheet'!R9*'Output-Calculation-sheet'!R108</f>
        <v>7747635363.1700907</v>
      </c>
      <c r="S131" s="2">
        <f>S10/'Output-Calculation-sheet'!S9*'Output-Calculation-sheet'!S108</f>
        <v>2329624471.4559083</v>
      </c>
      <c r="T131" s="2">
        <f>T10/'Output-Calculation-sheet'!T9*'Output-Calculation-sheet'!T108</f>
        <v>3345621180.5023894</v>
      </c>
      <c r="U131" s="2">
        <f>U10/'Output-Calculation-sheet'!U9*'Output-Calculation-sheet'!U108</f>
        <v>2360561392.7419586</v>
      </c>
      <c r="V131" s="2">
        <f>V10/'Output-Calculation-sheet'!V9*'Output-Calculation-sheet'!V108</f>
        <v>2126826519.2507439</v>
      </c>
      <c r="W131" s="2">
        <f>W10/'Output-Calculation-sheet'!W9*'Output-Calculation-sheet'!W108</f>
        <v>2159144191.2313552</v>
      </c>
      <c r="X131" s="2">
        <f>X10/'Output-Calculation-sheet'!X9*'Output-Calculation-sheet'!X108</f>
        <v>0</v>
      </c>
      <c r="Y131" s="2">
        <f>Y10/'Output-Calculation-sheet'!Y9*'Output-Calculation-sheet'!Y108</f>
        <v>978124596.62821448</v>
      </c>
      <c r="AA131" s="2">
        <f t="shared" si="11"/>
        <v>278648.04234137759</v>
      </c>
    </row>
    <row r="132" spans="1:27" x14ac:dyDescent="0.25">
      <c r="A132" s="2">
        <v>2034</v>
      </c>
      <c r="B132" s="2">
        <f>B11/'Output-Calculation-sheet'!B10*'Output-Calculation-sheet'!B109</f>
        <v>65354475625.694221</v>
      </c>
      <c r="C132" s="2">
        <f>C11/'Output-Calculation-sheet'!C10*'Output-Calculation-sheet'!C109</f>
        <v>0</v>
      </c>
      <c r="D132" s="2">
        <f>D11/'Output-Calculation-sheet'!D10*'Output-Calculation-sheet'!D109</f>
        <v>51937147029.418602</v>
      </c>
      <c r="E132" s="2">
        <f>E11/'Output-Calculation-sheet'!E10*'Output-Calculation-sheet'!E109</f>
        <v>36430054001.022697</v>
      </c>
      <c r="F132" s="2">
        <f>F11/'Output-Calculation-sheet'!F10*'Output-Calculation-sheet'!F109</f>
        <v>27042029411.515656</v>
      </c>
      <c r="G132" s="2">
        <f>G11/'Output-Calculation-sheet'!G10*'Output-Calculation-sheet'!G109</f>
        <v>18565601796.175049</v>
      </c>
      <c r="H132" s="2">
        <f>H11/'Output-Calculation-sheet'!H10*'Output-Calculation-sheet'!H109</f>
        <v>0</v>
      </c>
      <c r="I132" s="2">
        <f>I11/'Output-Calculation-sheet'!I10*'Output-Calculation-sheet'!I109</f>
        <v>16701672180.607138</v>
      </c>
      <c r="J132" s="2">
        <f>J11/'Output-Calculation-sheet'!J10*'Output-Calculation-sheet'!J109</f>
        <v>17066937896.512285</v>
      </c>
      <c r="K132" s="2">
        <f>K11/'Output-Calculation-sheet'!K10*'Output-Calculation-sheet'!K109</f>
        <v>14812817788.215528</v>
      </c>
      <c r="L132" s="2">
        <f>L11/'Output-Calculation-sheet'!L10*'Output-Calculation-sheet'!L109</f>
        <v>11703428235.629496</v>
      </c>
      <c r="M132" s="2">
        <f>M11/'Output-Calculation-sheet'!M10*'Output-Calculation-sheet'!M109</f>
        <v>0</v>
      </c>
      <c r="N132" s="2">
        <f>N11/'Output-Calculation-sheet'!N10*'Output-Calculation-sheet'!N109</f>
        <v>2301038664.8897405</v>
      </c>
      <c r="O132" s="2">
        <f>O11/'Output-Calculation-sheet'!O10*'Output-Calculation-sheet'!O109</f>
        <v>0</v>
      </c>
      <c r="P132" s="2">
        <f>P11/'Output-Calculation-sheet'!P10*'Output-Calculation-sheet'!P109</f>
        <v>7337715472.3355236</v>
      </c>
      <c r="Q132" s="2">
        <f>Q11/'Output-Calculation-sheet'!Q10*'Output-Calculation-sheet'!Q109</f>
        <v>7222845055.3537874</v>
      </c>
      <c r="R132" s="2">
        <f>R11/'Output-Calculation-sheet'!R10*'Output-Calculation-sheet'!R109</f>
        <v>8424013982.1385174</v>
      </c>
      <c r="S132" s="2">
        <f>S11/'Output-Calculation-sheet'!S10*'Output-Calculation-sheet'!S109</f>
        <v>2459694267.4866967</v>
      </c>
      <c r="T132" s="2">
        <f>T11/'Output-Calculation-sheet'!T10*'Output-Calculation-sheet'!T109</f>
        <v>3634013063.8611908</v>
      </c>
      <c r="U132" s="2">
        <f>U11/'Output-Calculation-sheet'!U10*'Output-Calculation-sheet'!U109</f>
        <v>2569126998.5940084</v>
      </c>
      <c r="V132" s="2">
        <f>V11/'Output-Calculation-sheet'!V10*'Output-Calculation-sheet'!V109</f>
        <v>2314552149.1642833</v>
      </c>
      <c r="W132" s="2">
        <f>W11/'Output-Calculation-sheet'!W10*'Output-Calculation-sheet'!W109</f>
        <v>2342497241.1660953</v>
      </c>
      <c r="X132" s="2">
        <f>X11/'Output-Calculation-sheet'!X10*'Output-Calculation-sheet'!X109</f>
        <v>0</v>
      </c>
      <c r="Y132" s="2">
        <f>Y11/'Output-Calculation-sheet'!Y10*'Output-Calculation-sheet'!Y109</f>
        <v>1062715954.8382323</v>
      </c>
      <c r="AA132" s="2">
        <f t="shared" si="11"/>
        <v>299282.37681461871</v>
      </c>
    </row>
    <row r="133" spans="1:27" x14ac:dyDescent="0.25">
      <c r="A133" s="2">
        <v>2035</v>
      </c>
      <c r="B133" s="2">
        <f>B12/'Output-Calculation-sheet'!B11*'Output-Calculation-sheet'!B110</f>
        <v>67652467498.218651</v>
      </c>
      <c r="C133" s="2">
        <f>C12/'Output-Calculation-sheet'!C11*'Output-Calculation-sheet'!C110</f>
        <v>0</v>
      </c>
      <c r="D133" s="2">
        <f>D12/'Output-Calculation-sheet'!D11*'Output-Calculation-sheet'!D110</f>
        <v>55658554259.207016</v>
      </c>
      <c r="E133" s="2">
        <f>E12/'Output-Calculation-sheet'!E11*'Output-Calculation-sheet'!E110</f>
        <v>39065134016.498901</v>
      </c>
      <c r="F133" s="2">
        <f>F12/'Output-Calculation-sheet'!F11*'Output-Calculation-sheet'!F110</f>
        <v>28971285790.242691</v>
      </c>
      <c r="G133" s="2">
        <f>G12/'Output-Calculation-sheet'!G11*'Output-Calculation-sheet'!G110</f>
        <v>19866676078.502438</v>
      </c>
      <c r="H133" s="2">
        <f>H12/'Output-Calculation-sheet'!H11*'Output-Calculation-sheet'!H110</f>
        <v>0</v>
      </c>
      <c r="I133" s="2">
        <f>I12/'Output-Calculation-sheet'!I11*'Output-Calculation-sheet'!I110</f>
        <v>17893880360.351334</v>
      </c>
      <c r="J133" s="2">
        <f>J12/'Output-Calculation-sheet'!J11*'Output-Calculation-sheet'!J110</f>
        <v>18257957444.189075</v>
      </c>
      <c r="K133" s="2">
        <f>K12/'Output-Calculation-sheet'!K11*'Output-Calculation-sheet'!K110</f>
        <v>15885971570.442804</v>
      </c>
      <c r="L133" s="2">
        <f>L12/'Output-Calculation-sheet'!L11*'Output-Calculation-sheet'!L110</f>
        <v>12541598336.135878</v>
      </c>
      <c r="M133" s="2">
        <f>M12/'Output-Calculation-sheet'!M11*'Output-Calculation-sheet'!M110</f>
        <v>0</v>
      </c>
      <c r="N133" s="2">
        <f>N12/'Output-Calculation-sheet'!N11*'Output-Calculation-sheet'!N110</f>
        <v>2315355220.246325</v>
      </c>
      <c r="O133" s="2">
        <f>O12/'Output-Calculation-sheet'!O11*'Output-Calculation-sheet'!O110</f>
        <v>0</v>
      </c>
      <c r="P133" s="2">
        <f>P12/'Output-Calculation-sheet'!P11*'Output-Calculation-sheet'!P110</f>
        <v>7908135401.3919096</v>
      </c>
      <c r="Q133" s="2">
        <f>Q12/'Output-Calculation-sheet'!Q11*'Output-Calculation-sheet'!Q110</f>
        <v>7771827472.8082743</v>
      </c>
      <c r="R133" s="2">
        <f>R12/'Output-Calculation-sheet'!R11*'Output-Calculation-sheet'!R110</f>
        <v>9052693288.6940422</v>
      </c>
      <c r="S133" s="2">
        <f>S12/'Output-Calculation-sheet'!S11*'Output-Calculation-sheet'!S110</f>
        <v>2437985289.8528733</v>
      </c>
      <c r="T133" s="2">
        <f>T12/'Output-Calculation-sheet'!T11*'Output-Calculation-sheet'!T110</f>
        <v>3894779098.0181732</v>
      </c>
      <c r="U133" s="2">
        <f>U12/'Output-Calculation-sheet'!U11*'Output-Calculation-sheet'!U110</f>
        <v>2757498428.0420661</v>
      </c>
      <c r="V133" s="2">
        <f>V12/'Output-Calculation-sheet'!V11*'Output-Calculation-sheet'!V110</f>
        <v>2487286447.3200579</v>
      </c>
      <c r="W133" s="2">
        <f>W12/'Output-Calculation-sheet'!W11*'Output-Calculation-sheet'!W110</f>
        <v>2508165367.029285</v>
      </c>
      <c r="X133" s="2">
        <f>X12/'Output-Calculation-sheet'!X11*'Output-Calculation-sheet'!X110</f>
        <v>0</v>
      </c>
      <c r="Y133" s="2">
        <f>Y12/'Output-Calculation-sheet'!Y11*'Output-Calculation-sheet'!Y110</f>
        <v>1140263776.4923418</v>
      </c>
      <c r="AA133" s="2">
        <f t="shared" si="11"/>
        <v>318067.51514368417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64543895678.372864</v>
      </c>
      <c r="C151" s="2">
        <f>C8/'Output-Calculation-sheet'!C7*'Output-Calculation-sheet'!C124</f>
        <v>54872917077.780441</v>
      </c>
      <c r="D151" s="2">
        <f>D8/'Output-Calculation-sheet'!D7*'Output-Calculation-sheet'!D124</f>
        <v>11338235770.242378</v>
      </c>
      <c r="E151" s="2">
        <f>E8/'Output-Calculation-sheet'!E7*'Output-Calculation-sheet'!E124</f>
        <v>12542520195.20981</v>
      </c>
      <c r="F151" s="2">
        <f>F8/'Output-Calculation-sheet'!F7*'Output-Calculation-sheet'!F124</f>
        <v>5427986439.568984</v>
      </c>
      <c r="G151" s="2">
        <f>G8/'Output-Calculation-sheet'!G7*'Output-Calculation-sheet'!G124</f>
        <v>4106032333.1886292</v>
      </c>
      <c r="H151" s="2">
        <f>H8/'Output-Calculation-sheet'!H7*'Output-Calculation-sheet'!H124</f>
        <v>12978995567.172232</v>
      </c>
      <c r="I151" s="2">
        <f>I8/'Output-Calculation-sheet'!I7*'Output-Calculation-sheet'!I124</f>
        <v>3931197963.9202032</v>
      </c>
      <c r="J151" s="2">
        <f>J8/'Output-Calculation-sheet'!J7*'Output-Calculation-sheet'!J124</f>
        <v>3208454504.0556836</v>
      </c>
      <c r="K151" s="2">
        <f>K8/'Output-Calculation-sheet'!K7*'Output-Calculation-sheet'!K124</f>
        <v>4754647293.5462303</v>
      </c>
      <c r="L151" s="2">
        <f>L8/'Output-Calculation-sheet'!L7*'Output-Calculation-sheet'!L124</f>
        <v>3932296538.0052242</v>
      </c>
      <c r="M151" s="2">
        <f>M8/'Output-Calculation-sheet'!M7*'Output-Calculation-sheet'!M124</f>
        <v>8974093986.981596</v>
      </c>
      <c r="N151" s="2">
        <f>N8/'Output-Calculation-sheet'!N7*'Output-Calculation-sheet'!N124</f>
        <v>7421735183.0243368</v>
      </c>
      <c r="O151" s="2">
        <f>O8/'Output-Calculation-sheet'!O7*'Output-Calculation-sheet'!O124</f>
        <v>10661855440.878597</v>
      </c>
      <c r="P151" s="2">
        <f>P8/'Output-Calculation-sheet'!P7*'Output-Calculation-sheet'!P124</f>
        <v>5359963251.6186438</v>
      </c>
      <c r="Q151" s="2">
        <f>Q8/'Output-Calculation-sheet'!Q7*'Output-Calculation-sheet'!Q124</f>
        <v>5292971969.357379</v>
      </c>
      <c r="R151" s="2">
        <f>R8/'Output-Calculation-sheet'!R7*'Output-Calculation-sheet'!R124</f>
        <v>3933291794.1512175</v>
      </c>
      <c r="S151" s="2">
        <f>S8/'Output-Calculation-sheet'!S7*'Output-Calculation-sheet'!S124</f>
        <v>4108987433.8580823</v>
      </c>
      <c r="T151" s="2">
        <f>T8/'Output-Calculation-sheet'!T7*'Output-Calculation-sheet'!T124</f>
        <v>1050084591.1687347</v>
      </c>
      <c r="U151" s="2">
        <f>U8/'Output-Calculation-sheet'!U7*'Output-Calculation-sheet'!U124</f>
        <v>1352385112.9793477</v>
      </c>
      <c r="V151" s="2">
        <f>V8/'Output-Calculation-sheet'!V7*'Output-Calculation-sheet'!V124</f>
        <v>802085109.49987626</v>
      </c>
      <c r="W151" s="2">
        <f>W8/'Output-Calculation-sheet'!W7*'Output-Calculation-sheet'!W124</f>
        <v>437790443.50316185</v>
      </c>
      <c r="X151" s="2">
        <f>X8/'Output-Calculation-sheet'!X7*'Output-Calculation-sheet'!X124</f>
        <v>1009547140.8429294</v>
      </c>
      <c r="Y151" s="2">
        <f>Y8/'Output-Calculation-sheet'!Y7*'Output-Calculation-sheet'!Y124</f>
        <v>479024330.36343676</v>
      </c>
      <c r="AA151" s="2">
        <f t="shared" si="13"/>
        <v>232520.99514929004</v>
      </c>
    </row>
    <row r="152" spans="1:27" x14ac:dyDescent="0.25">
      <c r="A152" s="2">
        <v>2032</v>
      </c>
      <c r="B152" s="2">
        <f>B9/'Output-Calculation-sheet'!B8*'Output-Calculation-sheet'!B125</f>
        <v>73477466613.411346</v>
      </c>
      <c r="C152" s="2">
        <f>C9/'Output-Calculation-sheet'!C8*'Output-Calculation-sheet'!C125</f>
        <v>62950660277.446655</v>
      </c>
      <c r="D152" s="2">
        <f>D9/'Output-Calculation-sheet'!D8*'Output-Calculation-sheet'!D125</f>
        <v>12923350634.849306</v>
      </c>
      <c r="E152" s="2">
        <f>E9/'Output-Calculation-sheet'!E8*'Output-Calculation-sheet'!E125</f>
        <v>14290946592.203432</v>
      </c>
      <c r="F152" s="2">
        <f>F9/'Output-Calculation-sheet'!F8*'Output-Calculation-sheet'!F125</f>
        <v>6189319656.4555521</v>
      </c>
      <c r="G152" s="2">
        <f>G9/'Output-Calculation-sheet'!G8*'Output-Calculation-sheet'!G125</f>
        <v>4692261150.7108736</v>
      </c>
      <c r="H152" s="2">
        <f>H9/'Output-Calculation-sheet'!H8*'Output-Calculation-sheet'!H125</f>
        <v>14750718900.714535</v>
      </c>
      <c r="I152" s="2">
        <f>I9/'Output-Calculation-sheet'!I8*'Output-Calculation-sheet'!I125</f>
        <v>4481823858.5731487</v>
      </c>
      <c r="J152" s="2">
        <f>J9/'Output-Calculation-sheet'!J8*'Output-Calculation-sheet'!J125</f>
        <v>3660700249.2253242</v>
      </c>
      <c r="K152" s="2">
        <f>K9/'Output-Calculation-sheet'!K8*'Output-Calculation-sheet'!K125</f>
        <v>5417773372.8397913</v>
      </c>
      <c r="L152" s="2">
        <f>L9/'Output-Calculation-sheet'!L8*'Output-Calculation-sheet'!L125</f>
        <v>4479383497.8444328</v>
      </c>
      <c r="M152" s="2">
        <f>M9/'Output-Calculation-sheet'!M8*'Output-Calculation-sheet'!M125</f>
        <v>10203972448.715906</v>
      </c>
      <c r="N152" s="2">
        <f>N9/'Output-Calculation-sheet'!N8*'Output-Calculation-sheet'!N125</f>
        <v>8514940260.7616043</v>
      </c>
      <c r="O152" s="2">
        <f>O9/'Output-Calculation-sheet'!O8*'Output-Calculation-sheet'!O125</f>
        <v>12231367959.436773</v>
      </c>
      <c r="P152" s="2">
        <f>P9/'Output-Calculation-sheet'!P8*'Output-Calculation-sheet'!P125</f>
        <v>6085333519.7088366</v>
      </c>
      <c r="Q152" s="2">
        <f>Q9/'Output-Calculation-sheet'!Q8*'Output-Calculation-sheet'!Q125</f>
        <v>6006128109.8636713</v>
      </c>
      <c r="R152" s="2">
        <f>R9/'Output-Calculation-sheet'!R8*'Output-Calculation-sheet'!R125</f>
        <v>4490342930.5393534</v>
      </c>
      <c r="S152" s="2">
        <f>S9/'Output-Calculation-sheet'!S8*'Output-Calculation-sheet'!S125</f>
        <v>4609381796.3835258</v>
      </c>
      <c r="T152" s="2">
        <f>T9/'Output-Calculation-sheet'!T8*'Output-Calculation-sheet'!T125</f>
        <v>1198263155.1206024</v>
      </c>
      <c r="U152" s="2">
        <f>U9/'Output-Calculation-sheet'!U8*'Output-Calculation-sheet'!U125</f>
        <v>1542696425.1137502</v>
      </c>
      <c r="V152" s="2">
        <f>V9/'Output-Calculation-sheet'!V8*'Output-Calculation-sheet'!V125</f>
        <v>910969604.42501879</v>
      </c>
      <c r="W152" s="2">
        <f>W9/'Output-Calculation-sheet'!W8*'Output-Calculation-sheet'!W125</f>
        <v>497757200.79555607</v>
      </c>
      <c r="X152" s="2">
        <f>X9/'Output-Calculation-sheet'!X8*'Output-Calculation-sheet'!X125</f>
        <v>1145247077.6762826</v>
      </c>
      <c r="Y152" s="2">
        <f>Y9/'Output-Calculation-sheet'!Y8*'Output-Calculation-sheet'!Y125</f>
        <v>546576455.84915149</v>
      </c>
      <c r="AA152" s="2">
        <f t="shared" si="13"/>
        <v>265297.38174866443</v>
      </c>
    </row>
    <row r="153" spans="1:27" x14ac:dyDescent="0.25">
      <c r="A153" s="2">
        <v>2033</v>
      </c>
      <c r="B153" s="2">
        <f>B10/'Output-Calculation-sheet'!B9*'Output-Calculation-sheet'!B126</f>
        <v>78088894196.693939</v>
      </c>
      <c r="C153" s="2">
        <f>C10/'Output-Calculation-sheet'!C9*'Output-Calculation-sheet'!C126</f>
        <v>57118887820.192879</v>
      </c>
      <c r="D153" s="2">
        <f>D10/'Output-Calculation-sheet'!D9*'Output-Calculation-sheet'!D126</f>
        <v>14221043013.25276</v>
      </c>
      <c r="E153" s="2">
        <f>E10/'Output-Calculation-sheet'!E9*'Output-Calculation-sheet'!E126</f>
        <v>15740426103.640041</v>
      </c>
      <c r="F153" s="2">
        <f>F10/'Output-Calculation-sheet'!F9*'Output-Calculation-sheet'!F126</f>
        <v>6800516877.8738203</v>
      </c>
      <c r="G153" s="2">
        <f>G10/'Output-Calculation-sheet'!G9*'Output-Calculation-sheet'!G126</f>
        <v>5163448588.9087095</v>
      </c>
      <c r="H153" s="2">
        <f>H10/'Output-Calculation-sheet'!H9*'Output-Calculation-sheet'!H126</f>
        <v>16183382170.734953</v>
      </c>
      <c r="I153" s="2">
        <f>I10/'Output-Calculation-sheet'!I9*'Output-Calculation-sheet'!I126</f>
        <v>4930741929.1087227</v>
      </c>
      <c r="J153" s="2">
        <f>J10/'Output-Calculation-sheet'!J9*'Output-Calculation-sheet'!J126</f>
        <v>4026887164.7477398</v>
      </c>
      <c r="K153" s="2">
        <f>K10/'Output-Calculation-sheet'!K9*'Output-Calculation-sheet'!K126</f>
        <v>5947222510.8368692</v>
      </c>
      <c r="L153" s="2">
        <f>L10/'Output-Calculation-sheet'!L9*'Output-Calculation-sheet'!L126</f>
        <v>4926496020.9905615</v>
      </c>
      <c r="M153" s="2">
        <f>M10/'Output-Calculation-sheet'!M9*'Output-Calculation-sheet'!M126</f>
        <v>11192440590.868471</v>
      </c>
      <c r="N153" s="2">
        <f>N10/'Output-Calculation-sheet'!N9*'Output-Calculation-sheet'!N126</f>
        <v>9422386799.7799721</v>
      </c>
      <c r="O153" s="2">
        <f>O10/'Output-Calculation-sheet'!O9*'Output-Calculation-sheet'!O126</f>
        <v>13538666075.132147</v>
      </c>
      <c r="P153" s="2">
        <f>P10/'Output-Calculation-sheet'!P9*'Output-Calculation-sheet'!P126</f>
        <v>6679744306.8151226</v>
      </c>
      <c r="Q153" s="2">
        <f>Q10/'Output-Calculation-sheet'!Q9*'Output-Calculation-sheet'!Q126</f>
        <v>6582865136.3784218</v>
      </c>
      <c r="R153" s="2">
        <f>R10/'Output-Calculation-sheet'!R9*'Output-Calculation-sheet'!R126</f>
        <v>4936362203.8443441</v>
      </c>
      <c r="S153" s="2">
        <f>S10/'Output-Calculation-sheet'!S9*'Output-Calculation-sheet'!S126</f>
        <v>5048513496.8900852</v>
      </c>
      <c r="T153" s="2">
        <f>T10/'Output-Calculation-sheet'!T9*'Output-Calculation-sheet'!T126</f>
        <v>1316875301.4450488</v>
      </c>
      <c r="U153" s="2">
        <f>U10/'Output-Calculation-sheet'!U9*'Output-Calculation-sheet'!U126</f>
        <v>1700321322.0267324</v>
      </c>
      <c r="V153" s="2">
        <f>V10/'Output-Calculation-sheet'!V9*'Output-Calculation-sheet'!V126</f>
        <v>1000120860.3662162</v>
      </c>
      <c r="W153" s="2">
        <f>W10/'Output-Calculation-sheet'!W9*'Output-Calculation-sheet'!W126</f>
        <v>548120266.18930745</v>
      </c>
      <c r="X153" s="2">
        <f>X10/'Output-Calculation-sheet'!X9*'Output-Calculation-sheet'!X126</f>
        <v>1257614870.0023396</v>
      </c>
      <c r="Y153" s="2">
        <f>Y10/'Output-Calculation-sheet'!Y9*'Output-Calculation-sheet'!Y126</f>
        <v>601540854.95888293</v>
      </c>
      <c r="AA153" s="2">
        <f t="shared" si="13"/>
        <v>276973.51848167804</v>
      </c>
    </row>
    <row r="154" spans="1:27" x14ac:dyDescent="0.25">
      <c r="A154" s="2">
        <v>2034</v>
      </c>
      <c r="B154" s="2">
        <f>B11/'Output-Calculation-sheet'!B10*'Output-Calculation-sheet'!B127</f>
        <v>82385667079.262466</v>
      </c>
      <c r="C154" s="2">
        <f>C11/'Output-Calculation-sheet'!C10*'Output-Calculation-sheet'!C127</f>
        <v>61074236028.256279</v>
      </c>
      <c r="D154" s="2">
        <f>D11/'Output-Calculation-sheet'!D10*'Output-Calculation-sheet'!D127</f>
        <v>15339151731.365017</v>
      </c>
      <c r="E154" s="2">
        <f>E11/'Output-Calculation-sheet'!E10*'Output-Calculation-sheet'!E127</f>
        <v>16946924564.164635</v>
      </c>
      <c r="F154" s="2">
        <f>F11/'Output-Calculation-sheet'!F10*'Output-Calculation-sheet'!F127</f>
        <v>7318634890.2529716</v>
      </c>
      <c r="G154" s="2">
        <f>G11/'Output-Calculation-sheet'!G10*'Output-Calculation-sheet'!G127</f>
        <v>5577202107.4828129</v>
      </c>
      <c r="H154" s="2">
        <f>H11/'Output-Calculation-sheet'!H10*'Output-Calculation-sheet'!H127</f>
        <v>17367773752.645527</v>
      </c>
      <c r="I154" s="2">
        <f>I11/'Output-Calculation-sheet'!I10*'Output-Calculation-sheet'!I127</f>
        <v>5294271478.1901207</v>
      </c>
      <c r="J154" s="2">
        <f>J11/'Output-Calculation-sheet'!J10*'Output-Calculation-sheet'!J127</f>
        <v>4342330981.6239595</v>
      </c>
      <c r="K154" s="2">
        <f>K11/'Output-Calculation-sheet'!K10*'Output-Calculation-sheet'!K127</f>
        <v>6391231691.6769438</v>
      </c>
      <c r="L154" s="2">
        <f>L11/'Output-Calculation-sheet'!L10*'Output-Calculation-sheet'!L127</f>
        <v>5306776221.6709518</v>
      </c>
      <c r="M154" s="2">
        <f>M11/'Output-Calculation-sheet'!M10*'Output-Calculation-sheet'!M127</f>
        <v>12011967889.71382</v>
      </c>
      <c r="N154" s="2">
        <f>N11/'Output-Calculation-sheet'!N10*'Output-Calculation-sheet'!N127</f>
        <v>10187790777.141216</v>
      </c>
      <c r="O154" s="2">
        <f>O11/'Output-Calculation-sheet'!O10*'Output-Calculation-sheet'!O127</f>
        <v>14666564510.460245</v>
      </c>
      <c r="P154" s="2">
        <f>P11/'Output-Calculation-sheet'!P10*'Output-Calculation-sheet'!P127</f>
        <v>7179691139.1963768</v>
      </c>
      <c r="Q154" s="2">
        <f>Q11/'Output-Calculation-sheet'!Q10*'Output-Calculation-sheet'!Q127</f>
        <v>7059910212.5509863</v>
      </c>
      <c r="R154" s="2">
        <f>R11/'Output-Calculation-sheet'!R10*'Output-Calculation-sheet'!R127</f>
        <v>5316680081.4250679</v>
      </c>
      <c r="S154" s="2">
        <f>S11/'Output-Calculation-sheet'!S10*'Output-Calculation-sheet'!S127</f>
        <v>5345483958.2281876</v>
      </c>
      <c r="T154" s="2">
        <f>T11/'Output-Calculation-sheet'!T10*'Output-Calculation-sheet'!T127</f>
        <v>1416913301.6159623</v>
      </c>
      <c r="U154" s="2">
        <f>U11/'Output-Calculation-sheet'!U10*'Output-Calculation-sheet'!U127</f>
        <v>1830065504.9397347</v>
      </c>
      <c r="V154" s="2">
        <f>V11/'Output-Calculation-sheet'!V10*'Output-Calculation-sheet'!V127</f>
        <v>1072899406.9535985</v>
      </c>
      <c r="W154" s="2">
        <f>W11/'Output-Calculation-sheet'!W10*'Output-Calculation-sheet'!W127</f>
        <v>590308139.7640934</v>
      </c>
      <c r="X154" s="2">
        <f>X11/'Output-Calculation-sheet'!X10*'Output-Calculation-sheet'!X127</f>
        <v>1349049765.7256618</v>
      </c>
      <c r="Y154" s="2">
        <f>Y11/'Output-Calculation-sheet'!Y10*'Output-Calculation-sheet'!Y127</f>
        <v>648550511.30225432</v>
      </c>
      <c r="AA154" s="2">
        <f t="shared" si="13"/>
        <v>296020.07572560891</v>
      </c>
    </row>
    <row r="155" spans="1:27" x14ac:dyDescent="0.25">
      <c r="A155" s="2">
        <v>2035</v>
      </c>
      <c r="B155" s="2">
        <f>B12/'Output-Calculation-sheet'!B11*'Output-Calculation-sheet'!B128</f>
        <v>87058113428.303375</v>
      </c>
      <c r="C155" s="2">
        <f>C12/'Output-Calculation-sheet'!C11*'Output-Calculation-sheet'!C128</f>
        <v>64534110533.019234</v>
      </c>
      <c r="D155" s="2">
        <f>D12/'Output-Calculation-sheet'!D11*'Output-Calculation-sheet'!D128</f>
        <v>16269743719.387331</v>
      </c>
      <c r="E155" s="2">
        <f>E12/'Output-Calculation-sheet'!E11*'Output-Calculation-sheet'!E128</f>
        <v>18002732602.253204</v>
      </c>
      <c r="F155" s="2">
        <f>F12/'Output-Calculation-sheet'!F11*'Output-Calculation-sheet'!F128</f>
        <v>7765334753.2053967</v>
      </c>
      <c r="G155" s="2">
        <f>G12/'Output-Calculation-sheet'!G11*'Output-Calculation-sheet'!G128</f>
        <v>5945543908.6968184</v>
      </c>
      <c r="H155" s="2">
        <f>H12/'Output-Calculation-sheet'!H11*'Output-Calculation-sheet'!H128</f>
        <v>18418513555.435383</v>
      </c>
      <c r="I155" s="2">
        <f>I12/'Output-Calculation-sheet'!I11*'Output-Calculation-sheet'!I128</f>
        <v>5623029225.3200178</v>
      </c>
      <c r="J155" s="2">
        <f>J12/'Output-Calculation-sheet'!J11*'Output-Calculation-sheet'!J128</f>
        <v>4631710228.7453079</v>
      </c>
      <c r="K155" s="2">
        <f>K12/'Output-Calculation-sheet'!K11*'Output-Calculation-sheet'!K128</f>
        <v>6784284053.9617167</v>
      </c>
      <c r="L155" s="2">
        <f>L12/'Output-Calculation-sheet'!L11*'Output-Calculation-sheet'!L128</f>
        <v>5644820326.3854656</v>
      </c>
      <c r="M155" s="2">
        <f>M12/'Output-Calculation-sheet'!M11*'Output-Calculation-sheet'!M128</f>
        <v>12744903202.998346</v>
      </c>
      <c r="N155" s="2">
        <f>N12/'Output-Calculation-sheet'!N11*'Output-Calculation-sheet'!N128</f>
        <v>10867737969.757252</v>
      </c>
      <c r="O155" s="2">
        <f>O12/'Output-Calculation-sheet'!O11*'Output-Calculation-sheet'!O128</f>
        <v>12917203954.903305</v>
      </c>
      <c r="P155" s="2">
        <f>P12/'Output-Calculation-sheet'!P11*'Output-Calculation-sheet'!P128</f>
        <v>7613116042.1496248</v>
      </c>
      <c r="Q155" s="2">
        <f>Q12/'Output-Calculation-sheet'!Q11*'Output-Calculation-sheet'!Q128</f>
        <v>7448097867.8714294</v>
      </c>
      <c r="R155" s="2">
        <f>R12/'Output-Calculation-sheet'!R11*'Output-Calculation-sheet'!R128</f>
        <v>5638136300.1495752</v>
      </c>
      <c r="S155" s="2">
        <f>S12/'Output-Calculation-sheet'!S11*'Output-Calculation-sheet'!S128</f>
        <v>5698287627.7799301</v>
      </c>
      <c r="T155" s="2">
        <f>T12/'Output-Calculation-sheet'!T11*'Output-Calculation-sheet'!T128</f>
        <v>1505406522.7202654</v>
      </c>
      <c r="U155" s="2">
        <f>U12/'Output-Calculation-sheet'!U11*'Output-Calculation-sheet'!U128</f>
        <v>1945887521.6755013</v>
      </c>
      <c r="V155" s="2">
        <f>V12/'Output-Calculation-sheet'!V11*'Output-Calculation-sheet'!V128</f>
        <v>1134399488.8822432</v>
      </c>
      <c r="W155" s="2">
        <f>W12/'Output-Calculation-sheet'!W11*'Output-Calculation-sheet'!W128</f>
        <v>627436054.03450692</v>
      </c>
      <c r="X155" s="2">
        <f>X12/'Output-Calculation-sheet'!X11*'Output-Calculation-sheet'!X128</f>
        <v>1428405396.055196</v>
      </c>
      <c r="Y155" s="2">
        <f>Y12/'Output-Calculation-sheet'!Y11*'Output-Calculation-sheet'!Y128</f>
        <v>689332597.52463377</v>
      </c>
      <c r="AA155" s="2">
        <f t="shared" si="13"/>
        <v>310936.28688121506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2.7478227673111108E-10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2488.3906480735263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1704.1630863056</v>
      </c>
      <c r="N19" s="2">
        <f>N8/'Output-Calculation-sheet'!N7*'Output-Calculation-sheet'!N25</f>
        <v>1146.2964913196356</v>
      </c>
      <c r="O19" s="2">
        <f>O8/'Output-Calculation-sheet'!O7*'Output-Calculation-sheet'!O25</f>
        <v>1.5123017699345909E-11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304.04901883738194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161.73059757244306</v>
      </c>
      <c r="Y19" s="2">
        <f>Y8/'Output-Calculation-sheet'!Y7*'Output-Calculation-sheet'!Y25</f>
        <v>0</v>
      </c>
      <c r="AA19" s="2">
        <f t="shared" si="0"/>
        <v>5.804629842108878</v>
      </c>
    </row>
    <row r="20" spans="1:27" x14ac:dyDescent="0.25">
      <c r="A20" s="2">
        <v>2032</v>
      </c>
      <c r="B20" s="2">
        <f>B9/'Output-Calculation-sheet'!B8*'Output-Calculation-sheet'!B26</f>
        <v>2.6404408738312086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2741.3040506543648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1874.6893624304719</v>
      </c>
      <c r="N20" s="2">
        <f>N9/'Output-Calculation-sheet'!N8*'Output-Calculation-sheet'!N26</f>
        <v>1365.296152260147</v>
      </c>
      <c r="O20" s="2">
        <f>O9/'Output-Calculation-sheet'!O8*'Output-Calculation-sheet'!O26</f>
        <v>1.3822601552428259E-10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469.73048738812821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180.44590824599595</v>
      </c>
      <c r="Y20" s="2">
        <f>Y9/'Output-Calculation-sheet'!Y8*'Output-Calculation-sheet'!Y26</f>
        <v>0</v>
      </c>
      <c r="AA20" s="2">
        <f t="shared" si="0"/>
        <v>6.634106401853078</v>
      </c>
    </row>
    <row r="21" spans="1:27" x14ac:dyDescent="0.25">
      <c r="A21" s="2">
        <v>2033</v>
      </c>
      <c r="B21" s="2">
        <f>B10/'Output-Calculation-sheet'!B9*'Output-Calculation-sheet'!B27</f>
        <v>3953.6249918568001</v>
      </c>
      <c r="C21" s="2">
        <f>C10/'Output-Calculation-sheet'!C9*'Output-Calculation-sheet'!C27</f>
        <v>6169.4988783009285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2768.0268856221032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1894.8607490511117</v>
      </c>
      <c r="N21" s="2">
        <f>N10/'Output-Calculation-sheet'!N9*'Output-Calculation-sheet'!N27</f>
        <v>1480.5084079563649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564.799377129204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182.39014308686052</v>
      </c>
      <c r="Y21" s="2">
        <f>Y10/'Output-Calculation-sheet'!Y9*'Output-Calculation-sheet'!Y27</f>
        <v>0</v>
      </c>
      <c r="AA21" s="2">
        <f t="shared" si="0"/>
        <v>17.01370943300337</v>
      </c>
    </row>
    <row r="22" spans="1:27" x14ac:dyDescent="0.25">
      <c r="A22" s="2">
        <v>2034</v>
      </c>
      <c r="B22" s="2">
        <f>B11/'Output-Calculation-sheet'!B10*'Output-Calculation-sheet'!B28</f>
        <v>6094.7328819121039</v>
      </c>
      <c r="C22" s="2">
        <f>C11/'Output-Calculation-sheet'!C10*'Output-Calculation-sheet'!C28</f>
        <v>5904.8671250472662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2579.8508304592583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1766.1879798858986</v>
      </c>
      <c r="N22" s="2">
        <f>N11/'Output-Calculation-sheet'!N10*'Output-Calculation-sheet'!N28</f>
        <v>1416.2612034574042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577.7372025238825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171.11975051181159</v>
      </c>
      <c r="Y22" s="2">
        <f>Y11/'Output-Calculation-sheet'!Y10*'Output-Calculation-sheet'!Y28</f>
        <v>0</v>
      </c>
      <c r="AA22" s="2">
        <f t="shared" si="0"/>
        <v>18.510756973797626</v>
      </c>
    </row>
    <row r="23" spans="1:27" x14ac:dyDescent="0.25">
      <c r="A23" s="2">
        <v>2035</v>
      </c>
      <c r="B23" s="2">
        <f>B12/'Output-Calculation-sheet'!B11*'Output-Calculation-sheet'!B29</f>
        <v>6300.1619920884332</v>
      </c>
      <c r="C23" s="2">
        <f>C12/'Output-Calculation-sheet'!C11*'Output-Calculation-sheet'!C29</f>
        <v>5162.5003810208391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2202.5350767506225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1505.5285213113682</v>
      </c>
      <c r="N23" s="2">
        <f>N12/'Output-Calculation-sheet'!N11*'Output-Calculation-sheet'!N29</f>
        <v>1230.6336911159287</v>
      </c>
      <c r="O23" s="2">
        <f>O12/'Output-Calculation-sheet'!O11*'Output-Calculation-sheet'!O29</f>
        <v>877.74342427382737</v>
      </c>
      <c r="P23" s="2">
        <f>P12/'Output-Calculation-sheet'!P11*'Output-Calculation-sheet'!P29</f>
        <v>0</v>
      </c>
      <c r="Q23" s="2">
        <f>Q12/'Output-Calculation-sheet'!Q11*'Output-Calculation-sheet'!Q29</f>
        <v>16.79978900749153</v>
      </c>
      <c r="R23" s="2">
        <f>R12/'Output-Calculation-sheet'!R11*'Output-Calculation-sheet'!R29</f>
        <v>0</v>
      </c>
      <c r="S23" s="2">
        <f>S12/'Output-Calculation-sheet'!S11*'Output-Calculation-sheet'!S29</f>
        <v>540.44328329320331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147.58136487614522</v>
      </c>
      <c r="Y23" s="2">
        <f>Y12/'Output-Calculation-sheet'!Y11*'Output-Calculation-sheet'!Y29</f>
        <v>0</v>
      </c>
      <c r="AA23" s="2">
        <f t="shared" si="0"/>
        <v>17.983927523737862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19558.376573209491</v>
      </c>
      <c r="C30" s="2">
        <f>C8/'Output-Calculation-sheet'!C7*'Output-Calculation-sheet'!C16</f>
        <v>0</v>
      </c>
      <c r="D30" s="2">
        <f>D8/'Output-Calculation-sheet'!D7*'Output-Calculation-sheet'!D16</f>
        <v>6105.4236426907555</v>
      </c>
      <c r="E30" s="2">
        <f>E8/'Output-Calculation-sheet'!E7*'Output-Calculation-sheet'!E16</f>
        <v>6315.0274957334059</v>
      </c>
      <c r="F30" s="2">
        <f>F8/'Output-Calculation-sheet'!F7*'Output-Calculation-sheet'!F16</f>
        <v>3537.9447756762665</v>
      </c>
      <c r="G30" s="2">
        <f>G8/'Output-Calculation-sheet'!G7*'Output-Calculation-sheet'!G16</f>
        <v>2133.7696299525692</v>
      </c>
      <c r="H30" s="2">
        <f>H8/'Output-Calculation-sheet'!H7*'Output-Calculation-sheet'!H16</f>
        <v>0</v>
      </c>
      <c r="I30" s="2">
        <f>I8/'Output-Calculation-sheet'!I7*'Output-Calculation-sheet'!I16</f>
        <v>2159.6042708099567</v>
      </c>
      <c r="J30" s="2">
        <f>J8/'Output-Calculation-sheet'!J7*'Output-Calculation-sheet'!J16</f>
        <v>1971.1764874331493</v>
      </c>
      <c r="K30" s="2">
        <f>K8/'Output-Calculation-sheet'!K7*'Output-Calculation-sheet'!K16</f>
        <v>2437.8278609573472</v>
      </c>
      <c r="L30" s="2">
        <f>L8/'Output-Calculation-sheet'!L7*'Output-Calculation-sheet'!L16</f>
        <v>2011.8468358496355</v>
      </c>
      <c r="M30" s="2">
        <f>M8/'Output-Calculation-sheet'!M7*'Output-Calculation-sheet'!M16</f>
        <v>0</v>
      </c>
      <c r="N30" s="2">
        <f>N8/'Output-Calculation-sheet'!N7*'Output-Calculation-sheet'!N16</f>
        <v>987.1201353846642</v>
      </c>
      <c r="O30" s="2">
        <f>O8/'Output-Calculation-sheet'!O7*'Output-Calculation-sheet'!O16</f>
        <v>0</v>
      </c>
      <c r="P30" s="2">
        <f>P8/'Output-Calculation-sheet'!P7*'Output-Calculation-sheet'!P16</f>
        <v>1603.5466540019816</v>
      </c>
      <c r="Q30" s="2">
        <f>Q8/'Output-Calculation-sheet'!Q7*'Output-Calculation-sheet'!Q16</f>
        <v>1758.8001595355386</v>
      </c>
      <c r="R30" s="2">
        <f>R8/'Output-Calculation-sheet'!R7*'Output-Calculation-sheet'!R16</f>
        <v>1540.953292268925</v>
      </c>
      <c r="S30" s="2">
        <f>S8/'Output-Calculation-sheet'!S7*'Output-Calculation-sheet'!S16</f>
        <v>822.92257412593972</v>
      </c>
      <c r="T30" s="2">
        <f>T8/'Output-Calculation-sheet'!T7*'Output-Calculation-sheet'!T16</f>
        <v>562.16438556258618</v>
      </c>
      <c r="U30" s="2">
        <f>U8/'Output-Calculation-sheet'!U7*'Output-Calculation-sheet'!U16</f>
        <v>432.06245673274168</v>
      </c>
      <c r="V30" s="2">
        <f>V8/'Output-Calculation-sheet'!V7*'Output-Calculation-sheet'!V16</f>
        <v>413.73591644087759</v>
      </c>
      <c r="W30" s="2">
        <f>W8/'Output-Calculation-sheet'!W7*'Output-Calculation-sheet'!W16</f>
        <v>287.23580847678568</v>
      </c>
      <c r="X30" s="2">
        <f>X8/'Output-Calculation-sheet'!X7*'Output-Calculation-sheet'!X16</f>
        <v>0</v>
      </c>
      <c r="Y30" s="2">
        <f>Y8/'Output-Calculation-sheet'!Y7*'Output-Calculation-sheet'!Y16</f>
        <v>189.89112165973711</v>
      </c>
      <c r="AA30" s="2">
        <f t="shared" si="1"/>
        <v>54.829430076502348</v>
      </c>
    </row>
    <row r="31" spans="1:27" x14ac:dyDescent="0.25">
      <c r="A31" s="2">
        <v>2032</v>
      </c>
      <c r="B31" s="2">
        <f>B9/'Output-Calculation-sheet'!B8*'Output-Calculation-sheet'!B17</f>
        <v>21115.699969487956</v>
      </c>
      <c r="C31" s="2">
        <f>C9/'Output-Calculation-sheet'!C8*'Output-Calculation-sheet'!C17</f>
        <v>0</v>
      </c>
      <c r="D31" s="2">
        <f>D9/'Output-Calculation-sheet'!D8*'Output-Calculation-sheet'!D17</f>
        <v>6546.2770270417532</v>
      </c>
      <c r="E31" s="2">
        <f>E9/'Output-Calculation-sheet'!E8*'Output-Calculation-sheet'!E17</f>
        <v>6779.4236138651868</v>
      </c>
      <c r="F31" s="2">
        <f>F9/'Output-Calculation-sheet'!F8*'Output-Calculation-sheet'!F17</f>
        <v>3787.4063090758123</v>
      </c>
      <c r="G31" s="2">
        <f>G9/'Output-Calculation-sheet'!G8*'Output-Calculation-sheet'!G17</f>
        <v>2283.1977426791882</v>
      </c>
      <c r="H31" s="2">
        <f>H9/'Output-Calculation-sheet'!H8*'Output-Calculation-sheet'!H17</f>
        <v>0</v>
      </c>
      <c r="I31" s="2">
        <f>I9/'Output-Calculation-sheet'!I8*'Output-Calculation-sheet'!I17</f>
        <v>2314.8735108149294</v>
      </c>
      <c r="J31" s="2">
        <f>J9/'Output-Calculation-sheet'!J8*'Output-Calculation-sheet'!J17</f>
        <v>2111.3209734869474</v>
      </c>
      <c r="K31" s="2">
        <f>K9/'Output-Calculation-sheet'!K8*'Output-Calculation-sheet'!K17</f>
        <v>2615.2540218237159</v>
      </c>
      <c r="L31" s="2">
        <f>L9/'Output-Calculation-sheet'!L8*'Output-Calculation-sheet'!L17</f>
        <v>2158.8528466251564</v>
      </c>
      <c r="M31" s="2">
        <f>M9/'Output-Calculation-sheet'!M8*'Output-Calculation-sheet'!M17</f>
        <v>0</v>
      </c>
      <c r="N31" s="2">
        <f>N9/'Output-Calculation-sheet'!N8*'Output-Calculation-sheet'!N17</f>
        <v>954.96188593439763</v>
      </c>
      <c r="O31" s="2">
        <f>O9/'Output-Calculation-sheet'!O8*'Output-Calculation-sheet'!O17</f>
        <v>0</v>
      </c>
      <c r="P31" s="2">
        <f>P9/'Output-Calculation-sheet'!P8*'Output-Calculation-sheet'!P17</f>
        <v>1736.7486958371694</v>
      </c>
      <c r="Q31" s="2">
        <f>Q9/'Output-Calculation-sheet'!Q8*'Output-Calculation-sheet'!Q17</f>
        <v>1903.3094006470801</v>
      </c>
      <c r="R31" s="2">
        <f>R9/'Output-Calculation-sheet'!R8*'Output-Calculation-sheet'!R17</f>
        <v>1652.5542268215793</v>
      </c>
      <c r="S31" s="2">
        <f>S9/'Output-Calculation-sheet'!S8*'Output-Calculation-sheet'!S17</f>
        <v>824.53974690024347</v>
      </c>
      <c r="T31" s="2">
        <f>T9/'Output-Calculation-sheet'!T8*'Output-Calculation-sheet'!T17</f>
        <v>602.20442901458557</v>
      </c>
      <c r="U31" s="2">
        <f>U9/'Output-Calculation-sheet'!U8*'Output-Calculation-sheet'!U17</f>
        <v>464.45010056406255</v>
      </c>
      <c r="V31" s="2">
        <f>V9/'Output-Calculation-sheet'!V8*'Output-Calculation-sheet'!V17</f>
        <v>445.07946222073701</v>
      </c>
      <c r="W31" s="2">
        <f>W9/'Output-Calculation-sheet'!W8*'Output-Calculation-sheet'!W17</f>
        <v>308.20130296776921</v>
      </c>
      <c r="X31" s="2">
        <f>X9/'Output-Calculation-sheet'!X8*'Output-Calculation-sheet'!X17</f>
        <v>0</v>
      </c>
      <c r="Y31" s="2">
        <f>Y9/'Output-Calculation-sheet'!Y8*'Output-Calculation-sheet'!Y17</f>
        <v>203.75095612779614</v>
      </c>
      <c r="AA31" s="2">
        <f t="shared" si="1"/>
        <v>58.808106221936058</v>
      </c>
    </row>
    <row r="32" spans="1:27" x14ac:dyDescent="0.25">
      <c r="A32" s="2">
        <v>2033</v>
      </c>
      <c r="B32" s="2">
        <f>B10/'Output-Calculation-sheet'!B9*'Output-Calculation-sheet'!B18</f>
        <v>19294.346027561576</v>
      </c>
      <c r="C32" s="2">
        <f>C10/'Output-Calculation-sheet'!C9*'Output-Calculation-sheet'!C18</f>
        <v>0</v>
      </c>
      <c r="D32" s="2">
        <f>D10/'Output-Calculation-sheet'!D9*'Output-Calculation-sheet'!D18</f>
        <v>6441.2705995294955</v>
      </c>
      <c r="E32" s="2">
        <f>E10/'Output-Calculation-sheet'!E9*'Output-Calculation-sheet'!E18</f>
        <v>6670.1257439801038</v>
      </c>
      <c r="F32" s="2">
        <f>F10/'Output-Calculation-sheet'!F9*'Output-Calculation-sheet'!F18</f>
        <v>3725.686461025723</v>
      </c>
      <c r="G32" s="2">
        <f>G10/'Output-Calculation-sheet'!G9*'Output-Calculation-sheet'!G18</f>
        <v>2247.0219721855501</v>
      </c>
      <c r="H32" s="2">
        <f>H10/'Output-Calculation-sheet'!H9*'Output-Calculation-sheet'!H18</f>
        <v>0</v>
      </c>
      <c r="I32" s="2">
        <f>I10/'Output-Calculation-sheet'!I9*'Output-Calculation-sheet'!I18</f>
        <v>2277.9593857454706</v>
      </c>
      <c r="J32" s="2">
        <f>J10/'Output-Calculation-sheet'!J9*'Output-Calculation-sheet'!J18</f>
        <v>2077.601803390909</v>
      </c>
      <c r="K32" s="2">
        <f>K10/'Output-Calculation-sheet'!K9*'Output-Calculation-sheet'!K18</f>
        <v>2579.3754788127831</v>
      </c>
      <c r="L32" s="2">
        <f>L10/'Output-Calculation-sheet'!L9*'Output-Calculation-sheet'!L18</f>
        <v>2125.7557931052684</v>
      </c>
      <c r="M32" s="2">
        <f>M10/'Output-Calculation-sheet'!M9*'Output-Calculation-sheet'!M18</f>
        <v>0</v>
      </c>
      <c r="N32" s="2">
        <f>N10/'Output-Calculation-sheet'!N9*'Output-Calculation-sheet'!N18</f>
        <v>841.40671858507096</v>
      </c>
      <c r="O32" s="2">
        <f>O10/'Output-Calculation-sheet'!O9*'Output-Calculation-sheet'!O18</f>
        <v>0</v>
      </c>
      <c r="P32" s="2">
        <f>P10/'Output-Calculation-sheet'!P9*'Output-Calculation-sheet'!P18</f>
        <v>1721.5441460374507</v>
      </c>
      <c r="Q32" s="2">
        <f>Q10/'Output-Calculation-sheet'!Q9*'Output-Calculation-sheet'!Q18</f>
        <v>1888.0762368995097</v>
      </c>
      <c r="R32" s="2">
        <f>R10/'Output-Calculation-sheet'!R9*'Output-Calculation-sheet'!R18</f>
        <v>1630.8335601710567</v>
      </c>
      <c r="S32" s="2">
        <f>S10/'Output-Calculation-sheet'!S9*'Output-Calculation-sheet'!S18</f>
        <v>759.09482936365441</v>
      </c>
      <c r="T32" s="2">
        <f>T10/'Output-Calculation-sheet'!T9*'Output-Calculation-sheet'!T18</f>
        <v>593.20481461368888</v>
      </c>
      <c r="U32" s="2">
        <f>U10/'Output-Calculation-sheet'!U9*'Output-Calculation-sheet'!U18</f>
        <v>457.49657191614767</v>
      </c>
      <c r="V32" s="2">
        <f>V10/'Output-Calculation-sheet'!V9*'Output-Calculation-sheet'!V18</f>
        <v>438.88724864491473</v>
      </c>
      <c r="W32" s="2">
        <f>W10/'Output-Calculation-sheet'!W9*'Output-Calculation-sheet'!W18</f>
        <v>302.8478615332628</v>
      </c>
      <c r="X32" s="2">
        <f>X10/'Output-Calculation-sheet'!X9*'Output-Calculation-sheet'!X18</f>
        <v>0</v>
      </c>
      <c r="Y32" s="2">
        <f>Y10/'Output-Calculation-sheet'!Y9*'Output-Calculation-sheet'!Y18</f>
        <v>200.80199346911525</v>
      </c>
      <c r="AA32" s="2">
        <f t="shared" si="1"/>
        <v>56.273337246570748</v>
      </c>
    </row>
    <row r="33" spans="1:27" x14ac:dyDescent="0.25">
      <c r="A33" s="2">
        <v>2034</v>
      </c>
      <c r="B33" s="2">
        <f>B11/'Output-Calculation-sheet'!B10*'Output-Calculation-sheet'!B19</f>
        <v>16491.45315866825</v>
      </c>
      <c r="C33" s="2">
        <f>C11/'Output-Calculation-sheet'!C10*'Output-Calculation-sheet'!C19</f>
        <v>0</v>
      </c>
      <c r="D33" s="2">
        <f>D11/'Output-Calculation-sheet'!D10*'Output-Calculation-sheet'!D19</f>
        <v>5831.0356417988978</v>
      </c>
      <c r="E33" s="2">
        <f>E11/'Output-Calculation-sheet'!E10*'Output-Calculation-sheet'!E19</f>
        <v>6052.4661316641586</v>
      </c>
      <c r="F33" s="2">
        <f>F11/'Output-Calculation-sheet'!F10*'Output-Calculation-sheet'!F19</f>
        <v>3374.4405153950047</v>
      </c>
      <c r="G33" s="2">
        <f>G11/'Output-Calculation-sheet'!G10*'Output-Calculation-sheet'!G19</f>
        <v>2031.9913076409118</v>
      </c>
      <c r="H33" s="2">
        <f>H11/'Output-Calculation-sheet'!H10*'Output-Calculation-sheet'!H19</f>
        <v>0</v>
      </c>
      <c r="I33" s="2">
        <f>I11/'Output-Calculation-sheet'!I10*'Output-Calculation-sheet'!I19</f>
        <v>2069.5983241080257</v>
      </c>
      <c r="J33" s="2">
        <f>J11/'Output-Calculation-sheet'!J10*'Output-Calculation-sheet'!J19</f>
        <v>1880.8916100407976</v>
      </c>
      <c r="K33" s="2">
        <f>K11/'Output-Calculation-sheet'!K10*'Output-Calculation-sheet'!K19</f>
        <v>2342.7894918927927</v>
      </c>
      <c r="L33" s="2">
        <f>L11/'Output-Calculation-sheet'!L10*'Output-Calculation-sheet'!L19</f>
        <v>1926.9175488770488</v>
      </c>
      <c r="M33" s="2">
        <f>M11/'Output-Calculation-sheet'!M10*'Output-Calculation-sheet'!M19</f>
        <v>0</v>
      </c>
      <c r="N33" s="2">
        <f>N11/'Output-Calculation-sheet'!N10*'Output-Calculation-sheet'!N19</f>
        <v>714.082281843499</v>
      </c>
      <c r="O33" s="2">
        <f>O11/'Output-Calculation-sheet'!O10*'Output-Calculation-sheet'!O19</f>
        <v>0</v>
      </c>
      <c r="P33" s="2">
        <f>P11/'Output-Calculation-sheet'!P10*'Output-Calculation-sheet'!P19</f>
        <v>1570.6302901511888</v>
      </c>
      <c r="Q33" s="2">
        <f>Q11/'Output-Calculation-sheet'!Q10*'Output-Calculation-sheet'!Q19</f>
        <v>1725.4938490023194</v>
      </c>
      <c r="R33" s="2">
        <f>R11/'Output-Calculation-sheet'!R10*'Output-Calculation-sheet'!R19</f>
        <v>1480.7422759948274</v>
      </c>
      <c r="S33" s="2">
        <f>S11/'Output-Calculation-sheet'!S10*'Output-Calculation-sheet'!S19</f>
        <v>682.94378433314341</v>
      </c>
      <c r="T33" s="2">
        <f>T11/'Output-Calculation-sheet'!T10*'Output-Calculation-sheet'!T19</f>
        <v>538.1143164361813</v>
      </c>
      <c r="U33" s="2">
        <f>U11/'Output-Calculation-sheet'!U10*'Output-Calculation-sheet'!U19</f>
        <v>416.40868973899688</v>
      </c>
      <c r="V33" s="2">
        <f>V11/'Output-Calculation-sheet'!V10*'Output-Calculation-sheet'!V19</f>
        <v>399.19466649704043</v>
      </c>
      <c r="W33" s="2">
        <f>W11/'Output-Calculation-sheet'!W10*'Output-Calculation-sheet'!W19</f>
        <v>274.26494425294027</v>
      </c>
      <c r="X33" s="2">
        <f>X11/'Output-Calculation-sheet'!X10*'Output-Calculation-sheet'!X19</f>
        <v>0</v>
      </c>
      <c r="Y33" s="2">
        <f>Y11/'Output-Calculation-sheet'!Y10*'Output-Calculation-sheet'!Y19</f>
        <v>182.10117024860452</v>
      </c>
      <c r="AA33" s="2">
        <f t="shared" si="1"/>
        <v>49.98555999858462</v>
      </c>
    </row>
    <row r="34" spans="1:27" x14ac:dyDescent="0.25">
      <c r="A34" s="2">
        <v>2035</v>
      </c>
      <c r="B34" s="2">
        <f>B12/'Output-Calculation-sheet'!B11*'Output-Calculation-sheet'!B20</f>
        <v>13168.873903084785</v>
      </c>
      <c r="C34" s="2">
        <f>C12/'Output-Calculation-sheet'!C11*'Output-Calculation-sheet'!C20</f>
        <v>0</v>
      </c>
      <c r="D34" s="2">
        <f>D12/'Output-Calculation-sheet'!D11*'Output-Calculation-sheet'!D20</f>
        <v>4870.2331285770442</v>
      </c>
      <c r="E34" s="2">
        <f>E12/'Output-Calculation-sheet'!E11*'Output-Calculation-sheet'!E20</f>
        <v>5053.0777826043641</v>
      </c>
      <c r="F34" s="2">
        <f>F12/'Output-Calculation-sheet'!F11*'Output-Calculation-sheet'!F20</f>
        <v>2813.1602901547249</v>
      </c>
      <c r="G34" s="2">
        <f>G12/'Output-Calculation-sheet'!G11*'Output-Calculation-sheet'!G20</f>
        <v>1690.2733104612432</v>
      </c>
      <c r="H34" s="2">
        <f>H12/'Output-Calculation-sheet'!H11*'Output-Calculation-sheet'!H20</f>
        <v>0</v>
      </c>
      <c r="I34" s="2">
        <f>I12/'Output-Calculation-sheet'!I11*'Output-Calculation-sheet'!I20</f>
        <v>1726.414144198046</v>
      </c>
      <c r="J34" s="2">
        <f>J12/'Output-Calculation-sheet'!J11*'Output-Calculation-sheet'!J20</f>
        <v>1563.5604198230265</v>
      </c>
      <c r="K34" s="2">
        <f>K12/'Output-Calculation-sheet'!K11*'Output-Calculation-sheet'!K20</f>
        <v>1955.9298023276381</v>
      </c>
      <c r="L34" s="2">
        <f>L12/'Output-Calculation-sheet'!L11*'Output-Calculation-sheet'!L20</f>
        <v>1605.9436098709432</v>
      </c>
      <c r="M34" s="2">
        <f>M12/'Output-Calculation-sheet'!M11*'Output-Calculation-sheet'!M20</f>
        <v>0</v>
      </c>
      <c r="N34" s="2">
        <f>N12/'Output-Calculation-sheet'!N11*'Output-Calculation-sheet'!N20</f>
        <v>564.9859431149755</v>
      </c>
      <c r="O34" s="2">
        <f>O12/'Output-Calculation-sheet'!O11*'Output-Calculation-sheet'!O20</f>
        <v>0</v>
      </c>
      <c r="P34" s="2">
        <f>P12/'Output-Calculation-sheet'!P11*'Output-Calculation-sheet'!P20</f>
        <v>1318.7237580619703</v>
      </c>
      <c r="Q34" s="2">
        <f>Q12/'Output-Calculation-sheet'!Q11*'Output-Calculation-sheet'!Q20</f>
        <v>1446.0412405367492</v>
      </c>
      <c r="R34" s="2">
        <f>R12/'Output-Calculation-sheet'!R11*'Output-Calculation-sheet'!R20</f>
        <v>1239.9832197117705</v>
      </c>
      <c r="S34" s="2">
        <f>S12/'Output-Calculation-sheet'!S11*'Output-Calculation-sheet'!S20</f>
        <v>533.25263226931293</v>
      </c>
      <c r="T34" s="2">
        <f>T12/'Output-Calculation-sheet'!T11*'Output-Calculation-sheet'!T20</f>
        <v>448.82638964442242</v>
      </c>
      <c r="U34" s="2">
        <f>U12/'Output-Calculation-sheet'!U11*'Output-Calculation-sheet'!U20</f>
        <v>348.14681168755237</v>
      </c>
      <c r="V34" s="2">
        <f>V12/'Output-Calculation-sheet'!V11*'Output-Calculation-sheet'!V20</f>
        <v>334.34760090503983</v>
      </c>
      <c r="W34" s="2">
        <f>W12/'Output-Calculation-sheet'!W11*'Output-Calculation-sheet'!W20</f>
        <v>228.4752844076294</v>
      </c>
      <c r="X34" s="2">
        <f>X12/'Output-Calculation-sheet'!X11*'Output-Calculation-sheet'!X20</f>
        <v>0</v>
      </c>
      <c r="Y34" s="2">
        <f>Y12/'Output-Calculation-sheet'!Y11*'Output-Calculation-sheet'!Y20</f>
        <v>152.0950910756743</v>
      </c>
      <c r="AA34" s="2">
        <f t="shared" si="1"/>
        <v>41.06234436251691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6.0992910471810529</v>
      </c>
      <c r="C63" s="2">
        <f>C8*'Output-Calculation-sheet'!C52/10^9</f>
        <v>2.9348448992166545</v>
      </c>
      <c r="D63" s="2">
        <f>D8*'Output-Calculation-sheet'!D52/10^9</f>
        <v>1.3348264019608376</v>
      </c>
      <c r="E63" s="2">
        <f>E8*'Output-Calculation-sheet'!E52/10^9</f>
        <v>1.4852204365982915</v>
      </c>
      <c r="F63" s="2">
        <f>F8*'Output-Calculation-sheet'!F52/10^9</f>
        <v>0.68600975438709011</v>
      </c>
      <c r="G63" s="2">
        <f>G8*'Output-Calculation-sheet'!G52/10^9</f>
        <v>0.47417458780494054</v>
      </c>
      <c r="H63" s="2">
        <f>H8*'Output-Calculation-sheet'!H52/10^9</f>
        <v>0.89413004857067957</v>
      </c>
      <c r="I63" s="2">
        <f>I8*'Output-Calculation-sheet'!I52/10^9</f>
        <v>0.46790682977996373</v>
      </c>
      <c r="J63" s="2">
        <f>J8*'Output-Calculation-sheet'!J52/10^9</f>
        <v>0.42237215136957895</v>
      </c>
      <c r="K63" s="2">
        <f>K8*'Output-Calculation-sheet'!K52/10^9</f>
        <v>0.54514377351471266</v>
      </c>
      <c r="L63" s="2">
        <f>L8*'Output-Calculation-sheet'!L52/10^9</f>
        <v>0.45033820843257255</v>
      </c>
      <c r="M63" s="2">
        <f>M8*'Output-Calculation-sheet'!M52/10^9</f>
        <v>0.61773836001453786</v>
      </c>
      <c r="N63" s="2">
        <f>N8*'Output-Calculation-sheet'!N52/10^9</f>
        <v>0.64565952047275288</v>
      </c>
      <c r="O63" s="2">
        <f>O8*'Output-Calculation-sheet'!O52/10^9</f>
        <v>0.57024705197519798</v>
      </c>
      <c r="P63" s="2">
        <f>P8*'Output-Calculation-sheet'!P52/10^9</f>
        <v>0.47798126218220299</v>
      </c>
      <c r="Q63" s="2">
        <f>Q8*'Output-Calculation-sheet'!Q52/10^9</f>
        <v>0.4929227982557024</v>
      </c>
      <c r="R63" s="2">
        <f>R8*'Output-Calculation-sheet'!R52/10^9</f>
        <v>0.39421096230452385</v>
      </c>
      <c r="S63" s="2">
        <f>S8*'Output-Calculation-sheet'!S52/10^9</f>
        <v>0.36339346407625661</v>
      </c>
      <c r="T63" s="2">
        <f>T8*'Output-Calculation-sheet'!T52/10^9</f>
        <v>0.12323163723312423</v>
      </c>
      <c r="U63" s="2">
        <f>U8*'Output-Calculation-sheet'!U52/10^9</f>
        <v>0.12387829515793426</v>
      </c>
      <c r="V63" s="2">
        <f>V8*'Output-Calculation-sheet'!V52/10^9</f>
        <v>9.2259598772322454E-2</v>
      </c>
      <c r="W63" s="2">
        <f>W8*'Output-Calculation-sheet'!W52/10^9</f>
        <v>5.7682919191897823E-2</v>
      </c>
      <c r="X63" s="2">
        <f>X8*'Output-Calculation-sheet'!X52/10^9</f>
        <v>7.3460158316230859E-2</v>
      </c>
      <c r="Y63" s="2">
        <f>Y8*'Output-Calculation-sheet'!Y52/10^9</f>
        <v>4.8275046912154625E-2</v>
      </c>
      <c r="AA63" s="2">
        <f t="shared" si="4"/>
        <v>19.875199213681213</v>
      </c>
    </row>
    <row r="64" spans="1:27" x14ac:dyDescent="0.25">
      <c r="A64" s="2">
        <v>2032</v>
      </c>
      <c r="B64" s="2">
        <f>B9*'Output-Calculation-sheet'!B53/10^9</f>
        <v>6.4814383715276556</v>
      </c>
      <c r="C64" s="2">
        <f>C9*'Output-Calculation-sheet'!C53/10^9</f>
        <v>3.1298798416390787</v>
      </c>
      <c r="D64" s="2">
        <f>D9*'Output-Calculation-sheet'!D53/10^9</f>
        <v>1.416315360267677</v>
      </c>
      <c r="E64" s="2">
        <f>E9*'Output-Calculation-sheet'!E53/10^9</f>
        <v>1.5764554460572089</v>
      </c>
      <c r="F64" s="2">
        <f>F9*'Output-Calculation-sheet'!F53/10^9</f>
        <v>0.7274218850756603</v>
      </c>
      <c r="G64" s="2">
        <f>G9*'Output-Calculation-sheet'!G53/10^9</f>
        <v>0.50316790557867885</v>
      </c>
      <c r="H64" s="2">
        <f>H9*'Output-Calculation-sheet'!H53/10^9</f>
        <v>0.94473065884978824</v>
      </c>
      <c r="I64" s="2">
        <f>I9*'Output-Calculation-sheet'!I53/10^9</f>
        <v>0.49645018020895881</v>
      </c>
      <c r="J64" s="2">
        <f>J9*'Output-Calculation-sheet'!J53/10^9</f>
        <v>0.44811187274432795</v>
      </c>
      <c r="K64" s="2">
        <f>K9*'Output-Calculation-sheet'!K53/10^9</f>
        <v>0.57849220266726398</v>
      </c>
      <c r="L64" s="2">
        <f>L9*'Output-Calculation-sheet'!L53/10^9</f>
        <v>0.4778882083937549</v>
      </c>
      <c r="M64" s="2">
        <f>M9*'Output-Calculation-sheet'!M53/10^9</f>
        <v>0.65272919367258286</v>
      </c>
      <c r="N64" s="2">
        <f>N9*'Output-Calculation-sheet'!N53/10^9</f>
        <v>0.68310917299320661</v>
      </c>
      <c r="O64" s="2">
        <f>O9*'Output-Calculation-sheet'!O53/10^9</f>
        <v>0.60814278574232994</v>
      </c>
      <c r="P64" s="2">
        <f>P9*'Output-Calculation-sheet'!P53/10^9</f>
        <v>0.50783961779658915</v>
      </c>
      <c r="Q64" s="2">
        <f>Q9*'Output-Calculation-sheet'!Q53/10^9</f>
        <v>0.52359135920202382</v>
      </c>
      <c r="R64" s="2">
        <f>R9*'Output-Calculation-sheet'!R53/10^9</f>
        <v>0.41858786394887104</v>
      </c>
      <c r="S64" s="2">
        <f>S9*'Output-Calculation-sheet'!S53/10^9</f>
        <v>0.38521894436964632</v>
      </c>
      <c r="T64" s="2">
        <f>T9*'Output-Calculation-sheet'!T53/10^9</f>
        <v>0.13075731230708698</v>
      </c>
      <c r="U64" s="2">
        <f>U9*'Output-Calculation-sheet'!U53/10^9</f>
        <v>0.13159989359558816</v>
      </c>
      <c r="V64" s="2">
        <f>V9*'Output-Calculation-sheet'!V53/10^9</f>
        <v>9.7901310399905517E-2</v>
      </c>
      <c r="W64" s="2">
        <f>W9*'Output-Calculation-sheet'!W53/10^9</f>
        <v>6.1176985527786561E-2</v>
      </c>
      <c r="X64" s="2">
        <f>X9*'Output-Calculation-sheet'!X53/10^9</f>
        <v>7.7696078285927464E-2</v>
      </c>
      <c r="Y64" s="2">
        <f>Y9*'Output-Calculation-sheet'!Y53/10^9</f>
        <v>5.1258695479407861E-2</v>
      </c>
      <c r="AA64" s="2">
        <f t="shared" si="4"/>
        <v>21.109961146331003</v>
      </c>
    </row>
    <row r="65" spans="1:27" x14ac:dyDescent="0.25">
      <c r="A65" s="2">
        <v>2033</v>
      </c>
      <c r="B65" s="2">
        <f>B10*'Output-Calculation-sheet'!B54/10^9</f>
        <v>6.3170871068288763</v>
      </c>
      <c r="C65" s="2">
        <f>C10*'Output-Calculation-sheet'!C54/10^9</f>
        <v>3.0580378096478329</v>
      </c>
      <c r="D65" s="2">
        <f>D10*'Output-Calculation-sheet'!D54/10^9</f>
        <v>1.3797390377804433</v>
      </c>
      <c r="E65" s="2">
        <f>E10*'Output-Calculation-sheet'!E54/10^9</f>
        <v>1.5362956330757123</v>
      </c>
      <c r="F65" s="2">
        <f>F10*'Output-Calculation-sheet'!F54/10^9</f>
        <v>0.70817604447779925</v>
      </c>
      <c r="G65" s="2">
        <f>G10*'Output-Calculation-sheet'!G54/10^9</f>
        <v>0.49022048334139356</v>
      </c>
      <c r="H65" s="2">
        <f>H10*'Output-Calculation-sheet'!H54/10^9</f>
        <v>0.91616237688636737</v>
      </c>
      <c r="I65" s="2">
        <f>I10*'Output-Calculation-sheet'!I54/10^9</f>
        <v>0.48360876856827872</v>
      </c>
      <c r="J65" s="2">
        <f>J10*'Output-Calculation-sheet'!J54/10^9</f>
        <v>0.43649549000931648</v>
      </c>
      <c r="K65" s="2">
        <f>K10*'Output-Calculation-sheet'!K54/10^9</f>
        <v>0.56361360585420295</v>
      </c>
      <c r="L65" s="2">
        <f>L10*'Output-Calculation-sheet'!L54/10^9</f>
        <v>0.46560065747300816</v>
      </c>
      <c r="M65" s="2">
        <f>M10*'Output-Calculation-sheet'!M54/10^9</f>
        <v>0.63301828922632297</v>
      </c>
      <c r="N65" s="2">
        <f>N10*'Output-Calculation-sheet'!N54/10^9</f>
        <v>0.66318254340316751</v>
      </c>
      <c r="O65" s="2">
        <f>O10*'Output-Calculation-sheet'!O54/10^9</f>
        <v>0.59548586006479298</v>
      </c>
      <c r="P65" s="2">
        <f>P10*'Output-Calculation-sheet'!P54/10^9</f>
        <v>0.49538094317599446</v>
      </c>
      <c r="Q65" s="2">
        <f>Q10*'Output-Calculation-sheet'!Q54/10^9</f>
        <v>0.51062200121762003</v>
      </c>
      <c r="R65" s="2">
        <f>R10*'Output-Calculation-sheet'!R54/10^9</f>
        <v>0.40808067960585531</v>
      </c>
      <c r="S65" s="2">
        <f>S10*'Output-Calculation-sheet'!S54/10^9</f>
        <v>0.37458827376970177</v>
      </c>
      <c r="T65" s="2">
        <f>T10*'Output-Calculation-sheet'!T54/10^9</f>
        <v>0.12738223104509241</v>
      </c>
      <c r="U65" s="2">
        <f>U10*'Output-Calculation-sheet'!U54/10^9</f>
        <v>0.12835689603137701</v>
      </c>
      <c r="V65" s="2">
        <f>V10*'Output-Calculation-sheet'!V54/10^9</f>
        <v>9.538062407683312E-2</v>
      </c>
      <c r="W65" s="2">
        <f>W10*'Output-Calculation-sheet'!W54/10^9</f>
        <v>5.9569792475981577E-2</v>
      </c>
      <c r="X65" s="2">
        <f>X10*'Output-Calculation-sheet'!X54/10^9</f>
        <v>7.5419826360473258E-2</v>
      </c>
      <c r="Y65" s="2">
        <f>Y10*'Output-Calculation-sheet'!Y54/10^9</f>
        <v>4.99707955081337E-2</v>
      </c>
      <c r="AA65" s="2">
        <f t="shared" si="4"/>
        <v>20.571475769904584</v>
      </c>
    </row>
    <row r="66" spans="1:27" x14ac:dyDescent="0.25">
      <c r="A66" s="2">
        <v>2034</v>
      </c>
      <c r="B66" s="2">
        <f>B11*'Output-Calculation-sheet'!B55/10^9</f>
        <v>5.6624162404057179</v>
      </c>
      <c r="C66" s="2">
        <f>C11*'Output-Calculation-sheet'!C55/10^9</f>
        <v>2.7357733793806771</v>
      </c>
      <c r="D66" s="2">
        <f>D11*'Output-Calculation-sheet'!D55/10^9</f>
        <v>1.2381087332429097</v>
      </c>
      <c r="E66" s="2">
        <f>E11*'Output-Calculation-sheet'!E55/10^9</f>
        <v>1.379088382624255</v>
      </c>
      <c r="F66" s="2">
        <f>F11*'Output-Calculation-sheet'!F55/10^9</f>
        <v>0.63506165194187703</v>
      </c>
      <c r="G66" s="2">
        <f>G11*'Output-Calculation-sheet'!G55/10^9</f>
        <v>0.43994147898642266</v>
      </c>
      <c r="H66" s="2">
        <f>H11*'Output-Calculation-sheet'!H55/10^9</f>
        <v>0.81809866944464749</v>
      </c>
      <c r="I66" s="2">
        <f>I11*'Output-Calculation-sheet'!I55/10^9</f>
        <v>0.4339428419239218</v>
      </c>
      <c r="J66" s="2">
        <f>J11*'Output-Calculation-sheet'!J55/10^9</f>
        <v>0.39164988732464051</v>
      </c>
      <c r="K66" s="2">
        <f>K11*'Output-Calculation-sheet'!K55/10^9</f>
        <v>0.50580567038533886</v>
      </c>
      <c r="L66" s="2">
        <f>L11*'Output-Calculation-sheet'!L55/10^9</f>
        <v>0.41785206798397423</v>
      </c>
      <c r="M66" s="2">
        <f>M11*'Output-Calculation-sheet'!M55/10^9</f>
        <v>0.56528632938359291</v>
      </c>
      <c r="N66" s="2">
        <f>N11*'Output-Calculation-sheet'!N55/10^9</f>
        <v>0.59275014336850562</v>
      </c>
      <c r="O66" s="2">
        <f>O11*'Output-Calculation-sheet'!O55/10^9</f>
        <v>0.53713419103557813</v>
      </c>
      <c r="P66" s="2">
        <f>P11*'Output-Calculation-sheet'!P55/10^9</f>
        <v>0.44511478139961785</v>
      </c>
      <c r="Q66" s="2">
        <f>Q11*'Output-Calculation-sheet'!Q55/10^9</f>
        <v>0.45869273543974332</v>
      </c>
      <c r="R66" s="2">
        <f>R11*'Output-Calculation-sheet'!R55/10^9</f>
        <v>0.3664619471892962</v>
      </c>
      <c r="S66" s="2">
        <f>S11*'Output-Calculation-sheet'!S55/10^9</f>
        <v>0.3352675652599027</v>
      </c>
      <c r="T66" s="2">
        <f>T11*'Output-Calculation-sheet'!T55/10^9</f>
        <v>0.1143070923677338</v>
      </c>
      <c r="U66" s="2">
        <f>U11*'Output-Calculation-sheet'!U55/10^9</f>
        <v>0.11532121875074354</v>
      </c>
      <c r="V66" s="2">
        <f>V11*'Output-Calculation-sheet'!V55/10^9</f>
        <v>8.5595251654435475E-2</v>
      </c>
      <c r="W66" s="2">
        <f>W11*'Output-Calculation-sheet'!W55/10^9</f>
        <v>5.3430259256317753E-2</v>
      </c>
      <c r="X66" s="2">
        <f>X11*'Output-Calculation-sheet'!X55/10^9</f>
        <v>6.7414044510708371E-2</v>
      </c>
      <c r="Y66" s="2">
        <f>Y11*'Output-Calculation-sheet'!Y55/10^9</f>
        <v>4.4873550018854166E-2</v>
      </c>
      <c r="AA66" s="2">
        <f t="shared" si="4"/>
        <v>18.43938811327941</v>
      </c>
    </row>
    <row r="67" spans="1:27" x14ac:dyDescent="0.25">
      <c r="A67" s="2">
        <v>2035</v>
      </c>
      <c r="B67" s="2">
        <f>B12*'Output-Calculation-sheet'!B56/10^9</f>
        <v>4.663768354993227</v>
      </c>
      <c r="C67" s="2">
        <f>C12*'Output-Calculation-sheet'!C56/10^9</f>
        <v>2.2501627991030304</v>
      </c>
      <c r="D67" s="2">
        <f>D12*'Output-Calculation-sheet'!D56/10^9</f>
        <v>1.0219368971301983</v>
      </c>
      <c r="E67" s="2">
        <f>E12*'Output-Calculation-sheet'!E56/10^9</f>
        <v>1.1387077637511021</v>
      </c>
      <c r="F67" s="2">
        <f>F12*'Output-Calculation-sheet'!F56/10^9</f>
        <v>0.5238294088215939</v>
      </c>
      <c r="G67" s="2">
        <f>G12*'Output-Calculation-sheet'!G56/10^9</f>
        <v>0.36316907005641552</v>
      </c>
      <c r="H67" s="2">
        <f>H12*'Output-Calculation-sheet'!H56/10^9</f>
        <v>0.67171592823797766</v>
      </c>
      <c r="I67" s="2">
        <f>I12*'Output-Calculation-sheet'!I56/10^9</f>
        <v>0.35815553828677271</v>
      </c>
      <c r="J67" s="2">
        <f>J12*'Output-Calculation-sheet'!J56/10^9</f>
        <v>0.32323895624397458</v>
      </c>
      <c r="K67" s="2">
        <f>K12*'Output-Calculation-sheet'!K56/10^9</f>
        <v>0.41752992603127209</v>
      </c>
      <c r="L67" s="2">
        <f>L12*'Output-Calculation-sheet'!L56/10^9</f>
        <v>0.34493514996650565</v>
      </c>
      <c r="M67" s="2">
        <f>M12*'Output-Calculation-sheet'!M56/10^9</f>
        <v>0.46415959984906047</v>
      </c>
      <c r="N67" s="2">
        <f>N12*'Output-Calculation-sheet'!N56/10^9</f>
        <v>0.48714078597018584</v>
      </c>
      <c r="O67" s="2">
        <f>O12*'Output-Calculation-sheet'!O56/10^9</f>
        <v>0.44309242697885282</v>
      </c>
      <c r="P67" s="2">
        <f>P12*'Output-Calculation-sheet'!P56/10^9</f>
        <v>0.36787801386914531</v>
      </c>
      <c r="Q67" s="2">
        <f>Q12*'Output-Calculation-sheet'!Q56/10^9</f>
        <v>0.37899168070849959</v>
      </c>
      <c r="R67" s="2">
        <f>R12*'Output-Calculation-sheet'!R56/10^9</f>
        <v>0.30270093564870776</v>
      </c>
      <c r="S67" s="2">
        <f>S12*'Output-Calculation-sheet'!S56/10^9</f>
        <v>0.27584649655927368</v>
      </c>
      <c r="T67" s="2">
        <f>T12*'Output-Calculation-sheet'!T56/10^9</f>
        <v>9.4349855205809491E-2</v>
      </c>
      <c r="U67" s="2">
        <f>U12*'Output-Calculation-sheet'!U56/10^9</f>
        <v>9.5302511598192835E-2</v>
      </c>
      <c r="V67" s="2">
        <f>V12*'Output-Calculation-sheet'!V56/10^9</f>
        <v>7.065338447097691E-2</v>
      </c>
      <c r="W67" s="2">
        <f>W12*'Output-Calculation-sheet'!W56/10^9</f>
        <v>4.4080924734687534E-2</v>
      </c>
      <c r="X67" s="2">
        <f>X12*'Output-Calculation-sheet'!X56/10^9</f>
        <v>5.5404058183464458E-2</v>
      </c>
      <c r="Y67" s="2">
        <f>Y12*'Output-Calculation-sheet'!Y56/10^9</f>
        <v>3.7065490904130242E-2</v>
      </c>
      <c r="AA67" s="2">
        <f t="shared" si="4"/>
        <v>15.193815957303055</v>
      </c>
    </row>
    <row r="68" spans="1:27" x14ac:dyDescent="0.25">
      <c r="B68" s="2">
        <f>SUM(B60:B67)</f>
        <v>41.623887042876802</v>
      </c>
      <c r="C68" s="2">
        <f t="shared" ref="C68:Y68" si="5">SUM(C60:C67)</f>
        <v>20.020022708258551</v>
      </c>
      <c r="D68" s="2">
        <f t="shared" si="5"/>
        <v>9.1157686082318463</v>
      </c>
      <c r="E68" s="2">
        <f t="shared" si="5"/>
        <v>10.144624351548519</v>
      </c>
      <c r="F68" s="2">
        <f t="shared" si="5"/>
        <v>4.6832453503321414</v>
      </c>
      <c r="G68" s="2">
        <f t="shared" si="5"/>
        <v>3.2384526771930453</v>
      </c>
      <c r="H68" s="2">
        <f t="shared" si="5"/>
        <v>6.0735745782838171</v>
      </c>
      <c r="I68" s="2">
        <f t="shared" si="5"/>
        <v>3.1953019966205494</v>
      </c>
      <c r="J68" s="2">
        <f t="shared" si="5"/>
        <v>2.884315086137808</v>
      </c>
      <c r="K68" s="2">
        <f t="shared" si="5"/>
        <v>3.7229944806413862</v>
      </c>
      <c r="L68" s="2">
        <f t="shared" si="5"/>
        <v>3.0755822503763941</v>
      </c>
      <c r="M68" s="2">
        <f t="shared" si="5"/>
        <v>4.1958722679100502</v>
      </c>
      <c r="N68" s="2">
        <f t="shared" si="5"/>
        <v>4.3900740079494511</v>
      </c>
      <c r="O68" s="2">
        <f t="shared" si="5"/>
        <v>3.9026776150977502</v>
      </c>
      <c r="P68" s="2">
        <f t="shared" si="5"/>
        <v>3.2663797282710609</v>
      </c>
      <c r="Q68" s="2">
        <f t="shared" si="5"/>
        <v>3.3679516443764226</v>
      </c>
      <c r="R68" s="2">
        <f t="shared" si="5"/>
        <v>2.6931581316480289</v>
      </c>
      <c r="S68" s="2">
        <f t="shared" si="5"/>
        <v>2.4734277545442711</v>
      </c>
      <c r="T68" s="2">
        <f t="shared" si="5"/>
        <v>0.84156522344790308</v>
      </c>
      <c r="U68" s="2">
        <f t="shared" si="5"/>
        <v>0.84652546781634752</v>
      </c>
      <c r="V68" s="2">
        <f t="shared" si="5"/>
        <v>0.63006156495838495</v>
      </c>
      <c r="W68" s="2">
        <f t="shared" si="5"/>
        <v>0.39382880108531321</v>
      </c>
      <c r="X68" s="2">
        <f t="shared" si="5"/>
        <v>0.49918073924373807</v>
      </c>
      <c r="Y68" s="2">
        <f t="shared" si="5"/>
        <v>0.32979954240887949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12339400930.233305</v>
      </c>
      <c r="C96" s="2">
        <f>C8/'Output-Calculation-sheet'!C7*'Output-Calculation-sheet'!C79</f>
        <v>0</v>
      </c>
      <c r="D96" s="2">
        <f>D8/'Output-Calculation-sheet'!D7*'Output-Calculation-sheet'!D79</f>
        <v>7510866133.929882</v>
      </c>
      <c r="E96" s="2">
        <f>E8/'Output-Calculation-sheet'!E7*'Output-Calculation-sheet'!E79</f>
        <v>11764706448.168652</v>
      </c>
      <c r="F96" s="2">
        <f>F8/'Output-Calculation-sheet'!F7*'Output-Calculation-sheet'!F79</f>
        <v>5631493797.6785774</v>
      </c>
      <c r="G96" s="2">
        <f>G8/'Output-Calculation-sheet'!G7*'Output-Calculation-sheet'!G79</f>
        <v>4293184804.178853</v>
      </c>
      <c r="H96" s="2">
        <f>H8/'Output-Calculation-sheet'!H7*'Output-Calculation-sheet'!H79</f>
        <v>1160296443.8051343</v>
      </c>
      <c r="I96" s="2">
        <f>I8/'Output-Calculation-sheet'!I7*'Output-Calculation-sheet'!I79</f>
        <v>2944193436.5806708</v>
      </c>
      <c r="J96" s="2">
        <f>J8/'Output-Calculation-sheet'!J7*'Output-Calculation-sheet'!J79</f>
        <v>2095743727.6419327</v>
      </c>
      <c r="K96" s="2">
        <f>K8/'Output-Calculation-sheet'!K7*'Output-Calculation-sheet'!K79</f>
        <v>2611980527.3477726</v>
      </c>
      <c r="L96" s="2">
        <f>L8/'Output-Calculation-sheet'!L7*'Output-Calculation-sheet'!L79</f>
        <v>1817574050.6131794</v>
      </c>
      <c r="M96" s="2">
        <f>M8/'Output-Calculation-sheet'!M7*'Output-Calculation-sheet'!M79</f>
        <v>860157834.73941195</v>
      </c>
      <c r="N96" s="2">
        <f>N8/'Output-Calculation-sheet'!N7*'Output-Calculation-sheet'!N79</f>
        <v>958649097.05887508</v>
      </c>
      <c r="O96" s="2">
        <f>O8/'Output-Calculation-sheet'!O7*'Output-Calculation-sheet'!O79</f>
        <v>0</v>
      </c>
      <c r="P96" s="2">
        <f>P8/'Output-Calculation-sheet'!P7*'Output-Calculation-sheet'!P79</f>
        <v>2217135733.2399216</v>
      </c>
      <c r="Q96" s="2">
        <f>Q8/'Output-Calculation-sheet'!Q7*'Output-Calculation-sheet'!Q79</f>
        <v>1029305883.4657719</v>
      </c>
      <c r="R96" s="2">
        <f>R8/'Output-Calculation-sheet'!R7*'Output-Calculation-sheet'!R79</f>
        <v>1588084750.5436261</v>
      </c>
      <c r="S96" s="2">
        <f>S8/'Output-Calculation-sheet'!S7*'Output-Calculation-sheet'!S79</f>
        <v>581692739.55033159</v>
      </c>
      <c r="T96" s="2">
        <f>T8/'Output-Calculation-sheet'!T7*'Output-Calculation-sheet'!T79</f>
        <v>832403831.56370842</v>
      </c>
      <c r="U96" s="2">
        <f>U8/'Output-Calculation-sheet'!U7*'Output-Calculation-sheet'!U79</f>
        <v>422641102.75839078</v>
      </c>
      <c r="V96" s="2">
        <f>V8/'Output-Calculation-sheet'!V7*'Output-Calculation-sheet'!V79</f>
        <v>256207869.17836413</v>
      </c>
      <c r="W96" s="2">
        <f>W8/'Output-Calculation-sheet'!W7*'Output-Calculation-sheet'!W79</f>
        <v>892237986.07044518</v>
      </c>
      <c r="X96" s="2">
        <f>X8/'Output-Calculation-sheet'!X7*'Output-Calculation-sheet'!X79</f>
        <v>83185611.722918496</v>
      </c>
      <c r="Y96" s="2">
        <f>Y8/'Output-Calculation-sheet'!Y7*'Output-Calculation-sheet'!Y79</f>
        <v>379533321.18387991</v>
      </c>
      <c r="AA96" s="2">
        <f t="shared" si="8"/>
        <v>62.27067606125361</v>
      </c>
    </row>
    <row r="97" spans="1:27" x14ac:dyDescent="0.25">
      <c r="A97" s="2">
        <v>2032</v>
      </c>
      <c r="B97" s="2">
        <f>B9/'Output-Calculation-sheet'!B8*'Output-Calculation-sheet'!B80</f>
        <v>13277468721.742706</v>
      </c>
      <c r="C97" s="2">
        <f>C9/'Output-Calculation-sheet'!C8*'Output-Calculation-sheet'!C80</f>
        <v>0</v>
      </c>
      <c r="D97" s="2">
        <f>D9/'Output-Calculation-sheet'!D8*'Output-Calculation-sheet'!D80</f>
        <v>7707965227.5859814</v>
      </c>
      <c r="E97" s="2">
        <f>E9/'Output-Calculation-sheet'!E8*'Output-Calculation-sheet'!E80</f>
        <v>12435470961.907938</v>
      </c>
      <c r="F97" s="2">
        <f>F9/'Output-Calculation-sheet'!F8*'Output-Calculation-sheet'!F80</f>
        <v>5931915455.9883747</v>
      </c>
      <c r="G97" s="2">
        <f>G9/'Output-Calculation-sheet'!G8*'Output-Calculation-sheet'!G80</f>
        <v>4392447517.8383865</v>
      </c>
      <c r="H97" s="2">
        <f>H9/'Output-Calculation-sheet'!H8*'Output-Calculation-sheet'!H80</f>
        <v>1254401884.1787729</v>
      </c>
      <c r="I97" s="2">
        <f>I9/'Output-Calculation-sheet'!I8*'Output-Calculation-sheet'!I80</f>
        <v>3132143912.0734682</v>
      </c>
      <c r="J97" s="2">
        <f>J9/'Output-Calculation-sheet'!J8*'Output-Calculation-sheet'!J80</f>
        <v>2166159677.7609801</v>
      </c>
      <c r="K97" s="2">
        <f>K9/'Output-Calculation-sheet'!K8*'Output-Calculation-sheet'!K80</f>
        <v>2724845813.5067077</v>
      </c>
      <c r="L97" s="2">
        <f>L9/'Output-Calculation-sheet'!L8*'Output-Calculation-sheet'!L80</f>
        <v>1956400877.3284419</v>
      </c>
      <c r="M97" s="2">
        <f>M9/'Output-Calculation-sheet'!M8*'Output-Calculation-sheet'!M80</f>
        <v>931567049.76573396</v>
      </c>
      <c r="N97" s="2">
        <f>N9/'Output-Calculation-sheet'!N8*'Output-Calculation-sheet'!N80</f>
        <v>991553653.75443554</v>
      </c>
      <c r="O97" s="2">
        <f>O9/'Output-Calculation-sheet'!O8*'Output-Calculation-sheet'!O80</f>
        <v>0</v>
      </c>
      <c r="P97" s="2">
        <f>P9/'Output-Calculation-sheet'!P8*'Output-Calculation-sheet'!P80</f>
        <v>2320412224.2346468</v>
      </c>
      <c r="Q97" s="2">
        <f>Q9/'Output-Calculation-sheet'!Q8*'Output-Calculation-sheet'!Q80</f>
        <v>1081888974.5275111</v>
      </c>
      <c r="R97" s="2">
        <f>R9/'Output-Calculation-sheet'!R8*'Output-Calculation-sheet'!R80</f>
        <v>1676845050.4337263</v>
      </c>
      <c r="S97" s="2">
        <f>S9/'Output-Calculation-sheet'!S8*'Output-Calculation-sheet'!S80</f>
        <v>631819720.01506031</v>
      </c>
      <c r="T97" s="2">
        <f>T9/'Output-Calculation-sheet'!T8*'Output-Calculation-sheet'!T80</f>
        <v>862286034.92622077</v>
      </c>
      <c r="U97" s="2">
        <f>U9/'Output-Calculation-sheet'!U8*'Output-Calculation-sheet'!U80</f>
        <v>446457875.96812057</v>
      </c>
      <c r="V97" s="2">
        <f>V9/'Output-Calculation-sheet'!V8*'Output-Calculation-sheet'!V80</f>
        <v>273694089.78096545</v>
      </c>
      <c r="W97" s="2">
        <f>W9/'Output-Calculation-sheet'!W8*'Output-Calculation-sheet'!W80</f>
        <v>931792918.91311121</v>
      </c>
      <c r="X97" s="2">
        <f>X9/'Output-Calculation-sheet'!X8*'Output-Calculation-sheet'!X80</f>
        <v>92250693.907623276</v>
      </c>
      <c r="Y97" s="2">
        <f>Y9/'Output-Calculation-sheet'!Y8*'Output-Calculation-sheet'!Y80</f>
        <v>396760145.117764</v>
      </c>
      <c r="AA97" s="2">
        <f t="shared" si="8"/>
        <v>65.616548481256686</v>
      </c>
    </row>
    <row r="98" spans="1:27" x14ac:dyDescent="0.25">
      <c r="A98" s="2">
        <v>2033</v>
      </c>
      <c r="B98" s="2">
        <f>B10/'Output-Calculation-sheet'!B9*'Output-Calculation-sheet'!B81</f>
        <v>13628632388.024818</v>
      </c>
      <c r="C98" s="2">
        <f>C10/'Output-Calculation-sheet'!C9*'Output-Calculation-sheet'!C81</f>
        <v>1784948296.55914</v>
      </c>
      <c r="D98" s="2">
        <f>D10/'Output-Calculation-sheet'!D9*'Output-Calculation-sheet'!D81</f>
        <v>7265867917.6161308</v>
      </c>
      <c r="E98" s="2">
        <f>E10/'Output-Calculation-sheet'!E9*'Output-Calculation-sheet'!E81</f>
        <v>12063881471.145947</v>
      </c>
      <c r="F98" s="2">
        <f>F10/'Output-Calculation-sheet'!F9*'Output-Calculation-sheet'!F81</f>
        <v>5743493344.3021088</v>
      </c>
      <c r="G98" s="2">
        <f>G10/'Output-Calculation-sheet'!G9*'Output-Calculation-sheet'!G81</f>
        <v>4124271800.4471984</v>
      </c>
      <c r="H98" s="2">
        <f>H10/'Output-Calculation-sheet'!H9*'Output-Calculation-sheet'!H81</f>
        <v>1242950905.5448952</v>
      </c>
      <c r="I98" s="2">
        <f>I10/'Output-Calculation-sheet'!I9*'Output-Calculation-sheet'!I81</f>
        <v>3061142774.8032598</v>
      </c>
      <c r="J98" s="2">
        <f>J10/'Output-Calculation-sheet'!J9*'Output-Calculation-sheet'!J81</f>
        <v>2058394837.2120786</v>
      </c>
      <c r="K98" s="2">
        <f>K10/'Output-Calculation-sheet'!K9*'Output-Calculation-sheet'!K81</f>
        <v>2614094215.7746</v>
      </c>
      <c r="L98" s="2">
        <f>L10/'Output-Calculation-sheet'!L9*'Output-Calculation-sheet'!L81</f>
        <v>1932716623.9852235</v>
      </c>
      <c r="M98" s="2">
        <f>M10/'Output-Calculation-sheet'!M9*'Output-Calculation-sheet'!M81</f>
        <v>926748788.21206903</v>
      </c>
      <c r="N98" s="2">
        <f>N10/'Output-Calculation-sheet'!N9*'Output-Calculation-sheet'!N81</f>
        <v>943062412.57978678</v>
      </c>
      <c r="O98" s="2">
        <f>O10/'Output-Calculation-sheet'!O9*'Output-Calculation-sheet'!O81</f>
        <v>0</v>
      </c>
      <c r="P98" s="2">
        <f>P10/'Output-Calculation-sheet'!P9*'Output-Calculation-sheet'!P81</f>
        <v>2223956548.4991083</v>
      </c>
      <c r="Q98" s="2">
        <f>Q10/'Output-Calculation-sheet'!Q9*'Output-Calculation-sheet'!Q81</f>
        <v>1043893103.2621775</v>
      </c>
      <c r="R98" s="2">
        <f>R10/'Output-Calculation-sheet'!R9*'Output-Calculation-sheet'!R81</f>
        <v>1628951785.6916578</v>
      </c>
      <c r="S98" s="2">
        <f>S10/'Output-Calculation-sheet'!S9*'Output-Calculation-sheet'!S81</f>
        <v>618539725.16868174</v>
      </c>
      <c r="T98" s="2">
        <f>T10/'Output-Calculation-sheet'!T9*'Output-Calculation-sheet'!T81</f>
        <v>820993906.08109927</v>
      </c>
      <c r="U98" s="2">
        <f>U10/'Output-Calculation-sheet'!U9*'Output-Calculation-sheet'!U81</f>
        <v>432747536.63937742</v>
      </c>
      <c r="V98" s="2">
        <f>V10/'Output-Calculation-sheet'!V9*'Output-Calculation-sheet'!V81</f>
        <v>268170674.16667503</v>
      </c>
      <c r="W98" s="2">
        <f>W10/'Output-Calculation-sheet'!W9*'Output-Calculation-sheet'!W81</f>
        <v>891579269.51028836</v>
      </c>
      <c r="X98" s="2">
        <f>X10/'Output-Calculation-sheet'!X9*'Output-Calculation-sheet'!X81</f>
        <v>92747300.724890321</v>
      </c>
      <c r="Y98" s="2">
        <f>Y10/'Output-Calculation-sheet'!Y9*'Output-Calculation-sheet'!Y81</f>
        <v>380618311.93477553</v>
      </c>
      <c r="AA98" s="2">
        <f t="shared" si="8"/>
        <v>65.792403937885993</v>
      </c>
    </row>
    <row r="99" spans="1:27" x14ac:dyDescent="0.25">
      <c r="A99" s="2">
        <v>2034</v>
      </c>
      <c r="B99" s="2">
        <f>B11/'Output-Calculation-sheet'!B10*'Output-Calculation-sheet'!B82</f>
        <v>12648115509.119051</v>
      </c>
      <c r="C99" s="2">
        <f>C11/'Output-Calculation-sheet'!C10*'Output-Calculation-sheet'!C82</f>
        <v>1715398376.3368025</v>
      </c>
      <c r="D99" s="2">
        <f>D11/'Output-Calculation-sheet'!D10*'Output-Calculation-sheet'!D82</f>
        <v>6310811046.159337</v>
      </c>
      <c r="E99" s="2">
        <f>E11/'Output-Calculation-sheet'!E10*'Output-Calculation-sheet'!E82</f>
        <v>10792563295.879522</v>
      </c>
      <c r="F99" s="2">
        <f>F11/'Output-Calculation-sheet'!F10*'Output-Calculation-sheet'!F82</f>
        <v>5125476526.5104427</v>
      </c>
      <c r="G99" s="2">
        <f>G11/'Output-Calculation-sheet'!G10*'Output-Calculation-sheet'!G82</f>
        <v>3560448550.7422438</v>
      </c>
      <c r="H99" s="2">
        <f>H11/'Output-Calculation-sheet'!H10*'Output-Calculation-sheet'!H82</f>
        <v>1136115526.0828154</v>
      </c>
      <c r="I99" s="2">
        <f>I11/'Output-Calculation-sheet'!I10*'Output-Calculation-sheet'!I82</f>
        <v>2759985108.194448</v>
      </c>
      <c r="J99" s="2">
        <f>J11/'Output-Calculation-sheet'!J10*'Output-Calculation-sheet'!J82</f>
        <v>1803190348.2251453</v>
      </c>
      <c r="K99" s="2">
        <f>K11/'Output-Calculation-sheet'!K10*'Output-Calculation-sheet'!K82</f>
        <v>2312012810.6541929</v>
      </c>
      <c r="L99" s="2">
        <f>L11/'Output-Calculation-sheet'!L10*'Output-Calculation-sheet'!L82</f>
        <v>1758062458.6105659</v>
      </c>
      <c r="M99" s="2">
        <f>M11/'Output-Calculation-sheet'!M10*'Output-Calculation-sheet'!M82</f>
        <v>849849641.49660683</v>
      </c>
      <c r="N99" s="2">
        <f>N11/'Output-Calculation-sheet'!N10*'Output-Calculation-sheet'!N82</f>
        <v>829415154.03054869</v>
      </c>
      <c r="O99" s="2">
        <f>O11/'Output-Calculation-sheet'!O10*'Output-Calculation-sheet'!O82</f>
        <v>0</v>
      </c>
      <c r="P99" s="2">
        <f>P11/'Output-Calculation-sheet'!P10*'Output-Calculation-sheet'!P82</f>
        <v>1961767049.3126748</v>
      </c>
      <c r="Q99" s="2">
        <f>Q11/'Output-Calculation-sheet'!Q10*'Output-Calculation-sheet'!Q82</f>
        <v>928909622.35035944</v>
      </c>
      <c r="R99" s="2">
        <f>R11/'Output-Calculation-sheet'!R10*'Output-Calculation-sheet'!R82</f>
        <v>1457769108.7953808</v>
      </c>
      <c r="S99" s="2">
        <f>S11/'Output-Calculation-sheet'!S10*'Output-Calculation-sheet'!S82</f>
        <v>567995655.78974032</v>
      </c>
      <c r="T99" s="2">
        <f>T11/'Output-Calculation-sheet'!T10*'Output-Calculation-sheet'!T82</f>
        <v>720248719.333323</v>
      </c>
      <c r="U99" s="2">
        <f>U11/'Output-Calculation-sheet'!U10*'Output-Calculation-sheet'!U82</f>
        <v>387153391.10927463</v>
      </c>
      <c r="V99" s="2">
        <f>V11/'Output-Calculation-sheet'!V10*'Output-Calculation-sheet'!V82</f>
        <v>242193312.37243742</v>
      </c>
      <c r="W99" s="2">
        <f>W11/'Output-Calculation-sheet'!W10*'Output-Calculation-sheet'!W82</f>
        <v>785096246.42321908</v>
      </c>
      <c r="X99" s="2">
        <f>X11/'Output-Calculation-sheet'!X10*'Output-Calculation-sheet'!X82</f>
        <v>86387157.32633777</v>
      </c>
      <c r="Y99" s="2">
        <f>Y11/'Output-Calculation-sheet'!Y10*'Output-Calculation-sheet'!Y82</f>
        <v>335921486.58952194</v>
      </c>
      <c r="AA99" s="2">
        <f t="shared" si="8"/>
        <v>59.074886101443987</v>
      </c>
    </row>
    <row r="100" spans="1:27" x14ac:dyDescent="0.25">
      <c r="A100" s="2">
        <v>2035</v>
      </c>
      <c r="B100" s="2">
        <f>B12/'Output-Calculation-sheet'!B11*'Output-Calculation-sheet'!B83</f>
        <v>10621132737.181612</v>
      </c>
      <c r="C100" s="2">
        <f>C12/'Output-Calculation-sheet'!C11*'Output-Calculation-sheet'!C83</f>
        <v>1502735294.8201506</v>
      </c>
      <c r="D100" s="2">
        <f>D12/'Output-Calculation-sheet'!D11*'Output-Calculation-sheet'!D83</f>
        <v>5051453673.1693888</v>
      </c>
      <c r="E100" s="2">
        <f>E12/'Output-Calculation-sheet'!E11*'Output-Calculation-sheet'!E83</f>
        <v>8887113705.1380501</v>
      </c>
      <c r="F100" s="2">
        <f>F12/'Output-Calculation-sheet'!F11*'Output-Calculation-sheet'!F83</f>
        <v>4211662916.8641148</v>
      </c>
      <c r="G100" s="2">
        <f>G12/'Output-Calculation-sheet'!G11*'Output-Calculation-sheet'!G83</f>
        <v>2824658407.4223723</v>
      </c>
      <c r="H100" s="2">
        <f>H12/'Output-Calculation-sheet'!H11*'Output-Calculation-sheet'!H83</f>
        <v>951793672.77207851</v>
      </c>
      <c r="I100" s="2">
        <f>I12/'Output-Calculation-sheet'!I11*'Output-Calculation-sheet'!I83</f>
        <v>2288625269.1255231</v>
      </c>
      <c r="J100" s="2">
        <f>J12/'Output-Calculation-sheet'!J11*'Output-Calculation-sheet'!J83</f>
        <v>1454003009.6397729</v>
      </c>
      <c r="K100" s="2">
        <f>K12/'Output-Calculation-sheet'!K11*'Output-Calculation-sheet'!K83</f>
        <v>1882082449.4165642</v>
      </c>
      <c r="L100" s="2">
        <f>L12/'Output-Calculation-sheet'!L11*'Output-Calculation-sheet'!L83</f>
        <v>1470540848.014632</v>
      </c>
      <c r="M100" s="2">
        <f>M12/'Output-Calculation-sheet'!M11*'Output-Calculation-sheet'!M83</f>
        <v>713415356.93657291</v>
      </c>
      <c r="N100" s="2">
        <f>N12/'Output-Calculation-sheet'!N11*'Output-Calculation-sheet'!N83</f>
        <v>672058108.47338355</v>
      </c>
      <c r="O100" s="2">
        <f>O12/'Output-Calculation-sheet'!O11*'Output-Calculation-sheet'!O83</f>
        <v>181312710.3833847</v>
      </c>
      <c r="P100" s="2">
        <f>P12/'Output-Calculation-sheet'!P11*'Output-Calculation-sheet'!P83</f>
        <v>1591994598.8180635</v>
      </c>
      <c r="Q100" s="2">
        <f>Q12/'Output-Calculation-sheet'!Q11*'Output-Calculation-sheet'!Q83</f>
        <v>763483253.11427605</v>
      </c>
      <c r="R100" s="2">
        <f>R12/'Output-Calculation-sheet'!R11*'Output-Calculation-sheet'!R83</f>
        <v>1202639519.0181222</v>
      </c>
      <c r="S100" s="2">
        <f>S12/'Output-Calculation-sheet'!S11*'Output-Calculation-sheet'!S83</f>
        <v>466445485.52427649</v>
      </c>
      <c r="T100" s="2">
        <f>T12/'Output-Calculation-sheet'!T11*'Output-Calculation-sheet'!T83</f>
        <v>581395480.55946887</v>
      </c>
      <c r="U100" s="2">
        <f>U12/'Output-Calculation-sheet'!U11*'Output-Calculation-sheet'!U83</f>
        <v>318485636.77544713</v>
      </c>
      <c r="V100" s="2">
        <f>V12/'Output-Calculation-sheet'!V11*'Output-Calculation-sheet'!V83</f>
        <v>201296570.58633989</v>
      </c>
      <c r="W100" s="2">
        <f>W12/'Output-Calculation-sheet'!W11*'Output-Calculation-sheet'!W83</f>
        <v>635197281.55080891</v>
      </c>
      <c r="X100" s="2">
        <f>X12/'Output-Calculation-sheet'!X11*'Output-Calculation-sheet'!X83</f>
        <v>73912803.338669717</v>
      </c>
      <c r="Y100" s="2">
        <f>Y12/'Output-Calculation-sheet'!Y11*'Output-Calculation-sheet'!Y83</f>
        <v>272721886.70511878</v>
      </c>
      <c r="AA100" s="2">
        <f t="shared" si="8"/>
        <v>48.820160675348184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4.4741762344769075E-4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4026869456.2568536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2759004774.6262736</v>
      </c>
      <c r="N118" s="2">
        <f>N8/'Output-Calculation-sheet'!N7*'Output-Calculation-sheet'!N97</f>
        <v>1823874220.7983041</v>
      </c>
      <c r="O118" s="2">
        <f>O8/'Output-Calculation-sheet'!O7*'Output-Calculation-sheet'!O97</f>
        <v>2.4616817021642618E-5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452139597.48213959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262217840.63260084</v>
      </c>
      <c r="Y118" s="2">
        <f>Y8/'Output-Calculation-sheet'!Y7*'Output-Calculation-sheet'!Y97</f>
        <v>0</v>
      </c>
      <c r="AA118" s="2">
        <f t="shared" si="10"/>
        <v>9324.105889796645</v>
      </c>
    </row>
    <row r="119" spans="1:27" x14ac:dyDescent="0.25">
      <c r="A119" s="2">
        <v>2032</v>
      </c>
      <c r="B119" s="2">
        <f>B9/'Output-Calculation-sheet'!B8*'Output-Calculation-sheet'!B98</f>
        <v>4116043.9949593768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4420031866.7071819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3024782161.7052608</v>
      </c>
      <c r="N119" s="2">
        <f>N9/'Output-Calculation-sheet'!N8*'Output-Calculation-sheet'!N98</f>
        <v>2206842286.6462007</v>
      </c>
      <c r="O119" s="2">
        <f>O9/'Output-Calculation-sheet'!O8*'Output-Calculation-sheet'!O98</f>
        <v>2.2508282001248653E-4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694361875.76176703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291317289.69063538</v>
      </c>
      <c r="Y119" s="2">
        <f>Y9/'Output-Calculation-sheet'!Y8*'Output-Calculation-sheet'!Y98</f>
        <v>0</v>
      </c>
      <c r="AA119" s="2">
        <f t="shared" si="10"/>
        <v>10641.45152450623</v>
      </c>
    </row>
    <row r="120" spans="1:27" x14ac:dyDescent="0.25">
      <c r="A120" s="2">
        <v>2033</v>
      </c>
      <c r="B120" s="2">
        <f>B10/'Output-Calculation-sheet'!B9*'Output-Calculation-sheet'!B99</f>
        <v>5396541368.7413359</v>
      </c>
      <c r="C120" s="2">
        <f>C10/'Output-Calculation-sheet'!C9*'Output-Calculation-sheet'!C99</f>
        <v>10044447319.875809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4443122276.5128841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3043511566.8189464</v>
      </c>
      <c r="N120" s="2">
        <f>N10/'Output-Calculation-sheet'!N9*'Output-Calculation-sheet'!N99</f>
        <v>2405682177.4401693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841514605.07798827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293281150.38052535</v>
      </c>
      <c r="Y120" s="2">
        <f>Y10/'Output-Calculation-sheet'!Y9*'Output-Calculation-sheet'!Y99</f>
        <v>0</v>
      </c>
      <c r="AA120" s="2">
        <f t="shared" si="10"/>
        <v>26468.100464847656</v>
      </c>
    </row>
    <row r="121" spans="1:27" x14ac:dyDescent="0.25">
      <c r="A121" s="2">
        <v>2034</v>
      </c>
      <c r="B121" s="2">
        <f>B11/'Output-Calculation-sheet'!B10*'Output-Calculation-sheet'!B100</f>
        <v>8281851766.8633289</v>
      </c>
      <c r="C121" s="2">
        <f>C11/'Output-Calculation-sheet'!C10*'Output-Calculation-sheet'!C100</f>
        <v>9595014997.4051819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4116834732.0371842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2820460298.2440739</v>
      </c>
      <c r="N121" s="2">
        <f>N11/'Output-Calculation-sheet'!N10*'Output-Calculation-sheet'!N100</f>
        <v>2302733892.110568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883990745.17443967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273422764.00640666</v>
      </c>
      <c r="Y121" s="2">
        <f>Y11/'Output-Calculation-sheet'!Y10*'Output-Calculation-sheet'!Y100</f>
        <v>0</v>
      </c>
      <c r="AA121" s="2">
        <f t="shared" si="10"/>
        <v>28274.309195841179</v>
      </c>
    </row>
    <row r="122" spans="1:27" x14ac:dyDescent="0.25">
      <c r="A122" s="2">
        <v>2035</v>
      </c>
      <c r="B122" s="2">
        <f>B12/'Output-Calculation-sheet'!B11*'Output-Calculation-sheet'!B101</f>
        <v>8548833720.2101889</v>
      </c>
      <c r="C122" s="2">
        <f>C12/'Output-Calculation-sheet'!C11*'Output-Calculation-sheet'!C101</f>
        <v>8355722783.1936789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3493488532.0040612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2390695824.9183211</v>
      </c>
      <c r="N122" s="2">
        <f>N12/'Output-Calculation-sheet'!N11*'Output-Calculation-sheet'!N101</f>
        <v>1998145063.891434</v>
      </c>
      <c r="O122" s="2">
        <f>O12/'Output-Calculation-sheet'!O11*'Output-Calculation-sheet'!O101</f>
        <v>1428063530.624413</v>
      </c>
      <c r="P122" s="2">
        <f>P12/'Output-Calculation-sheet'!P11*'Output-Calculation-sheet'!P101</f>
        <v>0</v>
      </c>
      <c r="Q122" s="2">
        <f>Q12/'Output-Calculation-sheet'!Q11*'Output-Calculation-sheet'!Q101</f>
        <v>26068742.040970899</v>
      </c>
      <c r="R122" s="2">
        <f>R12/'Output-Calculation-sheet'!R11*'Output-Calculation-sheet'!R101</f>
        <v>0</v>
      </c>
      <c r="S122" s="2">
        <f>S12/'Output-Calculation-sheet'!S11*'Output-Calculation-sheet'!S101</f>
        <v>841279747.96915388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234065027.72013235</v>
      </c>
      <c r="Y122" s="2">
        <f>Y12/'Output-Calculation-sheet'!Y11*'Output-Calculation-sheet'!Y101</f>
        <v>0</v>
      </c>
      <c r="AA122" s="2">
        <f t="shared" si="10"/>
        <v>27316.362972572351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50467372768.469627</v>
      </c>
      <c r="C129" s="2">
        <f>C8/'Output-Calculation-sheet'!C7*'Output-Calculation-sheet'!C106</f>
        <v>0</v>
      </c>
      <c r="D129" s="2">
        <f>D8/'Output-Calculation-sheet'!D7*'Output-Calculation-sheet'!D106</f>
        <v>36533149250.170242</v>
      </c>
      <c r="E129" s="2">
        <f>E8/'Output-Calculation-sheet'!E7*'Output-Calculation-sheet'!E106</f>
        <v>25536326304.056206</v>
      </c>
      <c r="F129" s="2">
        <f>F8/'Output-Calculation-sheet'!F7*'Output-Calculation-sheet'!F106</f>
        <v>19011820375.299606</v>
      </c>
      <c r="G129" s="2">
        <f>G8/'Output-Calculation-sheet'!G7*'Output-Calculation-sheet'!G106</f>
        <v>13074138145.983603</v>
      </c>
      <c r="H129" s="2">
        <f>H8/'Output-Calculation-sheet'!H7*'Output-Calculation-sheet'!H106</f>
        <v>0</v>
      </c>
      <c r="I129" s="2">
        <f>I8/'Output-Calculation-sheet'!I7*'Output-Calculation-sheet'!I106</f>
        <v>11726496273.747902</v>
      </c>
      <c r="J129" s="2">
        <f>J8/'Output-Calculation-sheet'!J7*'Output-Calculation-sheet'!J106</f>
        <v>12014593861.553438</v>
      </c>
      <c r="K129" s="2">
        <f>K8/'Output-Calculation-sheet'!K7*'Output-Calculation-sheet'!K106</f>
        <v>10365927691.205122</v>
      </c>
      <c r="L129" s="2">
        <f>L8/'Output-Calculation-sheet'!L7*'Output-Calculation-sheet'!L106</f>
        <v>8200907746.5842752</v>
      </c>
      <c r="M129" s="2">
        <f>M8/'Output-Calculation-sheet'!M7*'Output-Calculation-sheet'!M106</f>
        <v>0</v>
      </c>
      <c r="N129" s="2">
        <f>N8/'Output-Calculation-sheet'!N7*'Output-Calculation-sheet'!N106</f>
        <v>2232177895.8271189</v>
      </c>
      <c r="O129" s="2">
        <f>O8/'Output-Calculation-sheet'!O7*'Output-Calculation-sheet'!O106</f>
        <v>0</v>
      </c>
      <c r="P129" s="2">
        <f>P8/'Output-Calculation-sheet'!P7*'Output-Calculation-sheet'!P106</f>
        <v>5050368787.8742733</v>
      </c>
      <c r="Q129" s="2">
        <f>Q8/'Output-Calculation-sheet'!Q7*'Output-Calculation-sheet'!Q106</f>
        <v>4949633470.9011984</v>
      </c>
      <c r="R129" s="2">
        <f>R8/'Output-Calculation-sheet'!R7*'Output-Calculation-sheet'!R106</f>
        <v>5888656663.9089184</v>
      </c>
      <c r="S129" s="2">
        <f>S8/'Output-Calculation-sheet'!S7*'Output-Calculation-sheet'!S106</f>
        <v>2008211652.8894527</v>
      </c>
      <c r="T129" s="2">
        <f>T8/'Output-Calculation-sheet'!T7*'Output-Calculation-sheet'!T106</f>
        <v>2549450468.9792724</v>
      </c>
      <c r="U129" s="2">
        <f>U8/'Output-Calculation-sheet'!U7*'Output-Calculation-sheet'!U106</f>
        <v>1794755262.027657</v>
      </c>
      <c r="V129" s="2">
        <f>V8/'Output-Calculation-sheet'!V7*'Output-Calculation-sheet'!V106</f>
        <v>1614672783.8689437</v>
      </c>
      <c r="W129" s="2">
        <f>W8/'Output-Calculation-sheet'!W7*'Output-Calculation-sheet'!W106</f>
        <v>1647531321.4752715</v>
      </c>
      <c r="X129" s="2">
        <f>X8/'Output-Calculation-sheet'!X7*'Output-Calculation-sheet'!X106</f>
        <v>0</v>
      </c>
      <c r="Y129" s="2">
        <f>Y8/'Output-Calculation-sheet'!Y7*'Output-Calculation-sheet'!Y106</f>
        <v>743903096.39512193</v>
      </c>
      <c r="AA129" s="2">
        <f t="shared" si="11"/>
        <v>215410.09382121722</v>
      </c>
    </row>
    <row r="130" spans="1:27" x14ac:dyDescent="0.25">
      <c r="A130" s="2">
        <v>2032</v>
      </c>
      <c r="B130" s="2">
        <f>B9/'Output-Calculation-sheet'!B8*'Output-Calculation-sheet'!B107</f>
        <v>54330371530.169411</v>
      </c>
      <c r="C130" s="2">
        <f>C9/'Output-Calculation-sheet'!C8*'Output-Calculation-sheet'!C107</f>
        <v>0</v>
      </c>
      <c r="D130" s="2">
        <f>D9/'Output-Calculation-sheet'!D8*'Output-Calculation-sheet'!D107</f>
        <v>39036862742.925499</v>
      </c>
      <c r="E130" s="2">
        <f>E9/'Output-Calculation-sheet'!E8*'Output-Calculation-sheet'!E107</f>
        <v>27321878444.537529</v>
      </c>
      <c r="F130" s="2">
        <f>F9/'Output-Calculation-sheet'!F8*'Output-Calculation-sheet'!F107</f>
        <v>20309340233.981812</v>
      </c>
      <c r="G130" s="2">
        <f>G9/'Output-Calculation-sheet'!G8*'Output-Calculation-sheet'!G107</f>
        <v>13959443506.698429</v>
      </c>
      <c r="H130" s="2">
        <f>H9/'Output-Calculation-sheet'!H8*'Output-Calculation-sheet'!H107</f>
        <v>0</v>
      </c>
      <c r="I130" s="2">
        <f>I9/'Output-Calculation-sheet'!I8*'Output-Calculation-sheet'!I107</f>
        <v>12531162878.112534</v>
      </c>
      <c r="J130" s="2">
        <f>J9/'Output-Calculation-sheet'!J8*'Output-Calculation-sheet'!J107</f>
        <v>12831160120.988697</v>
      </c>
      <c r="K130" s="2">
        <f>K9/'Output-Calculation-sheet'!K8*'Output-Calculation-sheet'!K107</f>
        <v>11088059102.745657</v>
      </c>
      <c r="L130" s="2">
        <f>L9/'Output-Calculation-sheet'!L8*'Output-Calculation-sheet'!L107</f>
        <v>8774626950.958498</v>
      </c>
      <c r="M130" s="2">
        <f>M9/'Output-Calculation-sheet'!M8*'Output-Calculation-sheet'!M107</f>
        <v>0</v>
      </c>
      <c r="N130" s="2">
        <f>N9/'Output-Calculation-sheet'!N8*'Output-Calculation-sheet'!N107</f>
        <v>2118153535.6459525</v>
      </c>
      <c r="O130" s="2">
        <f>O9/'Output-Calculation-sheet'!O8*'Output-Calculation-sheet'!O107</f>
        <v>0</v>
      </c>
      <c r="P130" s="2">
        <f>P9/'Output-Calculation-sheet'!P8*'Output-Calculation-sheet'!P107</f>
        <v>5443538263.4378757</v>
      </c>
      <c r="Q130" s="2">
        <f>Q9/'Output-Calculation-sheet'!Q8*'Output-Calculation-sheet'!Q107</f>
        <v>5338236278.0515871</v>
      </c>
      <c r="R130" s="2">
        <f>R9/'Output-Calculation-sheet'!R8*'Output-Calculation-sheet'!R107</f>
        <v>6299840233.0780163</v>
      </c>
      <c r="S130" s="2">
        <f>S9/'Output-Calculation-sheet'!S8*'Output-Calculation-sheet'!S107</f>
        <v>2023943851.5716662</v>
      </c>
      <c r="T130" s="2">
        <f>T9/'Output-Calculation-sheet'!T8*'Output-Calculation-sheet'!T107</f>
        <v>2724661875.5790882</v>
      </c>
      <c r="U130" s="2">
        <f>U9/'Output-Calculation-sheet'!U8*'Output-Calculation-sheet'!U107</f>
        <v>1921954436.8189576</v>
      </c>
      <c r="V130" s="2">
        <f>V9/'Output-Calculation-sheet'!V8*'Output-Calculation-sheet'!V107</f>
        <v>1730282590.2708738</v>
      </c>
      <c r="W130" s="2">
        <f>W9/'Output-Calculation-sheet'!W8*'Output-Calculation-sheet'!W107</f>
        <v>1761067659.3076241</v>
      </c>
      <c r="X130" s="2">
        <f>X9/'Output-Calculation-sheet'!X8*'Output-Calculation-sheet'!X107</f>
        <v>0</v>
      </c>
      <c r="Y130" s="2">
        <f>Y9/'Output-Calculation-sheet'!Y8*'Output-Calculation-sheet'!Y107</f>
        <v>796018740.3131932</v>
      </c>
      <c r="AA130" s="2">
        <f t="shared" si="11"/>
        <v>230340.60297519295</v>
      </c>
    </row>
    <row r="131" spans="1:27" x14ac:dyDescent="0.25">
      <c r="A131" s="2">
        <v>2033</v>
      </c>
      <c r="B131" s="2">
        <f>B10/'Output-Calculation-sheet'!B9*'Output-Calculation-sheet'!B108</f>
        <v>50399692526.735344</v>
      </c>
      <c r="C131" s="2">
        <f>C10/'Output-Calculation-sheet'!C9*'Output-Calculation-sheet'!C108</f>
        <v>0</v>
      </c>
      <c r="D131" s="2">
        <f>D10/'Output-Calculation-sheet'!D9*'Output-Calculation-sheet'!D108</f>
        <v>38291238888.646217</v>
      </c>
      <c r="E131" s="2">
        <f>E10/'Output-Calculation-sheet'!E9*'Output-Calculation-sheet'!E108</f>
        <v>26815579523.643341</v>
      </c>
      <c r="F131" s="2">
        <f>F10/'Output-Calculation-sheet'!F9*'Output-Calculation-sheet'!F108</f>
        <v>19926896587.904716</v>
      </c>
      <c r="G131" s="2">
        <f>G10/'Output-Calculation-sheet'!G9*'Output-Calculation-sheet'!G108</f>
        <v>13693164852.083157</v>
      </c>
      <c r="H131" s="2">
        <f>H10/'Output-Calculation-sheet'!H9*'Output-Calculation-sheet'!H108</f>
        <v>0</v>
      </c>
      <c r="I131" s="2">
        <f>I10/'Output-Calculation-sheet'!I9*'Output-Calculation-sheet'!I108</f>
        <v>12294430838.158207</v>
      </c>
      <c r="J131" s="2">
        <f>J10/'Output-Calculation-sheet'!J9*'Output-Calculation-sheet'!J108</f>
        <v>12584164056.444187</v>
      </c>
      <c r="K131" s="2">
        <f>K10/'Output-Calculation-sheet'!K9*'Output-Calculation-sheet'!K108</f>
        <v>10896960574.410185</v>
      </c>
      <c r="L131" s="2">
        <f>L10/'Output-Calculation-sheet'!L9*'Output-Calculation-sheet'!L108</f>
        <v>8617314420.8230476</v>
      </c>
      <c r="M131" s="2">
        <f>M10/'Output-Calculation-sheet'!M9*'Output-Calculation-sheet'!M108</f>
        <v>0</v>
      </c>
      <c r="N131" s="2">
        <f>N10/'Output-Calculation-sheet'!N9*'Output-Calculation-sheet'!N108</f>
        <v>1831408742.6977565</v>
      </c>
      <c r="O131" s="2">
        <f>O10/'Output-Calculation-sheet'!O9*'Output-Calculation-sheet'!O108</f>
        <v>0</v>
      </c>
      <c r="P131" s="2">
        <f>P10/'Output-Calculation-sheet'!P9*'Output-Calculation-sheet'!P108</f>
        <v>5375024190.3179913</v>
      </c>
      <c r="Q131" s="2">
        <f>Q10/'Output-Calculation-sheet'!Q9*'Output-Calculation-sheet'!Q108</f>
        <v>5279277684.4550867</v>
      </c>
      <c r="R131" s="2">
        <f>R10/'Output-Calculation-sheet'!R9*'Output-Calculation-sheet'!R108</f>
        <v>6195845034.5898752</v>
      </c>
      <c r="S131" s="2">
        <f>S10/'Output-Calculation-sheet'!S9*'Output-Calculation-sheet'!S108</f>
        <v>1863019042.2414539</v>
      </c>
      <c r="T131" s="2">
        <f>T10/'Output-Calculation-sheet'!T9*'Output-Calculation-sheet'!T108</f>
        <v>2675519614.3295021</v>
      </c>
      <c r="U131" s="2">
        <f>U10/'Output-Calculation-sheet'!U9*'Output-Calculation-sheet'!U108</f>
        <v>1887759541.9101474</v>
      </c>
      <c r="V131" s="2">
        <f>V10/'Output-Calculation-sheet'!V9*'Output-Calculation-sheet'!V108</f>
        <v>1700839922.2523525</v>
      </c>
      <c r="W131" s="2">
        <f>W10/'Output-Calculation-sheet'!W9*'Output-Calculation-sheet'!W108</f>
        <v>1726684619.1288261</v>
      </c>
      <c r="X131" s="2">
        <f>X10/'Output-Calculation-sheet'!X9*'Output-Calculation-sheet'!X108</f>
        <v>0</v>
      </c>
      <c r="Y131" s="2">
        <f>Y10/'Output-Calculation-sheet'!Y9*'Output-Calculation-sheet'!Y108</f>
        <v>782213945.43656743</v>
      </c>
      <c r="AA131" s="2">
        <f t="shared" si="11"/>
        <v>222837.03460620795</v>
      </c>
    </row>
    <row r="132" spans="1:27" x14ac:dyDescent="0.25">
      <c r="A132" s="2">
        <v>2034</v>
      </c>
      <c r="B132" s="2">
        <f>B11/'Output-Calculation-sheet'!B10*'Output-Calculation-sheet'!B109</f>
        <v>43517659834.124397</v>
      </c>
      <c r="C132" s="2">
        <f>C11/'Output-Calculation-sheet'!C10*'Output-Calculation-sheet'!C109</f>
        <v>0</v>
      </c>
      <c r="D132" s="2">
        <f>D11/'Output-Calculation-sheet'!D10*'Output-Calculation-sheet'!D109</f>
        <v>34583447813.51973</v>
      </c>
      <c r="E132" s="2">
        <f>E11/'Output-Calculation-sheet'!E10*'Output-Calculation-sheet'!E109</f>
        <v>24257721947.538734</v>
      </c>
      <c r="F132" s="2">
        <f>F11/'Output-Calculation-sheet'!F10*'Output-Calculation-sheet'!F109</f>
        <v>18006507219.102562</v>
      </c>
      <c r="G132" s="2">
        <f>G11/'Output-Calculation-sheet'!G10*'Output-Calculation-sheet'!G109</f>
        <v>12362298616.073895</v>
      </c>
      <c r="H132" s="2">
        <f>H11/'Output-Calculation-sheet'!H10*'Output-Calculation-sheet'!H109</f>
        <v>0</v>
      </c>
      <c r="I132" s="2">
        <f>I11/'Output-Calculation-sheet'!I10*'Output-Calculation-sheet'!I109</f>
        <v>11121161659.676304</v>
      </c>
      <c r="J132" s="2">
        <f>J11/'Output-Calculation-sheet'!J10*'Output-Calculation-sheet'!J109</f>
        <v>11364381561.934671</v>
      </c>
      <c r="K132" s="2">
        <f>K11/'Output-Calculation-sheet'!K10*'Output-Calculation-sheet'!K109</f>
        <v>9863428013.4748306</v>
      </c>
      <c r="L132" s="2">
        <f>L11/'Output-Calculation-sheet'!L10*'Output-Calculation-sheet'!L109</f>
        <v>7792975216.6962004</v>
      </c>
      <c r="M132" s="2">
        <f>M11/'Output-Calculation-sheet'!M10*'Output-Calculation-sheet'!M109</f>
        <v>0</v>
      </c>
      <c r="N132" s="2">
        <f>N11/'Output-Calculation-sheet'!N10*'Output-Calculation-sheet'!N109</f>
        <v>1532195261.6887176</v>
      </c>
      <c r="O132" s="2">
        <f>O11/'Output-Calculation-sheet'!O10*'Output-Calculation-sheet'!O109</f>
        <v>0</v>
      </c>
      <c r="P132" s="2">
        <f>P11/'Output-Calculation-sheet'!P10*'Output-Calculation-sheet'!P109</f>
        <v>4885973038.99333</v>
      </c>
      <c r="Q132" s="2">
        <f>Q11/'Output-Calculation-sheet'!Q10*'Output-Calculation-sheet'!Q109</f>
        <v>4809484142.3514919</v>
      </c>
      <c r="R132" s="2">
        <f>R11/'Output-Calculation-sheet'!R10*'Output-Calculation-sheet'!R109</f>
        <v>5609307876.8194551</v>
      </c>
      <c r="S132" s="2">
        <f>S11/'Output-Calculation-sheet'!S10*'Output-Calculation-sheet'!S109</f>
        <v>1637839450.2234952</v>
      </c>
      <c r="T132" s="2">
        <f>T11/'Output-Calculation-sheet'!T10*'Output-Calculation-sheet'!T109</f>
        <v>2419784457.4809961</v>
      </c>
      <c r="U132" s="2">
        <f>U11/'Output-Calculation-sheet'!U10*'Output-Calculation-sheet'!U109</f>
        <v>1710707548.7194903</v>
      </c>
      <c r="V132" s="2">
        <f>V11/'Output-Calculation-sheet'!V10*'Output-Calculation-sheet'!V109</f>
        <v>1541193501.0013769</v>
      </c>
      <c r="W132" s="2">
        <f>W11/'Output-Calculation-sheet'!W10*'Output-Calculation-sheet'!W109</f>
        <v>1559801331.545886</v>
      </c>
      <c r="X132" s="2">
        <f>X11/'Output-Calculation-sheet'!X10*'Output-Calculation-sheet'!X109</f>
        <v>0</v>
      </c>
      <c r="Y132" s="2">
        <f>Y11/'Output-Calculation-sheet'!Y10*'Output-Calculation-sheet'!Y109</f>
        <v>707631894.83483291</v>
      </c>
      <c r="AA132" s="2">
        <f t="shared" si="11"/>
        <v>199283.50038580038</v>
      </c>
    </row>
    <row r="133" spans="1:27" x14ac:dyDescent="0.25">
      <c r="A133" s="2">
        <v>2035</v>
      </c>
      <c r="B133" s="2">
        <f>B12/'Output-Calculation-sheet'!B11*'Output-Calculation-sheet'!B110</f>
        <v>34960226514.81221</v>
      </c>
      <c r="C133" s="2">
        <f>C12/'Output-Calculation-sheet'!C11*'Output-Calculation-sheet'!C110</f>
        <v>0</v>
      </c>
      <c r="D133" s="2">
        <f>D12/'Output-Calculation-sheet'!D11*'Output-Calculation-sheet'!D110</f>
        <v>28762227548.31638</v>
      </c>
      <c r="E133" s="2">
        <f>E12/'Output-Calculation-sheet'!E11*'Output-Calculation-sheet'!E110</f>
        <v>20187378000.429295</v>
      </c>
      <c r="F133" s="2">
        <f>F12/'Output-Calculation-sheet'!F11*'Output-Calculation-sheet'!F110</f>
        <v>14971260489.189306</v>
      </c>
      <c r="G133" s="2">
        <f>G12/'Output-Calculation-sheet'!G11*'Output-Calculation-sheet'!G110</f>
        <v>10266343881.974949</v>
      </c>
      <c r="H133" s="2">
        <f>H12/'Output-Calculation-sheet'!H11*'Output-Calculation-sheet'!H110</f>
        <v>0</v>
      </c>
      <c r="I133" s="2">
        <f>I12/'Output-Calculation-sheet'!I11*'Output-Calculation-sheet'!I110</f>
        <v>9246877959.6738873</v>
      </c>
      <c r="J133" s="2">
        <f>J12/'Output-Calculation-sheet'!J11*'Output-Calculation-sheet'!J110</f>
        <v>9435019173.0029488</v>
      </c>
      <c r="K133" s="2">
        <f>K12/'Output-Calculation-sheet'!K11*'Output-Calculation-sheet'!K110</f>
        <v>8209266935.092514</v>
      </c>
      <c r="L133" s="2">
        <f>L12/'Output-Calculation-sheet'!L11*'Output-Calculation-sheet'!L110</f>
        <v>6481021829.7011423</v>
      </c>
      <c r="M133" s="2">
        <f>M12/'Output-Calculation-sheet'!M11*'Output-Calculation-sheet'!M110</f>
        <v>0</v>
      </c>
      <c r="N133" s="2">
        <f>N12/'Output-Calculation-sheet'!N11*'Output-Calculation-sheet'!N110</f>
        <v>1196487666.3840206</v>
      </c>
      <c r="O133" s="2">
        <f>O12/'Output-Calculation-sheet'!O11*'Output-Calculation-sheet'!O110</f>
        <v>0</v>
      </c>
      <c r="P133" s="2">
        <f>P12/'Output-Calculation-sheet'!P11*'Output-Calculation-sheet'!P110</f>
        <v>4086624112.4131393</v>
      </c>
      <c r="Q133" s="2">
        <f>Q12/'Output-Calculation-sheet'!Q11*'Output-Calculation-sheet'!Q110</f>
        <v>4016185350.3801918</v>
      </c>
      <c r="R133" s="2">
        <f>R12/'Output-Calculation-sheet'!R11*'Output-Calculation-sheet'!R110</f>
        <v>4678088170.9923925</v>
      </c>
      <c r="S133" s="2">
        <f>S12/'Output-Calculation-sheet'!S11*'Output-Calculation-sheet'!S110</f>
        <v>1259858230.2305646</v>
      </c>
      <c r="T133" s="2">
        <f>T12/'Output-Calculation-sheet'!T11*'Output-Calculation-sheet'!T110</f>
        <v>2012673957.4643981</v>
      </c>
      <c r="U133" s="2">
        <f>U12/'Output-Calculation-sheet'!U11*'Output-Calculation-sheet'!U110</f>
        <v>1424970488.4914594</v>
      </c>
      <c r="V133" s="2">
        <f>V12/'Output-Calculation-sheet'!V11*'Output-Calculation-sheet'!V110</f>
        <v>1285335196.4999855</v>
      </c>
      <c r="W133" s="2">
        <f>W12/'Output-Calculation-sheet'!W11*'Output-Calculation-sheet'!W110</f>
        <v>1296124629.4565642</v>
      </c>
      <c r="X133" s="2">
        <f>X12/'Output-Calculation-sheet'!X11*'Output-Calculation-sheet'!X110</f>
        <v>0</v>
      </c>
      <c r="Y133" s="2">
        <f>Y12/'Output-Calculation-sheet'!Y11*'Output-Calculation-sheet'!Y110</f>
        <v>589245025.15532219</v>
      </c>
      <c r="AA133" s="2">
        <f t="shared" si="11"/>
        <v>164365.2151596607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62765534409.873329</v>
      </c>
      <c r="C151" s="2">
        <f>C8/'Output-Calculation-sheet'!C7*'Output-Calculation-sheet'!C124</f>
        <v>53361017782.036362</v>
      </c>
      <c r="D151" s="2">
        <f>D8/'Output-Calculation-sheet'!D7*'Output-Calculation-sheet'!D124</f>
        <v>11025836291.79455</v>
      </c>
      <c r="E151" s="2">
        <f>E8/'Output-Calculation-sheet'!E7*'Output-Calculation-sheet'!E124</f>
        <v>12196939379.392887</v>
      </c>
      <c r="F151" s="2">
        <f>F8/'Output-Calculation-sheet'!F7*'Output-Calculation-sheet'!F124</f>
        <v>5278430532.7149677</v>
      </c>
      <c r="G151" s="2">
        <f>G8/'Output-Calculation-sheet'!G7*'Output-Calculation-sheet'!G124</f>
        <v>3992899886.0097995</v>
      </c>
      <c r="H151" s="2">
        <f>H8/'Output-Calculation-sheet'!H7*'Output-Calculation-sheet'!H124</f>
        <v>12621388658.291145</v>
      </c>
      <c r="I151" s="2">
        <f>I8/'Output-Calculation-sheet'!I7*'Output-Calculation-sheet'!I124</f>
        <v>3822882682.910872</v>
      </c>
      <c r="J151" s="2">
        <f>J8/'Output-Calculation-sheet'!J7*'Output-Calculation-sheet'!J124</f>
        <v>3120052786.7160945</v>
      </c>
      <c r="K151" s="2">
        <f>K8/'Output-Calculation-sheet'!K7*'Output-Calculation-sheet'!K124</f>
        <v>4623643726.0771542</v>
      </c>
      <c r="L151" s="2">
        <f>L8/'Output-Calculation-sheet'!L7*'Output-Calculation-sheet'!L124</f>
        <v>3823950988.268187</v>
      </c>
      <c r="M151" s="2">
        <f>M8/'Output-Calculation-sheet'!M7*'Output-Calculation-sheet'!M124</f>
        <v>8726833095.7913818</v>
      </c>
      <c r="N151" s="2">
        <f>N8/'Output-Calculation-sheet'!N7*'Output-Calculation-sheet'!N124</f>
        <v>7217246032.5658636</v>
      </c>
      <c r="O151" s="2">
        <f>O8/'Output-Calculation-sheet'!O7*'Output-Calculation-sheet'!O124</f>
        <v>10368092094.753942</v>
      </c>
      <c r="P151" s="2">
        <f>P8/'Output-Calculation-sheet'!P7*'Output-Calculation-sheet'!P124</f>
        <v>5212281570.0734529</v>
      </c>
      <c r="Q151" s="2">
        <f>Q8/'Output-Calculation-sheet'!Q7*'Output-Calculation-sheet'!Q124</f>
        <v>5147136081.2903852</v>
      </c>
      <c r="R151" s="2">
        <f>R8/'Output-Calculation-sheet'!R7*'Output-Calculation-sheet'!R124</f>
        <v>3824918822.3789334</v>
      </c>
      <c r="S151" s="2">
        <f>S8/'Output-Calculation-sheet'!S7*'Output-Calculation-sheet'!S124</f>
        <v>3995773565.5546083</v>
      </c>
      <c r="T151" s="2">
        <f>T8/'Output-Calculation-sheet'!T7*'Output-Calculation-sheet'!T124</f>
        <v>1021151881.9488235</v>
      </c>
      <c r="U151" s="2">
        <f>U8/'Output-Calculation-sheet'!U7*'Output-Calculation-sheet'!U124</f>
        <v>1315123195.6478887</v>
      </c>
      <c r="V151" s="2">
        <f>V8/'Output-Calculation-sheet'!V7*'Output-Calculation-sheet'!V124</f>
        <v>779985465.87311673</v>
      </c>
      <c r="W151" s="2">
        <f>W8/'Output-Calculation-sheet'!W7*'Output-Calculation-sheet'!W124</f>
        <v>425728116.6128726</v>
      </c>
      <c r="X151" s="2">
        <f>X8/'Output-Calculation-sheet'!X7*'Output-Calculation-sheet'!X124</f>
        <v>981731349.51006913</v>
      </c>
      <c r="Y151" s="2">
        <f>Y8/'Output-Calculation-sheet'!Y7*'Output-Calculation-sheet'!Y124</f>
        <v>465825896.85034001</v>
      </c>
      <c r="AA151" s="2">
        <f t="shared" si="13"/>
        <v>226114.40429293699</v>
      </c>
    </row>
    <row r="152" spans="1:27" x14ac:dyDescent="0.25">
      <c r="A152" s="2">
        <v>2032</v>
      </c>
      <c r="B152" s="2">
        <f>B9/'Output-Calculation-sheet'!B8*'Output-Calculation-sheet'!B125</f>
        <v>66423307827.937004</v>
      </c>
      <c r="C152" s="2">
        <f>C9/'Output-Calculation-sheet'!C8*'Output-Calculation-sheet'!C125</f>
        <v>56907121030.456497</v>
      </c>
      <c r="D152" s="2">
        <f>D9/'Output-Calculation-sheet'!D8*'Output-Calculation-sheet'!D125</f>
        <v>11682652341.612993</v>
      </c>
      <c r="E152" s="2">
        <f>E9/'Output-Calculation-sheet'!E8*'Output-Calculation-sheet'!E125</f>
        <v>12918953094.026182</v>
      </c>
      <c r="F152" s="2">
        <f>F9/'Output-Calculation-sheet'!F8*'Output-Calculation-sheet'!F125</f>
        <v>5595117846.7986317</v>
      </c>
      <c r="G152" s="2">
        <f>G9/'Output-Calculation-sheet'!G8*'Output-Calculation-sheet'!G125</f>
        <v>4241783517.9669929</v>
      </c>
      <c r="H152" s="2">
        <f>H9/'Output-Calculation-sheet'!H8*'Output-Calculation-sheet'!H125</f>
        <v>13334585246.120819</v>
      </c>
      <c r="I152" s="2">
        <f>I9/'Output-Calculation-sheet'!I8*'Output-Calculation-sheet'!I125</f>
        <v>4051549128.0460114</v>
      </c>
      <c r="J152" s="2">
        <f>J9/'Output-Calculation-sheet'!J8*'Output-Calculation-sheet'!J125</f>
        <v>3309256983.497004</v>
      </c>
      <c r="K152" s="2">
        <f>K9/'Output-Calculation-sheet'!K8*'Output-Calculation-sheet'!K125</f>
        <v>4897643387.4552507</v>
      </c>
      <c r="L152" s="2">
        <f>L9/'Output-Calculation-sheet'!L8*'Output-Calculation-sheet'!L125</f>
        <v>4049343052.6413221</v>
      </c>
      <c r="M152" s="2">
        <f>M9/'Output-Calculation-sheet'!M8*'Output-Calculation-sheet'!M125</f>
        <v>9224346378.119873</v>
      </c>
      <c r="N152" s="2">
        <f>N9/'Output-Calculation-sheet'!N8*'Output-Calculation-sheet'!N125</f>
        <v>7697468681.8316193</v>
      </c>
      <c r="O152" s="2">
        <f>O9/'Output-Calculation-sheet'!O8*'Output-Calculation-sheet'!O125</f>
        <v>11057103035.42425</v>
      </c>
      <c r="P152" s="2">
        <f>P9/'Output-Calculation-sheet'!P8*'Output-Calculation-sheet'!P125</f>
        <v>5501114834.8642988</v>
      </c>
      <c r="Q152" s="2">
        <f>Q9/'Output-Calculation-sheet'!Q8*'Output-Calculation-sheet'!Q125</f>
        <v>5429513491.4556646</v>
      </c>
      <c r="R152" s="2">
        <f>R9/'Output-Calculation-sheet'!R8*'Output-Calculation-sheet'!R125</f>
        <v>4059250331.7714572</v>
      </c>
      <c r="S152" s="2">
        <f>S9/'Output-Calculation-sheet'!S8*'Output-Calculation-sheet'!S125</f>
        <v>4166860944.8463068</v>
      </c>
      <c r="T152" s="2">
        <f>T9/'Output-Calculation-sheet'!T8*'Output-Calculation-sheet'!T125</f>
        <v>1083224641.2388327</v>
      </c>
      <c r="U152" s="2">
        <f>U9/'Output-Calculation-sheet'!U8*'Output-Calculation-sheet'!U125</f>
        <v>1394590807.9482596</v>
      </c>
      <c r="V152" s="2">
        <f>V9/'Output-Calculation-sheet'!V8*'Output-Calculation-sheet'!V125</f>
        <v>823512530.37856638</v>
      </c>
      <c r="W152" s="2">
        <f>W9/'Output-Calculation-sheet'!W8*'Output-Calculation-sheet'!W125</f>
        <v>449970328.26361436</v>
      </c>
      <c r="X152" s="2">
        <f>X9/'Output-Calculation-sheet'!X8*'Output-Calculation-sheet'!X125</f>
        <v>1035298339.5545139</v>
      </c>
      <c r="Y152" s="2">
        <f>Y9/'Output-Calculation-sheet'!Y8*'Output-Calculation-sheet'!Y125</f>
        <v>494102720.89789802</v>
      </c>
      <c r="AA152" s="2">
        <f t="shared" si="13"/>
        <v>239827.67052315385</v>
      </c>
    </row>
    <row r="153" spans="1:27" x14ac:dyDescent="0.25">
      <c r="A153" s="2">
        <v>2033</v>
      </c>
      <c r="B153" s="2">
        <f>B10/'Output-Calculation-sheet'!B9*'Output-Calculation-sheet'!B126</f>
        <v>62448303861.222725</v>
      </c>
      <c r="C153" s="2">
        <f>C10/'Output-Calculation-sheet'!C9*'Output-Calculation-sheet'!C126</f>
        <v>45678424563.495926</v>
      </c>
      <c r="D153" s="2">
        <f>D10/'Output-Calculation-sheet'!D9*'Output-Calculation-sheet'!D126</f>
        <v>11372680128.8566</v>
      </c>
      <c r="E153" s="2">
        <f>E10/'Output-Calculation-sheet'!E9*'Output-Calculation-sheet'!E126</f>
        <v>12587742755.702269</v>
      </c>
      <c r="F153" s="2">
        <f>F10/'Output-Calculation-sheet'!F9*'Output-Calculation-sheet'!F126</f>
        <v>5438426920.6467733</v>
      </c>
      <c r="G153" s="2">
        <f>G10/'Output-Calculation-sheet'!G9*'Output-Calculation-sheet'!G126</f>
        <v>4129250513.3927779</v>
      </c>
      <c r="H153" s="2">
        <f>H10/'Output-Calculation-sheet'!H9*'Output-Calculation-sheet'!H126</f>
        <v>12941978212.096867</v>
      </c>
      <c r="I153" s="2">
        <f>I10/'Output-Calculation-sheet'!I9*'Output-Calculation-sheet'!I126</f>
        <v>3943153164.3239651</v>
      </c>
      <c r="J153" s="2">
        <f>J10/'Output-Calculation-sheet'!J9*'Output-Calculation-sheet'!J126</f>
        <v>3220333388.8376551</v>
      </c>
      <c r="K153" s="2">
        <f>K10/'Output-Calculation-sheet'!K9*'Output-Calculation-sheet'!K126</f>
        <v>4756040693.2074156</v>
      </c>
      <c r="L153" s="2">
        <f>L10/'Output-Calculation-sheet'!L9*'Output-Calculation-sheet'!L126</f>
        <v>3939757678.1532698</v>
      </c>
      <c r="M153" s="2">
        <f>M10/'Output-Calculation-sheet'!M9*'Output-Calculation-sheet'!M126</f>
        <v>8950682912.8184662</v>
      </c>
      <c r="N153" s="2">
        <f>N10/'Output-Calculation-sheet'!N9*'Output-Calculation-sheet'!N126</f>
        <v>7535156951.8773565</v>
      </c>
      <c r="O153" s="2">
        <f>O10/'Output-Calculation-sheet'!O9*'Output-Calculation-sheet'!O126</f>
        <v>10826977915.782478</v>
      </c>
      <c r="P153" s="2">
        <f>P10/'Output-Calculation-sheet'!P9*'Output-Calculation-sheet'!P126</f>
        <v>5341844144.1436596</v>
      </c>
      <c r="Q153" s="2">
        <f>Q10/'Output-Calculation-sheet'!Q9*'Output-Calculation-sheet'!Q126</f>
        <v>5264369108.3464384</v>
      </c>
      <c r="R153" s="2">
        <f>R10/'Output-Calculation-sheet'!R9*'Output-Calculation-sheet'!R126</f>
        <v>3947647742.3056879</v>
      </c>
      <c r="S153" s="2">
        <f>S10/'Output-Calculation-sheet'!S9*'Output-Calculation-sheet'!S126</f>
        <v>4037336014.8647594</v>
      </c>
      <c r="T153" s="2">
        <f>T10/'Output-Calculation-sheet'!T9*'Output-Calculation-sheet'!T126</f>
        <v>1053115552.7037969</v>
      </c>
      <c r="U153" s="2">
        <f>U10/'Output-Calculation-sheet'!U9*'Output-Calculation-sheet'!U126</f>
        <v>1359760356.0909019</v>
      </c>
      <c r="V153" s="2">
        <f>V10/'Output-Calculation-sheet'!V9*'Output-Calculation-sheet'!V126</f>
        <v>799804530.83098173</v>
      </c>
      <c r="W153" s="2">
        <f>W10/'Output-Calculation-sheet'!W9*'Output-Calculation-sheet'!W126</f>
        <v>438336094.87753928</v>
      </c>
      <c r="X153" s="2">
        <f>X10/'Output-Calculation-sheet'!X9*'Output-Calculation-sheet'!X126</f>
        <v>1005724518.8346283</v>
      </c>
      <c r="Y153" s="2">
        <f>Y10/'Output-Calculation-sheet'!Y9*'Output-Calculation-sheet'!Y126</f>
        <v>481056960.55563343</v>
      </c>
      <c r="AA153" s="2">
        <f t="shared" si="13"/>
        <v>221497.90468396855</v>
      </c>
    </row>
    <row r="154" spans="1:27" x14ac:dyDescent="0.25">
      <c r="A154" s="2">
        <v>2034</v>
      </c>
      <c r="B154" s="2">
        <f>B11/'Output-Calculation-sheet'!B10*'Output-Calculation-sheet'!B127</f>
        <v>54858238870.992104</v>
      </c>
      <c r="C154" s="2">
        <f>C11/'Output-Calculation-sheet'!C10*'Output-Calculation-sheet'!C127</f>
        <v>40667571771.653236</v>
      </c>
      <c r="D154" s="2">
        <f>D11/'Output-Calculation-sheet'!D10*'Output-Calculation-sheet'!D127</f>
        <v>10213898601.416136</v>
      </c>
      <c r="E154" s="2">
        <f>E11/'Output-Calculation-sheet'!E10*'Output-Calculation-sheet'!E127</f>
        <v>11284468146.324438</v>
      </c>
      <c r="F154" s="2">
        <f>F11/'Output-Calculation-sheet'!F10*'Output-Calculation-sheet'!F127</f>
        <v>4873267829.861805</v>
      </c>
      <c r="G154" s="2">
        <f>G11/'Output-Calculation-sheet'!G10*'Output-Calculation-sheet'!G127</f>
        <v>3713697980.3748617</v>
      </c>
      <c r="H154" s="2">
        <f>H11/'Output-Calculation-sheet'!H10*'Output-Calculation-sheet'!H127</f>
        <v>11564699479.380661</v>
      </c>
      <c r="I154" s="2">
        <f>I11/'Output-Calculation-sheet'!I10*'Output-Calculation-sheet'!I127</f>
        <v>3525302636.9138932</v>
      </c>
      <c r="J154" s="2">
        <f>J11/'Output-Calculation-sheet'!J10*'Output-Calculation-sheet'!J127</f>
        <v>2891432923.8562183</v>
      </c>
      <c r="K154" s="2">
        <f>K11/'Output-Calculation-sheet'!K10*'Output-Calculation-sheet'!K127</f>
        <v>4255736795.6315575</v>
      </c>
      <c r="L154" s="2">
        <f>L11/'Output-Calculation-sheet'!L10*'Output-Calculation-sheet'!L127</f>
        <v>3533629184.8343215</v>
      </c>
      <c r="M154" s="2">
        <f>M11/'Output-Calculation-sheet'!M10*'Output-Calculation-sheet'!M127</f>
        <v>7998422870.9422598</v>
      </c>
      <c r="N154" s="2">
        <f>N11/'Output-Calculation-sheet'!N10*'Output-Calculation-sheet'!N127</f>
        <v>6783755959.4244204</v>
      </c>
      <c r="O154" s="2">
        <f>O11/'Output-Calculation-sheet'!O10*'Output-Calculation-sheet'!O127</f>
        <v>9766042175.2434559</v>
      </c>
      <c r="P154" s="2">
        <f>P11/'Output-Calculation-sheet'!P10*'Output-Calculation-sheet'!P127</f>
        <v>4780749194.5783024</v>
      </c>
      <c r="Q154" s="2">
        <f>Q11/'Output-Calculation-sheet'!Q10*'Output-Calculation-sheet'!Q127</f>
        <v>4700990531.2202721</v>
      </c>
      <c r="R154" s="2">
        <f>R11/'Output-Calculation-sheet'!R10*'Output-Calculation-sheet'!R127</f>
        <v>3540223879.3169603</v>
      </c>
      <c r="S154" s="2">
        <f>S11/'Output-Calculation-sheet'!S10*'Output-Calculation-sheet'!S127</f>
        <v>3559403549.8846078</v>
      </c>
      <c r="T154" s="2">
        <f>T11/'Output-Calculation-sheet'!T10*'Output-Calculation-sheet'!T127</f>
        <v>943481689.41512418</v>
      </c>
      <c r="U154" s="2">
        <f>U11/'Output-Calculation-sheet'!U10*'Output-Calculation-sheet'!U127</f>
        <v>1218587822.1142333</v>
      </c>
      <c r="V154" s="2">
        <f>V11/'Output-Calculation-sheet'!V10*'Output-Calculation-sheet'!V127</f>
        <v>714412761.8045522</v>
      </c>
      <c r="W154" s="2">
        <f>W11/'Output-Calculation-sheet'!W10*'Output-Calculation-sheet'!W127</f>
        <v>393069159.80317301</v>
      </c>
      <c r="X154" s="2">
        <f>X11/'Output-Calculation-sheet'!X10*'Output-Calculation-sheet'!X127</f>
        <v>898293318.73750973</v>
      </c>
      <c r="Y154" s="2">
        <f>Y11/'Output-Calculation-sheet'!Y10*'Output-Calculation-sheet'!Y127</f>
        <v>431851074.71052641</v>
      </c>
      <c r="AA154" s="2">
        <f t="shared" si="13"/>
        <v>197111.22820843465</v>
      </c>
    </row>
    <row r="155" spans="1:27" x14ac:dyDescent="0.25">
      <c r="A155" s="2">
        <v>2035</v>
      </c>
      <c r="B155" s="2">
        <f>B12/'Output-Calculation-sheet'!B11*'Output-Calculation-sheet'!B128</f>
        <v>44988327520.882225</v>
      </c>
      <c r="C155" s="2">
        <f>C12/'Output-Calculation-sheet'!C11*'Output-Calculation-sheet'!C128</f>
        <v>33348778035.711498</v>
      </c>
      <c r="D155" s="2">
        <f>D12/'Output-Calculation-sheet'!D11*'Output-Calculation-sheet'!D128</f>
        <v>8407585810.2692451</v>
      </c>
      <c r="E155" s="2">
        <f>E12/'Output-Calculation-sheet'!E11*'Output-Calculation-sheet'!E128</f>
        <v>9303128665.2913094</v>
      </c>
      <c r="F155" s="2">
        <f>F12/'Output-Calculation-sheet'!F11*'Output-Calculation-sheet'!F128</f>
        <v>4012830159.4107008</v>
      </c>
      <c r="G155" s="2">
        <f>G12/'Output-Calculation-sheet'!G11*'Output-Calculation-sheet'!G128</f>
        <v>3072431346.3847532</v>
      </c>
      <c r="H155" s="2">
        <f>H12/'Output-Calculation-sheet'!H11*'Output-Calculation-sheet'!H128</f>
        <v>9517988475.1596832</v>
      </c>
      <c r="I155" s="2">
        <f>I12/'Output-Calculation-sheet'!I11*'Output-Calculation-sheet'!I128</f>
        <v>2905768003.5362053</v>
      </c>
      <c r="J155" s="2">
        <f>J12/'Output-Calculation-sheet'!J11*'Output-Calculation-sheet'!J128</f>
        <v>2393491985.3761768</v>
      </c>
      <c r="K155" s="2">
        <f>K12/'Output-Calculation-sheet'!K11*'Output-Calculation-sheet'!K128</f>
        <v>3505860407.4356222</v>
      </c>
      <c r="L155" s="2">
        <f>L12/'Output-Calculation-sheet'!L11*'Output-Calculation-sheet'!L128</f>
        <v>2917028817.183176</v>
      </c>
      <c r="M155" s="2">
        <f>M12/'Output-Calculation-sheet'!M11*'Output-Calculation-sheet'!M128</f>
        <v>6586082065.6380329</v>
      </c>
      <c r="N155" s="2">
        <f>N12/'Output-Calculation-sheet'!N11*'Output-Calculation-sheet'!N128</f>
        <v>5616034346.9562731</v>
      </c>
      <c r="O155" s="2">
        <f>O12/'Output-Calculation-sheet'!O11*'Output-Calculation-sheet'!O128</f>
        <v>6675120552.156333</v>
      </c>
      <c r="P155" s="2">
        <f>P12/'Output-Calculation-sheet'!P11*'Output-Calculation-sheet'!P128</f>
        <v>3934169309.1107082</v>
      </c>
      <c r="Q155" s="2">
        <f>Q12/'Output-Calculation-sheet'!Q11*'Output-Calculation-sheet'!Q128</f>
        <v>3848894182.1986203</v>
      </c>
      <c r="R155" s="2">
        <f>R12/'Output-Calculation-sheet'!R11*'Output-Calculation-sheet'!R128</f>
        <v>2913574766.2094436</v>
      </c>
      <c r="S155" s="2">
        <f>S12/'Output-Calculation-sheet'!S11*'Output-Calculation-sheet'!S128</f>
        <v>2944658688.4504061</v>
      </c>
      <c r="T155" s="2">
        <f>T12/'Output-Calculation-sheet'!T11*'Output-Calculation-sheet'!T128</f>
        <v>777936932.34562421</v>
      </c>
      <c r="U155" s="2">
        <f>U12/'Output-Calculation-sheet'!U11*'Output-Calculation-sheet'!U128</f>
        <v>1005560788.0364944</v>
      </c>
      <c r="V155" s="2">
        <f>V12/'Output-Calculation-sheet'!V11*'Output-Calculation-sheet'!V128</f>
        <v>586214583.9788425</v>
      </c>
      <c r="W155" s="2">
        <f>W12/'Output-Calculation-sheet'!W11*'Output-Calculation-sheet'!W128</f>
        <v>324235129.68220836</v>
      </c>
      <c r="X155" s="2">
        <f>X12/'Output-Calculation-sheet'!X11*'Output-Calculation-sheet'!X128</f>
        <v>738145673.73148048</v>
      </c>
      <c r="Y155" s="2">
        <f>Y12/'Output-Calculation-sheet'!Y11*'Output-Calculation-sheet'!Y128</f>
        <v>356220913.21561366</v>
      </c>
      <c r="AA155" s="2">
        <f t="shared" si="13"/>
        <v>160680.06715835069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2.8013187176975085E-10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2536.8358477548659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1737.3405623058245</v>
      </c>
      <c r="N19" s="2">
        <f>N8/'Output-Calculation-sheet'!N7*'Output-Calculation-sheet'!N25</f>
        <v>1168.6131490594446</v>
      </c>
      <c r="O19" s="2">
        <f>O8/'Output-Calculation-sheet'!O7*'Output-Calculation-sheet'!O25</f>
        <v>1.5417439964915999E-11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309.96839304894149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164.87924752418806</v>
      </c>
      <c r="Y19" s="2">
        <f>Y8/'Output-Calculation-sheet'!Y7*'Output-Calculation-sheet'!Y25</f>
        <v>0</v>
      </c>
      <c r="AA19" s="2">
        <f t="shared" si="0"/>
        <v>5.9176371996935604</v>
      </c>
    </row>
    <row r="20" spans="1:27" x14ac:dyDescent="0.25">
      <c r="A20" s="2">
        <v>2032</v>
      </c>
      <c r="B20" s="2">
        <f>B9/'Output-Calculation-sheet'!B8*'Output-Calculation-sheet'!B26</f>
        <v>2.834933970362242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2943.2266608627219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2012.7777183359174</v>
      </c>
      <c r="N20" s="2">
        <f>N9/'Output-Calculation-sheet'!N8*'Output-Calculation-sheet'!N26</f>
        <v>1465.862947361182</v>
      </c>
      <c r="O20" s="2">
        <f>O9/'Output-Calculation-sheet'!O8*'Output-Calculation-sheet'!O26</f>
        <v>1.4840765073789612E-10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504.33051874372109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193.73743232401702</v>
      </c>
      <c r="Y20" s="2">
        <f>Y9/'Output-Calculation-sheet'!Y8*'Output-Calculation-sheet'!Y26</f>
        <v>0</v>
      </c>
      <c r="AA20" s="2">
        <f t="shared" si="0"/>
        <v>7.1227702115980698</v>
      </c>
    </row>
    <row r="21" spans="1:27" x14ac:dyDescent="0.25">
      <c r="A21" s="2">
        <v>2033</v>
      </c>
      <c r="B21" s="2">
        <f>B10/'Output-Calculation-sheet'!B9*'Output-Calculation-sheet'!B27</f>
        <v>4637.8032164530796</v>
      </c>
      <c r="C21" s="2">
        <f>C10/'Output-Calculation-sheet'!C9*'Output-Calculation-sheet'!C27</f>
        <v>7237.1359956043261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3247.0363324311365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2222.7680406665727</v>
      </c>
      <c r="N21" s="2">
        <f>N10/'Output-Calculation-sheet'!N9*'Output-Calculation-sheet'!N27</f>
        <v>1736.7116685442465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662.53839787428001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213.952915109511</v>
      </c>
      <c r="Y21" s="2">
        <f>Y10/'Output-Calculation-sheet'!Y9*'Output-Calculation-sheet'!Y27</f>
        <v>0</v>
      </c>
      <c r="AA21" s="2">
        <f t="shared" si="0"/>
        <v>19.957946566683148</v>
      </c>
    </row>
    <row r="22" spans="1:27" x14ac:dyDescent="0.25">
      <c r="A22" s="2">
        <v>2034</v>
      </c>
      <c r="B22" s="2">
        <f>B11/'Output-Calculation-sheet'!B10*'Output-Calculation-sheet'!B28</f>
        <v>8172.7747522800246</v>
      </c>
      <c r="C22" s="2">
        <f>C11/'Output-Calculation-sheet'!C10*'Output-Calculation-sheet'!C28</f>
        <v>7918.1729355814305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3459.4690432456191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2368.3821439707363</v>
      </c>
      <c r="N22" s="2">
        <f>N11/'Output-Calculation-sheet'!N10*'Output-Calculation-sheet'!N28</f>
        <v>1899.1453818430575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774.72074883759819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229.46422816165023</v>
      </c>
      <c r="Y22" s="2">
        <f>Y11/'Output-Calculation-sheet'!Y10*'Output-Calculation-sheet'!Y28</f>
        <v>0</v>
      </c>
      <c r="AA22" s="2">
        <f t="shared" si="0"/>
        <v>24.822129233920112</v>
      </c>
    </row>
    <row r="23" spans="1:27" x14ac:dyDescent="0.25">
      <c r="A23" s="2">
        <v>2035</v>
      </c>
      <c r="B23" s="2">
        <f>B12/'Output-Calculation-sheet'!B11*'Output-Calculation-sheet'!B29</f>
        <v>10193.556104425135</v>
      </c>
      <c r="C23" s="2">
        <f>C12/'Output-Calculation-sheet'!C11*'Output-Calculation-sheet'!C29</f>
        <v>8352.8387586122553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3563.6646970373081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2435.9198173112986</v>
      </c>
      <c r="N23" s="2">
        <f>N12/'Output-Calculation-sheet'!N11*'Output-Calculation-sheet'!N29</f>
        <v>1991.1446070972593</v>
      </c>
      <c r="O23" s="2">
        <f>O12/'Output-Calculation-sheet'!O11*'Output-Calculation-sheet'!O29</f>
        <v>1420.1740926441726</v>
      </c>
      <c r="P23" s="2">
        <f>P12/'Output-Calculation-sheet'!P11*'Output-Calculation-sheet'!P29</f>
        <v>0</v>
      </c>
      <c r="Q23" s="2">
        <f>Q12/'Output-Calculation-sheet'!Q11*'Output-Calculation-sheet'!Q29</f>
        <v>27.181775961541938</v>
      </c>
      <c r="R23" s="2">
        <f>R12/'Output-Calculation-sheet'!R11*'Output-Calculation-sheet'!R29</f>
        <v>0</v>
      </c>
      <c r="S23" s="2">
        <f>S12/'Output-Calculation-sheet'!S11*'Output-Calculation-sheet'!S29</f>
        <v>874.42813953468044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238.78416534714191</v>
      </c>
      <c r="Y23" s="2">
        <f>Y12/'Output-Calculation-sheet'!Y11*'Output-Calculation-sheet'!Y29</f>
        <v>0</v>
      </c>
      <c r="AA23" s="2">
        <f t="shared" si="0"/>
        <v>29.097692157970791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19939.148563035735</v>
      </c>
      <c r="C30" s="2">
        <f>C8/'Output-Calculation-sheet'!C7*'Output-Calculation-sheet'!C16</f>
        <v>0</v>
      </c>
      <c r="D30" s="2">
        <f>D8/'Output-Calculation-sheet'!D7*'Output-Calculation-sheet'!D16</f>
        <v>6224.2870003144117</v>
      </c>
      <c r="E30" s="2">
        <f>E8/'Output-Calculation-sheet'!E7*'Output-Calculation-sheet'!E16</f>
        <v>6437.9715231355358</v>
      </c>
      <c r="F30" s="2">
        <f>F8/'Output-Calculation-sheet'!F7*'Output-Calculation-sheet'!F16</f>
        <v>3606.8232056976462</v>
      </c>
      <c r="G30" s="2">
        <f>G8/'Output-Calculation-sheet'!G7*'Output-Calculation-sheet'!G16</f>
        <v>2175.3108951381855</v>
      </c>
      <c r="H30" s="2">
        <f>H8/'Output-Calculation-sheet'!H7*'Output-Calculation-sheet'!H16</f>
        <v>0</v>
      </c>
      <c r="I30" s="2">
        <f>I8/'Output-Calculation-sheet'!I7*'Output-Calculation-sheet'!I16</f>
        <v>2201.6484973517413</v>
      </c>
      <c r="J30" s="2">
        <f>J8/'Output-Calculation-sheet'!J7*'Output-Calculation-sheet'!J16</f>
        <v>2009.5523102223847</v>
      </c>
      <c r="K30" s="2">
        <f>K8/'Output-Calculation-sheet'!K7*'Output-Calculation-sheet'!K16</f>
        <v>2485.2886797014794</v>
      </c>
      <c r="L30" s="2">
        <f>L8/'Output-Calculation-sheet'!L7*'Output-Calculation-sheet'!L16</f>
        <v>2051.0144487670291</v>
      </c>
      <c r="M30" s="2">
        <f>M8/'Output-Calculation-sheet'!M7*'Output-Calculation-sheet'!M16</f>
        <v>0</v>
      </c>
      <c r="N30" s="2">
        <f>N8/'Output-Calculation-sheet'!N7*'Output-Calculation-sheet'!N16</f>
        <v>1006.3378703915062</v>
      </c>
      <c r="O30" s="2">
        <f>O8/'Output-Calculation-sheet'!O7*'Output-Calculation-sheet'!O16</f>
        <v>0</v>
      </c>
      <c r="P30" s="2">
        <f>P8/'Output-Calculation-sheet'!P7*'Output-Calculation-sheet'!P16</f>
        <v>1634.7652803505462</v>
      </c>
      <c r="Q30" s="2">
        <f>Q8/'Output-Calculation-sheet'!Q7*'Output-Calculation-sheet'!Q16</f>
        <v>1793.0413366570797</v>
      </c>
      <c r="R30" s="2">
        <f>R8/'Output-Calculation-sheet'!R7*'Output-Calculation-sheet'!R16</f>
        <v>1570.953320601044</v>
      </c>
      <c r="S30" s="2">
        <f>S8/'Output-Calculation-sheet'!S7*'Output-Calculation-sheet'!S16</f>
        <v>838.94363113187137</v>
      </c>
      <c r="T30" s="2">
        <f>T8/'Output-Calculation-sheet'!T7*'Output-Calculation-sheet'!T16</f>
        <v>573.10887530072318</v>
      </c>
      <c r="U30" s="2">
        <f>U8/'Output-Calculation-sheet'!U7*'Output-Calculation-sheet'!U16</f>
        <v>440.47405882883248</v>
      </c>
      <c r="V30" s="2">
        <f>V8/'Output-Calculation-sheet'!V7*'Output-Calculation-sheet'!V16</f>
        <v>421.79072853512713</v>
      </c>
      <c r="W30" s="2">
        <f>W8/'Output-Calculation-sheet'!W7*'Output-Calculation-sheet'!W16</f>
        <v>292.82785492980622</v>
      </c>
      <c r="X30" s="2">
        <f>X8/'Output-Calculation-sheet'!X7*'Output-Calculation-sheet'!X16</f>
        <v>0</v>
      </c>
      <c r="Y30" s="2">
        <f>Y8/'Output-Calculation-sheet'!Y7*'Output-Calculation-sheet'!Y16</f>
        <v>193.58801439385886</v>
      </c>
      <c r="AA30" s="2">
        <f t="shared" si="1"/>
        <v>55.89687609448454</v>
      </c>
    </row>
    <row r="31" spans="1:27" x14ac:dyDescent="0.25">
      <c r="A31" s="2">
        <v>2032</v>
      </c>
      <c r="B31" s="2">
        <f>B9/'Output-Calculation-sheet'!B8*'Output-Calculation-sheet'!B17</f>
        <v>22671.068208628647</v>
      </c>
      <c r="C31" s="2">
        <f>C9/'Output-Calculation-sheet'!C8*'Output-Calculation-sheet'!C17</f>
        <v>0</v>
      </c>
      <c r="D31" s="2">
        <f>D9/'Output-Calculation-sheet'!D8*'Output-Calculation-sheet'!D17</f>
        <v>7028.4713841878511</v>
      </c>
      <c r="E31" s="2">
        <f>E9/'Output-Calculation-sheet'!E8*'Output-Calculation-sheet'!E17</f>
        <v>7278.7913915814397</v>
      </c>
      <c r="F31" s="2">
        <f>F9/'Output-Calculation-sheet'!F8*'Output-Calculation-sheet'!F17</f>
        <v>4066.3841071298557</v>
      </c>
      <c r="G31" s="2">
        <f>G9/'Output-Calculation-sheet'!G8*'Output-Calculation-sheet'!G17</f>
        <v>2451.376550759072</v>
      </c>
      <c r="H31" s="2">
        <f>H9/'Output-Calculation-sheet'!H8*'Output-Calculation-sheet'!H17</f>
        <v>0</v>
      </c>
      <c r="I31" s="2">
        <f>I9/'Output-Calculation-sheet'!I8*'Output-Calculation-sheet'!I17</f>
        <v>2485.3855346432811</v>
      </c>
      <c r="J31" s="2">
        <f>J9/'Output-Calculation-sheet'!J8*'Output-Calculation-sheet'!J17</f>
        <v>2266.8394545005244</v>
      </c>
      <c r="K31" s="2">
        <f>K9/'Output-Calculation-sheet'!K8*'Output-Calculation-sheet'!K17</f>
        <v>2807.8918717982529</v>
      </c>
      <c r="L31" s="2">
        <f>L9/'Output-Calculation-sheet'!L8*'Output-Calculation-sheet'!L17</f>
        <v>2317.8724934032057</v>
      </c>
      <c r="M31" s="2">
        <f>M9/'Output-Calculation-sheet'!M8*'Output-Calculation-sheet'!M17</f>
        <v>0</v>
      </c>
      <c r="N31" s="2">
        <f>N9/'Output-Calculation-sheet'!N8*'Output-Calculation-sheet'!N17</f>
        <v>1025.3037353222244</v>
      </c>
      <c r="O31" s="2">
        <f>O9/'Output-Calculation-sheet'!O8*'Output-Calculation-sheet'!O17</f>
        <v>0</v>
      </c>
      <c r="P31" s="2">
        <f>P9/'Output-Calculation-sheet'!P8*'Output-Calculation-sheet'!P17</f>
        <v>1864.6764351390864</v>
      </c>
      <c r="Q31" s="2">
        <f>Q9/'Output-Calculation-sheet'!Q8*'Output-Calculation-sheet'!Q17</f>
        <v>2043.5058892930663</v>
      </c>
      <c r="R31" s="2">
        <f>R9/'Output-Calculation-sheet'!R8*'Output-Calculation-sheet'!R17</f>
        <v>1774.280258237545</v>
      </c>
      <c r="S31" s="2">
        <f>S9/'Output-Calculation-sheet'!S8*'Output-Calculation-sheet'!S17</f>
        <v>885.27478936110901</v>
      </c>
      <c r="T31" s="2">
        <f>T9/'Output-Calculation-sheet'!T8*'Output-Calculation-sheet'!T17</f>
        <v>646.56240169427861</v>
      </c>
      <c r="U31" s="2">
        <f>U9/'Output-Calculation-sheet'!U8*'Output-Calculation-sheet'!U17</f>
        <v>498.66118218233203</v>
      </c>
      <c r="V31" s="2">
        <f>V9/'Output-Calculation-sheet'!V8*'Output-Calculation-sheet'!V17</f>
        <v>477.86371566401721</v>
      </c>
      <c r="W31" s="2">
        <f>W9/'Output-Calculation-sheet'!W8*'Output-Calculation-sheet'!W17</f>
        <v>330.90320338265133</v>
      </c>
      <c r="X31" s="2">
        <f>X9/'Output-Calculation-sheet'!X8*'Output-Calculation-sheet'!X17</f>
        <v>0</v>
      </c>
      <c r="Y31" s="2">
        <f>Y9/'Output-Calculation-sheet'!Y8*'Output-Calculation-sheet'!Y17</f>
        <v>218.75911433773723</v>
      </c>
      <c r="AA31" s="2">
        <f t="shared" si="1"/>
        <v>63.13987172124618</v>
      </c>
    </row>
    <row r="32" spans="1:27" x14ac:dyDescent="0.25">
      <c r="A32" s="2">
        <v>2033</v>
      </c>
      <c r="B32" s="2">
        <f>B10/'Output-Calculation-sheet'!B9*'Output-Calculation-sheet'!B18</f>
        <v>22633.24929660523</v>
      </c>
      <c r="C32" s="2">
        <f>C10/'Output-Calculation-sheet'!C9*'Output-Calculation-sheet'!C18</f>
        <v>0</v>
      </c>
      <c r="D32" s="2">
        <f>D10/'Output-Calculation-sheet'!D9*'Output-Calculation-sheet'!D18</f>
        <v>7555.9380482650913</v>
      </c>
      <c r="E32" s="2">
        <f>E10/'Output-Calculation-sheet'!E9*'Output-Calculation-sheet'!E18</f>
        <v>7824.3967734150419</v>
      </c>
      <c r="F32" s="2">
        <f>F10/'Output-Calculation-sheet'!F9*'Output-Calculation-sheet'!F18</f>
        <v>4370.4197257023598</v>
      </c>
      <c r="G32" s="2">
        <f>G10/'Output-Calculation-sheet'!G9*'Output-Calculation-sheet'!G18</f>
        <v>2635.8710680722911</v>
      </c>
      <c r="H32" s="2">
        <f>H10/'Output-Calculation-sheet'!H9*'Output-Calculation-sheet'!H18</f>
        <v>0</v>
      </c>
      <c r="I32" s="2">
        <f>I10/'Output-Calculation-sheet'!I9*'Output-Calculation-sheet'!I18</f>
        <v>2672.1622278086002</v>
      </c>
      <c r="J32" s="2">
        <f>J10/'Output-Calculation-sheet'!J9*'Output-Calculation-sheet'!J18</f>
        <v>2437.1325925248689</v>
      </c>
      <c r="K32" s="2">
        <f>K10/'Output-Calculation-sheet'!K9*'Output-Calculation-sheet'!K18</f>
        <v>3025.7386364962076</v>
      </c>
      <c r="L32" s="2">
        <f>L10/'Output-Calculation-sheet'!L9*'Output-Calculation-sheet'!L18</f>
        <v>2493.619671810914</v>
      </c>
      <c r="M32" s="2">
        <f>M10/'Output-Calculation-sheet'!M9*'Output-Calculation-sheet'!M18</f>
        <v>0</v>
      </c>
      <c r="N32" s="2">
        <f>N10/'Output-Calculation-sheet'!N9*'Output-Calculation-sheet'!N18</f>
        <v>987.01287902532897</v>
      </c>
      <c r="O32" s="2">
        <f>O10/'Output-Calculation-sheet'!O9*'Output-Calculation-sheet'!O18</f>
        <v>0</v>
      </c>
      <c r="P32" s="2">
        <f>P10/'Output-Calculation-sheet'!P9*'Output-Calculation-sheet'!P18</f>
        <v>2019.4588495882419</v>
      </c>
      <c r="Q32" s="2">
        <f>Q10/'Output-Calculation-sheet'!Q9*'Output-Calculation-sheet'!Q18</f>
        <v>2214.8094628187564</v>
      </c>
      <c r="R32" s="2">
        <f>R10/'Output-Calculation-sheet'!R9*'Output-Calculation-sheet'!R18</f>
        <v>1913.0507183759994</v>
      </c>
      <c r="S32" s="2">
        <f>S10/'Output-Calculation-sheet'!S9*'Output-Calculation-sheet'!S18</f>
        <v>890.45684617707184</v>
      </c>
      <c r="T32" s="2">
        <f>T10/'Output-Calculation-sheet'!T9*'Output-Calculation-sheet'!T18</f>
        <v>695.85942088522336</v>
      </c>
      <c r="U32" s="2">
        <f>U10/'Output-Calculation-sheet'!U9*'Output-Calculation-sheet'!U18</f>
        <v>536.66674940571056</v>
      </c>
      <c r="V32" s="2">
        <f>V10/'Output-Calculation-sheet'!V9*'Output-Calculation-sheet'!V18</f>
        <v>514.83706664593853</v>
      </c>
      <c r="W32" s="2">
        <f>W10/'Output-Calculation-sheet'!W9*'Output-Calculation-sheet'!W18</f>
        <v>355.25594592502404</v>
      </c>
      <c r="X32" s="2">
        <f>X10/'Output-Calculation-sheet'!X9*'Output-Calculation-sheet'!X18</f>
        <v>0</v>
      </c>
      <c r="Y32" s="2">
        <f>Y10/'Output-Calculation-sheet'!Y9*'Output-Calculation-sheet'!Y18</f>
        <v>235.55095212605934</v>
      </c>
      <c r="AA32" s="2">
        <f t="shared" si="1"/>
        <v>66.011486931673943</v>
      </c>
    </row>
    <row r="33" spans="1:27" x14ac:dyDescent="0.25">
      <c r="A33" s="2">
        <v>2034</v>
      </c>
      <c r="B33" s="2">
        <f>B11/'Output-Calculation-sheet'!B10*'Output-Calculation-sheet'!B19</f>
        <v>22114.329637575131</v>
      </c>
      <c r="C33" s="2">
        <f>C11/'Output-Calculation-sheet'!C10*'Output-Calculation-sheet'!C19</f>
        <v>0</v>
      </c>
      <c r="D33" s="2">
        <f>D11/'Output-Calculation-sheet'!D10*'Output-Calculation-sheet'!D19</f>
        <v>7819.1680909218021</v>
      </c>
      <c r="E33" s="2">
        <f>E11/'Output-Calculation-sheet'!E10*'Output-Calculation-sheet'!E19</f>
        <v>8116.0968574517674</v>
      </c>
      <c r="F33" s="2">
        <f>F11/'Output-Calculation-sheet'!F10*'Output-Calculation-sheet'!F19</f>
        <v>4524.979647449104</v>
      </c>
      <c r="G33" s="2">
        <f>G11/'Output-Calculation-sheet'!G10*'Output-Calculation-sheet'!G19</f>
        <v>2724.8129783056206</v>
      </c>
      <c r="H33" s="2">
        <f>H11/'Output-Calculation-sheet'!H10*'Output-Calculation-sheet'!H19</f>
        <v>0</v>
      </c>
      <c r="I33" s="2">
        <f>I11/'Output-Calculation-sheet'!I10*'Output-Calculation-sheet'!I19</f>
        <v>2775.2423704785192</v>
      </c>
      <c r="J33" s="2">
        <f>J11/'Output-Calculation-sheet'!J10*'Output-Calculation-sheet'!J19</f>
        <v>2522.1947803386029</v>
      </c>
      <c r="K33" s="2">
        <f>K11/'Output-Calculation-sheet'!K10*'Output-Calculation-sheet'!K19</f>
        <v>3141.5799806539417</v>
      </c>
      <c r="L33" s="2">
        <f>L11/'Output-Calculation-sheet'!L10*'Output-Calculation-sheet'!L19</f>
        <v>2583.9135854378819</v>
      </c>
      <c r="M33" s="2">
        <f>M11/'Output-Calculation-sheet'!M10*'Output-Calculation-sheet'!M19</f>
        <v>0</v>
      </c>
      <c r="N33" s="2">
        <f>N11/'Output-Calculation-sheet'!N10*'Output-Calculation-sheet'!N19</f>
        <v>957.55363806364505</v>
      </c>
      <c r="O33" s="2">
        <f>O11/'Output-Calculation-sheet'!O10*'Output-Calculation-sheet'!O19</f>
        <v>0</v>
      </c>
      <c r="P33" s="2">
        <f>P11/'Output-Calculation-sheet'!P10*'Output-Calculation-sheet'!P19</f>
        <v>2106.1476900176658</v>
      </c>
      <c r="Q33" s="2">
        <f>Q11/'Output-Calculation-sheet'!Q10*'Output-Calculation-sheet'!Q19</f>
        <v>2313.8130640954996</v>
      </c>
      <c r="R33" s="2">
        <f>R11/'Output-Calculation-sheet'!R10*'Output-Calculation-sheet'!R19</f>
        <v>1985.6117277591813</v>
      </c>
      <c r="S33" s="2">
        <f>S11/'Output-Calculation-sheet'!S10*'Output-Calculation-sheet'!S19</f>
        <v>915.79825169850392</v>
      </c>
      <c r="T33" s="2">
        <f>T11/'Output-Calculation-sheet'!T10*'Output-Calculation-sheet'!T19</f>
        <v>721.58816217558262</v>
      </c>
      <c r="U33" s="2">
        <f>U11/'Output-Calculation-sheet'!U10*'Output-Calculation-sheet'!U19</f>
        <v>558.3861494945761</v>
      </c>
      <c r="V33" s="2">
        <f>V11/'Output-Calculation-sheet'!V10*'Output-Calculation-sheet'!V19</f>
        <v>535.30288444213204</v>
      </c>
      <c r="W33" s="2">
        <f>W11/'Output-Calculation-sheet'!W10*'Output-Calculation-sheet'!W19</f>
        <v>367.7774982523419</v>
      </c>
      <c r="X33" s="2">
        <f>X11/'Output-Calculation-sheet'!X10*'Output-Calculation-sheet'!X19</f>
        <v>0</v>
      </c>
      <c r="Y33" s="2">
        <f>Y11/'Output-Calculation-sheet'!Y10*'Output-Calculation-sheet'!Y19</f>
        <v>244.18983988376621</v>
      </c>
      <c r="AA33" s="2">
        <f t="shared" si="1"/>
        <v>67.028486834495268</v>
      </c>
    </row>
    <row r="34" spans="1:27" x14ac:dyDescent="0.25">
      <c r="A34" s="2">
        <v>2035</v>
      </c>
      <c r="B34" s="2">
        <f>B12/'Output-Calculation-sheet'!B11*'Output-Calculation-sheet'!B20</f>
        <v>21307.01641192189</v>
      </c>
      <c r="C34" s="2">
        <f>C12/'Output-Calculation-sheet'!C11*'Output-Calculation-sheet'!C20</f>
        <v>0</v>
      </c>
      <c r="D34" s="2">
        <f>D12/'Output-Calculation-sheet'!D11*'Output-Calculation-sheet'!D20</f>
        <v>7879.9552614873774</v>
      </c>
      <c r="E34" s="2">
        <f>E12/'Output-Calculation-sheet'!E11*'Output-Calculation-sheet'!E20</f>
        <v>8175.7948353844058</v>
      </c>
      <c r="F34" s="2">
        <f>F12/'Output-Calculation-sheet'!F11*'Output-Calculation-sheet'!F20</f>
        <v>4551.6460186966187</v>
      </c>
      <c r="G34" s="2">
        <f>G12/'Output-Calculation-sheet'!G11*'Output-Calculation-sheet'!G20</f>
        <v>2734.8337778672844</v>
      </c>
      <c r="H34" s="2">
        <f>H12/'Output-Calculation-sheet'!H11*'Output-Calculation-sheet'!H20</f>
        <v>0</v>
      </c>
      <c r="I34" s="2">
        <f>I12/'Output-Calculation-sheet'!I11*'Output-Calculation-sheet'!I20</f>
        <v>2793.3090387922307</v>
      </c>
      <c r="J34" s="2">
        <f>J12/'Output-Calculation-sheet'!J11*'Output-Calculation-sheet'!J20</f>
        <v>2529.81445272984</v>
      </c>
      <c r="K34" s="2">
        <f>K12/'Output-Calculation-sheet'!K11*'Output-Calculation-sheet'!K20</f>
        <v>3164.6615120978431</v>
      </c>
      <c r="L34" s="2">
        <f>L12/'Output-Calculation-sheet'!L11*'Output-Calculation-sheet'!L20</f>
        <v>2598.3897411399621</v>
      </c>
      <c r="M34" s="2">
        <f>M12/'Output-Calculation-sheet'!M11*'Output-Calculation-sheet'!M20</f>
        <v>0</v>
      </c>
      <c r="N34" s="2">
        <f>N12/'Output-Calculation-sheet'!N11*'Output-Calculation-sheet'!N20</f>
        <v>914.1377502017109</v>
      </c>
      <c r="O34" s="2">
        <f>O12/'Output-Calculation-sheet'!O11*'Output-Calculation-sheet'!O20</f>
        <v>0</v>
      </c>
      <c r="P34" s="2">
        <f>P12/'Output-Calculation-sheet'!P11*'Output-Calculation-sheet'!P20</f>
        <v>2133.6728533208743</v>
      </c>
      <c r="Q34" s="2">
        <f>Q12/'Output-Calculation-sheet'!Q11*'Output-Calculation-sheet'!Q20</f>
        <v>2339.6703978777578</v>
      </c>
      <c r="R34" s="2">
        <f>R12/'Output-Calculation-sheet'!R11*'Output-Calculation-sheet'!R20</f>
        <v>2006.2719870616666</v>
      </c>
      <c r="S34" s="2">
        <f>S12/'Output-Calculation-sheet'!S11*'Output-Calculation-sheet'!S20</f>
        <v>862.79378715907251</v>
      </c>
      <c r="T34" s="2">
        <f>T12/'Output-Calculation-sheet'!T11*'Output-Calculation-sheet'!T20</f>
        <v>726.19354704408011</v>
      </c>
      <c r="U34" s="2">
        <f>U12/'Output-Calculation-sheet'!U11*'Output-Calculation-sheet'!U20</f>
        <v>563.29568382056664</v>
      </c>
      <c r="V34" s="2">
        <f>V12/'Output-Calculation-sheet'!V11*'Output-Calculation-sheet'!V20</f>
        <v>540.96879294300334</v>
      </c>
      <c r="W34" s="2">
        <f>W12/'Output-Calculation-sheet'!W11*'Output-Calculation-sheet'!W20</f>
        <v>369.66916612752516</v>
      </c>
      <c r="X34" s="2">
        <f>X12/'Output-Calculation-sheet'!X11*'Output-Calculation-sheet'!X20</f>
        <v>0</v>
      </c>
      <c r="Y34" s="2">
        <f>Y12/'Output-Calculation-sheet'!Y11*'Output-Calculation-sheet'!Y20</f>
        <v>246.08729839557662</v>
      </c>
      <c r="AA34" s="2">
        <f t="shared" si="1"/>
        <v>66.43818231406928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6.2180350124519599</v>
      </c>
      <c r="C63" s="2">
        <f>C8*'Output-Calculation-sheet'!C52/10^9</f>
        <v>2.9919818874489419</v>
      </c>
      <c r="D63" s="2">
        <f>D8*'Output-Calculation-sheet'!D52/10^9</f>
        <v>1.3608134517164616</v>
      </c>
      <c r="E63" s="2">
        <f>E8*'Output-Calculation-sheet'!E52/10^9</f>
        <v>1.514135430583466</v>
      </c>
      <c r="F63" s="2">
        <f>F8*'Output-Calculation-sheet'!F52/10^9</f>
        <v>0.6993653260134175</v>
      </c>
      <c r="G63" s="2">
        <f>G8*'Output-Calculation-sheet'!G52/10^9</f>
        <v>0.48340604935532505</v>
      </c>
      <c r="H63" s="2">
        <f>H8*'Output-Calculation-sheet'!H52/10^9</f>
        <v>0.91153740732989486</v>
      </c>
      <c r="I63" s="2">
        <f>I8*'Output-Calculation-sheet'!I52/10^9</f>
        <v>0.47701626756799836</v>
      </c>
      <c r="J63" s="2">
        <f>J8*'Output-Calculation-sheet'!J52/10^9</f>
        <v>0.4305950978867496</v>
      </c>
      <c r="K63" s="2">
        <f>K8*'Output-Calculation-sheet'!K52/10^9</f>
        <v>0.55575689769736669</v>
      </c>
      <c r="L63" s="2">
        <f>L8*'Output-Calculation-sheet'!L52/10^9</f>
        <v>0.45910561175348719</v>
      </c>
      <c r="M63" s="2">
        <f>M8*'Output-Calculation-sheet'!M52/10^9</f>
        <v>0.62976479092276194</v>
      </c>
      <c r="N63" s="2">
        <f>N8*'Output-Calculation-sheet'!N52/10^9</f>
        <v>0.658229534115778</v>
      </c>
      <c r="O63" s="2">
        <f>O8*'Output-Calculation-sheet'!O52/10^9</f>
        <v>0.58134889899508657</v>
      </c>
      <c r="P63" s="2">
        <f>P8*'Output-Calculation-sheet'!P52/10^9</f>
        <v>0.48728683392122335</v>
      </c>
      <c r="Q63" s="2">
        <f>Q8*'Output-Calculation-sheet'!Q52/10^9</f>
        <v>0.50251925908771433</v>
      </c>
      <c r="R63" s="2">
        <f>R8*'Output-Calculation-sheet'!R52/10^9</f>
        <v>0.40188565309320717</v>
      </c>
      <c r="S63" s="2">
        <f>S8*'Output-Calculation-sheet'!S52/10^9</f>
        <v>0.37046818481743016</v>
      </c>
      <c r="T63" s="2">
        <f>T8*'Output-Calculation-sheet'!T52/10^9</f>
        <v>0.1256307706961273</v>
      </c>
      <c r="U63" s="2">
        <f>U8*'Output-Calculation-sheet'!U52/10^9</f>
        <v>0.12629001807200169</v>
      </c>
      <c r="V63" s="2">
        <f>V8*'Output-Calculation-sheet'!V52/10^9</f>
        <v>9.405575352338845E-2</v>
      </c>
      <c r="W63" s="2">
        <f>W8*'Output-Calculation-sheet'!W52/10^9</f>
        <v>5.8805918324135162E-2</v>
      </c>
      <c r="X63" s="2">
        <f>X8*'Output-Calculation-sheet'!X52/10^9</f>
        <v>7.4890316415003585E-2</v>
      </c>
      <c r="Y63" s="2">
        <f>Y8*'Output-Calculation-sheet'!Y52/10^9</f>
        <v>4.921488901013709E-2</v>
      </c>
      <c r="AA63" s="2">
        <f t="shared" si="4"/>
        <v>20.262139260799067</v>
      </c>
    </row>
    <row r="64" spans="1:27" x14ac:dyDescent="0.25">
      <c r="A64" s="2">
        <v>2032</v>
      </c>
      <c r="B64" s="2">
        <f>B9*'Output-Calculation-sheet'!B53/10^9</f>
        <v>6.9588567569749253</v>
      </c>
      <c r="C64" s="2">
        <f>C9*'Output-Calculation-sheet'!C53/10^9</f>
        <v>3.3604246829205193</v>
      </c>
      <c r="D64" s="2">
        <f>D9*'Output-Calculation-sheet'!D53/10^9</f>
        <v>1.5206401958710725</v>
      </c>
      <c r="E64" s="2">
        <f>E9*'Output-Calculation-sheet'!E53/10^9</f>
        <v>1.6925760925316724</v>
      </c>
      <c r="F64" s="2">
        <f>F9*'Output-Calculation-sheet'!F53/10^9</f>
        <v>0.78100329123967149</v>
      </c>
      <c r="G64" s="2">
        <f>G9*'Output-Calculation-sheet'!G53/10^9</f>
        <v>0.54023091463937245</v>
      </c>
      <c r="H64" s="2">
        <f>H9*'Output-Calculation-sheet'!H53/10^9</f>
        <v>1.0143188829409007</v>
      </c>
      <c r="I64" s="2">
        <f>I9*'Output-Calculation-sheet'!I53/10^9</f>
        <v>0.53301836614304854</v>
      </c>
      <c r="J64" s="2">
        <f>J9*'Output-Calculation-sheet'!J53/10^9</f>
        <v>0.48111949150456373</v>
      </c>
      <c r="K64" s="2">
        <f>K9*'Output-Calculation-sheet'!K53/10^9</f>
        <v>0.62110354872348572</v>
      </c>
      <c r="L64" s="2">
        <f>L9*'Output-Calculation-sheet'!L53/10^9</f>
        <v>0.51308913198471073</v>
      </c>
      <c r="M64" s="2">
        <f>M9*'Output-Calculation-sheet'!M53/10^9</f>
        <v>0.70080878649049816</v>
      </c>
      <c r="N64" s="2">
        <f>N9*'Output-Calculation-sheet'!N53/10^9</f>
        <v>0.73342653462813145</v>
      </c>
      <c r="O64" s="2">
        <f>O9*'Output-Calculation-sheet'!O53/10^9</f>
        <v>0.65293817377933383</v>
      </c>
      <c r="P64" s="2">
        <f>P9*'Output-Calculation-sheet'!P53/10^9</f>
        <v>0.54524674203303558</v>
      </c>
      <c r="Q64" s="2">
        <f>Q9*'Output-Calculation-sheet'!Q53/10^9</f>
        <v>0.5621587461022024</v>
      </c>
      <c r="R64" s="2">
        <f>R9*'Output-Calculation-sheet'!R53/10^9</f>
        <v>0.44942076410451798</v>
      </c>
      <c r="S64" s="2">
        <f>S9*'Output-Calculation-sheet'!S53/10^9</f>
        <v>0.41359391238177157</v>
      </c>
      <c r="T64" s="2">
        <f>T9*'Output-Calculation-sheet'!T53/10^9</f>
        <v>0.14038880787160629</v>
      </c>
      <c r="U64" s="2">
        <f>U9*'Output-Calculation-sheet'!U53/10^9</f>
        <v>0.14129345313037234</v>
      </c>
      <c r="V64" s="2">
        <f>V9*'Output-Calculation-sheet'!V53/10^9</f>
        <v>0.10511265499119546</v>
      </c>
      <c r="W64" s="2">
        <f>W9*'Output-Calculation-sheet'!W53/10^9</f>
        <v>6.5683241081416516E-2</v>
      </c>
      <c r="X64" s="2">
        <f>X9*'Output-Calculation-sheet'!X53/10^9</f>
        <v>8.3419119087148455E-2</v>
      </c>
      <c r="Y64" s="2">
        <f>Y9*'Output-Calculation-sheet'!Y53/10^9</f>
        <v>5.5034376467661128E-2</v>
      </c>
      <c r="AA64" s="2">
        <f t="shared" si="4"/>
        <v>22.66490666762283</v>
      </c>
    </row>
    <row r="65" spans="1:27" x14ac:dyDescent="0.25">
      <c r="A65" s="2">
        <v>2033</v>
      </c>
      <c r="B65" s="2">
        <f>B10*'Output-Calculation-sheet'!B54/10^9</f>
        <v>7.4102644947379952</v>
      </c>
      <c r="C65" s="2">
        <f>C10*'Output-Calculation-sheet'!C54/10^9</f>
        <v>3.5872338977094218</v>
      </c>
      <c r="D65" s="2">
        <f>D10*'Output-Calculation-sheet'!D54/10^9</f>
        <v>1.6185040716971943</v>
      </c>
      <c r="E65" s="2">
        <f>E10*'Output-Calculation-sheet'!E54/10^9</f>
        <v>1.8021529212246106</v>
      </c>
      <c r="F65" s="2">
        <f>F10*'Output-Calculation-sheet'!F54/10^9</f>
        <v>0.8307265215236469</v>
      </c>
      <c r="G65" s="2">
        <f>G10*'Output-Calculation-sheet'!G54/10^9</f>
        <v>0.57505356200820124</v>
      </c>
      <c r="H65" s="2">
        <f>H10*'Output-Calculation-sheet'!H54/10^9</f>
        <v>1.074705068656848</v>
      </c>
      <c r="I65" s="2">
        <f>I10*'Output-Calculation-sheet'!I54/10^9</f>
        <v>0.56729768427468319</v>
      </c>
      <c r="J65" s="2">
        <f>J10*'Output-Calculation-sheet'!J54/10^9</f>
        <v>0.51203141210965764</v>
      </c>
      <c r="K65" s="2">
        <f>K10*'Output-Calculation-sheet'!K54/10^9</f>
        <v>0.66114742785448699</v>
      </c>
      <c r="L65" s="2">
        <f>L10*'Output-Calculation-sheet'!L54/10^9</f>
        <v>0.5461732539779528</v>
      </c>
      <c r="M65" s="2">
        <f>M10*'Output-Calculation-sheet'!M54/10^9</f>
        <v>0.74256265171691849</v>
      </c>
      <c r="N65" s="2">
        <f>N10*'Output-Calculation-sheet'!N54/10^9</f>
        <v>0.77794685617015291</v>
      </c>
      <c r="O65" s="2">
        <f>O10*'Output-Calculation-sheet'!O54/10^9</f>
        <v>0.69853520322467033</v>
      </c>
      <c r="P65" s="2">
        <f>P10*'Output-Calculation-sheet'!P54/10^9</f>
        <v>0.58110704388080747</v>
      </c>
      <c r="Q65" s="2">
        <f>Q10*'Output-Calculation-sheet'!Q54/10^9</f>
        <v>0.59898558019954995</v>
      </c>
      <c r="R65" s="2">
        <f>R10*'Output-Calculation-sheet'!R54/10^9</f>
        <v>0.47869939418800206</v>
      </c>
      <c r="S65" s="2">
        <f>S10*'Output-Calculation-sheet'!S54/10^9</f>
        <v>0.43941109855207361</v>
      </c>
      <c r="T65" s="2">
        <f>T10*'Output-Calculation-sheet'!T54/10^9</f>
        <v>0.14942583630888193</v>
      </c>
      <c r="U65" s="2">
        <f>U10*'Output-Calculation-sheet'!U54/10^9</f>
        <v>0.15056916791409622</v>
      </c>
      <c r="V65" s="2">
        <f>V10*'Output-Calculation-sheet'!V54/10^9</f>
        <v>0.11188632357442886</v>
      </c>
      <c r="W65" s="2">
        <f>W10*'Output-Calculation-sheet'!W54/10^9</f>
        <v>6.9878396589859573E-2</v>
      </c>
      <c r="X65" s="2">
        <f>X10*'Output-Calculation-sheet'!X54/10^9</f>
        <v>8.8471292547820046E-2</v>
      </c>
      <c r="Y65" s="2">
        <f>Y10*'Output-Calculation-sheet'!Y54/10^9</f>
        <v>5.8618284893909259E-2</v>
      </c>
      <c r="AA65" s="2">
        <f t="shared" si="4"/>
        <v>24.131387445535868</v>
      </c>
    </row>
    <row r="66" spans="1:27" x14ac:dyDescent="0.25">
      <c r="A66" s="2">
        <v>2034</v>
      </c>
      <c r="B66" s="2">
        <f>B11*'Output-Calculation-sheet'!B55/10^9</f>
        <v>7.5930567234260016</v>
      </c>
      <c r="C66" s="2">
        <f>C11*'Output-Calculation-sheet'!C55/10^9</f>
        <v>3.6685544774765493</v>
      </c>
      <c r="D66" s="2">
        <f>D11*'Output-Calculation-sheet'!D55/10^9</f>
        <v>1.6602505789311126</v>
      </c>
      <c r="E66" s="2">
        <f>E11*'Output-Calculation-sheet'!E55/10^9</f>
        <v>1.8492982273471117</v>
      </c>
      <c r="F66" s="2">
        <f>F11*'Output-Calculation-sheet'!F55/10^9</f>
        <v>0.85159037084878586</v>
      </c>
      <c r="G66" s="2">
        <f>G11*'Output-Calculation-sheet'!G55/10^9</f>
        <v>0.58994260808571097</v>
      </c>
      <c r="H66" s="2">
        <f>H11*'Output-Calculation-sheet'!H55/10^9</f>
        <v>1.0970351416637396</v>
      </c>
      <c r="I66" s="2">
        <f>I11*'Output-Calculation-sheet'!I55/10^9</f>
        <v>0.58189869369563241</v>
      </c>
      <c r="J66" s="2">
        <f>J11*'Output-Calculation-sheet'!J55/10^9</f>
        <v>0.52518565995888733</v>
      </c>
      <c r="K66" s="2">
        <f>K11*'Output-Calculation-sheet'!K55/10^9</f>
        <v>0.67826365692805557</v>
      </c>
      <c r="L66" s="2">
        <f>L11*'Output-Calculation-sheet'!L55/10^9</f>
        <v>0.56032165766320319</v>
      </c>
      <c r="M66" s="2">
        <f>M11*'Output-Calculation-sheet'!M55/10^9</f>
        <v>0.75802466328037943</v>
      </c>
      <c r="N66" s="2">
        <f>N11*'Output-Calculation-sheet'!N55/10^9</f>
        <v>0.79485245703051199</v>
      </c>
      <c r="O66" s="2">
        <f>O11*'Output-Calculation-sheet'!O55/10^9</f>
        <v>0.7202738561537565</v>
      </c>
      <c r="P66" s="2">
        <f>P11*'Output-Calculation-sheet'!P55/10^9</f>
        <v>0.59687978419624255</v>
      </c>
      <c r="Q66" s="2">
        <f>Q11*'Output-Calculation-sheet'!Q55/10^9</f>
        <v>0.61508723678142319</v>
      </c>
      <c r="R66" s="2">
        <f>R11*'Output-Calculation-sheet'!R55/10^9</f>
        <v>0.4914097151900822</v>
      </c>
      <c r="S66" s="2">
        <f>S11*'Output-Calculation-sheet'!S55/10^9</f>
        <v>0.44957939022175591</v>
      </c>
      <c r="T66" s="2">
        <f>T11*'Output-Calculation-sheet'!T55/10^9</f>
        <v>0.15328089624437596</v>
      </c>
      <c r="U66" s="2">
        <f>U11*'Output-Calculation-sheet'!U55/10^9</f>
        <v>0.1546407961217407</v>
      </c>
      <c r="V66" s="2">
        <f>V11*'Output-Calculation-sheet'!V55/10^9</f>
        <v>0.11477955231024907</v>
      </c>
      <c r="W66" s="2">
        <f>W11*'Output-Calculation-sheet'!W55/10^9</f>
        <v>7.1647680434652972E-2</v>
      </c>
      <c r="X66" s="2">
        <f>X11*'Output-Calculation-sheet'!X55/10^9</f>
        <v>9.0399335229495156E-2</v>
      </c>
      <c r="Y66" s="2">
        <f>Y11*'Output-Calculation-sheet'!Y55/10^9</f>
        <v>6.0173501241978671E-2</v>
      </c>
      <c r="AA66" s="2">
        <f t="shared" si="4"/>
        <v>24.726426660461431</v>
      </c>
    </row>
    <row r="67" spans="1:27" x14ac:dyDescent="0.25">
      <c r="A67" s="2">
        <v>2035</v>
      </c>
      <c r="B67" s="2">
        <f>B12*'Output-Calculation-sheet'!B56/10^9</f>
        <v>7.5458987315510075</v>
      </c>
      <c r="C67" s="2">
        <f>C12*'Output-Calculation-sheet'!C56/10^9</f>
        <v>3.6407255504780496</v>
      </c>
      <c r="D67" s="2">
        <f>D12*'Output-Calculation-sheet'!D56/10^9</f>
        <v>1.6534767057038224</v>
      </c>
      <c r="E67" s="2">
        <f>E12*'Output-Calculation-sheet'!E56/10^9</f>
        <v>1.8424100032535178</v>
      </c>
      <c r="F67" s="2">
        <f>F12*'Output-Calculation-sheet'!F56/10^9</f>
        <v>0.84754717016422643</v>
      </c>
      <c r="G67" s="2">
        <f>G12*'Output-Calculation-sheet'!G56/10^9</f>
        <v>0.58760144511535117</v>
      </c>
      <c r="H67" s="2">
        <f>H12*'Output-Calculation-sheet'!H56/10^9</f>
        <v>1.0868250704233196</v>
      </c>
      <c r="I67" s="2">
        <f>I12*'Output-Calculation-sheet'!I56/10^9</f>
        <v>0.57948963506358608</v>
      </c>
      <c r="J67" s="2">
        <f>J12*'Output-Calculation-sheet'!J56/10^9</f>
        <v>0.52299519278178686</v>
      </c>
      <c r="K67" s="2">
        <f>K12*'Output-Calculation-sheet'!K56/10^9</f>
        <v>0.6755563954737922</v>
      </c>
      <c r="L67" s="2">
        <f>L12*'Output-Calculation-sheet'!L56/10^9</f>
        <v>0.55809926919138142</v>
      </c>
      <c r="M67" s="2">
        <f>M12*'Output-Calculation-sheet'!M56/10^9</f>
        <v>0.75100242317745547</v>
      </c>
      <c r="N67" s="2">
        <f>N12*'Output-Calculation-sheet'!N56/10^9</f>
        <v>0.78818559566827462</v>
      </c>
      <c r="O67" s="2">
        <f>O12*'Output-Calculation-sheet'!O56/10^9</f>
        <v>0.71691609192378913</v>
      </c>
      <c r="P67" s="2">
        <f>P12*'Output-Calculation-sheet'!P56/10^9</f>
        <v>0.59522043697745342</v>
      </c>
      <c r="Q67" s="2">
        <f>Q12*'Output-Calculation-sheet'!Q56/10^9</f>
        <v>0.6132021629386446</v>
      </c>
      <c r="R67" s="2">
        <f>R12*'Output-Calculation-sheet'!R56/10^9</f>
        <v>0.48976502100610958</v>
      </c>
      <c r="S67" s="2">
        <f>S12*'Output-Calculation-sheet'!S56/10^9</f>
        <v>0.44631499037915562</v>
      </c>
      <c r="T67" s="2">
        <f>T12*'Output-Calculation-sheet'!T56/10^9</f>
        <v>0.1526564783084243</v>
      </c>
      <c r="U67" s="2">
        <f>U12*'Output-Calculation-sheet'!U56/10^9</f>
        <v>0.15419786032307622</v>
      </c>
      <c r="V67" s="2">
        <f>V12*'Output-Calculation-sheet'!V56/10^9</f>
        <v>0.11431598734712554</v>
      </c>
      <c r="W67" s="2">
        <f>W12*'Output-Calculation-sheet'!W56/10^9</f>
        <v>7.1322194569322081E-2</v>
      </c>
      <c r="X67" s="2">
        <f>X12*'Output-Calculation-sheet'!X56/10^9</f>
        <v>8.9642833980331751E-2</v>
      </c>
      <c r="Y67" s="2">
        <f>Y12*'Output-Calculation-sheet'!Y56/10^9</f>
        <v>5.9971340664538214E-2</v>
      </c>
      <c r="AA67" s="2">
        <f t="shared" si="4"/>
        <v>24.583338586463533</v>
      </c>
    </row>
    <row r="68" spans="1:27" x14ac:dyDescent="0.25">
      <c r="B68" s="2">
        <f>SUM(B60:B67)</f>
        <v>48.125997641082158</v>
      </c>
      <c r="C68" s="2">
        <f t="shared" ref="C68:Y68" si="5">SUM(C60:C67)</f>
        <v>23.160244475304761</v>
      </c>
      <c r="D68" s="2">
        <f t="shared" si="5"/>
        <v>10.538527181769444</v>
      </c>
      <c r="E68" s="2">
        <f t="shared" si="5"/>
        <v>11.729429364382327</v>
      </c>
      <c r="F68" s="2">
        <f t="shared" si="5"/>
        <v>5.4129792854178689</v>
      </c>
      <c r="G68" s="2">
        <f t="shared" si="5"/>
        <v>3.7440137306291548</v>
      </c>
      <c r="H68" s="2">
        <f t="shared" si="5"/>
        <v>7.0131584673090597</v>
      </c>
      <c r="I68" s="2">
        <f t="shared" si="5"/>
        <v>3.6939584845976023</v>
      </c>
      <c r="J68" s="2">
        <f t="shared" si="5"/>
        <v>3.334373582687614</v>
      </c>
      <c r="K68" s="2">
        <f t="shared" si="5"/>
        <v>4.3042372288657837</v>
      </c>
      <c r="L68" s="2">
        <f t="shared" si="5"/>
        <v>3.555756882697314</v>
      </c>
      <c r="M68" s="2">
        <f t="shared" si="5"/>
        <v>4.8451038113519669</v>
      </c>
      <c r="N68" s="2">
        <f t="shared" si="5"/>
        <v>5.0708728193544825</v>
      </c>
      <c r="O68" s="2">
        <f t="shared" si="5"/>
        <v>4.5185875233776347</v>
      </c>
      <c r="P68" s="2">
        <f t="shared" si="5"/>
        <v>3.7779259508562735</v>
      </c>
      <c r="Q68" s="2">
        <f t="shared" si="5"/>
        <v>3.8950840546623682</v>
      </c>
      <c r="R68" s="2">
        <f t="shared" si="5"/>
        <v>3.1142962905326943</v>
      </c>
      <c r="S68" s="2">
        <f t="shared" si="5"/>
        <v>2.8584805868616767</v>
      </c>
      <c r="T68" s="2">
        <f t="shared" si="5"/>
        <v>0.97291988471847191</v>
      </c>
      <c r="U68" s="2">
        <f t="shared" si="5"/>
        <v>0.97905794824379888</v>
      </c>
      <c r="V68" s="2">
        <f t="shared" si="5"/>
        <v>0.72842166733029889</v>
      </c>
      <c r="W68" s="2">
        <f t="shared" si="5"/>
        <v>0.45522535089802824</v>
      </c>
      <c r="X68" s="2">
        <f t="shared" si="5"/>
        <v>0.57660947084673264</v>
      </c>
      <c r="Y68" s="2">
        <f t="shared" si="5"/>
        <v>0.38136835586442319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12579630390.376976</v>
      </c>
      <c r="C96" s="2">
        <f>C8/'Output-Calculation-sheet'!C7*'Output-Calculation-sheet'!C79</f>
        <v>0</v>
      </c>
      <c r="D96" s="2">
        <f>D8/'Output-Calculation-sheet'!D7*'Output-Calculation-sheet'!D79</f>
        <v>7657091329.6883297</v>
      </c>
      <c r="E96" s="2">
        <f>E8/'Output-Calculation-sheet'!E7*'Output-Calculation-sheet'!E79</f>
        <v>11993747476.559881</v>
      </c>
      <c r="F96" s="2">
        <f>F8/'Output-Calculation-sheet'!F7*'Output-Calculation-sheet'!F79</f>
        <v>5741130458.5236006</v>
      </c>
      <c r="G96" s="2">
        <f>G8/'Output-Calculation-sheet'!G7*'Output-Calculation-sheet'!G79</f>
        <v>4376766614.4819717</v>
      </c>
      <c r="H96" s="2">
        <f>H8/'Output-Calculation-sheet'!H7*'Output-Calculation-sheet'!H79</f>
        <v>1182885659.4305851</v>
      </c>
      <c r="I96" s="2">
        <f>I8/'Output-Calculation-sheet'!I7*'Output-Calculation-sheet'!I79</f>
        <v>3001512426.6862087</v>
      </c>
      <c r="J96" s="2">
        <f>J8/'Output-Calculation-sheet'!J7*'Output-Calculation-sheet'!J79</f>
        <v>2136544686.0626414</v>
      </c>
      <c r="K96" s="2">
        <f>K8/'Output-Calculation-sheet'!K7*'Output-Calculation-sheet'!K79</f>
        <v>2662831834.9224486</v>
      </c>
      <c r="L96" s="2">
        <f>L8/'Output-Calculation-sheet'!L7*'Output-Calculation-sheet'!L79</f>
        <v>1852959466.4383616</v>
      </c>
      <c r="M96" s="2">
        <f>M8/'Output-Calculation-sheet'!M7*'Output-Calculation-sheet'!M79</f>
        <v>876903805.91306186</v>
      </c>
      <c r="N96" s="2">
        <f>N8/'Output-Calculation-sheet'!N7*'Output-Calculation-sheet'!N79</f>
        <v>977312544.04108739</v>
      </c>
      <c r="O96" s="2">
        <f>O8/'Output-Calculation-sheet'!O7*'Output-Calculation-sheet'!O79</f>
        <v>0</v>
      </c>
      <c r="P96" s="2">
        <f>P8/'Output-Calculation-sheet'!P7*'Output-Calculation-sheet'!P79</f>
        <v>2260300010.2800221</v>
      </c>
      <c r="Q96" s="2">
        <f>Q8/'Output-Calculation-sheet'!Q7*'Output-Calculation-sheet'!Q79</f>
        <v>1049344911.1386503</v>
      </c>
      <c r="R96" s="2">
        <f>R8/'Output-Calculation-sheet'!R7*'Output-Calculation-sheet'!R79</f>
        <v>1619002357.0338042</v>
      </c>
      <c r="S96" s="2">
        <f>S8/'Output-Calculation-sheet'!S7*'Output-Calculation-sheet'!S79</f>
        <v>593017416.78399575</v>
      </c>
      <c r="T96" s="2">
        <f>T8/'Output-Calculation-sheet'!T7*'Output-Calculation-sheet'!T79</f>
        <v>848609474.30185139</v>
      </c>
      <c r="U96" s="2">
        <f>U8/'Output-Calculation-sheet'!U7*'Output-Calculation-sheet'!U79</f>
        <v>430869285.35203749</v>
      </c>
      <c r="V96" s="2">
        <f>V8/'Output-Calculation-sheet'!V7*'Output-Calculation-sheet'!V79</f>
        <v>261195848.61474621</v>
      </c>
      <c r="W96" s="2">
        <f>W8/'Output-Calculation-sheet'!W7*'Output-Calculation-sheet'!W79</f>
        <v>909608509.23646152</v>
      </c>
      <c r="X96" s="2">
        <f>X8/'Output-Calculation-sheet'!X7*'Output-Calculation-sheet'!X79</f>
        <v>84805109.679821327</v>
      </c>
      <c r="Y96" s="2">
        <f>Y8/'Output-Calculation-sheet'!Y7*'Output-Calculation-sheet'!Y79</f>
        <v>386922260.51489276</v>
      </c>
      <c r="AA96" s="2">
        <f t="shared" si="8"/>
        <v>63.48299187606144</v>
      </c>
    </row>
    <row r="97" spans="1:27" x14ac:dyDescent="0.25">
      <c r="A97" s="2">
        <v>2032</v>
      </c>
      <c r="B97" s="2">
        <f>B9/'Output-Calculation-sheet'!B8*'Output-Calculation-sheet'!B80</f>
        <v>14255478125.921759</v>
      </c>
      <c r="C97" s="2">
        <f>C9/'Output-Calculation-sheet'!C8*'Output-Calculation-sheet'!C80</f>
        <v>0</v>
      </c>
      <c r="D97" s="2">
        <f>D9/'Output-Calculation-sheet'!D8*'Output-Calculation-sheet'!D80</f>
        <v>8275728755.2318449</v>
      </c>
      <c r="E97" s="2">
        <f>E9/'Output-Calculation-sheet'!E8*'Output-Calculation-sheet'!E80</f>
        <v>13351459378.150669</v>
      </c>
      <c r="F97" s="2">
        <f>F9/'Output-Calculation-sheet'!F8*'Output-Calculation-sheet'!F80</f>
        <v>6368856353.5595675</v>
      </c>
      <c r="G97" s="2">
        <f>G9/'Output-Calculation-sheet'!G8*'Output-Calculation-sheet'!G80</f>
        <v>4715992243.8578978</v>
      </c>
      <c r="H97" s="2">
        <f>H9/'Output-Calculation-sheet'!H8*'Output-Calculation-sheet'!H80</f>
        <v>1346800282.1759589</v>
      </c>
      <c r="I97" s="2">
        <f>I9/'Output-Calculation-sheet'!I8*'Output-Calculation-sheet'!I80</f>
        <v>3362855523.2583418</v>
      </c>
      <c r="J97" s="2">
        <f>J9/'Output-Calculation-sheet'!J8*'Output-Calculation-sheet'!J80</f>
        <v>2325717540.799624</v>
      </c>
      <c r="K97" s="2">
        <f>K9/'Output-Calculation-sheet'!K8*'Output-Calculation-sheet'!K80</f>
        <v>2925556121.0507574</v>
      </c>
      <c r="L97" s="2">
        <f>L9/'Output-Calculation-sheet'!L8*'Output-Calculation-sheet'!L80</f>
        <v>2100508048.3917098</v>
      </c>
      <c r="M97" s="2">
        <f>M9/'Output-Calculation-sheet'!M8*'Output-Calculation-sheet'!M80</f>
        <v>1000185651.2768991</v>
      </c>
      <c r="N97" s="2">
        <f>N9/'Output-Calculation-sheet'!N8*'Output-Calculation-sheet'!N80</f>
        <v>1064590828.1167381</v>
      </c>
      <c r="O97" s="2">
        <f>O9/'Output-Calculation-sheet'!O8*'Output-Calculation-sheet'!O80</f>
        <v>0</v>
      </c>
      <c r="P97" s="2">
        <f>P9/'Output-Calculation-sheet'!P8*'Output-Calculation-sheet'!P80</f>
        <v>2491332225.9633842</v>
      </c>
      <c r="Q97" s="2">
        <f>Q9/'Output-Calculation-sheet'!Q8*'Output-Calculation-sheet'!Q80</f>
        <v>1161580187.7805939</v>
      </c>
      <c r="R97" s="2">
        <f>R9/'Output-Calculation-sheet'!R8*'Output-Calculation-sheet'!R80</f>
        <v>1800360327.5580273</v>
      </c>
      <c r="S97" s="2">
        <f>S9/'Output-Calculation-sheet'!S8*'Output-Calculation-sheet'!S80</f>
        <v>678359135.08508909</v>
      </c>
      <c r="T97" s="2">
        <f>T9/'Output-Calculation-sheet'!T8*'Output-Calculation-sheet'!T80</f>
        <v>925801443.54240644</v>
      </c>
      <c r="U97" s="2">
        <f>U9/'Output-Calculation-sheet'!U8*'Output-Calculation-sheet'!U80</f>
        <v>479343662.43972421</v>
      </c>
      <c r="V97" s="2">
        <f>V9/'Output-Calculation-sheet'!V8*'Output-Calculation-sheet'!V80</f>
        <v>293854212.11178863</v>
      </c>
      <c r="W97" s="2">
        <f>W9/'Output-Calculation-sheet'!W8*'Output-Calculation-sheet'!W80</f>
        <v>1000428157.793558</v>
      </c>
      <c r="X97" s="2">
        <f>X9/'Output-Calculation-sheet'!X8*'Output-Calculation-sheet'!X80</f>
        <v>99045817.893564552</v>
      </c>
      <c r="Y97" s="2">
        <f>Y9/'Output-Calculation-sheet'!Y8*'Output-Calculation-sheet'!Y80</f>
        <v>425985230.20444071</v>
      </c>
      <c r="AA97" s="2">
        <f t="shared" si="8"/>
        <v>70.449819252164346</v>
      </c>
    </row>
    <row r="98" spans="1:27" x14ac:dyDescent="0.25">
      <c r="A98" s="2">
        <v>2033</v>
      </c>
      <c r="B98" s="2">
        <f>B10/'Output-Calculation-sheet'!B9*'Output-Calculation-sheet'!B81</f>
        <v>15987079011.090858</v>
      </c>
      <c r="C98" s="2">
        <f>C10/'Output-Calculation-sheet'!C9*'Output-Calculation-sheet'!C81</f>
        <v>2093835143.2002132</v>
      </c>
      <c r="D98" s="2">
        <f>D10/'Output-Calculation-sheet'!D9*'Output-Calculation-sheet'!D81</f>
        <v>8523232645.4961519</v>
      </c>
      <c r="E98" s="2">
        <f>E10/'Output-Calculation-sheet'!E9*'Output-Calculation-sheet'!E81</f>
        <v>14151546594.58807</v>
      </c>
      <c r="F98" s="2">
        <f>F10/'Output-Calculation-sheet'!F9*'Output-Calculation-sheet'!F81</f>
        <v>6737409835.4662485</v>
      </c>
      <c r="G98" s="2">
        <f>G10/'Output-Calculation-sheet'!G9*'Output-Calculation-sheet'!G81</f>
        <v>4837980602.8739176</v>
      </c>
      <c r="H98" s="2">
        <f>H10/'Output-Calculation-sheet'!H9*'Output-Calculation-sheet'!H81</f>
        <v>1458044634.861053</v>
      </c>
      <c r="I98" s="2">
        <f>I10/'Output-Calculation-sheet'!I9*'Output-Calculation-sheet'!I81</f>
        <v>3590876179.7706876</v>
      </c>
      <c r="J98" s="2">
        <f>J10/'Output-Calculation-sheet'!J9*'Output-Calculation-sheet'!J81</f>
        <v>2414601844.2353983</v>
      </c>
      <c r="K98" s="2">
        <f>K10/'Output-Calculation-sheet'!K9*'Output-Calculation-sheet'!K81</f>
        <v>3066465480.9198313</v>
      </c>
      <c r="L98" s="2">
        <f>L10/'Output-Calculation-sheet'!L9*'Output-Calculation-sheet'!L81</f>
        <v>2267174907.5021191</v>
      </c>
      <c r="M98" s="2">
        <f>M10/'Output-Calculation-sheet'!M9*'Output-Calculation-sheet'!M81</f>
        <v>1087123467.6193595</v>
      </c>
      <c r="N98" s="2">
        <f>N10/'Output-Calculation-sheet'!N9*'Output-Calculation-sheet'!N81</f>
        <v>1106260178.7946589</v>
      </c>
      <c r="O98" s="2">
        <f>O10/'Output-Calculation-sheet'!O9*'Output-Calculation-sheet'!O81</f>
        <v>0</v>
      </c>
      <c r="P98" s="2">
        <f>P10/'Output-Calculation-sheet'!P9*'Output-Calculation-sheet'!P81</f>
        <v>2608814152.8660774</v>
      </c>
      <c r="Q98" s="2">
        <f>Q10/'Output-Calculation-sheet'!Q9*'Output-Calculation-sheet'!Q81</f>
        <v>1224539707.7148652</v>
      </c>
      <c r="R98" s="2">
        <f>R10/'Output-Calculation-sheet'!R9*'Output-Calculation-sheet'!R81</f>
        <v>1910843301.1952674</v>
      </c>
      <c r="S98" s="2">
        <f>S10/'Output-Calculation-sheet'!S9*'Output-Calculation-sheet'!S81</f>
        <v>725578559.6256212</v>
      </c>
      <c r="T98" s="2">
        <f>T10/'Output-Calculation-sheet'!T9*'Output-Calculation-sheet'!T81</f>
        <v>963067611.66113424</v>
      </c>
      <c r="U98" s="2">
        <f>U10/'Output-Calculation-sheet'!U9*'Output-Calculation-sheet'!U81</f>
        <v>507634872.16719443</v>
      </c>
      <c r="V98" s="2">
        <f>V10/'Output-Calculation-sheet'!V9*'Output-Calculation-sheet'!V81</f>
        <v>314577841.29002273</v>
      </c>
      <c r="W98" s="2">
        <f>W10/'Output-Calculation-sheet'!W9*'Output-Calculation-sheet'!W81</f>
        <v>1045867833.2857599</v>
      </c>
      <c r="X98" s="2">
        <f>X10/'Output-Calculation-sheet'!X9*'Output-Calculation-sheet'!X81</f>
        <v>108797301.33869435</v>
      </c>
      <c r="Y98" s="2">
        <f>Y10/'Output-Calculation-sheet'!Y9*'Output-Calculation-sheet'!Y81</f>
        <v>446484640.03739786</v>
      </c>
      <c r="AA98" s="2">
        <f t="shared" si="8"/>
        <v>77.177836347600618</v>
      </c>
    </row>
    <row r="99" spans="1:27" x14ac:dyDescent="0.25">
      <c r="A99" s="2">
        <v>2034</v>
      </c>
      <c r="B99" s="2">
        <f>B11/'Output-Calculation-sheet'!B10*'Output-Calculation-sheet'!B82</f>
        <v>16960579093.405518</v>
      </c>
      <c r="C99" s="2">
        <f>C11/'Output-Calculation-sheet'!C10*'Output-Calculation-sheet'!C82</f>
        <v>2300275469.3047681</v>
      </c>
      <c r="D99" s="2">
        <f>D11/'Output-Calculation-sheet'!D10*'Output-Calculation-sheet'!D82</f>
        <v>8462526280.2788658</v>
      </c>
      <c r="E99" s="2">
        <f>E11/'Output-Calculation-sheet'!E10*'Output-Calculation-sheet'!E82</f>
        <v>14472363354.712864</v>
      </c>
      <c r="F99" s="2">
        <f>F11/'Output-Calculation-sheet'!F10*'Output-Calculation-sheet'!F82</f>
        <v>6873043652.7558689</v>
      </c>
      <c r="G99" s="2">
        <f>G11/'Output-Calculation-sheet'!G10*'Output-Calculation-sheet'!G82</f>
        <v>4774408425.4549065</v>
      </c>
      <c r="H99" s="2">
        <f>H11/'Output-Calculation-sheet'!H10*'Output-Calculation-sheet'!H82</f>
        <v>1523482073.3160524</v>
      </c>
      <c r="I99" s="2">
        <f>I11/'Output-Calculation-sheet'!I10*'Output-Calculation-sheet'!I82</f>
        <v>3701021364.8352218</v>
      </c>
      <c r="J99" s="2">
        <f>J11/'Output-Calculation-sheet'!J10*'Output-Calculation-sheet'!J82</f>
        <v>2418000729.0009451</v>
      </c>
      <c r="K99" s="2">
        <f>K11/'Output-Calculation-sheet'!K10*'Output-Calculation-sheet'!K82</f>
        <v>3100309774.3529744</v>
      </c>
      <c r="L99" s="2">
        <f>L11/'Output-Calculation-sheet'!L10*'Output-Calculation-sheet'!L82</f>
        <v>2357486169.2964015</v>
      </c>
      <c r="M99" s="2">
        <f>M11/'Output-Calculation-sheet'!M10*'Output-Calculation-sheet'!M82</f>
        <v>1139611830.0558963</v>
      </c>
      <c r="N99" s="2">
        <f>N11/'Output-Calculation-sheet'!N10*'Output-Calculation-sheet'!N82</f>
        <v>1112210060.9424343</v>
      </c>
      <c r="O99" s="2">
        <f>O11/'Output-Calculation-sheet'!O10*'Output-Calculation-sheet'!O82</f>
        <v>0</v>
      </c>
      <c r="P99" s="2">
        <f>P11/'Output-Calculation-sheet'!P10*'Output-Calculation-sheet'!P82</f>
        <v>2630645267.1716514</v>
      </c>
      <c r="Q99" s="2">
        <f>Q11/'Output-Calculation-sheet'!Q10*'Output-Calculation-sheet'!Q82</f>
        <v>1245627865.2056727</v>
      </c>
      <c r="R99" s="2">
        <f>R11/'Output-Calculation-sheet'!R10*'Output-Calculation-sheet'!R82</f>
        <v>1954805698.2734985</v>
      </c>
      <c r="S99" s="2">
        <f>S11/'Output-Calculation-sheet'!S10*'Output-Calculation-sheet'!S82</f>
        <v>761657753.50383472</v>
      </c>
      <c r="T99" s="2">
        <f>T11/'Output-Calculation-sheet'!T10*'Output-Calculation-sheet'!T82</f>
        <v>965822565.61220312</v>
      </c>
      <c r="U99" s="2">
        <f>U11/'Output-Calculation-sheet'!U10*'Output-Calculation-sheet'!U82</f>
        <v>519156051.86043751</v>
      </c>
      <c r="V99" s="2">
        <f>V11/'Output-Calculation-sheet'!V10*'Output-Calculation-sheet'!V82</f>
        <v>324770818.8168422</v>
      </c>
      <c r="W99" s="2">
        <f>W11/'Output-Calculation-sheet'!W10*'Output-Calculation-sheet'!W82</f>
        <v>1052780311.327521</v>
      </c>
      <c r="X99" s="2">
        <f>X11/'Output-Calculation-sheet'!X10*'Output-Calculation-sheet'!X82</f>
        <v>115841463.76837355</v>
      </c>
      <c r="Y99" s="2">
        <f>Y11/'Output-Calculation-sheet'!Y10*'Output-Calculation-sheet'!Y82</f>
        <v>450456270.60950029</v>
      </c>
      <c r="AA99" s="2">
        <f t="shared" si="8"/>
        <v>79.216882343862224</v>
      </c>
    </row>
    <row r="100" spans="1:27" x14ac:dyDescent="0.25">
      <c r="A100" s="2">
        <v>2035</v>
      </c>
      <c r="B100" s="2">
        <f>B12/'Output-Calculation-sheet'!B11*'Output-Calculation-sheet'!B83</f>
        <v>17184814070.648666</v>
      </c>
      <c r="C100" s="2">
        <f>C12/'Output-Calculation-sheet'!C11*'Output-Calculation-sheet'!C83</f>
        <v>2431400423.8439012</v>
      </c>
      <c r="D100" s="2">
        <f>D12/'Output-Calculation-sheet'!D11*'Output-Calculation-sheet'!D83</f>
        <v>8173167053.6438818</v>
      </c>
      <c r="E100" s="2">
        <f>E12/'Output-Calculation-sheet'!E11*'Output-Calculation-sheet'!E83</f>
        <v>14379200451.272882</v>
      </c>
      <c r="F100" s="2">
        <f>F12/'Output-Calculation-sheet'!F11*'Output-Calculation-sheet'!F83</f>
        <v>6814399739.2279339</v>
      </c>
      <c r="G100" s="2">
        <f>G12/'Output-Calculation-sheet'!G11*'Output-Calculation-sheet'!G83</f>
        <v>4570249778.9824991</v>
      </c>
      <c r="H100" s="2">
        <f>H12/'Output-Calculation-sheet'!H11*'Output-Calculation-sheet'!H83</f>
        <v>1539986148.8359733</v>
      </c>
      <c r="I100" s="2">
        <f>I12/'Output-Calculation-sheet'!I11*'Output-Calculation-sheet'!I83</f>
        <v>3702957179.8522458</v>
      </c>
      <c r="J100" s="2">
        <f>J12/'Output-Calculation-sheet'!J11*'Output-Calculation-sheet'!J83</f>
        <v>2352552406.3315201</v>
      </c>
      <c r="K100" s="2">
        <f>K12/'Output-Calculation-sheet'!K11*'Output-Calculation-sheet'!K83</f>
        <v>3045177737.5524235</v>
      </c>
      <c r="L100" s="2">
        <f>L12/'Output-Calculation-sheet'!L11*'Output-Calculation-sheet'!L83</f>
        <v>2379310350.5767217</v>
      </c>
      <c r="M100" s="2">
        <f>M12/'Output-Calculation-sheet'!M11*'Output-Calculation-sheet'!M83</f>
        <v>1154294044.4743664</v>
      </c>
      <c r="N100" s="2">
        <f>N12/'Output-Calculation-sheet'!N11*'Output-Calculation-sheet'!N83</f>
        <v>1087378712.2871025</v>
      </c>
      <c r="O100" s="2">
        <f>O12/'Output-Calculation-sheet'!O11*'Output-Calculation-sheet'!O83</f>
        <v>293360914.855739</v>
      </c>
      <c r="P100" s="2">
        <f>P12/'Output-Calculation-sheet'!P11*'Output-Calculation-sheet'!P83</f>
        <v>2575820475.9452991</v>
      </c>
      <c r="Q100" s="2">
        <f>Q12/'Output-Calculation-sheet'!Q11*'Output-Calculation-sheet'!Q83</f>
        <v>1235303058.1090724</v>
      </c>
      <c r="R100" s="2">
        <f>R12/'Output-Calculation-sheet'!R11*'Output-Calculation-sheet'!R83</f>
        <v>1945850507.6385038</v>
      </c>
      <c r="S100" s="2">
        <f>S12/'Output-Calculation-sheet'!S11*'Output-Calculation-sheet'!S83</f>
        <v>754700947.74045515</v>
      </c>
      <c r="T100" s="2">
        <f>T12/'Output-Calculation-sheet'!T11*'Output-Calculation-sheet'!T83</f>
        <v>940688105.70021474</v>
      </c>
      <c r="U100" s="2">
        <f>U12/'Output-Calculation-sheet'!U11*'Output-Calculation-sheet'!U83</f>
        <v>515304401.8552143</v>
      </c>
      <c r="V100" s="2">
        <f>V12/'Output-Calculation-sheet'!V11*'Output-Calculation-sheet'!V83</f>
        <v>325694464.44027686</v>
      </c>
      <c r="W100" s="2">
        <f>W12/'Output-Calculation-sheet'!W11*'Output-Calculation-sheet'!W83</f>
        <v>1027738514.5012969</v>
      </c>
      <c r="X100" s="2">
        <f>X12/'Output-Calculation-sheet'!X11*'Output-Calculation-sheet'!X83</f>
        <v>119589672.23608106</v>
      </c>
      <c r="Y100" s="2">
        <f>Y12/'Output-Calculation-sheet'!Y11*'Output-Calculation-sheet'!Y83</f>
        <v>441259424.20597392</v>
      </c>
      <c r="AA100" s="2">
        <f t="shared" si="8"/>
        <v>78.990198584758247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4.5612816739932247E-4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4105266509.8103542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2812718421.7708716</v>
      </c>
      <c r="N118" s="2">
        <f>N8/'Output-Calculation-sheet'!N7*'Output-Calculation-sheet'!N97</f>
        <v>1859382291.4015377</v>
      </c>
      <c r="O118" s="2">
        <f>O8/'Output-Calculation-sheet'!O7*'Output-Calculation-sheet'!O97</f>
        <v>2.5096069190933532E-5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460942071.12140536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267322825.11696658</v>
      </c>
      <c r="Y118" s="2">
        <f>Y8/'Output-Calculation-sheet'!Y7*'Output-Calculation-sheet'!Y97</f>
        <v>0</v>
      </c>
      <c r="AA118" s="2">
        <f t="shared" si="10"/>
        <v>9505.6321192216146</v>
      </c>
    </row>
    <row r="119" spans="1:27" x14ac:dyDescent="0.25">
      <c r="A119" s="2">
        <v>2032</v>
      </c>
      <c r="B119" s="2">
        <f>B9/'Output-Calculation-sheet'!B8*'Output-Calculation-sheet'!B98</f>
        <v>4419229.0236307625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4745608437.2873726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3247585578.6620212</v>
      </c>
      <c r="N119" s="2">
        <f>N9/'Output-Calculation-sheet'!N8*'Output-Calculation-sheet'!N98</f>
        <v>2369396803.2571583</v>
      </c>
      <c r="O119" s="2">
        <f>O9/'Output-Calculation-sheet'!O8*'Output-Calculation-sheet'!O98</f>
        <v>2.4166226894998394E-4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745508103.90436184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312775525.05825746</v>
      </c>
      <c r="Y119" s="2">
        <f>Y9/'Output-Calculation-sheet'!Y8*'Output-Calculation-sheet'!Y98</f>
        <v>0</v>
      </c>
      <c r="AA119" s="2">
        <f t="shared" si="10"/>
        <v>11425.293677193045</v>
      </c>
    </row>
    <row r="120" spans="1:27" x14ac:dyDescent="0.25">
      <c r="A120" s="2">
        <v>2033</v>
      </c>
      <c r="B120" s="2">
        <f>B10/'Output-Calculation-sheet'!B9*'Output-Calculation-sheet'!B99</f>
        <v>6330417520.4326477</v>
      </c>
      <c r="C120" s="2">
        <f>C10/'Output-Calculation-sheet'!C9*'Output-Calculation-sheet'!C99</f>
        <v>11782647616.696575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5212008429.6179342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3570193875.9942732</v>
      </c>
      <c r="N120" s="2">
        <f>N10/'Output-Calculation-sheet'!N9*'Output-Calculation-sheet'!N99</f>
        <v>2821987559.0820761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987139435.36916387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344033707.13241518</v>
      </c>
      <c r="Y120" s="2">
        <f>Y10/'Output-Calculation-sheet'!Y9*'Output-Calculation-sheet'!Y99</f>
        <v>0</v>
      </c>
      <c r="AA120" s="2">
        <f t="shared" si="10"/>
        <v>31048.428144325087</v>
      </c>
    </row>
    <row r="121" spans="1:27" x14ac:dyDescent="0.25">
      <c r="A121" s="2">
        <v>2034</v>
      </c>
      <c r="B121" s="2">
        <f>B11/'Output-Calculation-sheet'!B10*'Output-Calculation-sheet'!B100</f>
        <v>11105607142.065798</v>
      </c>
      <c r="C121" s="2">
        <f>C11/'Output-Calculation-sheet'!C10*'Output-Calculation-sheet'!C100</f>
        <v>12866502574.915009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5520498372.8092833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3782115994.5676827</v>
      </c>
      <c r="N121" s="2">
        <f>N11/'Output-Calculation-sheet'!N10*'Output-Calculation-sheet'!N100</f>
        <v>3087867143.5320473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1185393582.194905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366648170.75118655</v>
      </c>
      <c r="Y121" s="2">
        <f>Y11/'Output-Calculation-sheet'!Y10*'Output-Calculation-sheet'!Y100</f>
        <v>0</v>
      </c>
      <c r="AA121" s="2">
        <f t="shared" si="10"/>
        <v>37914.632980835915</v>
      </c>
    </row>
    <row r="122" spans="1:27" x14ac:dyDescent="0.25">
      <c r="A122" s="2">
        <v>2035</v>
      </c>
      <c r="B122" s="2">
        <f>B12/'Output-Calculation-sheet'!B11*'Output-Calculation-sheet'!B101</f>
        <v>13831869127.142406</v>
      </c>
      <c r="C122" s="2">
        <f>C12/'Output-Calculation-sheet'!C11*'Output-Calculation-sheet'!C101</f>
        <v>13519418880.096718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5652405667.6429243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3868105621.8114095</v>
      </c>
      <c r="N122" s="2">
        <f>N12/'Output-Calculation-sheet'!N11*'Output-Calculation-sheet'!N101</f>
        <v>3232965095.0460153</v>
      </c>
      <c r="O122" s="2">
        <f>O12/'Output-Calculation-sheet'!O11*'Output-Calculation-sheet'!O101</f>
        <v>2310582765.7104259</v>
      </c>
      <c r="P122" s="2">
        <f>P12/'Output-Calculation-sheet'!P11*'Output-Calculation-sheet'!P101</f>
        <v>0</v>
      </c>
      <c r="Q122" s="2">
        <f>Q12/'Output-Calculation-sheet'!Q11*'Output-Calculation-sheet'!Q101</f>
        <v>42178786.021712348</v>
      </c>
      <c r="R122" s="2">
        <f>R12/'Output-Calculation-sheet'!R11*'Output-Calculation-sheet'!R101</f>
        <v>0</v>
      </c>
      <c r="S122" s="2">
        <f>S12/'Output-Calculation-sheet'!S11*'Output-Calculation-sheet'!S101</f>
        <v>1361176477.8761635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378713276.76101172</v>
      </c>
      <c r="Y122" s="2">
        <f>Y12/'Output-Calculation-sheet'!Y11*'Output-Calculation-sheet'!Y101</f>
        <v>0</v>
      </c>
      <c r="AA122" s="2">
        <f t="shared" si="10"/>
        <v>44197.415698108787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51449896132.738785</v>
      </c>
      <c r="C129" s="2">
        <f>C8/'Output-Calculation-sheet'!C7*'Output-Calculation-sheet'!C106</f>
        <v>0</v>
      </c>
      <c r="D129" s="2">
        <f>D8/'Output-Calculation-sheet'!D7*'Output-Calculation-sheet'!D106</f>
        <v>37244394372.306862</v>
      </c>
      <c r="E129" s="2">
        <f>E8/'Output-Calculation-sheet'!E7*'Output-Calculation-sheet'!E106</f>
        <v>26033479927.377213</v>
      </c>
      <c r="F129" s="2">
        <f>F8/'Output-Calculation-sheet'!F7*'Output-Calculation-sheet'!F106</f>
        <v>19381951743.177956</v>
      </c>
      <c r="G129" s="2">
        <f>G8/'Output-Calculation-sheet'!G7*'Output-Calculation-sheet'!G106</f>
        <v>13328671827.676205</v>
      </c>
      <c r="H129" s="2">
        <f>H8/'Output-Calculation-sheet'!H7*'Output-Calculation-sheet'!H106</f>
        <v>0</v>
      </c>
      <c r="I129" s="2">
        <f>I8/'Output-Calculation-sheet'!I7*'Output-Calculation-sheet'!I106</f>
        <v>11954793407.875137</v>
      </c>
      <c r="J129" s="2">
        <f>J8/'Output-Calculation-sheet'!J7*'Output-Calculation-sheet'!J106</f>
        <v>12248499819.672903</v>
      </c>
      <c r="K129" s="2">
        <f>K8/'Output-Calculation-sheet'!K7*'Output-Calculation-sheet'!K106</f>
        <v>10567736614.282187</v>
      </c>
      <c r="L129" s="2">
        <f>L8/'Output-Calculation-sheet'!L7*'Output-Calculation-sheet'!L106</f>
        <v>8360567008.1472044</v>
      </c>
      <c r="M129" s="2">
        <f>M8/'Output-Calculation-sheet'!M7*'Output-Calculation-sheet'!M106</f>
        <v>0</v>
      </c>
      <c r="N129" s="2">
        <f>N8/'Output-Calculation-sheet'!N7*'Output-Calculation-sheet'!N106</f>
        <v>2275635021.0061321</v>
      </c>
      <c r="O129" s="2">
        <f>O8/'Output-Calculation-sheet'!O7*'Output-Calculation-sheet'!O106</f>
        <v>0</v>
      </c>
      <c r="P129" s="2">
        <f>P8/'Output-Calculation-sheet'!P7*'Output-Calculation-sheet'!P106</f>
        <v>5148691824.3245153</v>
      </c>
      <c r="Q129" s="2">
        <f>Q8/'Output-Calculation-sheet'!Q7*'Output-Calculation-sheet'!Q106</f>
        <v>5045995343.1952009</v>
      </c>
      <c r="R129" s="2">
        <f>R8/'Output-Calculation-sheet'!R7*'Output-Calculation-sheet'!R106</f>
        <v>6003299896.5375156</v>
      </c>
      <c r="S129" s="2">
        <f>S8/'Output-Calculation-sheet'!S7*'Output-Calculation-sheet'!S106</f>
        <v>2047308494.2965453</v>
      </c>
      <c r="T129" s="2">
        <f>T8/'Output-Calculation-sheet'!T7*'Output-Calculation-sheet'!T106</f>
        <v>2599084410.958199</v>
      </c>
      <c r="U129" s="2">
        <f>U8/'Output-Calculation-sheet'!U7*'Output-Calculation-sheet'!U106</f>
        <v>1829696430.5758424</v>
      </c>
      <c r="V129" s="2">
        <f>V8/'Output-Calculation-sheet'!V7*'Output-Calculation-sheet'!V106</f>
        <v>1646108019.1263635</v>
      </c>
      <c r="W129" s="2">
        <f>W8/'Output-Calculation-sheet'!W7*'Output-Calculation-sheet'!W106</f>
        <v>1679606262.7277322</v>
      </c>
      <c r="X129" s="2">
        <f>X8/'Output-Calculation-sheet'!X7*'Output-Calculation-sheet'!X106</f>
        <v>0</v>
      </c>
      <c r="Y129" s="2">
        <f>Y8/'Output-Calculation-sheet'!Y7*'Output-Calculation-sheet'!Y106</f>
        <v>758385763.76743698</v>
      </c>
      <c r="AA129" s="2">
        <f t="shared" si="11"/>
        <v>219603.80231976992</v>
      </c>
    </row>
    <row r="130" spans="1:27" x14ac:dyDescent="0.25">
      <c r="A130" s="2">
        <v>2032</v>
      </c>
      <c r="B130" s="2">
        <f>B9/'Output-Calculation-sheet'!B8*'Output-Calculation-sheet'!B107</f>
        <v>58332310107.666084</v>
      </c>
      <c r="C130" s="2">
        <f>C9/'Output-Calculation-sheet'!C8*'Output-Calculation-sheet'!C107</f>
        <v>0</v>
      </c>
      <c r="D130" s="2">
        <f>D9/'Output-Calculation-sheet'!D8*'Output-Calculation-sheet'!D107</f>
        <v>41912291762.743752</v>
      </c>
      <c r="E130" s="2">
        <f>E9/'Output-Calculation-sheet'!E8*'Output-Calculation-sheet'!E107</f>
        <v>29334389610.52787</v>
      </c>
      <c r="F130" s="2">
        <f>F9/'Output-Calculation-sheet'!F8*'Output-Calculation-sheet'!F107</f>
        <v>21805312558.057388</v>
      </c>
      <c r="G130" s="2">
        <f>G9/'Output-Calculation-sheet'!G8*'Output-Calculation-sheet'!G107</f>
        <v>14987686714.253532</v>
      </c>
      <c r="H130" s="2">
        <f>H9/'Output-Calculation-sheet'!H8*'Output-Calculation-sheet'!H107</f>
        <v>0</v>
      </c>
      <c r="I130" s="2">
        <f>I9/'Output-Calculation-sheet'!I8*'Output-Calculation-sheet'!I107</f>
        <v>13454199896.458071</v>
      </c>
      <c r="J130" s="2">
        <f>J9/'Output-Calculation-sheet'!J8*'Output-Calculation-sheet'!J107</f>
        <v>13776294734.207884</v>
      </c>
      <c r="K130" s="2">
        <f>K9/'Output-Calculation-sheet'!K8*'Output-Calculation-sheet'!K107</f>
        <v>11904798068.872559</v>
      </c>
      <c r="L130" s="2">
        <f>L9/'Output-Calculation-sheet'!L8*'Output-Calculation-sheet'!L107</f>
        <v>9420960062.7923336</v>
      </c>
      <c r="M130" s="2">
        <f>M9/'Output-Calculation-sheet'!M8*'Output-Calculation-sheet'!M107</f>
        <v>0</v>
      </c>
      <c r="N130" s="2">
        <f>N9/'Output-Calculation-sheet'!N8*'Output-Calculation-sheet'!N107</f>
        <v>2274175298.5866942</v>
      </c>
      <c r="O130" s="2">
        <f>O9/'Output-Calculation-sheet'!O8*'Output-Calculation-sheet'!O107</f>
        <v>0</v>
      </c>
      <c r="P130" s="2">
        <f>P9/'Output-Calculation-sheet'!P8*'Output-Calculation-sheet'!P107</f>
        <v>5844505625.9090557</v>
      </c>
      <c r="Q130" s="2">
        <f>Q9/'Output-Calculation-sheet'!Q8*'Output-Calculation-sheet'!Q107</f>
        <v>5731447167.1960487</v>
      </c>
      <c r="R130" s="2">
        <f>R9/'Output-Calculation-sheet'!R8*'Output-Calculation-sheet'!R107</f>
        <v>6763882221.9464483</v>
      </c>
      <c r="S130" s="2">
        <f>S9/'Output-Calculation-sheet'!S8*'Output-Calculation-sheet'!S107</f>
        <v>2173026192.6300955</v>
      </c>
      <c r="T130" s="2">
        <f>T9/'Output-Calculation-sheet'!T8*'Output-Calculation-sheet'!T107</f>
        <v>2925358634.3792653</v>
      </c>
      <c r="U130" s="2">
        <f>U9/'Output-Calculation-sheet'!U8*'Output-Calculation-sheet'!U107</f>
        <v>2063524306.2726498</v>
      </c>
      <c r="V130" s="2">
        <f>V9/'Output-Calculation-sheet'!V8*'Output-Calculation-sheet'!V107</f>
        <v>1857734040.5914514</v>
      </c>
      <c r="W130" s="2">
        <f>W9/'Output-Calculation-sheet'!W8*'Output-Calculation-sheet'!W107</f>
        <v>1890786717.080888</v>
      </c>
      <c r="X130" s="2">
        <f>X9/'Output-Calculation-sheet'!X8*'Output-Calculation-sheet'!X107</f>
        <v>0</v>
      </c>
      <c r="Y130" s="2">
        <f>Y9/'Output-Calculation-sheet'!Y8*'Output-Calculation-sheet'!Y107</f>
        <v>854652944.63665748</v>
      </c>
      <c r="AA130" s="2">
        <f t="shared" si="11"/>
        <v>247307.33666480877</v>
      </c>
    </row>
    <row r="131" spans="1:27" x14ac:dyDescent="0.25">
      <c r="A131" s="2">
        <v>2033</v>
      </c>
      <c r="B131" s="2">
        <f>B10/'Output-Calculation-sheet'!B9*'Output-Calculation-sheet'!B108</f>
        <v>59121402912.561714</v>
      </c>
      <c r="C131" s="2">
        <f>C10/'Output-Calculation-sheet'!C9*'Output-Calculation-sheet'!C108</f>
        <v>0</v>
      </c>
      <c r="D131" s="2">
        <f>D10/'Output-Calculation-sheet'!D9*'Output-Calculation-sheet'!D108</f>
        <v>44917570898.987495</v>
      </c>
      <c r="E131" s="2">
        <f>E10/'Output-Calculation-sheet'!E9*'Output-Calculation-sheet'!E108</f>
        <v>31456038754.803314</v>
      </c>
      <c r="F131" s="2">
        <f>F10/'Output-Calculation-sheet'!F9*'Output-Calculation-sheet'!F108</f>
        <v>23375263278.551163</v>
      </c>
      <c r="G131" s="2">
        <f>G10/'Output-Calculation-sheet'!G9*'Output-Calculation-sheet'!G108</f>
        <v>16062778873.87295</v>
      </c>
      <c r="H131" s="2">
        <f>H10/'Output-Calculation-sheet'!H9*'Output-Calculation-sheet'!H108</f>
        <v>0</v>
      </c>
      <c r="I131" s="2">
        <f>I10/'Output-Calculation-sheet'!I9*'Output-Calculation-sheet'!I108</f>
        <v>14421992728.979412</v>
      </c>
      <c r="J131" s="2">
        <f>J10/'Output-Calculation-sheet'!J9*'Output-Calculation-sheet'!J108</f>
        <v>14761864531.299477</v>
      </c>
      <c r="K131" s="2">
        <f>K10/'Output-Calculation-sheet'!K9*'Output-Calculation-sheet'!K108</f>
        <v>12782689027.32402</v>
      </c>
      <c r="L131" s="2">
        <f>L10/'Output-Calculation-sheet'!L9*'Output-Calculation-sheet'!L108</f>
        <v>10108548135.039759</v>
      </c>
      <c r="M131" s="2">
        <f>M10/'Output-Calculation-sheet'!M9*'Output-Calculation-sheet'!M108</f>
        <v>0</v>
      </c>
      <c r="N131" s="2">
        <f>N10/'Output-Calculation-sheet'!N9*'Output-Calculation-sheet'!N108</f>
        <v>2148335609.7298737</v>
      </c>
      <c r="O131" s="2">
        <f>O10/'Output-Calculation-sheet'!O9*'Output-Calculation-sheet'!O108</f>
        <v>0</v>
      </c>
      <c r="P131" s="2">
        <f>P10/'Output-Calculation-sheet'!P9*'Output-Calculation-sheet'!P108</f>
        <v>6305176775.6714907</v>
      </c>
      <c r="Q131" s="2">
        <f>Q10/'Output-Calculation-sheet'!Q9*'Output-Calculation-sheet'!Q108</f>
        <v>6192861254.1514349</v>
      </c>
      <c r="R131" s="2">
        <f>R10/'Output-Calculation-sheet'!R9*'Output-Calculation-sheet'!R108</f>
        <v>7268041377.0276365</v>
      </c>
      <c r="S131" s="2">
        <f>S10/'Output-Calculation-sheet'!S9*'Output-Calculation-sheet'!S108</f>
        <v>2185416098.9514761</v>
      </c>
      <c r="T131" s="2">
        <f>T10/'Output-Calculation-sheet'!T9*'Output-Calculation-sheet'!T108</f>
        <v>3138520597.8256073</v>
      </c>
      <c r="U131" s="2">
        <f>U10/'Output-Calculation-sheet'!U9*'Output-Calculation-sheet'!U108</f>
        <v>2214437963.4875555</v>
      </c>
      <c r="V131" s="2">
        <f>V10/'Output-Calculation-sheet'!V9*'Output-Calculation-sheet'!V108</f>
        <v>1995171741.9686608</v>
      </c>
      <c r="W131" s="2">
        <f>W10/'Output-Calculation-sheet'!W9*'Output-Calculation-sheet'!W108</f>
        <v>2025488885.9944203</v>
      </c>
      <c r="X131" s="2">
        <f>X10/'Output-Calculation-sheet'!X9*'Output-Calculation-sheet'!X108</f>
        <v>0</v>
      </c>
      <c r="Y131" s="2">
        <f>Y10/'Output-Calculation-sheet'!Y9*'Output-Calculation-sheet'!Y108</f>
        <v>917576745.28367686</v>
      </c>
      <c r="AA131" s="2">
        <f t="shared" si="11"/>
        <v>261399.1761915111</v>
      </c>
    </row>
    <row r="132" spans="1:27" x14ac:dyDescent="0.25">
      <c r="A132" s="2">
        <v>2034</v>
      </c>
      <c r="B132" s="2">
        <f>B11/'Output-Calculation-sheet'!B10*'Output-Calculation-sheet'!B109</f>
        <v>58355310800.604111</v>
      </c>
      <c r="C132" s="2">
        <f>C11/'Output-Calculation-sheet'!C10*'Output-Calculation-sheet'!C109</f>
        <v>0</v>
      </c>
      <c r="D132" s="2">
        <f>D11/'Output-Calculation-sheet'!D10*'Output-Calculation-sheet'!D109</f>
        <v>46374916606.427917</v>
      </c>
      <c r="E132" s="2">
        <f>E11/'Output-Calculation-sheet'!E10*'Output-Calculation-sheet'!E109</f>
        <v>32528562173.585468</v>
      </c>
      <c r="F132" s="2">
        <f>F11/'Output-Calculation-sheet'!F10*'Output-Calculation-sheet'!F109</f>
        <v>24145951993.036297</v>
      </c>
      <c r="G132" s="2">
        <f>G11/'Output-Calculation-sheet'!G10*'Output-Calculation-sheet'!G109</f>
        <v>16577310928.497572</v>
      </c>
      <c r="H132" s="2">
        <f>H11/'Output-Calculation-sheet'!H10*'Output-Calculation-sheet'!H109</f>
        <v>0</v>
      </c>
      <c r="I132" s="2">
        <f>I11/'Output-Calculation-sheet'!I10*'Output-Calculation-sheet'!I109</f>
        <v>14912999632.514151</v>
      </c>
      <c r="J132" s="2">
        <f>J11/'Output-Calculation-sheet'!J10*'Output-Calculation-sheet'!J109</f>
        <v>15239147064.22991</v>
      </c>
      <c r="K132" s="2">
        <f>K11/'Output-Calculation-sheet'!K10*'Output-Calculation-sheet'!K109</f>
        <v>13226432889.076561</v>
      </c>
      <c r="L132" s="2">
        <f>L11/'Output-Calculation-sheet'!L10*'Output-Calculation-sheet'!L109</f>
        <v>10450044707.48472</v>
      </c>
      <c r="M132" s="2">
        <f>M11/'Output-Calculation-sheet'!M10*'Output-Calculation-sheet'!M109</f>
        <v>0</v>
      </c>
      <c r="N132" s="2">
        <f>N11/'Output-Calculation-sheet'!N10*'Output-Calculation-sheet'!N109</f>
        <v>2054607969.3592768</v>
      </c>
      <c r="O132" s="2">
        <f>O11/'Output-Calculation-sheet'!O10*'Output-Calculation-sheet'!O109</f>
        <v>0</v>
      </c>
      <c r="P132" s="2">
        <f>P11/'Output-Calculation-sheet'!P10*'Output-Calculation-sheet'!P109</f>
        <v>6551879773.4212971</v>
      </c>
      <c r="Q132" s="2">
        <f>Q11/'Output-Calculation-sheet'!Q10*'Output-Calculation-sheet'!Q109</f>
        <v>6449311451.6562166</v>
      </c>
      <c r="R132" s="2">
        <f>R11/'Output-Calculation-sheet'!R10*'Output-Calculation-sheet'!R109</f>
        <v>7521840691.2450247</v>
      </c>
      <c r="S132" s="2">
        <f>S11/'Output-Calculation-sheet'!S10*'Output-Calculation-sheet'!S109</f>
        <v>2196272284.0242472</v>
      </c>
      <c r="T132" s="2">
        <f>T11/'Output-Calculation-sheet'!T10*'Output-Calculation-sheet'!T109</f>
        <v>3244826919.1177182</v>
      </c>
      <c r="U132" s="2">
        <f>U11/'Output-Calculation-sheet'!U10*'Output-Calculation-sheet'!U109</f>
        <v>2293985271.1515665</v>
      </c>
      <c r="V132" s="2">
        <f>V11/'Output-Calculation-sheet'!V10*'Output-Calculation-sheet'!V109</f>
        <v>2066674221.3992517</v>
      </c>
      <c r="W132" s="2">
        <f>W11/'Output-Calculation-sheet'!W10*'Output-Calculation-sheet'!W109</f>
        <v>2091626522.1178286</v>
      </c>
      <c r="X132" s="2">
        <f>X11/'Output-Calculation-sheet'!X10*'Output-Calculation-sheet'!X109</f>
        <v>0</v>
      </c>
      <c r="Y132" s="2">
        <f>Y11/'Output-Calculation-sheet'!Y10*'Output-Calculation-sheet'!Y109</f>
        <v>948903946.41869748</v>
      </c>
      <c r="AA132" s="2">
        <f t="shared" si="11"/>
        <v>267230.60584536789</v>
      </c>
    </row>
    <row r="133" spans="1:27" x14ac:dyDescent="0.25">
      <c r="A133" s="2">
        <v>2035</v>
      </c>
      <c r="B133" s="2">
        <f>B12/'Output-Calculation-sheet'!B11*'Output-Calculation-sheet'!B110</f>
        <v>56565058303.20993</v>
      </c>
      <c r="C133" s="2">
        <f>C12/'Output-Calculation-sheet'!C11*'Output-Calculation-sheet'!C110</f>
        <v>0</v>
      </c>
      <c r="D133" s="2">
        <f>D12/'Output-Calculation-sheet'!D11*'Output-Calculation-sheet'!D110</f>
        <v>46536800255.324257</v>
      </c>
      <c r="E133" s="2">
        <f>E12/'Output-Calculation-sheet'!E11*'Output-Calculation-sheet'!E110</f>
        <v>32662837956.710941</v>
      </c>
      <c r="F133" s="2">
        <f>F12/'Output-Calculation-sheet'!F11*'Output-Calculation-sheet'!F110</f>
        <v>24223247583.499962</v>
      </c>
      <c r="G133" s="2">
        <f>G12/'Output-Calculation-sheet'!G11*'Output-Calculation-sheet'!G110</f>
        <v>16610771672.165035</v>
      </c>
      <c r="H133" s="2">
        <f>H12/'Output-Calculation-sheet'!H11*'Output-Calculation-sheet'!H110</f>
        <v>0</v>
      </c>
      <c r="I133" s="2">
        <f>I12/'Output-Calculation-sheet'!I11*'Output-Calculation-sheet'!I110</f>
        <v>14961292962.161171</v>
      </c>
      <c r="J133" s="2">
        <f>J12/'Output-Calculation-sheet'!J11*'Output-Calculation-sheet'!J110</f>
        <v>15265702279.895029</v>
      </c>
      <c r="K133" s="2">
        <f>K12/'Output-Calculation-sheet'!K11*'Output-Calculation-sheet'!K110</f>
        <v>13282455781.954931</v>
      </c>
      <c r="L133" s="2">
        <f>L12/'Output-Calculation-sheet'!L11*'Output-Calculation-sheet'!L110</f>
        <v>10486184278.757401</v>
      </c>
      <c r="M133" s="2">
        <f>M12/'Output-Calculation-sheet'!M11*'Output-Calculation-sheet'!M110</f>
        <v>0</v>
      </c>
      <c r="N133" s="2">
        <f>N12/'Output-Calculation-sheet'!N11*'Output-Calculation-sheet'!N110</f>
        <v>1935896913.5800307</v>
      </c>
      <c r="O133" s="2">
        <f>O12/'Output-Calculation-sheet'!O11*'Output-Calculation-sheet'!O110</f>
        <v>0</v>
      </c>
      <c r="P133" s="2">
        <f>P12/'Output-Calculation-sheet'!P11*'Output-Calculation-sheet'!P110</f>
        <v>6612089057.3753319</v>
      </c>
      <c r="Q133" s="2">
        <f>Q12/'Output-Calculation-sheet'!Q11*'Output-Calculation-sheet'!Q110</f>
        <v>6498120325.5219641</v>
      </c>
      <c r="R133" s="2">
        <f>R12/'Output-Calculation-sheet'!R11*'Output-Calculation-sheet'!R110</f>
        <v>7569067952.9100513</v>
      </c>
      <c r="S133" s="2">
        <f>S12/'Output-Calculation-sheet'!S11*'Output-Calculation-sheet'!S110</f>
        <v>2038429419.6886032</v>
      </c>
      <c r="T133" s="2">
        <f>T12/'Output-Calculation-sheet'!T11*'Output-Calculation-sheet'!T110</f>
        <v>3256472600.4017859</v>
      </c>
      <c r="U133" s="2">
        <f>U12/'Output-Calculation-sheet'!U11*'Output-Calculation-sheet'!U110</f>
        <v>2305578275.5790277</v>
      </c>
      <c r="V133" s="2">
        <f>V12/'Output-Calculation-sheet'!V11*'Output-Calculation-sheet'!V110</f>
        <v>2079650722.4684381</v>
      </c>
      <c r="W133" s="2">
        <f>W12/'Output-Calculation-sheet'!W11*'Output-Calculation-sheet'!W110</f>
        <v>2097107843.4624586</v>
      </c>
      <c r="X133" s="2">
        <f>X12/'Output-Calculation-sheet'!X11*'Output-Calculation-sheet'!X110</f>
        <v>0</v>
      </c>
      <c r="Y133" s="2">
        <f>Y12/'Output-Calculation-sheet'!Y11*'Output-Calculation-sheet'!Y110</f>
        <v>953388536.78952599</v>
      </c>
      <c r="AA133" s="2">
        <f t="shared" si="11"/>
        <v>265940.1527214559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63987484367.749268</v>
      </c>
      <c r="C151" s="2">
        <f>C8/'Output-Calculation-sheet'!C7*'Output-Calculation-sheet'!C124</f>
        <v>54399876035.121178</v>
      </c>
      <c r="D151" s="2">
        <f>D8/'Output-Calculation-sheet'!D7*'Output-Calculation-sheet'!D124</f>
        <v>11240492636.538198</v>
      </c>
      <c r="E151" s="2">
        <f>E8/'Output-Calculation-sheet'!E7*'Output-Calculation-sheet'!E124</f>
        <v>12434395328.760538</v>
      </c>
      <c r="F151" s="2">
        <f>F8/'Output-Calculation-sheet'!F7*'Output-Calculation-sheet'!F124</f>
        <v>5381193586.1605453</v>
      </c>
      <c r="G151" s="2">
        <f>G8/'Output-Calculation-sheet'!G7*'Output-Calculation-sheet'!G124</f>
        <v>4070635603.4443178</v>
      </c>
      <c r="H151" s="2">
        <f>H8/'Output-Calculation-sheet'!H7*'Output-Calculation-sheet'!H124</f>
        <v>12867107992.70517</v>
      </c>
      <c r="I151" s="2">
        <f>I8/'Output-Calculation-sheet'!I7*'Output-Calculation-sheet'!I124</f>
        <v>3897308422.7260132</v>
      </c>
      <c r="J151" s="2">
        <f>J8/'Output-Calculation-sheet'!J7*'Output-Calculation-sheet'!J124</f>
        <v>3180795492.2015858</v>
      </c>
      <c r="K151" s="2">
        <f>K8/'Output-Calculation-sheet'!K7*'Output-Calculation-sheet'!K124</f>
        <v>4713659071.4324312</v>
      </c>
      <c r="L151" s="2">
        <f>L8/'Output-Calculation-sheet'!L7*'Output-Calculation-sheet'!L124</f>
        <v>3898397526.3717308</v>
      </c>
      <c r="M151" s="2">
        <f>M8/'Output-Calculation-sheet'!M7*'Output-Calculation-sheet'!M124</f>
        <v>8896731327.9032249</v>
      </c>
      <c r="N151" s="2">
        <f>N8/'Output-Calculation-sheet'!N7*'Output-Calculation-sheet'!N124</f>
        <v>7357754889.3515511</v>
      </c>
      <c r="O151" s="2">
        <f>O8/'Output-Calculation-sheet'!O7*'Output-Calculation-sheet'!O124</f>
        <v>10569943155.492228</v>
      </c>
      <c r="P151" s="2">
        <f>P8/'Output-Calculation-sheet'!P7*'Output-Calculation-sheet'!P124</f>
        <v>5313756803.3343821</v>
      </c>
      <c r="Q151" s="2">
        <f>Q8/'Output-Calculation-sheet'!Q7*'Output-Calculation-sheet'!Q124</f>
        <v>5247343030.4839077</v>
      </c>
      <c r="R151" s="2">
        <f>R8/'Output-Calculation-sheet'!R7*'Output-Calculation-sheet'!R124</f>
        <v>3899384202.7477746</v>
      </c>
      <c r="S151" s="2">
        <f>S8/'Output-Calculation-sheet'!S7*'Output-Calculation-sheet'!S124</f>
        <v>4073565229.1804843</v>
      </c>
      <c r="T151" s="2">
        <f>T8/'Output-Calculation-sheet'!T7*'Output-Calculation-sheet'!T124</f>
        <v>1041032163.553436</v>
      </c>
      <c r="U151" s="2">
        <f>U8/'Output-Calculation-sheet'!U7*'Output-Calculation-sheet'!U124</f>
        <v>1340726653.7978573</v>
      </c>
      <c r="V151" s="2">
        <f>V8/'Output-Calculation-sheet'!V7*'Output-Calculation-sheet'!V124</f>
        <v>795170602.3676697</v>
      </c>
      <c r="W151" s="2">
        <f>W8/'Output-Calculation-sheet'!W7*'Output-Calculation-sheet'!W124</f>
        <v>434016398.69399941</v>
      </c>
      <c r="X151" s="2">
        <f>X8/'Output-Calculation-sheet'!X7*'Output-Calculation-sheet'!X124</f>
        <v>1000844173.0119847</v>
      </c>
      <c r="Y151" s="2">
        <f>Y8/'Output-Calculation-sheet'!Y7*'Output-Calculation-sheet'!Y124</f>
        <v>474894822.0237748</v>
      </c>
      <c r="AA151" s="2">
        <f t="shared" si="13"/>
        <v>230516.5095151533</v>
      </c>
    </row>
    <row r="152" spans="1:27" x14ac:dyDescent="0.25">
      <c r="A152" s="2">
        <v>2032</v>
      </c>
      <c r="B152" s="2">
        <f>B9/'Output-Calculation-sheet'!B8*'Output-Calculation-sheet'!B125</f>
        <v>71316003948.999756</v>
      </c>
      <c r="C152" s="2">
        <f>C9/'Output-Calculation-sheet'!C8*'Output-Calculation-sheet'!C125</f>
        <v>61098861240.802628</v>
      </c>
      <c r="D152" s="2">
        <f>D9/'Output-Calculation-sheet'!D8*'Output-Calculation-sheet'!D125</f>
        <v>12543188645.279186</v>
      </c>
      <c r="E152" s="2">
        <f>E9/'Output-Calculation-sheet'!E8*'Output-Calculation-sheet'!E125</f>
        <v>13870554478.514124</v>
      </c>
      <c r="F152" s="2">
        <f>F9/'Output-Calculation-sheet'!F8*'Output-Calculation-sheet'!F125</f>
        <v>6007250459.2971449</v>
      </c>
      <c r="G152" s="2">
        <f>G9/'Output-Calculation-sheet'!G8*'Output-Calculation-sheet'!G125</f>
        <v>4554230435.2223873</v>
      </c>
      <c r="H152" s="2">
        <f>H9/'Output-Calculation-sheet'!H8*'Output-Calculation-sheet'!H125</f>
        <v>14316801815.019785</v>
      </c>
      <c r="I152" s="2">
        <f>I9/'Output-Calculation-sheet'!I8*'Output-Calculation-sheet'!I125</f>
        <v>4349983508.2553711</v>
      </c>
      <c r="J152" s="2">
        <f>J9/'Output-Calculation-sheet'!J8*'Output-Calculation-sheet'!J125</f>
        <v>3553014624.2440929</v>
      </c>
      <c r="K152" s="2">
        <f>K9/'Output-Calculation-sheet'!K8*'Output-Calculation-sheet'!K125</f>
        <v>5258400501.0007524</v>
      </c>
      <c r="L152" s="2">
        <f>L9/'Output-Calculation-sheet'!L8*'Output-Calculation-sheet'!L125</f>
        <v>4347614934.8220797</v>
      </c>
      <c r="M152" s="2">
        <f>M9/'Output-Calculation-sheet'!M8*'Output-Calculation-sheet'!M125</f>
        <v>9903805520.0896778</v>
      </c>
      <c r="N152" s="2">
        <f>N9/'Output-Calculation-sheet'!N8*'Output-Calculation-sheet'!N125</f>
        <v>8264459040.9862347</v>
      </c>
      <c r="O152" s="2">
        <f>O9/'Output-Calculation-sheet'!O8*'Output-Calculation-sheet'!O125</f>
        <v>11871561798.479977</v>
      </c>
      <c r="P152" s="2">
        <f>P9/'Output-Calculation-sheet'!P8*'Output-Calculation-sheet'!P125</f>
        <v>5906323248.8111429</v>
      </c>
      <c r="Q152" s="2">
        <f>Q9/'Output-Calculation-sheet'!Q8*'Output-Calculation-sheet'!Q125</f>
        <v>5829447798.667778</v>
      </c>
      <c r="R152" s="2">
        <f>R9/'Output-Calculation-sheet'!R8*'Output-Calculation-sheet'!R125</f>
        <v>4358251977.4607697</v>
      </c>
      <c r="S152" s="2">
        <f>S9/'Output-Calculation-sheet'!S8*'Output-Calculation-sheet'!S125</f>
        <v>4473789115.8231039</v>
      </c>
      <c r="T152" s="2">
        <f>T9/'Output-Calculation-sheet'!T8*'Output-Calculation-sheet'!T125</f>
        <v>1163014238.8023517</v>
      </c>
      <c r="U152" s="2">
        <f>U9/'Output-Calculation-sheet'!U8*'Output-Calculation-sheet'!U125</f>
        <v>1497315427.658457</v>
      </c>
      <c r="V152" s="2">
        <f>V9/'Output-Calculation-sheet'!V8*'Output-Calculation-sheet'!V125</f>
        <v>884171908.762236</v>
      </c>
      <c r="W152" s="2">
        <f>W9/'Output-Calculation-sheet'!W8*'Output-Calculation-sheet'!W125</f>
        <v>483114839.60580254</v>
      </c>
      <c r="X152" s="2">
        <f>X9/'Output-Calculation-sheet'!X8*'Output-Calculation-sheet'!X125</f>
        <v>1111557718.0124867</v>
      </c>
      <c r="Y152" s="2">
        <f>Y9/'Output-Calculation-sheet'!Y8*'Output-Calculation-sheet'!Y125</f>
        <v>530497994.56005859</v>
      </c>
      <c r="AA152" s="2">
        <f t="shared" si="13"/>
        <v>257493.21521917739</v>
      </c>
    </row>
    <row r="153" spans="1:27" x14ac:dyDescent="0.25">
      <c r="A153" s="2">
        <v>2033</v>
      </c>
      <c r="B153" s="2">
        <f>B10/'Output-Calculation-sheet'!B9*'Output-Calculation-sheet'!B126</f>
        <v>73255036860.134293</v>
      </c>
      <c r="C153" s="2">
        <f>C10/'Output-Calculation-sheet'!C9*'Output-Calculation-sheet'!C126</f>
        <v>53583115444.542351</v>
      </c>
      <c r="D153" s="2">
        <f>D10/'Output-Calculation-sheet'!D9*'Output-Calculation-sheet'!D126</f>
        <v>13340732262.149147</v>
      </c>
      <c r="E153" s="2">
        <f>E10/'Output-Calculation-sheet'!E9*'Output-Calculation-sheet'!E126</f>
        <v>14766062527.559628</v>
      </c>
      <c r="F153" s="2">
        <f>F10/'Output-Calculation-sheet'!F9*'Output-Calculation-sheet'!F126</f>
        <v>6379551403.3249454</v>
      </c>
      <c r="G153" s="2">
        <f>G10/'Output-Calculation-sheet'!G9*'Output-Calculation-sheet'!G126</f>
        <v>4843820886.4011526</v>
      </c>
      <c r="H153" s="2">
        <f>H10/'Output-Calculation-sheet'!H9*'Output-Calculation-sheet'!H126</f>
        <v>15181598736.085314</v>
      </c>
      <c r="I153" s="2">
        <f>I10/'Output-Calculation-sheet'!I9*'Output-Calculation-sheet'!I126</f>
        <v>4625519230.1079016</v>
      </c>
      <c r="J153" s="2">
        <f>J10/'Output-Calculation-sheet'!J9*'Output-Calculation-sheet'!J126</f>
        <v>3777614867.2583752</v>
      </c>
      <c r="K153" s="2">
        <f>K10/'Output-Calculation-sheet'!K9*'Output-Calculation-sheet'!K126</f>
        <v>5579077648.9855824</v>
      </c>
      <c r="L153" s="2">
        <f>L10/'Output-Calculation-sheet'!L9*'Output-Calculation-sheet'!L126</f>
        <v>4621536152.1183834</v>
      </c>
      <c r="M153" s="2">
        <f>M10/'Output-Calculation-sheet'!M9*'Output-Calculation-sheet'!M126</f>
        <v>10499606332.927752</v>
      </c>
      <c r="N153" s="2">
        <f>N10/'Output-Calculation-sheet'!N9*'Output-Calculation-sheet'!N126</f>
        <v>8839122380.0624294</v>
      </c>
      <c r="O153" s="2">
        <f>O10/'Output-Calculation-sheet'!O9*'Output-Calculation-sheet'!O126</f>
        <v>12700595809.088097</v>
      </c>
      <c r="P153" s="2">
        <f>P10/'Output-Calculation-sheet'!P9*'Output-Calculation-sheet'!P126</f>
        <v>6266254893.8070431</v>
      </c>
      <c r="Q153" s="2">
        <f>Q10/'Output-Calculation-sheet'!Q9*'Output-Calculation-sheet'!Q126</f>
        <v>6175372736.0517578</v>
      </c>
      <c r="R153" s="2">
        <f>R10/'Output-Calculation-sheet'!R9*'Output-Calculation-sheet'!R126</f>
        <v>4630791598.6970243</v>
      </c>
      <c r="S153" s="2">
        <f>S10/'Output-Calculation-sheet'!S9*'Output-Calculation-sheet'!S126</f>
        <v>4736000504.3998451</v>
      </c>
      <c r="T153" s="2">
        <f>T10/'Output-Calculation-sheet'!T9*'Output-Calculation-sheet'!T126</f>
        <v>1235358110.0094724</v>
      </c>
      <c r="U153" s="2">
        <f>U10/'Output-Calculation-sheet'!U9*'Output-Calculation-sheet'!U126</f>
        <v>1595068061.8603759</v>
      </c>
      <c r="V153" s="2">
        <f>V10/'Output-Calculation-sheet'!V9*'Output-Calculation-sheet'!V126</f>
        <v>938211396.69587159</v>
      </c>
      <c r="W153" s="2">
        <f>W10/'Output-Calculation-sheet'!W9*'Output-Calculation-sheet'!W126</f>
        <v>514190535.2423889</v>
      </c>
      <c r="X153" s="2">
        <f>X10/'Output-Calculation-sheet'!X9*'Output-Calculation-sheet'!X126</f>
        <v>1179766016.7375598</v>
      </c>
      <c r="Y153" s="2">
        <f>Y10/'Output-Calculation-sheet'!Y9*'Output-Calculation-sheet'!Y126</f>
        <v>564304283.67821968</v>
      </c>
      <c r="AA153" s="2">
        <f t="shared" si="13"/>
        <v>259828.30867792491</v>
      </c>
    </row>
    <row r="154" spans="1:27" x14ac:dyDescent="0.25">
      <c r="A154" s="2">
        <v>2034</v>
      </c>
      <c r="B154" s="2">
        <f>B11/'Output-Calculation-sheet'!B10*'Output-Calculation-sheet'!B127</f>
        <v>73562539702.10614</v>
      </c>
      <c r="C154" s="2">
        <f>C11/'Output-Calculation-sheet'!C10*'Output-Calculation-sheet'!C127</f>
        <v>54533465248.050339</v>
      </c>
      <c r="D154" s="2">
        <f>D11/'Output-Calculation-sheet'!D10*'Output-Calculation-sheet'!D127</f>
        <v>13696398879.061806</v>
      </c>
      <c r="E154" s="2">
        <f>E11/'Output-Calculation-sheet'!E10*'Output-Calculation-sheet'!E127</f>
        <v>15131986609.76502</v>
      </c>
      <c r="F154" s="2">
        <f>F11/'Output-Calculation-sheet'!F10*'Output-Calculation-sheet'!F127</f>
        <v>6534842634.2349777</v>
      </c>
      <c r="G154" s="2">
        <f>G11/'Output-Calculation-sheet'!G10*'Output-Calculation-sheet'!G127</f>
        <v>4979909321.6500216</v>
      </c>
      <c r="H154" s="2">
        <f>H11/'Output-Calculation-sheet'!H10*'Output-Calculation-sheet'!H127</f>
        <v>15507764778.878344</v>
      </c>
      <c r="I154" s="2">
        <f>I11/'Output-Calculation-sheet'!I10*'Output-Calculation-sheet'!I127</f>
        <v>4727279266.1057549</v>
      </c>
      <c r="J154" s="2">
        <f>J11/'Output-Calculation-sheet'!J10*'Output-Calculation-sheet'!J127</f>
        <v>3877287234.0534048</v>
      </c>
      <c r="K154" s="2">
        <f>K11/'Output-Calculation-sheet'!K10*'Output-Calculation-sheet'!K127</f>
        <v>5706760068.0105247</v>
      </c>
      <c r="L154" s="2">
        <f>L11/'Output-Calculation-sheet'!L10*'Output-Calculation-sheet'!L127</f>
        <v>4738444808.8680458</v>
      </c>
      <c r="M154" s="2">
        <f>M11/'Output-Calculation-sheet'!M10*'Output-Calculation-sheet'!M127</f>
        <v>10725541178.629581</v>
      </c>
      <c r="N154" s="2">
        <f>N11/'Output-Calculation-sheet'!N10*'Output-Calculation-sheet'!N127</f>
        <v>9096725074.7532673</v>
      </c>
      <c r="O154" s="2">
        <f>O11/'Output-Calculation-sheet'!O10*'Output-Calculation-sheet'!O127</f>
        <v>13095842667.101599</v>
      </c>
      <c r="P154" s="2">
        <f>P11/'Output-Calculation-sheet'!P10*'Output-Calculation-sheet'!P127</f>
        <v>6410779122.148262</v>
      </c>
      <c r="Q154" s="2">
        <f>Q11/'Output-Calculation-sheet'!Q10*'Output-Calculation-sheet'!Q127</f>
        <v>6303826183.800025</v>
      </c>
      <c r="R154" s="2">
        <f>R11/'Output-Calculation-sheet'!R10*'Output-Calculation-sheet'!R127</f>
        <v>4747288010.6311064</v>
      </c>
      <c r="S154" s="2">
        <f>S11/'Output-Calculation-sheet'!S10*'Output-Calculation-sheet'!S127</f>
        <v>4773007124.2345123</v>
      </c>
      <c r="T154" s="2">
        <f>T11/'Output-Calculation-sheet'!T10*'Output-Calculation-sheet'!T127</f>
        <v>1265168380.6151154</v>
      </c>
      <c r="U154" s="2">
        <f>U11/'Output-Calculation-sheet'!U10*'Output-Calculation-sheet'!U127</f>
        <v>1634073876.406966</v>
      </c>
      <c r="V154" s="2">
        <f>V11/'Output-Calculation-sheet'!V10*'Output-Calculation-sheet'!V127</f>
        <v>957996797.48246801</v>
      </c>
      <c r="W154" s="2">
        <f>W11/'Output-Calculation-sheet'!W10*'Output-Calculation-sheet'!W127</f>
        <v>527088843.33113664</v>
      </c>
      <c r="X154" s="2">
        <f>X11/'Output-Calculation-sheet'!X10*'Output-Calculation-sheet'!X127</f>
        <v>1204572718.4054186</v>
      </c>
      <c r="Y154" s="2">
        <f>Y11/'Output-Calculation-sheet'!Y10*'Output-Calculation-sheet'!Y127</f>
        <v>579093723.79776847</v>
      </c>
      <c r="AA154" s="2">
        <f t="shared" si="13"/>
        <v>264317.68225212157</v>
      </c>
    </row>
    <row r="155" spans="1:27" x14ac:dyDescent="0.25">
      <c r="A155" s="2">
        <v>2035</v>
      </c>
      <c r="B155" s="2">
        <f>B12/'Output-Calculation-sheet'!B11*'Output-Calculation-sheet'!B128</f>
        <v>72790357010.542282</v>
      </c>
      <c r="C155" s="2">
        <f>C12/'Output-Calculation-sheet'!C11*'Output-Calculation-sheet'!C128</f>
        <v>53957761776.274368</v>
      </c>
      <c r="D155" s="2">
        <f>D12/'Output-Calculation-sheet'!D11*'Output-Calculation-sheet'!D128</f>
        <v>13603332385.321499</v>
      </c>
      <c r="E155" s="2">
        <f>E12/'Output-Calculation-sheet'!E11*'Output-Calculation-sheet'!E128</f>
        <v>15052305657.445002</v>
      </c>
      <c r="F155" s="2">
        <f>F12/'Output-Calculation-sheet'!F11*'Output-Calculation-sheet'!F128</f>
        <v>6492691682.9836426</v>
      </c>
      <c r="G155" s="2">
        <f>G12/'Output-Calculation-sheet'!G11*'Output-Calculation-sheet'!G128</f>
        <v>4971142225.5010204</v>
      </c>
      <c r="H155" s="2">
        <f>H12/'Output-Calculation-sheet'!H11*'Output-Calculation-sheet'!H128</f>
        <v>15399945214.84523</v>
      </c>
      <c r="I155" s="2">
        <f>I12/'Output-Calculation-sheet'!I11*'Output-Calculation-sheet'!I128</f>
        <v>4701483740.8444138</v>
      </c>
      <c r="J155" s="2">
        <f>J12/'Output-Calculation-sheet'!J11*'Output-Calculation-sheet'!J128</f>
        <v>3872629762.3874645</v>
      </c>
      <c r="K155" s="2">
        <f>K12/'Output-Calculation-sheet'!K11*'Output-Calculation-sheet'!K128</f>
        <v>5672423153.9372368</v>
      </c>
      <c r="L155" s="2">
        <f>L12/'Output-Calculation-sheet'!L11*'Output-Calculation-sheet'!L128</f>
        <v>4719703547.8646173</v>
      </c>
      <c r="M155" s="2">
        <f>M12/'Output-Calculation-sheet'!M11*'Output-Calculation-sheet'!M128</f>
        <v>10656169972.889027</v>
      </c>
      <c r="N155" s="2">
        <f>N12/'Output-Calculation-sheet'!N11*'Output-Calculation-sheet'!N128</f>
        <v>9086649084.891304</v>
      </c>
      <c r="O155" s="2">
        <f>O12/'Output-Calculation-sheet'!O11*'Output-Calculation-sheet'!O128</f>
        <v>10800232746.023615</v>
      </c>
      <c r="P155" s="2">
        <f>P12/'Output-Calculation-sheet'!P11*'Output-Calculation-sheet'!P128</f>
        <v>6365419750.6489382</v>
      </c>
      <c r="Q155" s="2">
        <f>Q12/'Output-Calculation-sheet'!Q11*'Output-Calculation-sheet'!Q128</f>
        <v>6227446030.0395422</v>
      </c>
      <c r="R155" s="2">
        <f>R12/'Output-Calculation-sheet'!R11*'Output-Calculation-sheet'!R128</f>
        <v>4714114951.5027285</v>
      </c>
      <c r="S155" s="2">
        <f>S12/'Output-Calculation-sheet'!S11*'Output-Calculation-sheet'!S128</f>
        <v>4764408214.7087774</v>
      </c>
      <c r="T155" s="2">
        <f>T12/'Output-Calculation-sheet'!T11*'Output-Calculation-sheet'!T128</f>
        <v>1258688867.9255714</v>
      </c>
      <c r="U155" s="2">
        <f>U12/'Output-Calculation-sheet'!U11*'Output-Calculation-sheet'!U128</f>
        <v>1626980436.7144718</v>
      </c>
      <c r="V155" s="2">
        <f>V12/'Output-Calculation-sheet'!V11*'Output-Calculation-sheet'!V128</f>
        <v>948485333.95245636</v>
      </c>
      <c r="W155" s="2">
        <f>W12/'Output-Calculation-sheet'!W11*'Output-Calculation-sheet'!W128</f>
        <v>524606984.64446038</v>
      </c>
      <c r="X155" s="2">
        <f>X12/'Output-Calculation-sheet'!X11*'Output-Calculation-sheet'!X128</f>
        <v>1194307280.9666448</v>
      </c>
      <c r="Y155" s="2">
        <f>Y12/'Output-Calculation-sheet'!Y11*'Output-Calculation-sheet'!Y128</f>
        <v>576359444.24807191</v>
      </c>
      <c r="AA155" s="2">
        <f t="shared" si="13"/>
        <v>259977.64525710235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2.809024850466354E-10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2543.8144160027632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1742.1198032230568</v>
      </c>
      <c r="N19" s="2">
        <f>N8/'Output-Calculation-sheet'!N7*'Output-Calculation-sheet'!N25</f>
        <v>1171.8278807589033</v>
      </c>
      <c r="O19" s="2">
        <f>O8/'Output-Calculation-sheet'!O7*'Output-Calculation-sheet'!O25</f>
        <v>1.5459851718557153E-11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310.82108345360336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165.33281296971259</v>
      </c>
      <c r="Y19" s="2">
        <f>Y8/'Output-Calculation-sheet'!Y7*'Output-Calculation-sheet'!Y25</f>
        <v>0</v>
      </c>
      <c r="AA19" s="2">
        <f t="shared" si="0"/>
        <v>5.9339159964083352</v>
      </c>
    </row>
    <row r="20" spans="1:27" x14ac:dyDescent="0.25">
      <c r="A20" s="2">
        <v>2032</v>
      </c>
      <c r="B20" s="2">
        <f>B9/'Output-Calculation-sheet'!B8*'Output-Calculation-sheet'!B26</f>
        <v>2.8587908188520861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2967.994825925311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2029.7158670096023</v>
      </c>
      <c r="N20" s="2">
        <f>N9/'Output-Calculation-sheet'!N8*'Output-Calculation-sheet'!N26</f>
        <v>1478.1986386357139</v>
      </c>
      <c r="O20" s="2">
        <f>O9/'Output-Calculation-sheet'!O8*'Output-Calculation-sheet'!O26</f>
        <v>1.4965654714091723E-10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508.5746164547291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195.36779289611002</v>
      </c>
      <c r="Y20" s="2">
        <f>Y9/'Output-Calculation-sheet'!Y8*'Output-Calculation-sheet'!Y26</f>
        <v>0</v>
      </c>
      <c r="AA20" s="2">
        <f t="shared" si="0"/>
        <v>7.1827105317404678</v>
      </c>
    </row>
    <row r="21" spans="1:27" x14ac:dyDescent="0.25">
      <c r="A21" s="2">
        <v>2033</v>
      </c>
      <c r="B21" s="2">
        <f>B10/'Output-Calculation-sheet'!B9*'Output-Calculation-sheet'!B27</f>
        <v>4719.4722630854994</v>
      </c>
      <c r="C21" s="2">
        <f>C10/'Output-Calculation-sheet'!C9*'Output-Calculation-sheet'!C27</f>
        <v>7364.5777971480748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3304.214774308472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2261.9097071612296</v>
      </c>
      <c r="N21" s="2">
        <f>N10/'Output-Calculation-sheet'!N9*'Output-Calculation-sheet'!N27</f>
        <v>1767.2941619416013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674.20531791948736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217.72050286296127</v>
      </c>
      <c r="Y21" s="2">
        <f>Y10/'Output-Calculation-sheet'!Y9*'Output-Calculation-sheet'!Y27</f>
        <v>0</v>
      </c>
      <c r="AA21" s="2">
        <f t="shared" si="0"/>
        <v>20.309394524427326</v>
      </c>
    </row>
    <row r="22" spans="1:27" x14ac:dyDescent="0.25">
      <c r="A22" s="2">
        <v>2034</v>
      </c>
      <c r="B22" s="2">
        <f>B11/'Output-Calculation-sheet'!B10*'Output-Calculation-sheet'!B28</f>
        <v>8436.6610696504849</v>
      </c>
      <c r="C22" s="2">
        <f>C11/'Output-Calculation-sheet'!C10*'Output-Calculation-sheet'!C28</f>
        <v>8173.8385521690043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3571.1699739025557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2444.8535580304515</v>
      </c>
      <c r="N22" s="2">
        <f>N11/'Output-Calculation-sheet'!N10*'Output-Calculation-sheet'!N28</f>
        <v>1960.4658630940387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799.7352893820082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236.87327490198038</v>
      </c>
      <c r="Y22" s="2">
        <f>Y11/'Output-Calculation-sheet'!Y10*'Output-Calculation-sheet'!Y28</f>
        <v>0</v>
      </c>
      <c r="AA22" s="2">
        <f t="shared" si="0"/>
        <v>25.623597581130529</v>
      </c>
    </row>
    <row r="23" spans="1:27" x14ac:dyDescent="0.25">
      <c r="A23" s="2">
        <v>2035</v>
      </c>
      <c r="B23" s="2">
        <f>B12/'Output-Calculation-sheet'!B11*'Output-Calculation-sheet'!B29</f>
        <v>10744.169570340287</v>
      </c>
      <c r="C23" s="2">
        <f>C12/'Output-Calculation-sheet'!C11*'Output-Calculation-sheet'!C29</f>
        <v>8804.024336245302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3756.1590287596177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2567.4980653300577</v>
      </c>
      <c r="N23" s="2">
        <f>N12/'Output-Calculation-sheet'!N11*'Output-Calculation-sheet'!N29</f>
        <v>2098.6979498189571</v>
      </c>
      <c r="O23" s="2">
        <f>O12/'Output-Calculation-sheet'!O11*'Output-Calculation-sheet'!O29</f>
        <v>1496.8859850733766</v>
      </c>
      <c r="P23" s="2">
        <f>P12/'Output-Calculation-sheet'!P11*'Output-Calculation-sheet'!P29</f>
        <v>0</v>
      </c>
      <c r="Q23" s="2">
        <f>Q12/'Output-Calculation-sheet'!Q11*'Output-Calculation-sheet'!Q29</f>
        <v>28.650022343726132</v>
      </c>
      <c r="R23" s="2">
        <f>R12/'Output-Calculation-sheet'!R11*'Output-Calculation-sheet'!R29</f>
        <v>0</v>
      </c>
      <c r="S23" s="2">
        <f>S12/'Output-Calculation-sheet'!S11*'Output-Calculation-sheet'!S29</f>
        <v>921.66110746761967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251.68229192245653</v>
      </c>
      <c r="Y23" s="2">
        <f>Y12/'Output-Calculation-sheet'!Y11*'Output-Calculation-sheet'!Y29</f>
        <v>0</v>
      </c>
      <c r="AA23" s="2">
        <f t="shared" si="0"/>
        <v>30.669428357301403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19993.999060822272</v>
      </c>
      <c r="C30" s="2">
        <f>C8/'Output-Calculation-sheet'!C7*'Output-Calculation-sheet'!C16</f>
        <v>0</v>
      </c>
      <c r="D30" s="2">
        <f>D8/'Output-Calculation-sheet'!D7*'Output-Calculation-sheet'!D16</f>
        <v>6241.4093583355789</v>
      </c>
      <c r="E30" s="2">
        <f>E8/'Output-Calculation-sheet'!E7*'Output-Calculation-sheet'!E16</f>
        <v>6455.6817047745972</v>
      </c>
      <c r="F30" s="2">
        <f>F8/'Output-Calculation-sheet'!F7*'Output-Calculation-sheet'!F16</f>
        <v>3616.7451964805091</v>
      </c>
      <c r="G30" s="2">
        <f>G8/'Output-Calculation-sheet'!G7*'Output-Calculation-sheet'!G16</f>
        <v>2181.2949463157779</v>
      </c>
      <c r="H30" s="2">
        <f>H8/'Output-Calculation-sheet'!H7*'Output-Calculation-sheet'!H16</f>
        <v>0</v>
      </c>
      <c r="I30" s="2">
        <f>I8/'Output-Calculation-sheet'!I7*'Output-Calculation-sheet'!I16</f>
        <v>2207.7050004992539</v>
      </c>
      <c r="J30" s="2">
        <f>J8/'Output-Calculation-sheet'!J7*'Output-Calculation-sheet'!J16</f>
        <v>2015.0803769898962</v>
      </c>
      <c r="K30" s="2">
        <f>K8/'Output-Calculation-sheet'!K7*'Output-Calculation-sheet'!K16</f>
        <v>2492.1254471188008</v>
      </c>
      <c r="L30" s="2">
        <f>L8/'Output-Calculation-sheet'!L7*'Output-Calculation-sheet'!L16</f>
        <v>2056.656573511053</v>
      </c>
      <c r="M30" s="2">
        <f>M8/'Output-Calculation-sheet'!M7*'Output-Calculation-sheet'!M16</f>
        <v>0</v>
      </c>
      <c r="N30" s="2">
        <f>N8/'Output-Calculation-sheet'!N7*'Output-Calculation-sheet'!N16</f>
        <v>1009.1061998895245</v>
      </c>
      <c r="O30" s="2">
        <f>O8/'Output-Calculation-sheet'!O7*'Output-Calculation-sheet'!O16</f>
        <v>0</v>
      </c>
      <c r="P30" s="2">
        <f>P8/'Output-Calculation-sheet'!P7*'Output-Calculation-sheet'!P16</f>
        <v>1639.2623474699324</v>
      </c>
      <c r="Q30" s="2">
        <f>Q8/'Output-Calculation-sheet'!Q7*'Output-Calculation-sheet'!Q16</f>
        <v>1797.9738045383717</v>
      </c>
      <c r="R30" s="2">
        <f>R8/'Output-Calculation-sheet'!R7*'Output-Calculation-sheet'!R16</f>
        <v>1575.274847739576</v>
      </c>
      <c r="S30" s="2">
        <f>S8/'Output-Calculation-sheet'!S7*'Output-Calculation-sheet'!S16</f>
        <v>841.2514767069697</v>
      </c>
      <c r="T30" s="2">
        <f>T8/'Output-Calculation-sheet'!T7*'Output-Calculation-sheet'!T16</f>
        <v>574.68543745917009</v>
      </c>
      <c r="U30" s="2">
        <f>U8/'Output-Calculation-sheet'!U7*'Output-Calculation-sheet'!U16</f>
        <v>441.68575657572671</v>
      </c>
      <c r="V30" s="2">
        <f>V8/'Output-Calculation-sheet'!V7*'Output-Calculation-sheet'!V16</f>
        <v>422.95103040803616</v>
      </c>
      <c r="W30" s="2">
        <f>W8/'Output-Calculation-sheet'!W7*'Output-Calculation-sheet'!W16</f>
        <v>293.63339351927442</v>
      </c>
      <c r="X30" s="2">
        <f>X8/'Output-Calculation-sheet'!X7*'Output-Calculation-sheet'!X16</f>
        <v>0</v>
      </c>
      <c r="Y30" s="2">
        <f>Y8/'Output-Calculation-sheet'!Y7*'Output-Calculation-sheet'!Y16</f>
        <v>194.12055463355077</v>
      </c>
      <c r="AA30" s="2">
        <f t="shared" si="1"/>
        <v>56.050642513787885</v>
      </c>
    </row>
    <row r="31" spans="1:27" x14ac:dyDescent="0.25">
      <c r="A31" s="2">
        <v>2032</v>
      </c>
      <c r="B31" s="2">
        <f>B9/'Output-Calculation-sheet'!B8*'Output-Calculation-sheet'!B17</f>
        <v>22861.852278032235</v>
      </c>
      <c r="C31" s="2">
        <f>C9/'Output-Calculation-sheet'!C8*'Output-Calculation-sheet'!C17</f>
        <v>0</v>
      </c>
      <c r="D31" s="2">
        <f>D9/'Output-Calculation-sheet'!D8*'Output-Calculation-sheet'!D17</f>
        <v>7087.618150454985</v>
      </c>
      <c r="E31" s="2">
        <f>E9/'Output-Calculation-sheet'!E8*'Output-Calculation-sheet'!E17</f>
        <v>7340.0446783364569</v>
      </c>
      <c r="F31" s="2">
        <f>F9/'Output-Calculation-sheet'!F8*'Output-Calculation-sheet'!F17</f>
        <v>4100.6039904003337</v>
      </c>
      <c r="G31" s="2">
        <f>G9/'Output-Calculation-sheet'!G8*'Output-Calculation-sheet'!G17</f>
        <v>2472.0056446196054</v>
      </c>
      <c r="H31" s="2">
        <f>H9/'Output-Calculation-sheet'!H8*'Output-Calculation-sheet'!H17</f>
        <v>0</v>
      </c>
      <c r="I31" s="2">
        <f>I9/'Output-Calculation-sheet'!I8*'Output-Calculation-sheet'!I17</f>
        <v>2506.3008246495806</v>
      </c>
      <c r="J31" s="2">
        <f>J9/'Output-Calculation-sheet'!J8*'Output-Calculation-sheet'!J17</f>
        <v>2285.9156114700331</v>
      </c>
      <c r="K31" s="2">
        <f>K9/'Output-Calculation-sheet'!K8*'Output-Calculation-sheet'!K17</f>
        <v>2831.521152642772</v>
      </c>
      <c r="L31" s="2">
        <f>L9/'Output-Calculation-sheet'!L8*'Output-Calculation-sheet'!L17</f>
        <v>2337.3781092207173</v>
      </c>
      <c r="M31" s="2">
        <f>M9/'Output-Calculation-sheet'!M8*'Output-Calculation-sheet'!M17</f>
        <v>0</v>
      </c>
      <c r="N31" s="2">
        <f>N9/'Output-Calculation-sheet'!N8*'Output-Calculation-sheet'!N17</f>
        <v>1033.9319842075161</v>
      </c>
      <c r="O31" s="2">
        <f>O9/'Output-Calculation-sheet'!O8*'Output-Calculation-sheet'!O17</f>
        <v>0</v>
      </c>
      <c r="P31" s="2">
        <f>P9/'Output-Calculation-sheet'!P8*'Output-Calculation-sheet'!P17</f>
        <v>1880.3682655876144</v>
      </c>
      <c r="Q31" s="2">
        <f>Q9/'Output-Calculation-sheet'!Q8*'Output-Calculation-sheet'!Q17</f>
        <v>2060.7026250543372</v>
      </c>
      <c r="R31" s="2">
        <f>R9/'Output-Calculation-sheet'!R8*'Output-Calculation-sheet'!R17</f>
        <v>1789.2113768250747</v>
      </c>
      <c r="S31" s="2">
        <f>S9/'Output-Calculation-sheet'!S8*'Output-Calculation-sheet'!S17</f>
        <v>892.72465124236032</v>
      </c>
      <c r="T31" s="2">
        <f>T9/'Output-Calculation-sheet'!T8*'Output-Calculation-sheet'!T17</f>
        <v>652.00342480723646</v>
      </c>
      <c r="U31" s="2">
        <f>U9/'Output-Calculation-sheet'!U8*'Output-Calculation-sheet'!U17</f>
        <v>502.85757066808242</v>
      </c>
      <c r="V31" s="2">
        <f>V9/'Output-Calculation-sheet'!V8*'Output-Calculation-sheet'!V17</f>
        <v>481.88508701960251</v>
      </c>
      <c r="W31" s="2">
        <f>W9/'Output-Calculation-sheet'!W8*'Output-Calculation-sheet'!W17</f>
        <v>333.68785645409326</v>
      </c>
      <c r="X31" s="2">
        <f>X9/'Output-Calculation-sheet'!X8*'Output-Calculation-sheet'!X17</f>
        <v>0</v>
      </c>
      <c r="Y31" s="2">
        <f>Y9/'Output-Calculation-sheet'!Y8*'Output-Calculation-sheet'!Y17</f>
        <v>220.60004012334235</v>
      </c>
      <c r="AA31" s="2">
        <f t="shared" si="1"/>
        <v>63.671213321815962</v>
      </c>
    </row>
    <row r="32" spans="1:27" x14ac:dyDescent="0.25">
      <c r="A32" s="2">
        <v>2033</v>
      </c>
      <c r="B32" s="2">
        <f>B10/'Output-Calculation-sheet'!B9*'Output-Calculation-sheet'!B18</f>
        <v>23031.80779639024</v>
      </c>
      <c r="C32" s="2">
        <f>C10/'Output-Calculation-sheet'!C9*'Output-Calculation-sheet'!C18</f>
        <v>0</v>
      </c>
      <c r="D32" s="2">
        <f>D10/'Output-Calculation-sheet'!D9*'Output-Calculation-sheet'!D18</f>
        <v>7688.9937705575448</v>
      </c>
      <c r="E32" s="2">
        <f>E10/'Output-Calculation-sheet'!E9*'Output-Calculation-sheet'!E18</f>
        <v>7962.1798994199635</v>
      </c>
      <c r="F32" s="2">
        <f>F10/'Output-Calculation-sheet'!F9*'Output-Calculation-sheet'!F18</f>
        <v>4447.3803028815282</v>
      </c>
      <c r="G32" s="2">
        <f>G10/'Output-Calculation-sheet'!G9*'Output-Calculation-sheet'!G18</f>
        <v>2682.2872412319784</v>
      </c>
      <c r="H32" s="2">
        <f>H10/'Output-Calculation-sheet'!H9*'Output-Calculation-sheet'!H18</f>
        <v>0</v>
      </c>
      <c r="I32" s="2">
        <f>I10/'Output-Calculation-sheet'!I9*'Output-Calculation-sheet'!I18</f>
        <v>2719.2174674138696</v>
      </c>
      <c r="J32" s="2">
        <f>J10/'Output-Calculation-sheet'!J9*'Output-Calculation-sheet'!J18</f>
        <v>2480.0490954593179</v>
      </c>
      <c r="K32" s="2">
        <f>K10/'Output-Calculation-sheet'!K9*'Output-Calculation-sheet'!K18</f>
        <v>3079.0201532550218</v>
      </c>
      <c r="L32" s="2">
        <f>L10/'Output-Calculation-sheet'!L9*'Output-Calculation-sheet'!L18</f>
        <v>2537.5308797160205</v>
      </c>
      <c r="M32" s="2">
        <f>M10/'Output-Calculation-sheet'!M9*'Output-Calculation-sheet'!M18</f>
        <v>0</v>
      </c>
      <c r="N32" s="2">
        <f>N10/'Output-Calculation-sheet'!N9*'Output-Calculation-sheet'!N18</f>
        <v>1004.3936080217536</v>
      </c>
      <c r="O32" s="2">
        <f>O10/'Output-Calculation-sheet'!O9*'Output-Calculation-sheet'!O18</f>
        <v>0</v>
      </c>
      <c r="P32" s="2">
        <f>P10/'Output-Calculation-sheet'!P9*'Output-Calculation-sheet'!P18</f>
        <v>2055.0203581865758</v>
      </c>
      <c r="Q32" s="2">
        <f>Q10/'Output-Calculation-sheet'!Q9*'Output-Calculation-sheet'!Q18</f>
        <v>2253.8109833358785</v>
      </c>
      <c r="R32" s="2">
        <f>R10/'Output-Calculation-sheet'!R9*'Output-Calculation-sheet'!R18</f>
        <v>1946.7384409975557</v>
      </c>
      <c r="S32" s="2">
        <f>S10/'Output-Calculation-sheet'!S9*'Output-Calculation-sheet'!S18</f>
        <v>906.13727898124978</v>
      </c>
      <c r="T32" s="2">
        <f>T10/'Output-Calculation-sheet'!T9*'Output-Calculation-sheet'!T18</f>
        <v>708.11310497692284</v>
      </c>
      <c r="U32" s="2">
        <f>U10/'Output-Calculation-sheet'!U9*'Output-Calculation-sheet'!U18</f>
        <v>546.1171421321194</v>
      </c>
      <c r="V32" s="2">
        <f>V10/'Output-Calculation-sheet'!V9*'Output-Calculation-sheet'!V18</f>
        <v>523.90305121700487</v>
      </c>
      <c r="W32" s="2">
        <f>W10/'Output-Calculation-sheet'!W9*'Output-Calculation-sheet'!W18</f>
        <v>361.51179876312358</v>
      </c>
      <c r="X32" s="2">
        <f>X10/'Output-Calculation-sheet'!X9*'Output-Calculation-sheet'!X18</f>
        <v>0</v>
      </c>
      <c r="Y32" s="2">
        <f>Y10/'Output-Calculation-sheet'!Y9*'Output-Calculation-sheet'!Y18</f>
        <v>239.69886888657388</v>
      </c>
      <c r="AA32" s="2">
        <f t="shared" si="1"/>
        <v>67.173911241824229</v>
      </c>
    </row>
    <row r="33" spans="1:27" x14ac:dyDescent="0.25">
      <c r="A33" s="2">
        <v>2034</v>
      </c>
      <c r="B33" s="2">
        <f>B11/'Output-Calculation-sheet'!B10*'Output-Calculation-sheet'!B19</f>
        <v>22828.367303613595</v>
      </c>
      <c r="C33" s="2">
        <f>C11/'Output-Calculation-sheet'!C10*'Output-Calculation-sheet'!C19</f>
        <v>0</v>
      </c>
      <c r="D33" s="2">
        <f>D11/'Output-Calculation-sheet'!D10*'Output-Calculation-sheet'!D19</f>
        <v>8071.6369934617032</v>
      </c>
      <c r="E33" s="2">
        <f>E11/'Output-Calculation-sheet'!E10*'Output-Calculation-sheet'!E19</f>
        <v>8378.1531328357687</v>
      </c>
      <c r="F33" s="2">
        <f>F11/'Output-Calculation-sheet'!F10*'Output-Calculation-sheet'!F19</f>
        <v>4671.0842755019576</v>
      </c>
      <c r="G33" s="2">
        <f>G11/'Output-Calculation-sheet'!G10*'Output-Calculation-sheet'!G19</f>
        <v>2812.7929953943963</v>
      </c>
      <c r="H33" s="2">
        <f>H11/'Output-Calculation-sheet'!H10*'Output-Calculation-sheet'!H19</f>
        <v>0</v>
      </c>
      <c r="I33" s="2">
        <f>I11/'Output-Calculation-sheet'!I10*'Output-Calculation-sheet'!I19</f>
        <v>2864.8506750205879</v>
      </c>
      <c r="J33" s="2">
        <f>J11/'Output-Calculation-sheet'!J10*'Output-Calculation-sheet'!J19</f>
        <v>2603.6325676811293</v>
      </c>
      <c r="K33" s="2">
        <f>K11/'Output-Calculation-sheet'!K10*'Output-Calculation-sheet'!K19</f>
        <v>3243.0167627686387</v>
      </c>
      <c r="L33" s="2">
        <f>L11/'Output-Calculation-sheet'!L10*'Output-Calculation-sheet'!L19</f>
        <v>2667.3441780006438</v>
      </c>
      <c r="M33" s="2">
        <f>M11/'Output-Calculation-sheet'!M10*'Output-Calculation-sheet'!M19</f>
        <v>0</v>
      </c>
      <c r="N33" s="2">
        <f>N11/'Output-Calculation-sheet'!N10*'Output-Calculation-sheet'!N19</f>
        <v>988.47157118823145</v>
      </c>
      <c r="O33" s="2">
        <f>O11/'Output-Calculation-sheet'!O10*'Output-Calculation-sheet'!O19</f>
        <v>0</v>
      </c>
      <c r="P33" s="2">
        <f>P11/'Output-Calculation-sheet'!P10*'Output-Calculation-sheet'!P19</f>
        <v>2174.1519571855583</v>
      </c>
      <c r="Q33" s="2">
        <f>Q11/'Output-Calculation-sheet'!Q10*'Output-Calculation-sheet'!Q19</f>
        <v>2388.522526557741</v>
      </c>
      <c r="R33" s="2">
        <f>R11/'Output-Calculation-sheet'!R10*'Output-Calculation-sheet'!R19</f>
        <v>2049.7240742324261</v>
      </c>
      <c r="S33" s="2">
        <f>S11/'Output-Calculation-sheet'!S10*'Output-Calculation-sheet'!S19</f>
        <v>945.36796766646262</v>
      </c>
      <c r="T33" s="2">
        <f>T11/'Output-Calculation-sheet'!T10*'Output-Calculation-sheet'!T19</f>
        <v>744.88713327735093</v>
      </c>
      <c r="U33" s="2">
        <f>U11/'Output-Calculation-sheet'!U10*'Output-Calculation-sheet'!U19</f>
        <v>576.41557880433254</v>
      </c>
      <c r="V33" s="2">
        <f>V11/'Output-Calculation-sheet'!V10*'Output-Calculation-sheet'!V19</f>
        <v>552.58699065267103</v>
      </c>
      <c r="W33" s="2">
        <f>W11/'Output-Calculation-sheet'!W10*'Output-Calculation-sheet'!W19</f>
        <v>379.65246759472535</v>
      </c>
      <c r="X33" s="2">
        <f>X11/'Output-Calculation-sheet'!X10*'Output-Calculation-sheet'!X19</f>
        <v>0</v>
      </c>
      <c r="Y33" s="2">
        <f>Y11/'Output-Calculation-sheet'!Y10*'Output-Calculation-sheet'!Y19</f>
        <v>252.07435396121977</v>
      </c>
      <c r="AA33" s="2">
        <f t="shared" si="1"/>
        <v>69.192733505399133</v>
      </c>
    </row>
    <row r="34" spans="1:27" x14ac:dyDescent="0.25">
      <c r="A34" s="2">
        <v>2035</v>
      </c>
      <c r="B34" s="2">
        <f>B12/'Output-Calculation-sheet'!B11*'Output-Calculation-sheet'!B20</f>
        <v>22457.932739324686</v>
      </c>
      <c r="C34" s="2">
        <f>C12/'Output-Calculation-sheet'!C11*'Output-Calculation-sheet'!C20</f>
        <v>0</v>
      </c>
      <c r="D34" s="2">
        <f>D12/'Output-Calculation-sheet'!D11*'Output-Calculation-sheet'!D20</f>
        <v>8305.5976411766787</v>
      </c>
      <c r="E34" s="2">
        <f>E12/'Output-Calculation-sheet'!E11*'Output-Calculation-sheet'!E20</f>
        <v>8617.4172373024139</v>
      </c>
      <c r="F34" s="2">
        <f>F12/'Output-Calculation-sheet'!F11*'Output-Calculation-sheet'!F20</f>
        <v>4797.5069885386829</v>
      </c>
      <c r="G34" s="2">
        <f>G12/'Output-Calculation-sheet'!G11*'Output-Calculation-sheet'!G20</f>
        <v>2882.5581136836777</v>
      </c>
      <c r="H34" s="2">
        <f>H12/'Output-Calculation-sheet'!H11*'Output-Calculation-sheet'!H20</f>
        <v>0</v>
      </c>
      <c r="I34" s="2">
        <f>I12/'Output-Calculation-sheet'!I11*'Output-Calculation-sheet'!I20</f>
        <v>2944.1919647766022</v>
      </c>
      <c r="J34" s="2">
        <f>J12/'Output-Calculation-sheet'!J11*'Output-Calculation-sheet'!J20</f>
        <v>2666.4644980790904</v>
      </c>
      <c r="K34" s="2">
        <f>K12/'Output-Calculation-sheet'!K11*'Output-Calculation-sheet'!K20</f>
        <v>3335.6033527836512</v>
      </c>
      <c r="L34" s="2">
        <f>L12/'Output-Calculation-sheet'!L11*'Output-Calculation-sheet'!L20</f>
        <v>2738.7439380964452</v>
      </c>
      <c r="M34" s="2">
        <f>M12/'Output-Calculation-sheet'!M11*'Output-Calculation-sheet'!M20</f>
        <v>0</v>
      </c>
      <c r="N34" s="2">
        <f>N12/'Output-Calculation-sheet'!N11*'Output-Calculation-sheet'!N20</f>
        <v>963.51566599538978</v>
      </c>
      <c r="O34" s="2">
        <f>O12/'Output-Calculation-sheet'!O11*'Output-Calculation-sheet'!O20</f>
        <v>0</v>
      </c>
      <c r="P34" s="2">
        <f>P12/'Output-Calculation-sheet'!P11*'Output-Calculation-sheet'!P20</f>
        <v>2248.9249785714605</v>
      </c>
      <c r="Q34" s="2">
        <f>Q12/'Output-Calculation-sheet'!Q11*'Output-Calculation-sheet'!Q20</f>
        <v>2466.0496529362858</v>
      </c>
      <c r="R34" s="2">
        <f>R12/'Output-Calculation-sheet'!R11*'Output-Calculation-sheet'!R20</f>
        <v>2114.642447875136</v>
      </c>
      <c r="S34" s="2">
        <f>S12/'Output-Calculation-sheet'!S11*'Output-Calculation-sheet'!S20</f>
        <v>909.39831580943098</v>
      </c>
      <c r="T34" s="2">
        <f>T12/'Output-Calculation-sheet'!T11*'Output-Calculation-sheet'!T20</f>
        <v>765.41949937778816</v>
      </c>
      <c r="U34" s="2">
        <f>U12/'Output-Calculation-sheet'!U11*'Output-Calculation-sheet'!U20</f>
        <v>593.72257171191256</v>
      </c>
      <c r="V34" s="2">
        <f>V12/'Output-Calculation-sheet'!V11*'Output-Calculation-sheet'!V20</f>
        <v>570.18967513395705</v>
      </c>
      <c r="W34" s="2">
        <f>W12/'Output-Calculation-sheet'!W11*'Output-Calculation-sheet'!W20</f>
        <v>389.63715558265574</v>
      </c>
      <c r="X34" s="2">
        <f>X12/'Output-Calculation-sheet'!X11*'Output-Calculation-sheet'!X20</f>
        <v>0</v>
      </c>
      <c r="Y34" s="2">
        <f>Y12/'Output-Calculation-sheet'!Y11*'Output-Calculation-sheet'!Y20</f>
        <v>259.37990981588985</v>
      </c>
      <c r="AA34" s="2">
        <f t="shared" si="1"/>
        <v>70.02689634657186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6.2351401719129518</v>
      </c>
      <c r="C63" s="2">
        <f>C8*'Output-Calculation-sheet'!C52/10^9</f>
        <v>3.0002125145179006</v>
      </c>
      <c r="D63" s="2">
        <f>D8*'Output-Calculation-sheet'!D52/10^9</f>
        <v>1.3645569062067726</v>
      </c>
      <c r="E63" s="2">
        <f>E8*'Output-Calculation-sheet'!E52/10^9</f>
        <v>1.5183006576903904</v>
      </c>
      <c r="F63" s="2">
        <f>F8*'Output-Calculation-sheet'!F52/10^9</f>
        <v>0.70128920637095682</v>
      </c>
      <c r="G63" s="2">
        <f>G8*'Output-Calculation-sheet'!G52/10^9</f>
        <v>0.48473584848673434</v>
      </c>
      <c r="H63" s="2">
        <f>H8*'Output-Calculation-sheet'!H52/10^9</f>
        <v>0.91404495073803183</v>
      </c>
      <c r="I63" s="2">
        <f>I8*'Output-Calculation-sheet'!I52/10^9</f>
        <v>0.47832848908265674</v>
      </c>
      <c r="J63" s="2">
        <f>J8*'Output-Calculation-sheet'!J52/10^9</f>
        <v>0.43177961965250433</v>
      </c>
      <c r="K63" s="2">
        <f>K8*'Output-Calculation-sheet'!K52/10^9</f>
        <v>0.55728572639286666</v>
      </c>
      <c r="L63" s="2">
        <f>L8*'Output-Calculation-sheet'!L52/10^9</f>
        <v>0.46036856294027745</v>
      </c>
      <c r="M63" s="2">
        <f>M8*'Output-Calculation-sheet'!M52/10^9</f>
        <v>0.6314972075383134</v>
      </c>
      <c r="N63" s="2">
        <f>N8*'Output-Calculation-sheet'!N52/10^9</f>
        <v>0.66004025424206192</v>
      </c>
      <c r="O63" s="2">
        <f>O8*'Output-Calculation-sheet'!O52/10^9</f>
        <v>0.58294812859091072</v>
      </c>
      <c r="P63" s="2">
        <f>P8*'Output-Calculation-sheet'!P52/10^9</f>
        <v>0.48862730868226484</v>
      </c>
      <c r="Q63" s="2">
        <f>Q8*'Output-Calculation-sheet'!Q52/10^9</f>
        <v>0.50390163664617149</v>
      </c>
      <c r="R63" s="2">
        <f>R8*'Output-Calculation-sheet'!R52/10^9</f>
        <v>0.40299119819989732</v>
      </c>
      <c r="S63" s="2">
        <f>S8*'Output-Calculation-sheet'!S52/10^9</f>
        <v>0.3714873037776541</v>
      </c>
      <c r="T63" s="2">
        <f>T8*'Output-Calculation-sheet'!T52/10^9</f>
        <v>0.12597636771538842</v>
      </c>
      <c r="U63" s="2">
        <f>U8*'Output-Calculation-sheet'!U52/10^9</f>
        <v>0.12663742861136457</v>
      </c>
      <c r="V63" s="2">
        <f>V8*'Output-Calculation-sheet'!V52/10^9</f>
        <v>9.4314490995760267E-2</v>
      </c>
      <c r="W63" s="2">
        <f>W8*'Output-Calculation-sheet'!W52/10^9</f>
        <v>5.8967687212243713E-2</v>
      </c>
      <c r="X63" s="2">
        <f>X8*'Output-Calculation-sheet'!X52/10^9</f>
        <v>7.509633178831647E-2</v>
      </c>
      <c r="Y63" s="2">
        <f>Y8*'Output-Calculation-sheet'!Y52/10^9</f>
        <v>4.9350273986691201E-2</v>
      </c>
      <c r="AA63" s="2">
        <f t="shared" si="4"/>
        <v>20.31787827197908</v>
      </c>
    </row>
    <row r="64" spans="1:27" x14ac:dyDescent="0.25">
      <c r="A64" s="2">
        <v>2032</v>
      </c>
      <c r="B64" s="2">
        <f>B9*'Output-Calculation-sheet'!B53/10^9</f>
        <v>7.0174176945661682</v>
      </c>
      <c r="C64" s="2">
        <f>C9*'Output-Calculation-sheet'!C53/10^9</f>
        <v>3.3887036987142181</v>
      </c>
      <c r="D64" s="2">
        <f>D9*'Output-Calculation-sheet'!D53/10^9</f>
        <v>1.5334368546785535</v>
      </c>
      <c r="E64" s="2">
        <f>E9*'Output-Calculation-sheet'!E53/10^9</f>
        <v>1.7068196452278579</v>
      </c>
      <c r="F64" s="2">
        <f>F9*'Output-Calculation-sheet'!F53/10^9</f>
        <v>0.78757567612904289</v>
      </c>
      <c r="G64" s="2">
        <f>G9*'Output-Calculation-sheet'!G53/10^9</f>
        <v>0.54477712531476064</v>
      </c>
      <c r="H64" s="2">
        <f>H9*'Output-Calculation-sheet'!H53/10^9</f>
        <v>1.022854690886938</v>
      </c>
      <c r="I64" s="2">
        <f>I9*'Output-Calculation-sheet'!I53/10^9</f>
        <v>0.53750388098618773</v>
      </c>
      <c r="J64" s="2">
        <f>J9*'Output-Calculation-sheet'!J53/10^9</f>
        <v>0.48516826122348211</v>
      </c>
      <c r="K64" s="2">
        <f>K9*'Output-Calculation-sheet'!K53/10^9</f>
        <v>0.6263303276937584</v>
      </c>
      <c r="L64" s="2">
        <f>L9*'Output-Calculation-sheet'!L53/10^9</f>
        <v>0.51740693614223798</v>
      </c>
      <c r="M64" s="2">
        <f>M9*'Output-Calculation-sheet'!M53/10^9</f>
        <v>0.70670630975363069</v>
      </c>
      <c r="N64" s="2">
        <f>N9*'Output-Calculation-sheet'!N53/10^9</f>
        <v>0.73959854635679234</v>
      </c>
      <c r="O64" s="2">
        <f>O9*'Output-Calculation-sheet'!O53/10^9</f>
        <v>0.6584328509915508</v>
      </c>
      <c r="P64" s="2">
        <f>P9*'Output-Calculation-sheet'!P53/10^9</f>
        <v>0.54983516245137831</v>
      </c>
      <c r="Q64" s="2">
        <f>Q9*'Output-Calculation-sheet'!Q53/10^9</f>
        <v>0.56688948627929636</v>
      </c>
      <c r="R64" s="2">
        <f>R9*'Output-Calculation-sheet'!R53/10^9</f>
        <v>0.45320277920240815</v>
      </c>
      <c r="S64" s="2">
        <f>S9*'Output-Calculation-sheet'!S53/10^9</f>
        <v>0.41707443341230299</v>
      </c>
      <c r="T64" s="2">
        <f>T9*'Output-Calculation-sheet'!T53/10^9</f>
        <v>0.14157022322521851</v>
      </c>
      <c r="U64" s="2">
        <f>U9*'Output-Calculation-sheet'!U53/10^9</f>
        <v>0.14248248135437278</v>
      </c>
      <c r="V64" s="2">
        <f>V9*'Output-Calculation-sheet'!V53/10^9</f>
        <v>0.10599721057898215</v>
      </c>
      <c r="W64" s="2">
        <f>W9*'Output-Calculation-sheet'!W53/10^9</f>
        <v>6.6235985923865551E-2</v>
      </c>
      <c r="X64" s="2">
        <f>X9*'Output-Calculation-sheet'!X53/10^9</f>
        <v>8.4121116843012989E-2</v>
      </c>
      <c r="Y64" s="2">
        <f>Y9*'Output-Calculation-sheet'!Y53/10^9</f>
        <v>5.5497507812111539E-2</v>
      </c>
      <c r="AA64" s="2">
        <f t="shared" si="4"/>
        <v>22.855638885748128</v>
      </c>
    </row>
    <row r="65" spans="1:27" x14ac:dyDescent="0.25">
      <c r="A65" s="2">
        <v>2033</v>
      </c>
      <c r="B65" s="2">
        <f>B10*'Output-Calculation-sheet'!B54/10^9</f>
        <v>7.5407549895551007</v>
      </c>
      <c r="C65" s="2">
        <f>C10*'Output-Calculation-sheet'!C54/10^9</f>
        <v>3.6504030230043671</v>
      </c>
      <c r="D65" s="2">
        <f>D10*'Output-Calculation-sheet'!D54/10^9</f>
        <v>1.6470049973158731</v>
      </c>
      <c r="E65" s="2">
        <f>E10*'Output-Calculation-sheet'!E54/10^9</f>
        <v>1.8338877974349912</v>
      </c>
      <c r="F65" s="2">
        <f>F10*'Output-Calculation-sheet'!F54/10^9</f>
        <v>0.84535513767200288</v>
      </c>
      <c r="G65" s="2">
        <f>G10*'Output-Calculation-sheet'!G54/10^9</f>
        <v>0.58517992442159061</v>
      </c>
      <c r="H65" s="2">
        <f>H10*'Output-Calculation-sheet'!H54/10^9</f>
        <v>1.0936300066656151</v>
      </c>
      <c r="I65" s="2">
        <f>I10*'Output-Calculation-sheet'!I54/10^9</f>
        <v>0.5772874701429429</v>
      </c>
      <c r="J65" s="2">
        <f>J10*'Output-Calculation-sheet'!J54/10^9</f>
        <v>0.52104799071836128</v>
      </c>
      <c r="K65" s="2">
        <f>K10*'Output-Calculation-sheet'!K54/10^9</f>
        <v>0.67278985371783517</v>
      </c>
      <c r="L65" s="2">
        <f>L10*'Output-Calculation-sheet'!L54/10^9</f>
        <v>0.55579105078103053</v>
      </c>
      <c r="M65" s="2">
        <f>M10*'Output-Calculation-sheet'!M54/10^9</f>
        <v>0.75563875283639259</v>
      </c>
      <c r="N65" s="2">
        <f>N10*'Output-Calculation-sheet'!N54/10^9</f>
        <v>0.79164605277442224</v>
      </c>
      <c r="O65" s="2">
        <f>O10*'Output-Calculation-sheet'!O54/10^9</f>
        <v>0.71083600630405841</v>
      </c>
      <c r="P65" s="2">
        <f>P10*'Output-Calculation-sheet'!P54/10^9</f>
        <v>0.59134000462756064</v>
      </c>
      <c r="Q65" s="2">
        <f>Q10*'Output-Calculation-sheet'!Q54/10^9</f>
        <v>0.60953337168581223</v>
      </c>
      <c r="R65" s="2">
        <f>R10*'Output-Calculation-sheet'!R54/10^9</f>
        <v>0.4871290151361608</v>
      </c>
      <c r="S65" s="2">
        <f>S10*'Output-Calculation-sheet'!S54/10^9</f>
        <v>0.44714887521563307</v>
      </c>
      <c r="T65" s="2">
        <f>T10*'Output-Calculation-sheet'!T54/10^9</f>
        <v>0.15205713932542766</v>
      </c>
      <c r="U65" s="2">
        <f>U10*'Output-Calculation-sheet'!U54/10^9</f>
        <v>0.15322060434248039</v>
      </c>
      <c r="V65" s="2">
        <f>V10*'Output-Calculation-sheet'!V54/10^9</f>
        <v>0.11385657736724035</v>
      </c>
      <c r="W65" s="2">
        <f>W10*'Output-Calculation-sheet'!W54/10^9</f>
        <v>7.1108914954556499E-2</v>
      </c>
      <c r="X65" s="2">
        <f>X10*'Output-Calculation-sheet'!X54/10^9</f>
        <v>9.0029221114320171E-2</v>
      </c>
      <c r="Y65" s="2">
        <f>Y10*'Output-Calculation-sheet'!Y54/10^9</f>
        <v>5.965051916929414E-2</v>
      </c>
      <c r="AA65" s="2">
        <f t="shared" si="4"/>
        <v>24.556327296283079</v>
      </c>
    </row>
    <row r="66" spans="1:27" x14ac:dyDescent="0.25">
      <c r="A66" s="2">
        <v>2034</v>
      </c>
      <c r="B66" s="2">
        <f>B11*'Output-Calculation-sheet'!B55/10^9</f>
        <v>7.8382248379358153</v>
      </c>
      <c r="C66" s="2">
        <f>C11*'Output-Calculation-sheet'!C55/10^9</f>
        <v>3.7870064549844478</v>
      </c>
      <c r="D66" s="2">
        <f>D11*'Output-Calculation-sheet'!D55/10^9</f>
        <v>1.7138575146984392</v>
      </c>
      <c r="E66" s="2">
        <f>E11*'Output-Calculation-sheet'!E55/10^9</f>
        <v>1.9090092207032183</v>
      </c>
      <c r="F66" s="2">
        <f>F11*'Output-Calculation-sheet'!F55/10^9</f>
        <v>0.87908691317166554</v>
      </c>
      <c r="G66" s="2">
        <f>G11*'Output-Calculation-sheet'!G55/10^9</f>
        <v>0.60899094687226973</v>
      </c>
      <c r="H66" s="2">
        <f>H11*'Output-Calculation-sheet'!H55/10^9</f>
        <v>1.1324567178522749</v>
      </c>
      <c r="I66" s="2">
        <f>I11*'Output-Calculation-sheet'!I55/10^9</f>
        <v>0.60068730686757665</v>
      </c>
      <c r="J66" s="2">
        <f>J11*'Output-Calculation-sheet'!J55/10^9</f>
        <v>0.54214309656310322</v>
      </c>
      <c r="K66" s="2">
        <f>K11*'Output-Calculation-sheet'!K55/10^9</f>
        <v>0.70016374643964174</v>
      </c>
      <c r="L66" s="2">
        <f>L11*'Output-Calculation-sheet'!L55/10^9</f>
        <v>0.5784135815526269</v>
      </c>
      <c r="M66" s="2">
        <f>M11*'Output-Calculation-sheet'!M55/10^9</f>
        <v>0.78250011292044652</v>
      </c>
      <c r="N66" s="2">
        <f>N11*'Output-Calculation-sheet'!N55/10^9</f>
        <v>0.82051701944612565</v>
      </c>
      <c r="O66" s="2">
        <f>O11*'Output-Calculation-sheet'!O55/10^9</f>
        <v>0.74353039033703483</v>
      </c>
      <c r="P66" s="2">
        <f>P11*'Output-Calculation-sheet'!P55/10^9</f>
        <v>0.61615211372183953</v>
      </c>
      <c r="Q66" s="2">
        <f>Q11*'Output-Calculation-sheet'!Q55/10^9</f>
        <v>0.6349474569264284</v>
      </c>
      <c r="R66" s="2">
        <f>R11*'Output-Calculation-sheet'!R55/10^9</f>
        <v>0.50727657852501018</v>
      </c>
      <c r="S66" s="2">
        <f>S11*'Output-Calculation-sheet'!S55/10^9</f>
        <v>0.46409561674790339</v>
      </c>
      <c r="T66" s="2">
        <f>T11*'Output-Calculation-sheet'!T55/10^9</f>
        <v>0.15823010045704414</v>
      </c>
      <c r="U66" s="2">
        <f>U11*'Output-Calculation-sheet'!U55/10^9</f>
        <v>0.15963390940831668</v>
      </c>
      <c r="V66" s="2">
        <f>V11*'Output-Calculation-sheet'!V55/10^9</f>
        <v>0.11848560738782621</v>
      </c>
      <c r="W66" s="2">
        <f>W11*'Output-Calculation-sheet'!W55/10^9</f>
        <v>7.3961073757130305E-2</v>
      </c>
      <c r="X66" s="2">
        <f>X11*'Output-Calculation-sheet'!X55/10^9</f>
        <v>9.3318190623104771E-2</v>
      </c>
      <c r="Y66" s="2">
        <f>Y11*'Output-Calculation-sheet'!Y55/10^9</f>
        <v>6.2116410979164635E-2</v>
      </c>
      <c r="AA66" s="2">
        <f t="shared" si="4"/>
        <v>25.524804918878452</v>
      </c>
    </row>
    <row r="67" spans="1:27" x14ac:dyDescent="0.25">
      <c r="A67" s="2">
        <v>2035</v>
      </c>
      <c r="B67" s="2">
        <f>B12*'Output-Calculation-sheet'!B56/10^9</f>
        <v>7.9534967681400621</v>
      </c>
      <c r="C67" s="2">
        <f>C12*'Output-Calculation-sheet'!C56/10^9</f>
        <v>3.8373823887059122</v>
      </c>
      <c r="D67" s="2">
        <f>D12*'Output-Calculation-sheet'!D56/10^9</f>
        <v>1.742790634072974</v>
      </c>
      <c r="E67" s="2">
        <f>E12*'Output-Calculation-sheet'!E56/10^9</f>
        <v>1.9419293218441891</v>
      </c>
      <c r="F67" s="2">
        <f>F12*'Output-Calculation-sheet'!F56/10^9</f>
        <v>0.89332814003480165</v>
      </c>
      <c r="G67" s="2">
        <f>G12*'Output-Calculation-sheet'!G56/10^9</f>
        <v>0.61934122904917033</v>
      </c>
      <c r="H67" s="2">
        <f>H12*'Output-Calculation-sheet'!H56/10^9</f>
        <v>1.1455308363737797</v>
      </c>
      <c r="I67" s="2">
        <f>I12*'Output-Calculation-sheet'!I56/10^9</f>
        <v>0.61079125278713564</v>
      </c>
      <c r="J67" s="2">
        <f>J12*'Output-Calculation-sheet'!J56/10^9</f>
        <v>0.55124521591449249</v>
      </c>
      <c r="K67" s="2">
        <f>K12*'Output-Calculation-sheet'!K56/10^9</f>
        <v>0.71204713967752464</v>
      </c>
      <c r="L67" s="2">
        <f>L12*'Output-Calculation-sheet'!L56/10^9</f>
        <v>0.5882454683966597</v>
      </c>
      <c r="M67" s="2">
        <f>M12*'Output-Calculation-sheet'!M56/10^9</f>
        <v>0.79156844772279611</v>
      </c>
      <c r="N67" s="2">
        <f>N12*'Output-Calculation-sheet'!N56/10^9</f>
        <v>0.83076010040140791</v>
      </c>
      <c r="O67" s="2">
        <f>O12*'Output-Calculation-sheet'!O56/10^9</f>
        <v>0.75564091475310002</v>
      </c>
      <c r="P67" s="2">
        <f>P12*'Output-Calculation-sheet'!P56/10^9</f>
        <v>0.62737176713449383</v>
      </c>
      <c r="Q67" s="2">
        <f>Q12*'Output-Calculation-sheet'!Q56/10^9</f>
        <v>0.64632479107582075</v>
      </c>
      <c r="R67" s="2">
        <f>R12*'Output-Calculation-sheet'!R56/10^9</f>
        <v>0.51622008859367252</v>
      </c>
      <c r="S67" s="2">
        <f>S12*'Output-Calculation-sheet'!S56/10^9</f>
        <v>0.47042306819077168</v>
      </c>
      <c r="T67" s="2">
        <f>T12*'Output-Calculation-sheet'!T56/10^9</f>
        <v>0.16090234577162624</v>
      </c>
      <c r="U67" s="2">
        <f>U12*'Output-Calculation-sheet'!U56/10^9</f>
        <v>0.16252698682607672</v>
      </c>
      <c r="V67" s="2">
        <f>V12*'Output-Calculation-sheet'!V56/10^9</f>
        <v>0.12049086109657092</v>
      </c>
      <c r="W67" s="2">
        <f>W12*'Output-Calculation-sheet'!W56/10^9</f>
        <v>7.517472261215509E-2</v>
      </c>
      <c r="X67" s="2">
        <f>X12*'Output-Calculation-sheet'!X56/10^9</f>
        <v>9.44849666969938E-2</v>
      </c>
      <c r="Y67" s="2">
        <f>Y12*'Output-Calculation-sheet'!Y56/10^9</f>
        <v>6.3210742832006034E-2</v>
      </c>
      <c r="AA67" s="2">
        <f t="shared" si="4"/>
        <v>25.911228198704187</v>
      </c>
    </row>
    <row r="68" spans="1:27" x14ac:dyDescent="0.25">
      <c r="B68" s="2">
        <f>SUM(B60:B67)</f>
        <v>48.984920384050362</v>
      </c>
      <c r="C68" s="2">
        <f t="shared" ref="C68:Y68" si="5">SUM(C60:C67)</f>
        <v>23.575032059198122</v>
      </c>
      <c r="D68" s="2">
        <f t="shared" si="5"/>
        <v>10.726489084822393</v>
      </c>
      <c r="E68" s="2">
        <f t="shared" si="5"/>
        <v>11.938803332342596</v>
      </c>
      <c r="F68" s="2">
        <f t="shared" si="5"/>
        <v>5.5093816790065908</v>
      </c>
      <c r="G68" s="2">
        <f t="shared" si="5"/>
        <v>3.8108042255697199</v>
      </c>
      <c r="H68" s="2">
        <f t="shared" si="5"/>
        <v>7.1372540988109971</v>
      </c>
      <c r="I68" s="2">
        <f t="shared" si="5"/>
        <v>3.7598362377191532</v>
      </c>
      <c r="J68" s="2">
        <f t="shared" si="5"/>
        <v>3.3938309125179131</v>
      </c>
      <c r="K68" s="2">
        <f t="shared" si="5"/>
        <v>4.3810260961102223</v>
      </c>
      <c r="L68" s="2">
        <f t="shared" si="5"/>
        <v>3.6191935579394112</v>
      </c>
      <c r="M68" s="2">
        <f t="shared" si="5"/>
        <v>4.9308513265355325</v>
      </c>
      <c r="N68" s="2">
        <f t="shared" si="5"/>
        <v>5.1607938149624424</v>
      </c>
      <c r="O68" s="2">
        <f t="shared" si="5"/>
        <v>4.5999635902776541</v>
      </c>
      <c r="P68" s="2">
        <f t="shared" si="5"/>
        <v>3.845511466465048</v>
      </c>
      <c r="Q68" s="2">
        <f t="shared" si="5"/>
        <v>3.9647278121663625</v>
      </c>
      <c r="R68" s="2">
        <f t="shared" si="5"/>
        <v>3.1699354026079241</v>
      </c>
      <c r="S68" s="2">
        <f t="shared" si="5"/>
        <v>2.909342307853755</v>
      </c>
      <c r="T68" s="2">
        <f t="shared" si="5"/>
        <v>0.99027327178376101</v>
      </c>
      <c r="U68" s="2">
        <f t="shared" si="5"/>
        <v>0.99656806322512281</v>
      </c>
      <c r="V68" s="2">
        <f t="shared" si="5"/>
        <v>0.74141614301029135</v>
      </c>
      <c r="W68" s="2">
        <f t="shared" si="5"/>
        <v>0.46333630435859308</v>
      </c>
      <c r="X68" s="2">
        <f t="shared" si="5"/>
        <v>0.58683640065268183</v>
      </c>
      <c r="Y68" s="2">
        <f t="shared" si="5"/>
        <v>0.38818141836546649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12614235628.745178</v>
      </c>
      <c r="C96" s="2">
        <f>C8/'Output-Calculation-sheet'!C7*'Output-Calculation-sheet'!C79</f>
        <v>0</v>
      </c>
      <c r="D96" s="2">
        <f>D8/'Output-Calculation-sheet'!D7*'Output-Calculation-sheet'!D79</f>
        <v>7678155181.5224552</v>
      </c>
      <c r="E96" s="2">
        <f>E8/'Output-Calculation-sheet'!E7*'Output-Calculation-sheet'!E79</f>
        <v>12026741012.734991</v>
      </c>
      <c r="F96" s="2">
        <f>F8/'Output-Calculation-sheet'!F7*'Output-Calculation-sheet'!F79</f>
        <v>5756923703.7823915</v>
      </c>
      <c r="G96" s="2">
        <f>G8/'Output-Calculation-sheet'!G7*'Output-Calculation-sheet'!G79</f>
        <v>4388806638.495079</v>
      </c>
      <c r="H96" s="2">
        <f>H8/'Output-Calculation-sheet'!H7*'Output-Calculation-sheet'!H79</f>
        <v>1186139653.3029523</v>
      </c>
      <c r="I96" s="2">
        <f>I8/'Output-Calculation-sheet'!I7*'Output-Calculation-sheet'!I79</f>
        <v>3009769271.2648911</v>
      </c>
      <c r="J96" s="2">
        <f>J8/'Output-Calculation-sheet'!J7*'Output-Calculation-sheet'!J79</f>
        <v>2142422095.4817667</v>
      </c>
      <c r="K96" s="2">
        <f>K8/'Output-Calculation-sheet'!K7*'Output-Calculation-sheet'!K79</f>
        <v>2670157004.8616567</v>
      </c>
      <c r="L96" s="2">
        <f>L8/'Output-Calculation-sheet'!L7*'Output-Calculation-sheet'!L79</f>
        <v>1858056762.784348</v>
      </c>
      <c r="M96" s="2">
        <f>M8/'Output-Calculation-sheet'!M7*'Output-Calculation-sheet'!M79</f>
        <v>879316075.93117166</v>
      </c>
      <c r="N96" s="2">
        <f>N8/'Output-Calculation-sheet'!N7*'Output-Calculation-sheet'!N79</f>
        <v>980001027.92314553</v>
      </c>
      <c r="O96" s="2">
        <f>O8/'Output-Calculation-sheet'!O7*'Output-Calculation-sheet'!O79</f>
        <v>0</v>
      </c>
      <c r="P96" s="2">
        <f>P8/'Output-Calculation-sheet'!P7*'Output-Calculation-sheet'!P79</f>
        <v>2266517857.5626597</v>
      </c>
      <c r="Q96" s="2">
        <f>Q8/'Output-Calculation-sheet'!Q7*'Output-Calculation-sheet'!Q79</f>
        <v>1052231548.4764367</v>
      </c>
      <c r="R96" s="2">
        <f>R8/'Output-Calculation-sheet'!R7*'Output-Calculation-sheet'!R79</f>
        <v>1623456062.0112329</v>
      </c>
      <c r="S96" s="2">
        <f>S8/'Output-Calculation-sheet'!S7*'Output-Calculation-sheet'!S79</f>
        <v>594648745.24337602</v>
      </c>
      <c r="T96" s="2">
        <f>T8/'Output-Calculation-sheet'!T7*'Output-Calculation-sheet'!T79</f>
        <v>850943909.59354317</v>
      </c>
      <c r="U96" s="2">
        <f>U8/'Output-Calculation-sheet'!U7*'Output-Calculation-sheet'!U79</f>
        <v>432054561.3786329</v>
      </c>
      <c r="V96" s="2">
        <f>V8/'Output-Calculation-sheet'!V7*'Output-Calculation-sheet'!V79</f>
        <v>261914370.88619652</v>
      </c>
      <c r="W96" s="2">
        <f>W8/'Output-Calculation-sheet'!W7*'Output-Calculation-sheet'!W79</f>
        <v>912110746.44908679</v>
      </c>
      <c r="X96" s="2">
        <f>X8/'Output-Calculation-sheet'!X7*'Output-Calculation-sheet'!X79</f>
        <v>85038399.605219856</v>
      </c>
      <c r="Y96" s="2">
        <f>Y8/'Output-Calculation-sheet'!Y7*'Output-Calculation-sheet'!Y79</f>
        <v>387986642.90448391</v>
      </c>
      <c r="AA96" s="2">
        <f t="shared" si="8"/>
        <v>63.657626900940919</v>
      </c>
    </row>
    <row r="97" spans="1:27" x14ac:dyDescent="0.25">
      <c r="A97" s="2">
        <v>2032</v>
      </c>
      <c r="B97" s="2">
        <f>B9/'Output-Calculation-sheet'!B8*'Output-Calculation-sheet'!B80</f>
        <v>14375442395.056728</v>
      </c>
      <c r="C97" s="2">
        <f>C9/'Output-Calculation-sheet'!C8*'Output-Calculation-sheet'!C80</f>
        <v>0</v>
      </c>
      <c r="D97" s="2">
        <f>D9/'Output-Calculation-sheet'!D8*'Output-Calculation-sheet'!D80</f>
        <v>8345371579.0579615</v>
      </c>
      <c r="E97" s="2">
        <f>E9/'Output-Calculation-sheet'!E8*'Output-Calculation-sheet'!E80</f>
        <v>13463816049.181759</v>
      </c>
      <c r="F97" s="2">
        <f>F9/'Output-Calculation-sheet'!F8*'Output-Calculation-sheet'!F80</f>
        <v>6422452254.7935705</v>
      </c>
      <c r="G97" s="2">
        <f>G9/'Output-Calculation-sheet'!G8*'Output-Calculation-sheet'!G80</f>
        <v>4755678781.0461426</v>
      </c>
      <c r="H97" s="2">
        <f>H9/'Output-Calculation-sheet'!H8*'Output-Calculation-sheet'!H80</f>
        <v>1358134024.2009435</v>
      </c>
      <c r="I97" s="2">
        <f>I9/'Output-Calculation-sheet'!I8*'Output-Calculation-sheet'!I80</f>
        <v>3391154995.3273015</v>
      </c>
      <c r="J97" s="2">
        <f>J9/'Output-Calculation-sheet'!J8*'Output-Calculation-sheet'!J80</f>
        <v>2345289175.1237707</v>
      </c>
      <c r="K97" s="2">
        <f>K9/'Output-Calculation-sheet'!K8*'Output-Calculation-sheet'!K80</f>
        <v>2950175583.0410938</v>
      </c>
      <c r="L97" s="2">
        <f>L9/'Output-Calculation-sheet'!L8*'Output-Calculation-sheet'!L80</f>
        <v>2118184474.9984915</v>
      </c>
      <c r="M97" s="2">
        <f>M9/'Output-Calculation-sheet'!M8*'Output-Calculation-sheet'!M80</f>
        <v>1008602523.695688</v>
      </c>
      <c r="N97" s="2">
        <f>N9/'Output-Calculation-sheet'!N8*'Output-Calculation-sheet'!N80</f>
        <v>1073549690.0710477</v>
      </c>
      <c r="O97" s="2">
        <f>O9/'Output-Calculation-sheet'!O8*'Output-Calculation-sheet'!O80</f>
        <v>0</v>
      </c>
      <c r="P97" s="2">
        <f>P9/'Output-Calculation-sheet'!P8*'Output-Calculation-sheet'!P80</f>
        <v>2512297559.2212453</v>
      </c>
      <c r="Q97" s="2">
        <f>Q9/'Output-Calculation-sheet'!Q8*'Output-Calculation-sheet'!Q80</f>
        <v>1171355245.2734308</v>
      </c>
      <c r="R97" s="2">
        <f>R9/'Output-Calculation-sheet'!R8*'Output-Calculation-sheet'!R80</f>
        <v>1815510918.0164676</v>
      </c>
      <c r="S97" s="2">
        <f>S9/'Output-Calculation-sheet'!S8*'Output-Calculation-sheet'!S80</f>
        <v>684067737.56987941</v>
      </c>
      <c r="T97" s="2">
        <f>T9/'Output-Calculation-sheet'!T8*'Output-Calculation-sheet'!T80</f>
        <v>933592349.78614092</v>
      </c>
      <c r="U97" s="2">
        <f>U9/'Output-Calculation-sheet'!U8*'Output-Calculation-sheet'!U80</f>
        <v>483377488.00636715</v>
      </c>
      <c r="V97" s="2">
        <f>V9/'Output-Calculation-sheet'!V8*'Output-Calculation-sheet'!V80</f>
        <v>296327086.43258202</v>
      </c>
      <c r="W97" s="2">
        <f>W9/'Output-Calculation-sheet'!W8*'Output-Calculation-sheet'!W80</f>
        <v>1008847070.9798872</v>
      </c>
      <c r="X97" s="2">
        <f>X9/'Output-Calculation-sheet'!X8*'Output-Calculation-sheet'!X80</f>
        <v>99879319.165813789</v>
      </c>
      <c r="Y97" s="2">
        <f>Y9/'Output-Calculation-sheet'!Y8*'Output-Calculation-sheet'!Y80</f>
        <v>429570028.01706845</v>
      </c>
      <c r="AA97" s="2">
        <f t="shared" si="8"/>
        <v>71.042676328063379</v>
      </c>
    </row>
    <row r="98" spans="1:27" x14ac:dyDescent="0.25">
      <c r="A98" s="2">
        <v>2033</v>
      </c>
      <c r="B98" s="2">
        <f>B10/'Output-Calculation-sheet'!B9*'Output-Calculation-sheet'!B81</f>
        <v>16268602275.519379</v>
      </c>
      <c r="C98" s="2">
        <f>C10/'Output-Calculation-sheet'!C9*'Output-Calculation-sheet'!C81</f>
        <v>2130706375.5422781</v>
      </c>
      <c r="D98" s="2">
        <f>D10/'Output-Calculation-sheet'!D9*'Output-Calculation-sheet'!D81</f>
        <v>8673321869.1860561</v>
      </c>
      <c r="E98" s="2">
        <f>E10/'Output-Calculation-sheet'!E9*'Output-Calculation-sheet'!E81</f>
        <v>14400747189.096725</v>
      </c>
      <c r="F98" s="2">
        <f>F10/'Output-Calculation-sheet'!F9*'Output-Calculation-sheet'!F81</f>
        <v>6856051746.809618</v>
      </c>
      <c r="G98" s="2">
        <f>G10/'Output-Calculation-sheet'!G9*'Output-Calculation-sheet'!G81</f>
        <v>4923174658.1242886</v>
      </c>
      <c r="H98" s="2">
        <f>H10/'Output-Calculation-sheet'!H9*'Output-Calculation-sheet'!H81</f>
        <v>1483719962.1052489</v>
      </c>
      <c r="I98" s="2">
        <f>I10/'Output-Calculation-sheet'!I9*'Output-Calculation-sheet'!I81</f>
        <v>3654109443.5574203</v>
      </c>
      <c r="J98" s="2">
        <f>J10/'Output-Calculation-sheet'!J9*'Output-Calculation-sheet'!J81</f>
        <v>2457121593.6538315</v>
      </c>
      <c r="K98" s="2">
        <f>K10/'Output-Calculation-sheet'!K9*'Output-Calculation-sheet'!K81</f>
        <v>3120464173.979836</v>
      </c>
      <c r="L98" s="2">
        <f>L10/'Output-Calculation-sheet'!L9*'Output-Calculation-sheet'!L81</f>
        <v>2307098553.375617</v>
      </c>
      <c r="M98" s="2">
        <f>M10/'Output-Calculation-sheet'!M9*'Output-Calculation-sheet'!M81</f>
        <v>1106267086.4898696</v>
      </c>
      <c r="N98" s="2">
        <f>N10/'Output-Calculation-sheet'!N9*'Output-Calculation-sheet'!N81</f>
        <v>1125740784.1401064</v>
      </c>
      <c r="O98" s="2">
        <f>O10/'Output-Calculation-sheet'!O9*'Output-Calculation-sheet'!O81</f>
        <v>0</v>
      </c>
      <c r="P98" s="2">
        <f>P10/'Output-Calculation-sheet'!P9*'Output-Calculation-sheet'!P81</f>
        <v>2654753869.3141341</v>
      </c>
      <c r="Q98" s="2">
        <f>Q10/'Output-Calculation-sheet'!Q9*'Output-Calculation-sheet'!Q81</f>
        <v>1246103147.5214164</v>
      </c>
      <c r="R98" s="2">
        <f>R10/'Output-Calculation-sheet'!R9*'Output-Calculation-sheet'!R81</f>
        <v>1944492152.4701416</v>
      </c>
      <c r="S98" s="2">
        <f>S10/'Output-Calculation-sheet'!S9*'Output-Calculation-sheet'!S81</f>
        <v>738355580.65388036</v>
      </c>
      <c r="T98" s="2">
        <f>T10/'Output-Calculation-sheet'!T9*'Output-Calculation-sheet'!T81</f>
        <v>980026678.27437413</v>
      </c>
      <c r="U98" s="2">
        <f>U10/'Output-Calculation-sheet'!U9*'Output-Calculation-sheet'!U81</f>
        <v>516574030.23672789</v>
      </c>
      <c r="V98" s="2">
        <f>V10/'Output-Calculation-sheet'!V9*'Output-Calculation-sheet'!V81</f>
        <v>320117376.1065709</v>
      </c>
      <c r="W98" s="2">
        <f>W10/'Output-Calculation-sheet'!W9*'Output-Calculation-sheet'!W81</f>
        <v>1064284964.1689643</v>
      </c>
      <c r="X98" s="2">
        <f>X10/'Output-Calculation-sheet'!X9*'Output-Calculation-sheet'!X81</f>
        <v>110713159.2269699</v>
      </c>
      <c r="Y98" s="2">
        <f>Y10/'Output-Calculation-sheet'!Y9*'Output-Calculation-sheet'!Y81</f>
        <v>454346977.69728684</v>
      </c>
      <c r="AA98" s="2">
        <f t="shared" si="8"/>
        <v>78.536893647250736</v>
      </c>
    </row>
    <row r="99" spans="1:27" x14ac:dyDescent="0.25">
      <c r="A99" s="2">
        <v>2034</v>
      </c>
      <c r="B99" s="2">
        <f>B11/'Output-Calculation-sheet'!B10*'Output-Calculation-sheet'!B82</f>
        <v>17508210086.928322</v>
      </c>
      <c r="C99" s="2">
        <f>C11/'Output-Calculation-sheet'!C10*'Output-Calculation-sheet'!C82</f>
        <v>2374547823.6680274</v>
      </c>
      <c r="D99" s="2">
        <f>D11/'Output-Calculation-sheet'!D10*'Output-Calculation-sheet'!D82</f>
        <v>8735768228.5083237</v>
      </c>
      <c r="E99" s="2">
        <f>E11/'Output-Calculation-sheet'!E10*'Output-Calculation-sheet'!E82</f>
        <v>14939653691.847988</v>
      </c>
      <c r="F99" s="2">
        <f>F11/'Output-Calculation-sheet'!F10*'Output-Calculation-sheet'!F82</f>
        <v>7094963653.4442739</v>
      </c>
      <c r="G99" s="2">
        <f>G11/'Output-Calculation-sheet'!G10*'Output-Calculation-sheet'!G82</f>
        <v>4928566724.8335009</v>
      </c>
      <c r="H99" s="2">
        <f>H11/'Output-Calculation-sheet'!H10*'Output-Calculation-sheet'!H82</f>
        <v>1572672964.5485716</v>
      </c>
      <c r="I99" s="2">
        <f>I11/'Output-Calculation-sheet'!I10*'Output-Calculation-sheet'!I82</f>
        <v>3820521648.1635113</v>
      </c>
      <c r="J99" s="2">
        <f>J11/'Output-Calculation-sheet'!J10*'Output-Calculation-sheet'!J82</f>
        <v>2496074250.7992959</v>
      </c>
      <c r="K99" s="2">
        <f>K11/'Output-Calculation-sheet'!K10*'Output-Calculation-sheet'!K82</f>
        <v>3200414005.0285358</v>
      </c>
      <c r="L99" s="2">
        <f>L11/'Output-Calculation-sheet'!L10*'Output-Calculation-sheet'!L82</f>
        <v>2433605769.1047606</v>
      </c>
      <c r="M99" s="2">
        <f>M11/'Output-Calculation-sheet'!M10*'Output-Calculation-sheet'!M82</f>
        <v>1176408141.9793789</v>
      </c>
      <c r="N99" s="2">
        <f>N11/'Output-Calculation-sheet'!N10*'Output-Calculation-sheet'!N82</f>
        <v>1148121611.9175293</v>
      </c>
      <c r="O99" s="2">
        <f>O11/'Output-Calculation-sheet'!O10*'Output-Calculation-sheet'!O82</f>
        <v>0</v>
      </c>
      <c r="P99" s="2">
        <f>P11/'Output-Calculation-sheet'!P10*'Output-Calculation-sheet'!P82</f>
        <v>2715584753.8090734</v>
      </c>
      <c r="Q99" s="2">
        <f>Q11/'Output-Calculation-sheet'!Q10*'Output-Calculation-sheet'!Q82</f>
        <v>1285847271.7262611</v>
      </c>
      <c r="R99" s="2">
        <f>R11/'Output-Calculation-sheet'!R10*'Output-Calculation-sheet'!R82</f>
        <v>2017923365.4707098</v>
      </c>
      <c r="S99" s="2">
        <f>S11/'Output-Calculation-sheet'!S10*'Output-Calculation-sheet'!S82</f>
        <v>786250510.03523338</v>
      </c>
      <c r="T99" s="2">
        <f>T11/'Output-Calculation-sheet'!T10*'Output-Calculation-sheet'!T82</f>
        <v>997007489.67995536</v>
      </c>
      <c r="U99" s="2">
        <f>U11/'Output-Calculation-sheet'!U10*'Output-Calculation-sheet'!U82</f>
        <v>535918801.69981354</v>
      </c>
      <c r="V99" s="2">
        <f>V11/'Output-Calculation-sheet'!V10*'Output-Calculation-sheet'!V82</f>
        <v>335257168.67532277</v>
      </c>
      <c r="W99" s="2">
        <f>W11/'Output-Calculation-sheet'!W10*'Output-Calculation-sheet'!W82</f>
        <v>1086772967.1606994</v>
      </c>
      <c r="X99" s="2">
        <f>X11/'Output-Calculation-sheet'!X10*'Output-Calculation-sheet'!X82</f>
        <v>119581806.33245946</v>
      </c>
      <c r="Y99" s="2">
        <f>Y11/'Output-Calculation-sheet'!Y10*'Output-Calculation-sheet'!Y82</f>
        <v>465000810.2536903</v>
      </c>
      <c r="AA99" s="2">
        <f t="shared" si="8"/>
        <v>81.774673545615229</v>
      </c>
    </row>
    <row r="100" spans="1:27" x14ac:dyDescent="0.25">
      <c r="A100" s="2">
        <v>2035</v>
      </c>
      <c r="B100" s="2">
        <f>B12/'Output-Calculation-sheet'!B11*'Output-Calculation-sheet'!B83</f>
        <v>18113066187.928886</v>
      </c>
      <c r="C100" s="2">
        <f>C12/'Output-Calculation-sheet'!C11*'Output-Calculation-sheet'!C83</f>
        <v>2562734553.0413747</v>
      </c>
      <c r="D100" s="2">
        <f>D12/'Output-Calculation-sheet'!D11*'Output-Calculation-sheet'!D83</f>
        <v>8614647513.7314854</v>
      </c>
      <c r="E100" s="2">
        <f>E12/'Output-Calculation-sheet'!E11*'Output-Calculation-sheet'!E83</f>
        <v>15155905000.348454</v>
      </c>
      <c r="F100" s="2">
        <f>F12/'Output-Calculation-sheet'!F11*'Output-Calculation-sheet'!F83</f>
        <v>7182485245.4153948</v>
      </c>
      <c r="G100" s="2">
        <f>G12/'Output-Calculation-sheet'!G11*'Output-Calculation-sheet'!G83</f>
        <v>4817115646.5094471</v>
      </c>
      <c r="H100" s="2">
        <f>H12/'Output-Calculation-sheet'!H11*'Output-Calculation-sheet'!H83</f>
        <v>1623169789.7739778</v>
      </c>
      <c r="I100" s="2">
        <f>I12/'Output-Calculation-sheet'!I11*'Output-Calculation-sheet'!I83</f>
        <v>3902975511.6342959</v>
      </c>
      <c r="J100" s="2">
        <f>J12/'Output-Calculation-sheet'!J11*'Output-Calculation-sheet'!J83</f>
        <v>2479627493.8600917</v>
      </c>
      <c r="K100" s="2">
        <f>K12/'Output-Calculation-sheet'!K11*'Output-Calculation-sheet'!K83</f>
        <v>3209665562.137362</v>
      </c>
      <c r="L100" s="2">
        <f>L12/'Output-Calculation-sheet'!L11*'Output-Calculation-sheet'!L83</f>
        <v>2507830790.8625336</v>
      </c>
      <c r="M100" s="2">
        <f>M12/'Output-Calculation-sheet'!M11*'Output-Calculation-sheet'!M83</f>
        <v>1216644203.5358684</v>
      </c>
      <c r="N100" s="2">
        <f>N12/'Output-Calculation-sheet'!N11*'Output-Calculation-sheet'!N83</f>
        <v>1146114383.6662836</v>
      </c>
      <c r="O100" s="2">
        <f>O12/'Output-Calculation-sheet'!O11*'Output-Calculation-sheet'!O83</f>
        <v>309207050.24146932</v>
      </c>
      <c r="P100" s="2">
        <f>P12/'Output-Calculation-sheet'!P11*'Output-Calculation-sheet'!P83</f>
        <v>2714955575.1497631</v>
      </c>
      <c r="Q100" s="2">
        <f>Q12/'Output-Calculation-sheet'!Q11*'Output-Calculation-sheet'!Q83</f>
        <v>1302028986.8539736</v>
      </c>
      <c r="R100" s="2">
        <f>R12/'Output-Calculation-sheet'!R11*'Output-Calculation-sheet'!R83</f>
        <v>2050957251.6626511</v>
      </c>
      <c r="S100" s="2">
        <f>S12/'Output-Calculation-sheet'!S11*'Output-Calculation-sheet'!S83</f>
        <v>795466751.18606806</v>
      </c>
      <c r="T100" s="2">
        <f>T12/'Output-Calculation-sheet'!T11*'Output-Calculation-sheet'!T83</f>
        <v>991500161.17121017</v>
      </c>
      <c r="U100" s="2">
        <f>U12/'Output-Calculation-sheet'!U11*'Output-Calculation-sheet'!U83</f>
        <v>543139000.47812891</v>
      </c>
      <c r="V100" s="2">
        <f>V12/'Output-Calculation-sheet'!V11*'Output-Calculation-sheet'!V83</f>
        <v>343287123.57294106</v>
      </c>
      <c r="W100" s="2">
        <f>W12/'Output-Calculation-sheet'!W11*'Output-Calculation-sheet'!W83</f>
        <v>1083252670.672802</v>
      </c>
      <c r="X100" s="2">
        <f>X12/'Output-Calculation-sheet'!X11*'Output-Calculation-sheet'!X83</f>
        <v>126049408.48935781</v>
      </c>
      <c r="Y100" s="2">
        <f>Y12/'Output-Calculation-sheet'!Y11*'Output-Calculation-sheet'!Y83</f>
        <v>465094421.37877643</v>
      </c>
      <c r="AA100" s="2">
        <f t="shared" si="8"/>
        <v>83.256920283302605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4.5738292795026697E-4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4116559665.6288018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2820455913.9250517</v>
      </c>
      <c r="N118" s="2">
        <f>N8/'Output-Calculation-sheet'!N7*'Output-Calculation-sheet'!N97</f>
        <v>1864497256.2625713</v>
      </c>
      <c r="O118" s="2">
        <f>O8/'Output-Calculation-sheet'!O7*'Output-Calculation-sheet'!O97</f>
        <v>2.5165105834261433E-5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462210074.2145083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268058202.05550614</v>
      </c>
      <c r="Y118" s="2">
        <f>Y8/'Output-Calculation-sheet'!Y7*'Output-Calculation-sheet'!Y97</f>
        <v>0</v>
      </c>
      <c r="AA118" s="2">
        <f t="shared" si="10"/>
        <v>9531.781112086921</v>
      </c>
    </row>
    <row r="119" spans="1:27" x14ac:dyDescent="0.25">
      <c r="A119" s="2">
        <v>2032</v>
      </c>
      <c r="B119" s="2">
        <f>B9/'Output-Calculation-sheet'!B8*'Output-Calculation-sheet'!B98</f>
        <v>4456418.206292823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4785544203.9274769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3274915018.4013333</v>
      </c>
      <c r="N119" s="2">
        <f>N9/'Output-Calculation-sheet'!N8*'Output-Calculation-sheet'!N98</f>
        <v>2389336012.1200733</v>
      </c>
      <c r="O119" s="2">
        <f>O9/'Output-Calculation-sheet'!O8*'Output-Calculation-sheet'!O98</f>
        <v>2.4369593188405052E-4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751781785.78504574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315407628.09510279</v>
      </c>
      <c r="Y119" s="2">
        <f>Y9/'Output-Calculation-sheet'!Y8*'Output-Calculation-sheet'!Y98</f>
        <v>0</v>
      </c>
      <c r="AA119" s="2">
        <f t="shared" si="10"/>
        <v>11521.441066535568</v>
      </c>
    </row>
    <row r="120" spans="1:27" x14ac:dyDescent="0.25">
      <c r="A120" s="2">
        <v>2033</v>
      </c>
      <c r="B120" s="2">
        <f>B10/'Output-Calculation-sheet'!B9*'Output-Calculation-sheet'!B99</f>
        <v>6441892531.2405224</v>
      </c>
      <c r="C120" s="2">
        <f>C10/'Output-Calculation-sheet'!C9*'Output-Calculation-sheet'!C99</f>
        <v>11990133262.971428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5303788899.7286463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3633062936.309504</v>
      </c>
      <c r="N120" s="2">
        <f>N10/'Output-Calculation-sheet'!N9*'Output-Calculation-sheet'!N99</f>
        <v>2871681136.5803986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1004522392.9499991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350091942.80124325</v>
      </c>
      <c r="Y120" s="2">
        <f>Y10/'Output-Calculation-sheet'!Y9*'Output-Calculation-sheet'!Y99</f>
        <v>0</v>
      </c>
      <c r="AA120" s="2">
        <f t="shared" si="10"/>
        <v>31595.173102581746</v>
      </c>
    </row>
    <row r="121" spans="1:27" x14ac:dyDescent="0.25">
      <c r="A121" s="2">
        <v>2034</v>
      </c>
      <c r="B121" s="2">
        <f>B11/'Output-Calculation-sheet'!B10*'Output-Calculation-sheet'!B100</f>
        <v>11464190103.142176</v>
      </c>
      <c r="C121" s="2">
        <f>C11/'Output-Calculation-sheet'!C10*'Output-Calculation-sheet'!C100</f>
        <v>13281942139.181067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5698746768.2203827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3904234698.6707106</v>
      </c>
      <c r="N121" s="2">
        <f>N11/'Output-Calculation-sheet'!N10*'Output-Calculation-sheet'!N100</f>
        <v>3187569620.809864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1223668116.4285476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378486675.84679735</v>
      </c>
      <c r="Y121" s="2">
        <f>Y11/'Output-Calculation-sheet'!Y10*'Output-Calculation-sheet'!Y100</f>
        <v>0</v>
      </c>
      <c r="AA121" s="2">
        <f t="shared" si="10"/>
        <v>39138.838122299545</v>
      </c>
    </row>
    <row r="122" spans="1:27" x14ac:dyDescent="0.25">
      <c r="A122" s="2">
        <v>2035</v>
      </c>
      <c r="B122" s="2">
        <f>B12/'Output-Calculation-sheet'!B11*'Output-Calculation-sheet'!B101</f>
        <v>14579009116.578917</v>
      </c>
      <c r="C122" s="2">
        <f>C12/'Output-Calculation-sheet'!C11*'Output-Calculation-sheet'!C101</f>
        <v>14249681607.889751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5957725091.3588781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4077044584.9301672</v>
      </c>
      <c r="N122" s="2">
        <f>N12/'Output-Calculation-sheet'!N11*'Output-Calculation-sheet'!N101</f>
        <v>3407596410.9410872</v>
      </c>
      <c r="O122" s="2">
        <f>O12/'Output-Calculation-sheet'!O11*'Output-Calculation-sheet'!O101</f>
        <v>2435390827.9684381</v>
      </c>
      <c r="P122" s="2">
        <f>P12/'Output-Calculation-sheet'!P11*'Output-Calculation-sheet'!P101</f>
        <v>0</v>
      </c>
      <c r="Q122" s="2">
        <f>Q12/'Output-Calculation-sheet'!Q11*'Output-Calculation-sheet'!Q101</f>
        <v>44457108.456159614</v>
      </c>
      <c r="R122" s="2">
        <f>R12/'Output-Calculation-sheet'!R11*'Output-Calculation-sheet'!R101</f>
        <v>0</v>
      </c>
      <c r="S122" s="2">
        <f>S12/'Output-Calculation-sheet'!S11*'Output-Calculation-sheet'!S101</f>
        <v>1434701564.7572978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399169791.42275399</v>
      </c>
      <c r="Y122" s="2">
        <f>Y12/'Output-Calculation-sheet'!Y11*'Output-Calculation-sheet'!Y101</f>
        <v>0</v>
      </c>
      <c r="AA122" s="2">
        <f t="shared" si="10"/>
        <v>46584.776104303448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51591429378.505264</v>
      </c>
      <c r="C129" s="2">
        <f>C8/'Output-Calculation-sheet'!C7*'Output-Calculation-sheet'!C106</f>
        <v>0</v>
      </c>
      <c r="D129" s="2">
        <f>D8/'Output-Calculation-sheet'!D7*'Output-Calculation-sheet'!D106</f>
        <v>37346849778.79631</v>
      </c>
      <c r="E129" s="2">
        <f>E8/'Output-Calculation-sheet'!E7*'Output-Calculation-sheet'!E106</f>
        <v>26105095288.916763</v>
      </c>
      <c r="F129" s="2">
        <f>F8/'Output-Calculation-sheet'!F7*'Output-Calculation-sheet'!F106</f>
        <v>19435269451.194782</v>
      </c>
      <c r="G129" s="2">
        <f>G8/'Output-Calculation-sheet'!G7*'Output-Calculation-sheet'!G106</f>
        <v>13365337600.152409</v>
      </c>
      <c r="H129" s="2">
        <f>H8/'Output-Calculation-sheet'!H7*'Output-Calculation-sheet'!H106</f>
        <v>0</v>
      </c>
      <c r="I129" s="2">
        <f>I8/'Output-Calculation-sheet'!I7*'Output-Calculation-sheet'!I106</f>
        <v>11987679785.509783</v>
      </c>
      <c r="J129" s="2">
        <f>J8/'Output-Calculation-sheet'!J7*'Output-Calculation-sheet'!J106</f>
        <v>12282194152.71443</v>
      </c>
      <c r="K129" s="2">
        <f>K8/'Output-Calculation-sheet'!K7*'Output-Calculation-sheet'!K106</f>
        <v>10596807344.756861</v>
      </c>
      <c r="L129" s="2">
        <f>L8/'Output-Calculation-sheet'!L7*'Output-Calculation-sheet'!L106</f>
        <v>8383566047.4855642</v>
      </c>
      <c r="M129" s="2">
        <f>M8/'Output-Calculation-sheet'!M7*'Output-Calculation-sheet'!M106</f>
        <v>0</v>
      </c>
      <c r="N129" s="2">
        <f>N8/'Output-Calculation-sheet'!N7*'Output-Calculation-sheet'!N106</f>
        <v>2281895053.2882562</v>
      </c>
      <c r="O129" s="2">
        <f>O8/'Output-Calculation-sheet'!O7*'Output-Calculation-sheet'!O106</f>
        <v>0</v>
      </c>
      <c r="P129" s="2">
        <f>P8/'Output-Calculation-sheet'!P7*'Output-Calculation-sheet'!P106</f>
        <v>5162855333.2938623</v>
      </c>
      <c r="Q129" s="2">
        <f>Q8/'Output-Calculation-sheet'!Q7*'Output-Calculation-sheet'!Q106</f>
        <v>5059876344.9605389</v>
      </c>
      <c r="R129" s="2">
        <f>R8/'Output-Calculation-sheet'!R7*'Output-Calculation-sheet'!R106</f>
        <v>6019814342.309659</v>
      </c>
      <c r="S129" s="2">
        <f>S8/'Output-Calculation-sheet'!S7*'Output-Calculation-sheet'!S106</f>
        <v>2052940424.3501163</v>
      </c>
      <c r="T129" s="2">
        <f>T8/'Output-Calculation-sheet'!T7*'Output-Calculation-sheet'!T106</f>
        <v>2606234218.4477019</v>
      </c>
      <c r="U129" s="2">
        <f>U8/'Output-Calculation-sheet'!U7*'Output-Calculation-sheet'!U106</f>
        <v>1834729732.760139</v>
      </c>
      <c r="V129" s="2">
        <f>V8/'Output-Calculation-sheet'!V7*'Output-Calculation-sheet'!V106</f>
        <v>1650636288.9255509</v>
      </c>
      <c r="W129" s="2">
        <f>W8/'Output-Calculation-sheet'!W7*'Output-Calculation-sheet'!W106</f>
        <v>1684226682.6671672</v>
      </c>
      <c r="X129" s="2">
        <f>X8/'Output-Calculation-sheet'!X7*'Output-Calculation-sheet'!X106</f>
        <v>0</v>
      </c>
      <c r="Y129" s="2">
        <f>Y8/'Output-Calculation-sheet'!Y7*'Output-Calculation-sheet'!Y106</f>
        <v>760472003.13344431</v>
      </c>
      <c r="AA129" s="2">
        <f t="shared" si="11"/>
        <v>220207.90925216861</v>
      </c>
    </row>
    <row r="130" spans="1:27" x14ac:dyDescent="0.25">
      <c r="A130" s="2">
        <v>2032</v>
      </c>
      <c r="B130" s="2">
        <f>B9/'Output-Calculation-sheet'!B8*'Output-Calculation-sheet'!B107</f>
        <v>58823194586.405235</v>
      </c>
      <c r="C130" s="2">
        <f>C9/'Output-Calculation-sheet'!C8*'Output-Calculation-sheet'!C107</f>
        <v>0</v>
      </c>
      <c r="D130" s="2">
        <f>D9/'Output-Calculation-sheet'!D8*'Output-Calculation-sheet'!D107</f>
        <v>42264996695.168739</v>
      </c>
      <c r="E130" s="2">
        <f>E9/'Output-Calculation-sheet'!E8*'Output-Calculation-sheet'!E107</f>
        <v>29581247595.86253</v>
      </c>
      <c r="F130" s="2">
        <f>F9/'Output-Calculation-sheet'!F8*'Output-Calculation-sheet'!F107</f>
        <v>21988811025.185638</v>
      </c>
      <c r="G130" s="2">
        <f>G9/'Output-Calculation-sheet'!G8*'Output-Calculation-sheet'!G107</f>
        <v>15113812745.721388</v>
      </c>
      <c r="H130" s="2">
        <f>H9/'Output-Calculation-sheet'!H8*'Output-Calculation-sheet'!H107</f>
        <v>0</v>
      </c>
      <c r="I130" s="2">
        <f>I9/'Output-Calculation-sheet'!I8*'Output-Calculation-sheet'!I107</f>
        <v>13567421160.81114</v>
      </c>
      <c r="J130" s="2">
        <f>J9/'Output-Calculation-sheet'!J8*'Output-Calculation-sheet'!J107</f>
        <v>13892226526.504074</v>
      </c>
      <c r="K130" s="2">
        <f>K9/'Output-Calculation-sheet'!K8*'Output-Calculation-sheet'!K107</f>
        <v>12004980636.368124</v>
      </c>
      <c r="L130" s="2">
        <f>L9/'Output-Calculation-sheet'!L8*'Output-Calculation-sheet'!L107</f>
        <v>9500240363.2143555</v>
      </c>
      <c r="M130" s="2">
        <f>M9/'Output-Calculation-sheet'!M8*'Output-Calculation-sheet'!M107</f>
        <v>0</v>
      </c>
      <c r="N130" s="2">
        <f>N9/'Output-Calculation-sheet'!N8*'Output-Calculation-sheet'!N107</f>
        <v>2293313188.959074</v>
      </c>
      <c r="O130" s="2">
        <f>O9/'Output-Calculation-sheet'!O8*'Output-Calculation-sheet'!O107</f>
        <v>0</v>
      </c>
      <c r="P130" s="2">
        <f>P9/'Output-Calculation-sheet'!P8*'Output-Calculation-sheet'!P107</f>
        <v>5893688953.1657181</v>
      </c>
      <c r="Q130" s="2">
        <f>Q9/'Output-Calculation-sheet'!Q8*'Output-Calculation-sheet'!Q107</f>
        <v>5779679072.4625673</v>
      </c>
      <c r="R130" s="2">
        <f>R9/'Output-Calculation-sheet'!R8*'Output-Calculation-sheet'!R107</f>
        <v>6820802388.362709</v>
      </c>
      <c r="S130" s="2">
        <f>S9/'Output-Calculation-sheet'!S8*'Output-Calculation-sheet'!S107</f>
        <v>2191312881.9089341</v>
      </c>
      <c r="T130" s="2">
        <f>T9/'Output-Calculation-sheet'!T8*'Output-Calculation-sheet'!T107</f>
        <v>2949976434.4580183</v>
      </c>
      <c r="U130" s="2">
        <f>U9/'Output-Calculation-sheet'!U8*'Output-Calculation-sheet'!U107</f>
        <v>2080889503.2206292</v>
      </c>
      <c r="V130" s="2">
        <f>V9/'Output-Calculation-sheet'!V8*'Output-Calculation-sheet'!V107</f>
        <v>1873367448.6369846</v>
      </c>
      <c r="W130" s="2">
        <f>W9/'Output-Calculation-sheet'!W8*'Output-Calculation-sheet'!W107</f>
        <v>1906698273.6489043</v>
      </c>
      <c r="X130" s="2">
        <f>X9/'Output-Calculation-sheet'!X8*'Output-Calculation-sheet'!X107</f>
        <v>0</v>
      </c>
      <c r="Y130" s="2">
        <f>Y9/'Output-Calculation-sheet'!Y8*'Output-Calculation-sheet'!Y107</f>
        <v>861845114.19854331</v>
      </c>
      <c r="AA130" s="2">
        <f t="shared" si="11"/>
        <v>249388.50459426324</v>
      </c>
    </row>
    <row r="131" spans="1:27" x14ac:dyDescent="0.25">
      <c r="A131" s="2">
        <v>2033</v>
      </c>
      <c r="B131" s="2">
        <f>B10/'Output-Calculation-sheet'!B9*'Output-Calculation-sheet'!B108</f>
        <v>60162496806.824173</v>
      </c>
      <c r="C131" s="2">
        <f>C10/'Output-Calculation-sheet'!C9*'Output-Calculation-sheet'!C108</f>
        <v>0</v>
      </c>
      <c r="D131" s="2">
        <f>D10/'Output-Calculation-sheet'!D9*'Output-Calculation-sheet'!D108</f>
        <v>45708543482.5914</v>
      </c>
      <c r="E131" s="2">
        <f>E10/'Output-Calculation-sheet'!E9*'Output-Calculation-sheet'!E108</f>
        <v>32009961501.42255</v>
      </c>
      <c r="F131" s="2">
        <f>F10/'Output-Calculation-sheet'!F9*'Output-Calculation-sheet'!F108</f>
        <v>23786888217.696613</v>
      </c>
      <c r="G131" s="2">
        <f>G10/'Output-Calculation-sheet'!G9*'Output-Calculation-sheet'!G108</f>
        <v>16345635169.33687</v>
      </c>
      <c r="H131" s="2">
        <f>H10/'Output-Calculation-sheet'!H9*'Output-Calculation-sheet'!H108</f>
        <v>0</v>
      </c>
      <c r="I131" s="2">
        <f>I10/'Output-Calculation-sheet'!I9*'Output-Calculation-sheet'!I108</f>
        <v>14675955724.333971</v>
      </c>
      <c r="J131" s="2">
        <f>J10/'Output-Calculation-sheet'!J9*'Output-Calculation-sheet'!J108</f>
        <v>15021812473.57336</v>
      </c>
      <c r="K131" s="2">
        <f>K10/'Output-Calculation-sheet'!K9*'Output-Calculation-sheet'!K108</f>
        <v>13007784827.541836</v>
      </c>
      <c r="L131" s="2">
        <f>L10/'Output-Calculation-sheet'!L9*'Output-Calculation-sheet'!L108</f>
        <v>10286553852.509159</v>
      </c>
      <c r="M131" s="2">
        <f>M10/'Output-Calculation-sheet'!M9*'Output-Calculation-sheet'!M108</f>
        <v>0</v>
      </c>
      <c r="N131" s="2">
        <f>N10/'Output-Calculation-sheet'!N9*'Output-Calculation-sheet'!N108</f>
        <v>2186166563.934804</v>
      </c>
      <c r="O131" s="2">
        <f>O10/'Output-Calculation-sheet'!O9*'Output-Calculation-sheet'!O108</f>
        <v>0</v>
      </c>
      <c r="P131" s="2">
        <f>P10/'Output-Calculation-sheet'!P9*'Output-Calculation-sheet'!P108</f>
        <v>6416207311.4844751</v>
      </c>
      <c r="Q131" s="2">
        <f>Q10/'Output-Calculation-sheet'!Q9*'Output-Calculation-sheet'!Q108</f>
        <v>6301913978.242691</v>
      </c>
      <c r="R131" s="2">
        <f>R10/'Output-Calculation-sheet'!R9*'Output-Calculation-sheet'!R108</f>
        <v>7396027404.5591764</v>
      </c>
      <c r="S131" s="2">
        <f>S10/'Output-Calculation-sheet'!S9*'Output-Calculation-sheet'!S108</f>
        <v>2223900019.2401443</v>
      </c>
      <c r="T131" s="2">
        <f>T10/'Output-Calculation-sheet'!T9*'Output-Calculation-sheet'!T108</f>
        <v>3193788140.0428596</v>
      </c>
      <c r="U131" s="2">
        <f>U10/'Output-Calculation-sheet'!U9*'Output-Calculation-sheet'!U108</f>
        <v>2253432942.115169</v>
      </c>
      <c r="V131" s="2">
        <f>V10/'Output-Calculation-sheet'!V9*'Output-Calculation-sheet'!V108</f>
        <v>2030305568.5735643</v>
      </c>
      <c r="W131" s="2">
        <f>W10/'Output-Calculation-sheet'!W9*'Output-Calculation-sheet'!W108</f>
        <v>2061156580.0649409</v>
      </c>
      <c r="X131" s="2">
        <f>X10/'Output-Calculation-sheet'!X9*'Output-Calculation-sheet'!X108</f>
        <v>0</v>
      </c>
      <c r="Y131" s="2">
        <f>Y10/'Output-Calculation-sheet'!Y9*'Output-Calculation-sheet'!Y108</f>
        <v>933734743.90973914</v>
      </c>
      <c r="AA131" s="2">
        <f t="shared" si="11"/>
        <v>266002.26530799753</v>
      </c>
    </row>
    <row r="132" spans="1:27" x14ac:dyDescent="0.25">
      <c r="A132" s="2">
        <v>2034</v>
      </c>
      <c r="B132" s="2">
        <f>B11/'Output-Calculation-sheet'!B10*'Output-Calculation-sheet'!B109</f>
        <v>60239513966.962517</v>
      </c>
      <c r="C132" s="2">
        <f>C11/'Output-Calculation-sheet'!C10*'Output-Calculation-sheet'!C109</f>
        <v>0</v>
      </c>
      <c r="D132" s="2">
        <f>D11/'Output-Calculation-sheet'!D10*'Output-Calculation-sheet'!D109</f>
        <v>47872291284.253014</v>
      </c>
      <c r="E132" s="2">
        <f>E11/'Output-Calculation-sheet'!E10*'Output-Calculation-sheet'!E109</f>
        <v>33578859378.821522</v>
      </c>
      <c r="F132" s="2">
        <f>F11/'Output-Calculation-sheet'!F10*'Output-Calculation-sheet'!F109</f>
        <v>24925587617.897816</v>
      </c>
      <c r="G132" s="2">
        <f>G11/'Output-Calculation-sheet'!G10*'Output-Calculation-sheet'!G109</f>
        <v>17112566782.894627</v>
      </c>
      <c r="H132" s="2">
        <f>H11/'Output-Calculation-sheet'!H10*'Output-Calculation-sheet'!H109</f>
        <v>0</v>
      </c>
      <c r="I132" s="2">
        <f>I11/'Output-Calculation-sheet'!I10*'Output-Calculation-sheet'!I109</f>
        <v>15394517436.840433</v>
      </c>
      <c r="J132" s="2">
        <f>J11/'Output-Calculation-sheet'!J10*'Output-Calculation-sheet'!J109</f>
        <v>15731195667.126326</v>
      </c>
      <c r="K132" s="2">
        <f>K11/'Output-Calculation-sheet'!K10*'Output-Calculation-sheet'!K109</f>
        <v>13653494049.188948</v>
      </c>
      <c r="L132" s="2">
        <f>L11/'Output-Calculation-sheet'!L10*'Output-Calculation-sheet'!L109</f>
        <v>10787460566.577799</v>
      </c>
      <c r="M132" s="2">
        <f>M11/'Output-Calculation-sheet'!M10*'Output-Calculation-sheet'!M109</f>
        <v>0</v>
      </c>
      <c r="N132" s="2">
        <f>N11/'Output-Calculation-sheet'!N10*'Output-Calculation-sheet'!N109</f>
        <v>2120948098.2760761</v>
      </c>
      <c r="O132" s="2">
        <f>O11/'Output-Calculation-sheet'!O10*'Output-Calculation-sheet'!O109</f>
        <v>0</v>
      </c>
      <c r="P132" s="2">
        <f>P11/'Output-Calculation-sheet'!P10*'Output-Calculation-sheet'!P109</f>
        <v>6763429886.7753687</v>
      </c>
      <c r="Q132" s="2">
        <f>Q11/'Output-Calculation-sheet'!Q10*'Output-Calculation-sheet'!Q109</f>
        <v>6657549791.7717199</v>
      </c>
      <c r="R132" s="2">
        <f>R11/'Output-Calculation-sheet'!R10*'Output-Calculation-sheet'!R109</f>
        <v>7764709349.6900864</v>
      </c>
      <c r="S132" s="2">
        <f>S11/'Output-Calculation-sheet'!S10*'Output-Calculation-sheet'!S109</f>
        <v>2267186535.6145387</v>
      </c>
      <c r="T132" s="2">
        <f>T11/'Output-Calculation-sheet'!T10*'Output-Calculation-sheet'!T109</f>
        <v>3349597385.9596725</v>
      </c>
      <c r="U132" s="2">
        <f>U11/'Output-Calculation-sheet'!U10*'Output-Calculation-sheet'!U109</f>
        <v>2368054524.6982131</v>
      </c>
      <c r="V132" s="2">
        <f>V11/'Output-Calculation-sheet'!V10*'Output-Calculation-sheet'!V109</f>
        <v>2133403951.022274</v>
      </c>
      <c r="W132" s="2">
        <f>W11/'Output-Calculation-sheet'!W10*'Output-Calculation-sheet'!W109</f>
        <v>2159161923.1249433</v>
      </c>
      <c r="X132" s="2">
        <f>X11/'Output-Calculation-sheet'!X10*'Output-Calculation-sheet'!X109</f>
        <v>0</v>
      </c>
      <c r="Y132" s="2">
        <f>Y11/'Output-Calculation-sheet'!Y10*'Output-Calculation-sheet'!Y109</f>
        <v>979542594.31351054</v>
      </c>
      <c r="AA132" s="2">
        <f t="shared" si="11"/>
        <v>275859.07079180941</v>
      </c>
    </row>
    <row r="133" spans="1:27" x14ac:dyDescent="0.25">
      <c r="A133" s="2">
        <v>2035</v>
      </c>
      <c r="B133" s="2">
        <f>B12/'Output-Calculation-sheet'!B11*'Output-Calculation-sheet'!B110</f>
        <v>59620467277.562119</v>
      </c>
      <c r="C133" s="2">
        <f>C12/'Output-Calculation-sheet'!C11*'Output-Calculation-sheet'!C110</f>
        <v>0</v>
      </c>
      <c r="D133" s="2">
        <f>D12/'Output-Calculation-sheet'!D11*'Output-Calculation-sheet'!D110</f>
        <v>49050524476.654808</v>
      </c>
      <c r="E133" s="2">
        <f>E12/'Output-Calculation-sheet'!E11*'Output-Calculation-sheet'!E110</f>
        <v>34427148490.712151</v>
      </c>
      <c r="F133" s="2">
        <f>F12/'Output-Calculation-sheet'!F11*'Output-Calculation-sheet'!F110</f>
        <v>25531686578.786579</v>
      </c>
      <c r="G133" s="2">
        <f>G12/'Output-Calculation-sheet'!G11*'Output-Calculation-sheet'!G110</f>
        <v>17508016408.765408</v>
      </c>
      <c r="H133" s="2">
        <f>H12/'Output-Calculation-sheet'!H11*'Output-Calculation-sheet'!H110</f>
        <v>0</v>
      </c>
      <c r="I133" s="2">
        <f>I12/'Output-Calculation-sheet'!I11*'Output-Calculation-sheet'!I110</f>
        <v>15769439725.476812</v>
      </c>
      <c r="J133" s="2">
        <f>J12/'Output-Calculation-sheet'!J11*'Output-Calculation-sheet'!J110</f>
        <v>16090291967.326378</v>
      </c>
      <c r="K133" s="2">
        <f>K12/'Output-Calculation-sheet'!K11*'Output-Calculation-sheet'!K110</f>
        <v>13999918749.642145</v>
      </c>
      <c r="L133" s="2">
        <f>L12/'Output-Calculation-sheet'!L11*'Output-Calculation-sheet'!L110</f>
        <v>11052604300.465536</v>
      </c>
      <c r="M133" s="2">
        <f>M12/'Output-Calculation-sheet'!M11*'Output-Calculation-sheet'!M110</f>
        <v>0</v>
      </c>
      <c r="N133" s="2">
        <f>N12/'Output-Calculation-sheet'!N11*'Output-Calculation-sheet'!N110</f>
        <v>2040466005.8890452</v>
      </c>
      <c r="O133" s="2">
        <f>O12/'Output-Calculation-sheet'!O11*'Output-Calculation-sheet'!O110</f>
        <v>0</v>
      </c>
      <c r="P133" s="2">
        <f>P12/'Output-Calculation-sheet'!P11*'Output-Calculation-sheet'!P110</f>
        <v>6969246582.7300625</v>
      </c>
      <c r="Q133" s="2">
        <f>Q12/'Output-Calculation-sheet'!Q11*'Output-Calculation-sheet'!Q110</f>
        <v>6849121734.4234295</v>
      </c>
      <c r="R133" s="2">
        <f>R12/'Output-Calculation-sheet'!R11*'Output-Calculation-sheet'!R110</f>
        <v>7977917494.3855619</v>
      </c>
      <c r="S133" s="2">
        <f>S12/'Output-Calculation-sheet'!S11*'Output-Calculation-sheet'!S110</f>
        <v>2148536891.1441154</v>
      </c>
      <c r="T133" s="2">
        <f>T12/'Output-Calculation-sheet'!T11*'Output-Calculation-sheet'!T110</f>
        <v>3432373693.8765712</v>
      </c>
      <c r="U133" s="2">
        <f>U12/'Output-Calculation-sheet'!U11*'Output-Calculation-sheet'!U110</f>
        <v>2430116016.113379</v>
      </c>
      <c r="V133" s="2">
        <f>V12/'Output-Calculation-sheet'!V11*'Output-Calculation-sheet'!V110</f>
        <v>2191984797.0995874</v>
      </c>
      <c r="W133" s="2">
        <f>W12/'Output-Calculation-sheet'!W11*'Output-Calculation-sheet'!W110</f>
        <v>2210384879.0973005</v>
      </c>
      <c r="X133" s="2">
        <f>X12/'Output-Calculation-sheet'!X11*'Output-Calculation-sheet'!X110</f>
        <v>0</v>
      </c>
      <c r="Y133" s="2">
        <f>Y12/'Output-Calculation-sheet'!Y11*'Output-Calculation-sheet'!Y110</f>
        <v>1004886616.677228</v>
      </c>
      <c r="AA133" s="2">
        <f t="shared" si="11"/>
        <v>280305.13268682826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64163507198.342239</v>
      </c>
      <c r="C151" s="2">
        <f>C8/'Output-Calculation-sheet'!C7*'Output-Calculation-sheet'!C124</f>
        <v>54549524364.919205</v>
      </c>
      <c r="D151" s="2">
        <f>D8/'Output-Calculation-sheet'!D7*'Output-Calculation-sheet'!D124</f>
        <v>11271414047.978157</v>
      </c>
      <c r="E151" s="2">
        <f>E8/'Output-Calculation-sheet'!E7*'Output-Calculation-sheet'!E124</f>
        <v>12468601040.769806</v>
      </c>
      <c r="F151" s="2">
        <f>F8/'Output-Calculation-sheet'!F7*'Output-Calculation-sheet'!F124</f>
        <v>5395996682.9905596</v>
      </c>
      <c r="G151" s="2">
        <f>G8/'Output-Calculation-sheet'!G7*'Output-Calculation-sheet'!G124</f>
        <v>4081833493.2865391</v>
      </c>
      <c r="H151" s="2">
        <f>H8/'Output-Calculation-sheet'!H7*'Output-Calculation-sheet'!H124</f>
        <v>12902504051.681406</v>
      </c>
      <c r="I151" s="2">
        <f>I8/'Output-Calculation-sheet'!I7*'Output-Calculation-sheet'!I124</f>
        <v>3908029507.7481956</v>
      </c>
      <c r="J151" s="2">
        <f>J8/'Output-Calculation-sheet'!J7*'Output-Calculation-sheet'!J124</f>
        <v>3189545525.6121335</v>
      </c>
      <c r="K151" s="2">
        <f>K8/'Output-Calculation-sheet'!K7*'Output-Calculation-sheet'!K124</f>
        <v>4726625851.11446</v>
      </c>
      <c r="L151" s="2">
        <f>L8/'Output-Calculation-sheet'!L7*'Output-Calculation-sheet'!L124</f>
        <v>3909121607.4033418</v>
      </c>
      <c r="M151" s="2">
        <f>M8/'Output-Calculation-sheet'!M7*'Output-Calculation-sheet'!M124</f>
        <v>8921205298.8185787</v>
      </c>
      <c r="N151" s="2">
        <f>N8/'Output-Calculation-sheet'!N7*'Output-Calculation-sheet'!N124</f>
        <v>7377995298.1632128</v>
      </c>
      <c r="O151" s="2">
        <f>O8/'Output-Calculation-sheet'!O7*'Output-Calculation-sheet'!O124</f>
        <v>10599019955.929386</v>
      </c>
      <c r="P151" s="2">
        <f>P8/'Output-Calculation-sheet'!P7*'Output-Calculation-sheet'!P124</f>
        <v>5328374388.6770096</v>
      </c>
      <c r="Q151" s="2">
        <f>Q8/'Output-Calculation-sheet'!Q7*'Output-Calculation-sheet'!Q124</f>
        <v>5261777918.5318537</v>
      </c>
      <c r="R151" s="2">
        <f>R8/'Output-Calculation-sheet'!R7*'Output-Calculation-sheet'!R124</f>
        <v>3910110998.022182</v>
      </c>
      <c r="S151" s="2">
        <f>S8/'Output-Calculation-sheet'!S7*'Output-Calculation-sheet'!S124</f>
        <v>4084771178.1145682</v>
      </c>
      <c r="T151" s="2">
        <f>T8/'Output-Calculation-sheet'!T7*'Output-Calculation-sheet'!T124</f>
        <v>1043895933.3980807</v>
      </c>
      <c r="U151" s="2">
        <f>U8/'Output-Calculation-sheet'!U7*'Output-Calculation-sheet'!U124</f>
        <v>1344414851.6225541</v>
      </c>
      <c r="V151" s="2">
        <f>V8/'Output-Calculation-sheet'!V7*'Output-Calculation-sheet'!V124</f>
        <v>797358032.95063603</v>
      </c>
      <c r="W151" s="2">
        <f>W8/'Output-Calculation-sheet'!W7*'Output-Calculation-sheet'!W124</f>
        <v>435210332.09795731</v>
      </c>
      <c r="X151" s="2">
        <f>X8/'Output-Calculation-sheet'!X7*'Output-Calculation-sheet'!X124</f>
        <v>1003597389.9270861</v>
      </c>
      <c r="Y151" s="2">
        <f>Y8/'Output-Calculation-sheet'!Y7*'Output-Calculation-sheet'!Y124</f>
        <v>476201207.66516304</v>
      </c>
      <c r="AA151" s="2">
        <f t="shared" si="13"/>
        <v>231150.63615576428</v>
      </c>
    </row>
    <row r="152" spans="1:27" x14ac:dyDescent="0.25">
      <c r="A152" s="2">
        <v>2032</v>
      </c>
      <c r="B152" s="2">
        <f>B9/'Output-Calculation-sheet'!B8*'Output-Calculation-sheet'!B125</f>
        <v>71916150237.731491</v>
      </c>
      <c r="C152" s="2">
        <f>C9/'Output-Calculation-sheet'!C8*'Output-Calculation-sheet'!C125</f>
        <v>61613027105.250465</v>
      </c>
      <c r="D152" s="2">
        <f>D9/'Output-Calculation-sheet'!D8*'Output-Calculation-sheet'!D125</f>
        <v>12648743467.443781</v>
      </c>
      <c r="E152" s="2">
        <f>E9/'Output-Calculation-sheet'!E8*'Output-Calculation-sheet'!E125</f>
        <v>13987279495.789131</v>
      </c>
      <c r="F152" s="2">
        <f>F9/'Output-Calculation-sheet'!F8*'Output-Calculation-sheet'!F125</f>
        <v>6057803334.7948713</v>
      </c>
      <c r="G152" s="2">
        <f>G9/'Output-Calculation-sheet'!G8*'Output-Calculation-sheet'!G125</f>
        <v>4592555696.6277008</v>
      </c>
      <c r="H152" s="2">
        <f>H9/'Output-Calculation-sheet'!H8*'Output-Calculation-sheet'!H125</f>
        <v>14437282142.015343</v>
      </c>
      <c r="I152" s="2">
        <f>I9/'Output-Calculation-sheet'!I8*'Output-Calculation-sheet'!I125</f>
        <v>4386589968.4321184</v>
      </c>
      <c r="J152" s="2">
        <f>J9/'Output-Calculation-sheet'!J8*'Output-Calculation-sheet'!J125</f>
        <v>3582914344.1172738</v>
      </c>
      <c r="K152" s="2">
        <f>K9/'Output-Calculation-sheet'!K8*'Output-Calculation-sheet'!K125</f>
        <v>5302651571.8767595</v>
      </c>
      <c r="L152" s="2">
        <f>L9/'Output-Calculation-sheet'!L8*'Output-Calculation-sheet'!L125</f>
        <v>4384201462.7188768</v>
      </c>
      <c r="M152" s="2">
        <f>M9/'Output-Calculation-sheet'!M8*'Output-Calculation-sheet'!M125</f>
        <v>9987149114.7679958</v>
      </c>
      <c r="N152" s="2">
        <f>N9/'Output-Calculation-sheet'!N8*'Output-Calculation-sheet'!N125</f>
        <v>8334007026.6721706</v>
      </c>
      <c r="O152" s="2">
        <f>O9/'Output-Calculation-sheet'!O8*'Output-Calculation-sheet'!O125</f>
        <v>11971464672.45343</v>
      </c>
      <c r="P152" s="2">
        <f>P9/'Output-Calculation-sheet'!P8*'Output-Calculation-sheet'!P125</f>
        <v>5956026790.5345249</v>
      </c>
      <c r="Q152" s="2">
        <f>Q9/'Output-Calculation-sheet'!Q8*'Output-Calculation-sheet'!Q125</f>
        <v>5878504409.6386871</v>
      </c>
      <c r="R152" s="2">
        <f>R9/'Output-Calculation-sheet'!R8*'Output-Calculation-sheet'!R125</f>
        <v>4394928019.3699789</v>
      </c>
      <c r="S152" s="2">
        <f>S9/'Output-Calculation-sheet'!S8*'Output-Calculation-sheet'!S125</f>
        <v>4511437438.5803585</v>
      </c>
      <c r="T152" s="2">
        <f>T9/'Output-Calculation-sheet'!T8*'Output-Calculation-sheet'!T125</f>
        <v>1172801364.2792437</v>
      </c>
      <c r="U152" s="2">
        <f>U9/'Output-Calculation-sheet'!U8*'Output-Calculation-sheet'!U125</f>
        <v>1509915801.308285</v>
      </c>
      <c r="V152" s="2">
        <f>V9/'Output-Calculation-sheet'!V8*'Output-Calculation-sheet'!V125</f>
        <v>891612489.56123853</v>
      </c>
      <c r="W152" s="2">
        <f>W9/'Output-Calculation-sheet'!W8*'Output-Calculation-sheet'!W125</f>
        <v>487180400.79776162</v>
      </c>
      <c r="X152" s="2">
        <f>X9/'Output-Calculation-sheet'!X8*'Output-Calculation-sheet'!X125</f>
        <v>1120911820.9099708</v>
      </c>
      <c r="Y152" s="2">
        <f>Y9/'Output-Calculation-sheet'!Y8*'Output-Calculation-sheet'!Y125</f>
        <v>534962299.69474506</v>
      </c>
      <c r="AA152" s="2">
        <f t="shared" si="13"/>
        <v>259660.10047536623</v>
      </c>
    </row>
    <row r="153" spans="1:27" x14ac:dyDescent="0.25">
      <c r="A153" s="2">
        <v>2033</v>
      </c>
      <c r="B153" s="2">
        <f>B10/'Output-Calculation-sheet'!B9*'Output-Calculation-sheet'!B126</f>
        <v>74545015917.49614</v>
      </c>
      <c r="C153" s="2">
        <f>C10/'Output-Calculation-sheet'!C9*'Output-Calculation-sheet'!C126</f>
        <v>54526683282.527817</v>
      </c>
      <c r="D153" s="2">
        <f>D10/'Output-Calculation-sheet'!D9*'Output-Calculation-sheet'!D126</f>
        <v>13575654882.704256</v>
      </c>
      <c r="E153" s="2">
        <f>E10/'Output-Calculation-sheet'!E9*'Output-Calculation-sheet'!E126</f>
        <v>15026084394.132647</v>
      </c>
      <c r="F153" s="2">
        <f>F10/'Output-Calculation-sheet'!F9*'Output-Calculation-sheet'!F126</f>
        <v>6491891633.5450897</v>
      </c>
      <c r="G153" s="2">
        <f>G10/'Output-Calculation-sheet'!G9*'Output-Calculation-sheet'!G126</f>
        <v>4929117785.6846724</v>
      </c>
      <c r="H153" s="2">
        <f>H10/'Output-Calculation-sheet'!H9*'Output-Calculation-sheet'!H126</f>
        <v>15448937956.243145</v>
      </c>
      <c r="I153" s="2">
        <f>I10/'Output-Calculation-sheet'!I9*'Output-Calculation-sheet'!I126</f>
        <v>4706971962.8074446</v>
      </c>
      <c r="J153" s="2">
        <f>J10/'Output-Calculation-sheet'!J9*'Output-Calculation-sheet'!J126</f>
        <v>3844136491.9057865</v>
      </c>
      <c r="K153" s="2">
        <f>K10/'Output-Calculation-sheet'!K9*'Output-Calculation-sheet'!K126</f>
        <v>5677321996.8838453</v>
      </c>
      <c r="L153" s="2">
        <f>L10/'Output-Calculation-sheet'!L9*'Output-Calculation-sheet'!L126</f>
        <v>4702918745.1058941</v>
      </c>
      <c r="M153" s="2">
        <f>M10/'Output-Calculation-sheet'!M9*'Output-Calculation-sheet'!M126</f>
        <v>10684498360.296204</v>
      </c>
      <c r="N153" s="2">
        <f>N10/'Output-Calculation-sheet'!N9*'Output-Calculation-sheet'!N126</f>
        <v>8994774240.2547779</v>
      </c>
      <c r="O153" s="2">
        <f>O10/'Output-Calculation-sheet'!O9*'Output-Calculation-sheet'!O126</f>
        <v>12924245994.958899</v>
      </c>
      <c r="P153" s="2">
        <f>P10/'Output-Calculation-sheet'!P9*'Output-Calculation-sheet'!P126</f>
        <v>6376600037.6711559</v>
      </c>
      <c r="Q153" s="2">
        <f>Q10/'Output-Calculation-sheet'!Q9*'Output-Calculation-sheet'!Q126</f>
        <v>6284117497.3999758</v>
      </c>
      <c r="R153" s="2">
        <f>R10/'Output-Calculation-sheet'!R9*'Output-Calculation-sheet'!R126</f>
        <v>4712337174.7743645</v>
      </c>
      <c r="S153" s="2">
        <f>S10/'Output-Calculation-sheet'!S9*'Output-Calculation-sheet'!S126</f>
        <v>4819398748.7826242</v>
      </c>
      <c r="T153" s="2">
        <f>T10/'Output-Calculation-sheet'!T9*'Output-Calculation-sheet'!T126</f>
        <v>1257112055.6568818</v>
      </c>
      <c r="U153" s="2">
        <f>U10/'Output-Calculation-sheet'!U9*'Output-Calculation-sheet'!U126</f>
        <v>1623156292.8279641</v>
      </c>
      <c r="V153" s="2">
        <f>V10/'Output-Calculation-sheet'!V9*'Output-Calculation-sheet'!V126</f>
        <v>954732759.66271675</v>
      </c>
      <c r="W153" s="2">
        <f>W10/'Output-Calculation-sheet'!W9*'Output-Calculation-sheet'!W126</f>
        <v>523245134.76737159</v>
      </c>
      <c r="X153" s="2">
        <f>X10/'Output-Calculation-sheet'!X9*'Output-Calculation-sheet'!X126</f>
        <v>1200541017.6031575</v>
      </c>
      <c r="Y153" s="2">
        <f>Y10/'Output-Calculation-sheet'!Y9*'Output-Calculation-sheet'!Y126</f>
        <v>574241357.48400235</v>
      </c>
      <c r="AA153" s="2">
        <f t="shared" si="13"/>
        <v>264403.73572117678</v>
      </c>
    </row>
    <row r="154" spans="1:27" x14ac:dyDescent="0.25">
      <c r="A154" s="2">
        <v>2034</v>
      </c>
      <c r="B154" s="2">
        <f>B11/'Output-Calculation-sheet'!B10*'Output-Calculation-sheet'!B127</f>
        <v>75937760883.014313</v>
      </c>
      <c r="C154" s="2">
        <f>C11/'Output-Calculation-sheet'!C10*'Output-Calculation-sheet'!C127</f>
        <v>56294266904.02932</v>
      </c>
      <c r="D154" s="2">
        <f>D11/'Output-Calculation-sheet'!D10*'Output-Calculation-sheet'!D127</f>
        <v>14138634517.628033</v>
      </c>
      <c r="E154" s="2">
        <f>E11/'Output-Calculation-sheet'!E10*'Output-Calculation-sheet'!E127</f>
        <v>15620575166.526114</v>
      </c>
      <c r="F154" s="2">
        <f>F11/'Output-Calculation-sheet'!F10*'Output-Calculation-sheet'!F127</f>
        <v>6745842644.5879688</v>
      </c>
      <c r="G154" s="2">
        <f>G11/'Output-Calculation-sheet'!G10*'Output-Calculation-sheet'!G127</f>
        <v>5140702928.6636553</v>
      </c>
      <c r="H154" s="2">
        <f>H11/'Output-Calculation-sheet'!H10*'Output-Calculation-sheet'!H127</f>
        <v>16008486634.329439</v>
      </c>
      <c r="I154" s="2">
        <f>I11/'Output-Calculation-sheet'!I10*'Output-Calculation-sheet'!I127</f>
        <v>4879915837.4692755</v>
      </c>
      <c r="J154" s="2">
        <f>J11/'Output-Calculation-sheet'!J10*'Output-Calculation-sheet'!J127</f>
        <v>4002478870.9936504</v>
      </c>
      <c r="K154" s="2">
        <f>K11/'Output-Calculation-sheet'!K10*'Output-Calculation-sheet'!K127</f>
        <v>5891022566.8691854</v>
      </c>
      <c r="L154" s="2">
        <f>L11/'Output-Calculation-sheet'!L10*'Output-Calculation-sheet'!L127</f>
        <v>4891441898.4215679</v>
      </c>
      <c r="M154" s="2">
        <f>M11/'Output-Calculation-sheet'!M10*'Output-Calculation-sheet'!M127</f>
        <v>11071852394.736961</v>
      </c>
      <c r="N154" s="2">
        <f>N11/'Output-Calculation-sheet'!N10*'Output-Calculation-sheet'!N127</f>
        <v>9390444325.9094887</v>
      </c>
      <c r="O154" s="2">
        <f>O11/'Output-Calculation-sheet'!O10*'Output-Calculation-sheet'!O127</f>
        <v>13518687269.94842</v>
      </c>
      <c r="P154" s="2">
        <f>P11/'Output-Calculation-sheet'!P10*'Output-Calculation-sheet'!P127</f>
        <v>6617773312.6521873</v>
      </c>
      <c r="Q154" s="2">
        <f>Q11/'Output-Calculation-sheet'!Q10*'Output-Calculation-sheet'!Q127</f>
        <v>6507367028.544631</v>
      </c>
      <c r="R154" s="2">
        <f>R11/'Output-Calculation-sheet'!R10*'Output-Calculation-sheet'!R127</f>
        <v>4900570633.5582695</v>
      </c>
      <c r="S154" s="2">
        <f>S11/'Output-Calculation-sheet'!S10*'Output-Calculation-sheet'!S127</f>
        <v>4927120177.7535563</v>
      </c>
      <c r="T154" s="2">
        <f>T11/'Output-Calculation-sheet'!T10*'Output-Calculation-sheet'!T127</f>
        <v>1306018720.3018825</v>
      </c>
      <c r="U154" s="2">
        <f>U11/'Output-Calculation-sheet'!U10*'Output-Calculation-sheet'!U127</f>
        <v>1686835606.7404745</v>
      </c>
      <c r="V154" s="2">
        <f>V11/'Output-Calculation-sheet'!V10*'Output-Calculation-sheet'!V127</f>
        <v>988929039.54258549</v>
      </c>
      <c r="W154" s="2">
        <f>W11/'Output-Calculation-sheet'!W10*'Output-Calculation-sheet'!W127</f>
        <v>544107730.79709852</v>
      </c>
      <c r="X154" s="2">
        <f>X11/'Output-Calculation-sheet'!X10*'Output-Calculation-sheet'!X127</f>
        <v>1243466517.4271343</v>
      </c>
      <c r="Y154" s="2">
        <f>Y11/'Output-Calculation-sheet'!Y10*'Output-Calculation-sheet'!Y127</f>
        <v>597791768.80906737</v>
      </c>
      <c r="AA154" s="2">
        <f t="shared" si="13"/>
        <v>272852.09337925428</v>
      </c>
    </row>
    <row r="155" spans="1:27" x14ac:dyDescent="0.25">
      <c r="A155" s="2">
        <v>2035</v>
      </c>
      <c r="B155" s="2">
        <f>B12/'Output-Calculation-sheet'!B11*'Output-Calculation-sheet'!B128</f>
        <v>76722189076.623428</v>
      </c>
      <c r="C155" s="2">
        <f>C12/'Output-Calculation-sheet'!C11*'Output-Calculation-sheet'!C128</f>
        <v>56872335446.179543</v>
      </c>
      <c r="D155" s="2">
        <f>D12/'Output-Calculation-sheet'!D11*'Output-Calculation-sheet'!D128</f>
        <v>14338127771.342495</v>
      </c>
      <c r="E155" s="2">
        <f>E12/'Output-Calculation-sheet'!E11*'Output-Calculation-sheet'!E128</f>
        <v>15865368547.682308</v>
      </c>
      <c r="F155" s="2">
        <f>F12/'Output-Calculation-sheet'!F11*'Output-Calculation-sheet'!F128</f>
        <v>6843399859.2141323</v>
      </c>
      <c r="G155" s="2">
        <f>G12/'Output-Calculation-sheet'!G11*'Output-Calculation-sheet'!G128</f>
        <v>5239662634.1101475</v>
      </c>
      <c r="H155" s="2">
        <f>H12/'Output-Calculation-sheet'!H11*'Output-Calculation-sheet'!H128</f>
        <v>16231786146.781477</v>
      </c>
      <c r="I155" s="2">
        <f>I12/'Output-Calculation-sheet'!I11*'Output-Calculation-sheet'!I128</f>
        <v>4955438320.6761074</v>
      </c>
      <c r="J155" s="2">
        <f>J12/'Output-Calculation-sheet'!J11*'Output-Calculation-sheet'!J128</f>
        <v>4081813100.7465549</v>
      </c>
      <c r="K155" s="2">
        <f>K12/'Output-Calculation-sheet'!K11*'Output-Calculation-sheet'!K128</f>
        <v>5978823838.9318371</v>
      </c>
      <c r="L155" s="2">
        <f>L12/'Output-Calculation-sheet'!L11*'Output-Calculation-sheet'!L128</f>
        <v>4974642285.8241444</v>
      </c>
      <c r="M155" s="2">
        <f>M12/'Output-Calculation-sheet'!M11*'Output-Calculation-sheet'!M128</f>
        <v>11231771914.159187</v>
      </c>
      <c r="N155" s="2">
        <f>N12/'Output-Calculation-sheet'!N11*'Output-Calculation-sheet'!N128</f>
        <v>9577472041.564373</v>
      </c>
      <c r="O155" s="2">
        <f>O12/'Output-Calculation-sheet'!O11*'Output-Calculation-sheet'!O128</f>
        <v>11383616358.578299</v>
      </c>
      <c r="P155" s="2">
        <f>P12/'Output-Calculation-sheet'!P11*'Output-Calculation-sheet'!P128</f>
        <v>6709253226.916173</v>
      </c>
      <c r="Q155" s="2">
        <f>Q12/'Output-Calculation-sheet'!Q11*'Output-Calculation-sheet'!Q128</f>
        <v>6563826740.2914934</v>
      </c>
      <c r="R155" s="2">
        <f>R12/'Output-Calculation-sheet'!R11*'Output-Calculation-sheet'!R128</f>
        <v>4968751816.751605</v>
      </c>
      <c r="S155" s="2">
        <f>S12/'Output-Calculation-sheet'!S11*'Output-Calculation-sheet'!S128</f>
        <v>5021761712.6697693</v>
      </c>
      <c r="T155" s="2">
        <f>T12/'Output-Calculation-sheet'!T11*'Output-Calculation-sheet'!T128</f>
        <v>1326678000.7637627</v>
      </c>
      <c r="U155" s="2">
        <f>U12/'Output-Calculation-sheet'!U11*'Output-Calculation-sheet'!U128</f>
        <v>1714863146.9343736</v>
      </c>
      <c r="V155" s="2">
        <f>V12/'Output-Calculation-sheet'!V11*'Output-Calculation-sheet'!V128</f>
        <v>999718563.2344867</v>
      </c>
      <c r="W155" s="2">
        <f>W12/'Output-Calculation-sheet'!W11*'Output-Calculation-sheet'!W128</f>
        <v>552944070.06384516</v>
      </c>
      <c r="X155" s="2">
        <f>X12/'Output-Calculation-sheet'!X11*'Output-Calculation-sheet'!X128</f>
        <v>1258818788.4919994</v>
      </c>
      <c r="Y155" s="2">
        <f>Y12/'Output-Calculation-sheet'!Y11*'Output-Calculation-sheet'!Y128</f>
        <v>607491982.09446657</v>
      </c>
      <c r="AA155" s="2">
        <f t="shared" si="13"/>
        <v>274020.55539062602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2.7178191691927483E-10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2461.2198007195866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1685.555254323883</v>
      </c>
      <c r="N19" s="2">
        <f>N8/'Output-Calculation-sheet'!N7*'Output-Calculation-sheet'!N25</f>
        <v>1133.780029319541</v>
      </c>
      <c r="O19" s="2">
        <f>O8/'Output-Calculation-sheet'!O7*'Output-Calculation-sheet'!O25</f>
        <v>1.4957888801374049E-11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300.72909417629972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159.96465403680719</v>
      </c>
      <c r="Y19" s="2">
        <f>Y8/'Output-Calculation-sheet'!Y7*'Output-Calculation-sheet'!Y25</f>
        <v>0</v>
      </c>
      <c r="AA19" s="2">
        <f t="shared" si="0"/>
        <v>5.7412488325764039</v>
      </c>
    </row>
    <row r="20" spans="1:27" x14ac:dyDescent="0.25">
      <c r="A20" s="2">
        <v>2032</v>
      </c>
      <c r="B20" s="2">
        <f>B9/'Output-Calculation-sheet'!B8*'Output-Calculation-sheet'!B26</f>
        <v>2.5284125152814472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2624.9962794316671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1795.1502316189362</v>
      </c>
      <c r="N20" s="2">
        <f>N9/'Output-Calculation-sheet'!N8*'Output-Calculation-sheet'!N26</f>
        <v>1307.3695050900171</v>
      </c>
      <c r="O20" s="2">
        <f>O9/'Output-Calculation-sheet'!O8*'Output-Calculation-sheet'!O26</f>
        <v>1.323613761068543E-10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449.80080974057813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172.78996748694834</v>
      </c>
      <c r="Y20" s="2">
        <f>Y9/'Output-Calculation-sheet'!Y8*'Output-Calculation-sheet'!Y26</f>
        <v>0</v>
      </c>
      <c r="AA20" s="2">
        <f t="shared" si="0"/>
        <v>6.3526352058835611</v>
      </c>
    </row>
    <row r="21" spans="1:27" x14ac:dyDescent="0.25">
      <c r="A21" s="2">
        <v>2033</v>
      </c>
      <c r="B21" s="2">
        <f>B10/'Output-Calculation-sheet'!B9*'Output-Calculation-sheet'!B27</f>
        <v>3596.6178846509861</v>
      </c>
      <c r="C21" s="2">
        <f>C10/'Output-Calculation-sheet'!C9*'Output-Calculation-sheet'!C27</f>
        <v>5612.4012901411306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2518.0777191889565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1723.7573297915942</v>
      </c>
      <c r="N21" s="2">
        <f>N10/'Output-Calculation-sheet'!N9*'Output-Calculation-sheet'!N27</f>
        <v>1346.820457023478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513.7987404487269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165.92055441813</v>
      </c>
      <c r="Y21" s="2">
        <f>Y10/'Output-Calculation-sheet'!Y9*'Output-Calculation-sheet'!Y27</f>
        <v>0</v>
      </c>
      <c r="AA21" s="2">
        <f t="shared" si="0"/>
        <v>15.477393975663002</v>
      </c>
    </row>
    <row r="22" spans="1:27" x14ac:dyDescent="0.25">
      <c r="A22" s="2">
        <v>2034</v>
      </c>
      <c r="B22" s="2">
        <f>B11/'Output-Calculation-sheet'!B10*'Output-Calculation-sheet'!B28</f>
        <v>5177.4600248562874</v>
      </c>
      <c r="C22" s="2">
        <f>C11/'Output-Calculation-sheet'!C10*'Output-Calculation-sheet'!C28</f>
        <v>5016.1695490793772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2191.5766947614911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1500.3721802770876</v>
      </c>
      <c r="N22" s="2">
        <f>N11/'Output-Calculation-sheet'!N10*'Output-Calculation-sheet'!N28</f>
        <v>1203.1102769765848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490.78627872551959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145.3657912338779</v>
      </c>
      <c r="Y22" s="2">
        <f>Y11/'Output-Calculation-sheet'!Y10*'Output-Calculation-sheet'!Y28</f>
        <v>0</v>
      </c>
      <c r="AA22" s="2">
        <f t="shared" si="0"/>
        <v>15.724840795910223</v>
      </c>
    </row>
    <row r="23" spans="1:27" x14ac:dyDescent="0.25">
      <c r="A23" s="2">
        <v>2035</v>
      </c>
      <c r="B23" s="2">
        <f>B12/'Output-Calculation-sheet'!B11*'Output-Calculation-sheet'!B29</f>
        <v>4877.6526491076465</v>
      </c>
      <c r="C23" s="2">
        <f>C12/'Output-Calculation-sheet'!C11*'Output-Calculation-sheet'!C29</f>
        <v>3996.8628887839673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1705.2261617012698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1165.5962480811136</v>
      </c>
      <c r="N23" s="2">
        <f>N12/'Output-Calculation-sheet'!N11*'Output-Calculation-sheet'!N29</f>
        <v>952.76973688781823</v>
      </c>
      <c r="O23" s="2">
        <f>O12/'Output-Calculation-sheet'!O11*'Output-Calculation-sheet'!O29</f>
        <v>679.55832628151802</v>
      </c>
      <c r="P23" s="2">
        <f>P12/'Output-Calculation-sheet'!P11*'Output-Calculation-sheet'!P29</f>
        <v>0</v>
      </c>
      <c r="Q23" s="2">
        <f>Q12/'Output-Calculation-sheet'!Q11*'Output-Calculation-sheet'!Q29</f>
        <v>13.006575935625614</v>
      </c>
      <c r="R23" s="2">
        <f>R12/'Output-Calculation-sheet'!R11*'Output-Calculation-sheet'!R29</f>
        <v>0</v>
      </c>
      <c r="S23" s="2">
        <f>S12/'Output-Calculation-sheet'!S11*'Output-Calculation-sheet'!S29</f>
        <v>418.4169574937693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114.25906766381881</v>
      </c>
      <c r="Y23" s="2">
        <f>Y12/'Output-Calculation-sheet'!Y11*'Output-Calculation-sheet'!Y29</f>
        <v>0</v>
      </c>
      <c r="AA23" s="2">
        <f t="shared" si="0"/>
        <v>13.923348611936548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19344.817795863597</v>
      </c>
      <c r="C30" s="2">
        <f>C8/'Output-Calculation-sheet'!C7*'Output-Calculation-sheet'!C16</f>
        <v>0</v>
      </c>
      <c r="D30" s="2">
        <f>D8/'Output-Calculation-sheet'!D7*'Output-Calculation-sheet'!D16</f>
        <v>6038.7582523690571</v>
      </c>
      <c r="E30" s="2">
        <f>E8/'Output-Calculation-sheet'!E7*'Output-Calculation-sheet'!E16</f>
        <v>6246.0734316858889</v>
      </c>
      <c r="F30" s="2">
        <f>F8/'Output-Calculation-sheet'!F7*'Output-Calculation-sheet'!F16</f>
        <v>3499.3138004630332</v>
      </c>
      <c r="G30" s="2">
        <f>G8/'Output-Calculation-sheet'!G7*'Output-Calculation-sheet'!G16</f>
        <v>2110.4709051527479</v>
      </c>
      <c r="H30" s="2">
        <f>H8/'Output-Calculation-sheet'!H7*'Output-Calculation-sheet'!H16</f>
        <v>0</v>
      </c>
      <c r="I30" s="2">
        <f>I8/'Output-Calculation-sheet'!I7*'Output-Calculation-sheet'!I16</f>
        <v>2136.0234564259608</v>
      </c>
      <c r="J30" s="2">
        <f>J8/'Output-Calculation-sheet'!J7*'Output-Calculation-sheet'!J16</f>
        <v>1949.6531243353231</v>
      </c>
      <c r="K30" s="2">
        <f>K8/'Output-Calculation-sheet'!K7*'Output-Calculation-sheet'!K16</f>
        <v>2411.2091109083813</v>
      </c>
      <c r="L30" s="2">
        <f>L8/'Output-Calculation-sheet'!L7*'Output-Calculation-sheet'!L16</f>
        <v>1989.8793914217695</v>
      </c>
      <c r="M30" s="2">
        <f>M8/'Output-Calculation-sheet'!M7*'Output-Calculation-sheet'!M16</f>
        <v>0</v>
      </c>
      <c r="N30" s="2">
        <f>N8/'Output-Calculation-sheet'!N7*'Output-Calculation-sheet'!N16</f>
        <v>976.34172704299101</v>
      </c>
      <c r="O30" s="2">
        <f>O8/'Output-Calculation-sheet'!O7*'Output-Calculation-sheet'!O16</f>
        <v>0</v>
      </c>
      <c r="P30" s="2">
        <f>P8/'Output-Calculation-sheet'!P7*'Output-Calculation-sheet'!P16</f>
        <v>1586.0374572870126</v>
      </c>
      <c r="Q30" s="2">
        <f>Q8/'Output-Calculation-sheet'!Q7*'Output-Calculation-sheet'!Q16</f>
        <v>1739.5957429388836</v>
      </c>
      <c r="R30" s="2">
        <f>R8/'Output-Calculation-sheet'!R7*'Output-Calculation-sheet'!R16</f>
        <v>1524.1275552343463</v>
      </c>
      <c r="S30" s="2">
        <f>S8/'Output-Calculation-sheet'!S7*'Output-Calculation-sheet'!S16</f>
        <v>813.93704620531457</v>
      </c>
      <c r="T30" s="2">
        <f>T8/'Output-Calculation-sheet'!T7*'Output-Calculation-sheet'!T16</f>
        <v>556.02608781590106</v>
      </c>
      <c r="U30" s="2">
        <f>U8/'Output-Calculation-sheet'!U7*'Output-Calculation-sheet'!U16</f>
        <v>427.34474769122045</v>
      </c>
      <c r="V30" s="2">
        <f>V8/'Output-Calculation-sheet'!V7*'Output-Calculation-sheet'!V16</f>
        <v>409.21831570195798</v>
      </c>
      <c r="W30" s="2">
        <f>W8/'Output-Calculation-sheet'!W7*'Output-Calculation-sheet'!W16</f>
        <v>284.09946800196906</v>
      </c>
      <c r="X30" s="2">
        <f>X8/'Output-Calculation-sheet'!X7*'Output-Calculation-sheet'!X16</f>
        <v>0</v>
      </c>
      <c r="Y30" s="2">
        <f>Y8/'Output-Calculation-sheet'!Y7*'Output-Calculation-sheet'!Y16</f>
        <v>187.8176921182463</v>
      </c>
      <c r="AA30" s="2">
        <f t="shared" si="1"/>
        <v>54.230745108663605</v>
      </c>
    </row>
    <row r="31" spans="1:27" x14ac:dyDescent="0.25">
      <c r="A31" s="2">
        <v>2032</v>
      </c>
      <c r="B31" s="2">
        <f>B9/'Output-Calculation-sheet'!B8*'Output-Calculation-sheet'!B17</f>
        <v>20219.805185152709</v>
      </c>
      <c r="C31" s="2">
        <f>C9/'Output-Calculation-sheet'!C8*'Output-Calculation-sheet'!C17</f>
        <v>0</v>
      </c>
      <c r="D31" s="2">
        <f>D9/'Output-Calculation-sheet'!D8*'Output-Calculation-sheet'!D17</f>
        <v>6268.5322469106231</v>
      </c>
      <c r="E31" s="2">
        <f>E9/'Output-Calculation-sheet'!E8*'Output-Calculation-sheet'!E17</f>
        <v>6491.7869139102995</v>
      </c>
      <c r="F31" s="2">
        <f>F9/'Output-Calculation-sheet'!F8*'Output-Calculation-sheet'!F17</f>
        <v>3626.7146169527723</v>
      </c>
      <c r="G31" s="2">
        <f>G9/'Output-Calculation-sheet'!G8*'Output-Calculation-sheet'!G17</f>
        <v>2186.3264595946562</v>
      </c>
      <c r="H31" s="2">
        <f>H9/'Output-Calculation-sheet'!H8*'Output-Calculation-sheet'!H17</f>
        <v>0</v>
      </c>
      <c r="I31" s="2">
        <f>I9/'Output-Calculation-sheet'!I8*'Output-Calculation-sheet'!I17</f>
        <v>2216.6582914411147</v>
      </c>
      <c r="J31" s="2">
        <f>J9/'Output-Calculation-sheet'!J8*'Output-Calculation-sheet'!J17</f>
        <v>2021.7420605956954</v>
      </c>
      <c r="K31" s="2">
        <f>K9/'Output-Calculation-sheet'!K8*'Output-Calculation-sheet'!K17</f>
        <v>2504.2942884855238</v>
      </c>
      <c r="L31" s="2">
        <f>L9/'Output-Calculation-sheet'!L8*'Output-Calculation-sheet'!L17</f>
        <v>2067.2572562240075</v>
      </c>
      <c r="M31" s="2">
        <f>M9/'Output-Calculation-sheet'!M8*'Output-Calculation-sheet'!M17</f>
        <v>0</v>
      </c>
      <c r="N31" s="2">
        <f>N9/'Output-Calculation-sheet'!N8*'Output-Calculation-sheet'!N17</f>
        <v>914.44485954721483</v>
      </c>
      <c r="O31" s="2">
        <f>O9/'Output-Calculation-sheet'!O8*'Output-Calculation-sheet'!O17</f>
        <v>0</v>
      </c>
      <c r="P31" s="2">
        <f>P9/'Output-Calculation-sheet'!P8*'Output-Calculation-sheet'!P17</f>
        <v>1663.0620976874563</v>
      </c>
      <c r="Q31" s="2">
        <f>Q9/'Output-Calculation-sheet'!Q8*'Output-Calculation-sheet'!Q17</f>
        <v>1822.5559817464557</v>
      </c>
      <c r="R31" s="2">
        <f>R9/'Output-Calculation-sheet'!R8*'Output-Calculation-sheet'!R17</f>
        <v>1582.4398230944971</v>
      </c>
      <c r="S31" s="2">
        <f>S9/'Output-Calculation-sheet'!S8*'Output-Calculation-sheet'!S17</f>
        <v>789.55625784743199</v>
      </c>
      <c r="T31" s="2">
        <f>T9/'Output-Calculation-sheet'!T8*'Output-Calculation-sheet'!T17</f>
        <v>576.65416035963472</v>
      </c>
      <c r="U31" s="2">
        <f>U9/'Output-Calculation-sheet'!U8*'Output-Calculation-sheet'!U17</f>
        <v>444.74445863504371</v>
      </c>
      <c r="V31" s="2">
        <f>V9/'Output-Calculation-sheet'!V8*'Output-Calculation-sheet'!V17</f>
        <v>426.19567577773603</v>
      </c>
      <c r="W31" s="2">
        <f>W9/'Output-Calculation-sheet'!W8*'Output-Calculation-sheet'!W17</f>
        <v>295.12496923253252</v>
      </c>
      <c r="X31" s="2">
        <f>X9/'Output-Calculation-sheet'!X8*'Output-Calculation-sheet'!X17</f>
        <v>0</v>
      </c>
      <c r="Y31" s="2">
        <f>Y9/'Output-Calculation-sheet'!Y8*'Output-Calculation-sheet'!Y17</f>
        <v>195.10623115244698</v>
      </c>
      <c r="AA31" s="2">
        <f t="shared" si="1"/>
        <v>56.31300183434783</v>
      </c>
    </row>
    <row r="32" spans="1:27" x14ac:dyDescent="0.25">
      <c r="A32" s="2">
        <v>2033</v>
      </c>
      <c r="B32" s="2">
        <f>B10/'Output-Calculation-sheet'!B9*'Output-Calculation-sheet'!B18</f>
        <v>17552.092102387775</v>
      </c>
      <c r="C32" s="2">
        <f>C10/'Output-Calculation-sheet'!C9*'Output-Calculation-sheet'!C18</f>
        <v>0</v>
      </c>
      <c r="D32" s="2">
        <f>D10/'Output-Calculation-sheet'!D9*'Output-Calculation-sheet'!D18</f>
        <v>5859.6323844220242</v>
      </c>
      <c r="E32" s="2">
        <f>E10/'Output-Calculation-sheet'!E9*'Output-Calculation-sheet'!E18</f>
        <v>6067.8222120411774</v>
      </c>
      <c r="F32" s="2">
        <f>F10/'Output-Calculation-sheet'!F9*'Output-Calculation-sheet'!F18</f>
        <v>3389.2619016539493</v>
      </c>
      <c r="G32" s="2">
        <f>G10/'Output-Calculation-sheet'!G9*'Output-Calculation-sheet'!G18</f>
        <v>2044.1188602894681</v>
      </c>
      <c r="H32" s="2">
        <f>H10/'Output-Calculation-sheet'!H9*'Output-Calculation-sheet'!H18</f>
        <v>0</v>
      </c>
      <c r="I32" s="2">
        <f>I10/'Output-Calculation-sheet'!I9*'Output-Calculation-sheet'!I18</f>
        <v>2072.2626663266201</v>
      </c>
      <c r="J32" s="2">
        <f>J10/'Output-Calculation-sheet'!J9*'Output-Calculation-sheet'!J18</f>
        <v>1889.9971086406808</v>
      </c>
      <c r="K32" s="2">
        <f>K10/'Output-Calculation-sheet'!K9*'Output-Calculation-sheet'!K18</f>
        <v>2346.4612848805741</v>
      </c>
      <c r="L32" s="2">
        <f>L10/'Output-Calculation-sheet'!L9*'Output-Calculation-sheet'!L18</f>
        <v>1933.8028567783219</v>
      </c>
      <c r="M32" s="2">
        <f>M10/'Output-Calculation-sheet'!M9*'Output-Calculation-sheet'!M18</f>
        <v>0</v>
      </c>
      <c r="N32" s="2">
        <f>N10/'Output-Calculation-sheet'!N9*'Output-Calculation-sheet'!N18</f>
        <v>765.42880484659133</v>
      </c>
      <c r="O32" s="2">
        <f>O10/'Output-Calculation-sheet'!O9*'Output-Calculation-sheet'!O18</f>
        <v>0</v>
      </c>
      <c r="P32" s="2">
        <f>P10/'Output-Calculation-sheet'!P9*'Output-Calculation-sheet'!P18</f>
        <v>1566.0909867798532</v>
      </c>
      <c r="Q32" s="2">
        <f>Q10/'Output-Calculation-sheet'!Q9*'Output-Calculation-sheet'!Q18</f>
        <v>1717.585450113238</v>
      </c>
      <c r="R32" s="2">
        <f>R10/'Output-Calculation-sheet'!R9*'Output-Calculation-sheet'!R18</f>
        <v>1483.5714468320298</v>
      </c>
      <c r="S32" s="2">
        <f>S10/'Output-Calculation-sheet'!S9*'Output-Calculation-sheet'!S18</f>
        <v>690.54957034587017</v>
      </c>
      <c r="T32" s="2">
        <f>T10/'Output-Calculation-sheet'!T9*'Output-Calculation-sheet'!T18</f>
        <v>539.6392045009469</v>
      </c>
      <c r="U32" s="2">
        <f>U10/'Output-Calculation-sheet'!U9*'Output-Calculation-sheet'!U18</f>
        <v>416.18523661430027</v>
      </c>
      <c r="V32" s="2">
        <f>V10/'Output-Calculation-sheet'!V9*'Output-Calculation-sheet'!V18</f>
        <v>399.25631061944125</v>
      </c>
      <c r="W32" s="2">
        <f>W10/'Output-Calculation-sheet'!W9*'Output-Calculation-sheet'!W18</f>
        <v>275.50110022126506</v>
      </c>
      <c r="X32" s="2">
        <f>X10/'Output-Calculation-sheet'!X9*'Output-Calculation-sheet'!X18</f>
        <v>0</v>
      </c>
      <c r="Y32" s="2">
        <f>Y10/'Output-Calculation-sheet'!Y9*'Output-Calculation-sheet'!Y18</f>
        <v>182.66983906468306</v>
      </c>
      <c r="AA32" s="2">
        <f t="shared" si="1"/>
        <v>51.191929327358814</v>
      </c>
    </row>
    <row r="33" spans="1:27" x14ac:dyDescent="0.25">
      <c r="A33" s="2">
        <v>2034</v>
      </c>
      <c r="B33" s="2">
        <f>B11/'Output-Calculation-sheet'!B10*'Output-Calculation-sheet'!B19</f>
        <v>14009.447359735197</v>
      </c>
      <c r="C33" s="2">
        <f>C11/'Output-Calculation-sheet'!C10*'Output-Calculation-sheet'!C19</f>
        <v>0</v>
      </c>
      <c r="D33" s="2">
        <f>D11/'Output-Calculation-sheet'!D10*'Output-Calculation-sheet'!D19</f>
        <v>4953.4498925331927</v>
      </c>
      <c r="E33" s="2">
        <f>E11/'Output-Calculation-sheet'!E10*'Output-Calculation-sheet'!E19</f>
        <v>5141.5545284170948</v>
      </c>
      <c r="F33" s="2">
        <f>F11/'Output-Calculation-sheet'!F10*'Output-Calculation-sheet'!F19</f>
        <v>2866.5786037257612</v>
      </c>
      <c r="G33" s="2">
        <f>G11/'Output-Calculation-sheet'!G10*'Output-Calculation-sheet'!G19</f>
        <v>1726.1714286755841</v>
      </c>
      <c r="H33" s="2">
        <f>H11/'Output-Calculation-sheet'!H10*'Output-Calculation-sheet'!H19</f>
        <v>0</v>
      </c>
      <c r="I33" s="2">
        <f>I11/'Output-Calculation-sheet'!I10*'Output-Calculation-sheet'!I19</f>
        <v>1758.1184931630939</v>
      </c>
      <c r="J33" s="2">
        <f>J11/'Output-Calculation-sheet'!J10*'Output-Calculation-sheet'!J19</f>
        <v>1597.8126212840075</v>
      </c>
      <c r="K33" s="2">
        <f>K11/'Output-Calculation-sheet'!K10*'Output-Calculation-sheet'!K19</f>
        <v>1990.1936928075593</v>
      </c>
      <c r="L33" s="2">
        <f>L11/'Output-Calculation-sheet'!L10*'Output-Calculation-sheet'!L19</f>
        <v>1636.9115388326973</v>
      </c>
      <c r="M33" s="2">
        <f>M11/'Output-Calculation-sheet'!M10*'Output-Calculation-sheet'!M19</f>
        <v>0</v>
      </c>
      <c r="N33" s="2">
        <f>N11/'Output-Calculation-sheet'!N10*'Output-Calculation-sheet'!N19</f>
        <v>606.61107555266221</v>
      </c>
      <c r="O33" s="2">
        <f>O11/'Output-Calculation-sheet'!O10*'Output-Calculation-sheet'!O19</f>
        <v>0</v>
      </c>
      <c r="P33" s="2">
        <f>P11/'Output-Calculation-sheet'!P10*'Output-Calculation-sheet'!P19</f>
        <v>1334.246422057302</v>
      </c>
      <c r="Q33" s="2">
        <f>Q11/'Output-Calculation-sheet'!Q10*'Output-Calculation-sheet'!Q19</f>
        <v>1465.8026199734213</v>
      </c>
      <c r="R33" s="2">
        <f>R11/'Output-Calculation-sheet'!R10*'Output-Calculation-sheet'!R19</f>
        <v>1257.8867834930811</v>
      </c>
      <c r="S33" s="2">
        <f>S11/'Output-Calculation-sheet'!S10*'Output-Calculation-sheet'!S19</f>
        <v>580.15900140640792</v>
      </c>
      <c r="T33" s="2">
        <f>T11/'Output-Calculation-sheet'!T10*'Output-Calculation-sheet'!T19</f>
        <v>457.12673814133137</v>
      </c>
      <c r="U33" s="2">
        <f>U11/'Output-Calculation-sheet'!U10*'Output-Calculation-sheet'!U19</f>
        <v>353.73811894608536</v>
      </c>
      <c r="V33" s="2">
        <f>V11/'Output-Calculation-sheet'!V10*'Output-Calculation-sheet'!V19</f>
        <v>339.11485014513744</v>
      </c>
      <c r="W33" s="2">
        <f>W11/'Output-Calculation-sheet'!W10*'Output-Calculation-sheet'!W19</f>
        <v>232.98737001309573</v>
      </c>
      <c r="X33" s="2">
        <f>X11/'Output-Calculation-sheet'!X10*'Output-Calculation-sheet'!X19</f>
        <v>0</v>
      </c>
      <c r="Y33" s="2">
        <f>Y11/'Output-Calculation-sheet'!Y10*'Output-Calculation-sheet'!Y19</f>
        <v>154.69447926746662</v>
      </c>
      <c r="AA33" s="2">
        <f t="shared" si="1"/>
        <v>42.462605618170187</v>
      </c>
    </row>
    <row r="34" spans="1:27" x14ac:dyDescent="0.25">
      <c r="A34" s="2">
        <v>2035</v>
      </c>
      <c r="B34" s="2">
        <f>B12/'Output-Calculation-sheet'!B11*'Output-Calculation-sheet'!B20</f>
        <v>10195.482712953775</v>
      </c>
      <c r="C34" s="2">
        <f>C12/'Output-Calculation-sheet'!C11*'Output-Calculation-sheet'!C20</f>
        <v>0</v>
      </c>
      <c r="D34" s="2">
        <f>D12/'Output-Calculation-sheet'!D11*'Output-Calculation-sheet'!D20</f>
        <v>3770.5864628888726</v>
      </c>
      <c r="E34" s="2">
        <f>E12/'Output-Calculation-sheet'!E11*'Output-Calculation-sheet'!E20</f>
        <v>3912.1467453405758</v>
      </c>
      <c r="F34" s="2">
        <f>F12/'Output-Calculation-sheet'!F11*'Output-Calculation-sheet'!F20</f>
        <v>2177.9787184629304</v>
      </c>
      <c r="G34" s="2">
        <f>G12/'Output-Calculation-sheet'!G11*'Output-Calculation-sheet'!G20</f>
        <v>1308.6276354227923</v>
      </c>
      <c r="H34" s="2">
        <f>H12/'Output-Calculation-sheet'!H11*'Output-Calculation-sheet'!H20</f>
        <v>0</v>
      </c>
      <c r="I34" s="2">
        <f>I12/'Output-Calculation-sheet'!I11*'Output-Calculation-sheet'!I20</f>
        <v>1336.6082545939571</v>
      </c>
      <c r="J34" s="2">
        <f>J12/'Output-Calculation-sheet'!J11*'Output-Calculation-sheet'!J20</f>
        <v>1210.5251632206916</v>
      </c>
      <c r="K34" s="2">
        <f>K12/'Output-Calculation-sheet'!K11*'Output-Calculation-sheet'!K20</f>
        <v>1514.3017264909215</v>
      </c>
      <c r="L34" s="2">
        <f>L12/'Output-Calculation-sheet'!L11*'Output-Calculation-sheet'!L20</f>
        <v>1243.3386812658562</v>
      </c>
      <c r="M34" s="2">
        <f>M12/'Output-Calculation-sheet'!M11*'Output-Calculation-sheet'!M20</f>
        <v>0</v>
      </c>
      <c r="N34" s="2">
        <f>N12/'Output-Calculation-sheet'!N11*'Output-Calculation-sheet'!N20</f>
        <v>437.41814664511872</v>
      </c>
      <c r="O34" s="2">
        <f>O12/'Output-Calculation-sheet'!O11*'Output-Calculation-sheet'!O20</f>
        <v>0</v>
      </c>
      <c r="P34" s="2">
        <f>P12/'Output-Calculation-sheet'!P11*'Output-Calculation-sheet'!P20</f>
        <v>1020.9700068077029</v>
      </c>
      <c r="Q34" s="2">
        <f>Q12/'Output-Calculation-sheet'!Q11*'Output-Calculation-sheet'!Q20</f>
        <v>1119.5405604618261</v>
      </c>
      <c r="R34" s="2">
        <f>R12/'Output-Calculation-sheet'!R11*'Output-Calculation-sheet'!R20</f>
        <v>960.00824170415217</v>
      </c>
      <c r="S34" s="2">
        <f>S12/'Output-Calculation-sheet'!S11*'Output-Calculation-sheet'!S20</f>
        <v>412.84987873301174</v>
      </c>
      <c r="T34" s="2">
        <f>T12/'Output-Calculation-sheet'!T11*'Output-Calculation-sheet'!T20</f>
        <v>347.48618070260693</v>
      </c>
      <c r="U34" s="2">
        <f>U12/'Output-Calculation-sheet'!U11*'Output-Calculation-sheet'!U20</f>
        <v>269.53897700386847</v>
      </c>
      <c r="V34" s="2">
        <f>V12/'Output-Calculation-sheet'!V11*'Output-Calculation-sheet'!V20</f>
        <v>258.85548075195618</v>
      </c>
      <c r="W34" s="2">
        <f>W12/'Output-Calculation-sheet'!W11*'Output-Calculation-sheet'!W20</f>
        <v>176.88800345863447</v>
      </c>
      <c r="X34" s="2">
        <f>X12/'Output-Calculation-sheet'!X11*'Output-Calculation-sheet'!X20</f>
        <v>0</v>
      </c>
      <c r="Y34" s="2">
        <f>Y12/'Output-Calculation-sheet'!Y11*'Output-Calculation-sheet'!Y20</f>
        <v>117.75364265762487</v>
      </c>
      <c r="AA34" s="2">
        <f t="shared" si="1"/>
        <v>31.790905219566874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6.0326926189404917</v>
      </c>
      <c r="C63" s="2">
        <f>C8*'Output-Calculation-sheet'!C52/10^9</f>
        <v>2.9027991981825987</v>
      </c>
      <c r="D63" s="2">
        <f>D8*'Output-Calculation-sheet'!D52/10^9</f>
        <v>1.3202513735424639</v>
      </c>
      <c r="E63" s="2">
        <f>E8*'Output-Calculation-sheet'!E52/10^9</f>
        <v>1.4690032490755018</v>
      </c>
      <c r="F63" s="2">
        <f>F8*'Output-Calculation-sheet'!F52/10^9</f>
        <v>0.67851918359017938</v>
      </c>
      <c r="G63" s="2">
        <f>G8*'Output-Calculation-sheet'!G52/10^9</f>
        <v>0.4689970545449037</v>
      </c>
      <c r="H63" s="2">
        <f>H8*'Output-Calculation-sheet'!H52/10^9</f>
        <v>0.88436700309263416</v>
      </c>
      <c r="I63" s="2">
        <f>I8*'Output-Calculation-sheet'!I52/10^9</f>
        <v>0.46279773444653627</v>
      </c>
      <c r="J63" s="2">
        <f>J8*'Output-Calculation-sheet'!J52/10^9</f>
        <v>0.41776025120016513</v>
      </c>
      <c r="K63" s="2">
        <f>K8*'Output-Calculation-sheet'!K52/10^9</f>
        <v>0.53919132458247365</v>
      </c>
      <c r="L63" s="2">
        <f>L8*'Output-Calculation-sheet'!L52/10^9</f>
        <v>0.44542094565132839</v>
      </c>
      <c r="M63" s="2">
        <f>M8*'Output-Calculation-sheet'!M52/10^9</f>
        <v>0.61099324758710505</v>
      </c>
      <c r="N63" s="2">
        <f>N8*'Output-Calculation-sheet'!N52/10^9</f>
        <v>0.63860953566149958</v>
      </c>
      <c r="O63" s="2">
        <f>O8*'Output-Calculation-sheet'!O52/10^9</f>
        <v>0.56402049923708686</v>
      </c>
      <c r="P63" s="2">
        <f>P8*'Output-Calculation-sheet'!P52/10^9</f>
        <v>0.4727621636765682</v>
      </c>
      <c r="Q63" s="2">
        <f>Q8*'Output-Calculation-sheet'!Q52/10^9</f>
        <v>0.48754055245798128</v>
      </c>
      <c r="R63" s="2">
        <f>R8*'Output-Calculation-sheet'!R52/10^9</f>
        <v>0.38990655540188651</v>
      </c>
      <c r="S63" s="2">
        <f>S8*'Output-Calculation-sheet'!S52/10^9</f>
        <v>0.35942555479743038</v>
      </c>
      <c r="T63" s="2">
        <f>T8*'Output-Calculation-sheet'!T52/10^9</f>
        <v>0.12188606554524256</v>
      </c>
      <c r="U63" s="2">
        <f>U8*'Output-Calculation-sheet'!U52/10^9</f>
        <v>0.1225256625836203</v>
      </c>
      <c r="V63" s="2">
        <f>V8*'Output-Calculation-sheet'!V52/10^9</f>
        <v>9.1252212139874209E-2</v>
      </c>
      <c r="W63" s="2">
        <f>W8*'Output-Calculation-sheet'!W52/10^9</f>
        <v>5.7053076850420589E-2</v>
      </c>
      <c r="X63" s="2">
        <f>X8*'Output-Calculation-sheet'!X52/10^9</f>
        <v>7.2658043604157105E-2</v>
      </c>
      <c r="Y63" s="2">
        <f>Y8*'Output-Calculation-sheet'!Y52/10^9</f>
        <v>4.7747929543477036E-2</v>
      </c>
      <c r="AA63" s="2">
        <f t="shared" si="4"/>
        <v>19.658181035935623</v>
      </c>
    </row>
    <row r="64" spans="1:27" x14ac:dyDescent="0.25">
      <c r="A64" s="2">
        <v>2032</v>
      </c>
      <c r="B64" s="2">
        <f>B9*'Output-Calculation-sheet'!B53/10^9</f>
        <v>6.2064445593200279</v>
      </c>
      <c r="C64" s="2">
        <f>C9*'Output-Calculation-sheet'!C53/10^9</f>
        <v>2.9970856160262733</v>
      </c>
      <c r="D64" s="2">
        <f>D9*'Output-Calculation-sheet'!D53/10^9</f>
        <v>1.3562240752962473</v>
      </c>
      <c r="E64" s="2">
        <f>E9*'Output-Calculation-sheet'!E53/10^9</f>
        <v>1.509569753709791</v>
      </c>
      <c r="F64" s="2">
        <f>F9*'Output-Calculation-sheet'!F53/10^9</f>
        <v>0.69655890284953037</v>
      </c>
      <c r="G64" s="2">
        <f>G9*'Output-Calculation-sheet'!G53/10^9</f>
        <v>0.48181954853135323</v>
      </c>
      <c r="H64" s="2">
        <f>H9*'Output-Calculation-sheet'!H53/10^9</f>
        <v>0.90464772193137499</v>
      </c>
      <c r="I64" s="2">
        <f>I9*'Output-Calculation-sheet'!I53/10^9</f>
        <v>0.47538684213472088</v>
      </c>
      <c r="J64" s="2">
        <f>J9*'Output-Calculation-sheet'!J53/10^9</f>
        <v>0.42909942749408986</v>
      </c>
      <c r="K64" s="2">
        <f>K9*'Output-Calculation-sheet'!K53/10^9</f>
        <v>0.55394799395539995</v>
      </c>
      <c r="L64" s="2">
        <f>L9*'Output-Calculation-sheet'!L53/10^9</f>
        <v>0.45761241578380418</v>
      </c>
      <c r="M64" s="2">
        <f>M9*'Output-Calculation-sheet'!M53/10^9</f>
        <v>0.62503526540879728</v>
      </c>
      <c r="N64" s="2">
        <f>N9*'Output-Calculation-sheet'!N53/10^9</f>
        <v>0.65412628603703138</v>
      </c>
      <c r="O64" s="2">
        <f>O9*'Output-Calculation-sheet'!O53/10^9</f>
        <v>0.5823405650882697</v>
      </c>
      <c r="P64" s="2">
        <f>P9*'Output-Calculation-sheet'!P53/10^9</f>
        <v>0.48629304981540933</v>
      </c>
      <c r="Q64" s="2">
        <f>Q9*'Output-Calculation-sheet'!Q53/10^9</f>
        <v>0.50137647792837825</v>
      </c>
      <c r="R64" s="2">
        <f>R9*'Output-Calculation-sheet'!R53/10^9</f>
        <v>0.40082806036008573</v>
      </c>
      <c r="S64" s="2">
        <f>S9*'Output-Calculation-sheet'!S53/10^9</f>
        <v>0.36887491392847765</v>
      </c>
      <c r="T64" s="2">
        <f>T9*'Output-Calculation-sheet'!T53/10^9</f>
        <v>0.12520955427496455</v>
      </c>
      <c r="U64" s="2">
        <f>U9*'Output-Calculation-sheet'!U53/10^9</f>
        <v>0.12601638660970915</v>
      </c>
      <c r="V64" s="2">
        <f>V9*'Output-Calculation-sheet'!V53/10^9</f>
        <v>9.3747563496246133E-2</v>
      </c>
      <c r="W64" s="2">
        <f>W9*'Output-Calculation-sheet'!W53/10^9</f>
        <v>5.858137456841063E-2</v>
      </c>
      <c r="X64" s="2">
        <f>X9*'Output-Calculation-sheet'!X53/10^9</f>
        <v>7.4399596928442391E-2</v>
      </c>
      <c r="Y64" s="2">
        <f>Y9*'Output-Calculation-sheet'!Y53/10^9</f>
        <v>4.9083896727853918E-2</v>
      </c>
      <c r="AA64" s="2">
        <f t="shared" si="4"/>
        <v>20.214309848204692</v>
      </c>
    </row>
    <row r="65" spans="1:27" x14ac:dyDescent="0.25">
      <c r="A65" s="2">
        <v>2033</v>
      </c>
      <c r="B65" s="2">
        <f>B10*'Output-Calculation-sheet'!B54/10^9</f>
        <v>5.7466624968516529</v>
      </c>
      <c r="C65" s="2">
        <f>C10*'Output-Calculation-sheet'!C54/10^9</f>
        <v>2.7819010403798794</v>
      </c>
      <c r="D65" s="2">
        <f>D10*'Output-Calculation-sheet'!D54/10^9</f>
        <v>1.2551504276842713</v>
      </c>
      <c r="E65" s="2">
        <f>E10*'Output-Calculation-sheet'!E54/10^9</f>
        <v>1.3975701695057094</v>
      </c>
      <c r="F65" s="2">
        <f>F10*'Output-Calculation-sheet'!F54/10^9</f>
        <v>0.64422868438365521</v>
      </c>
      <c r="G65" s="2">
        <f>G10*'Output-Calculation-sheet'!G54/10^9</f>
        <v>0.44595422212258412</v>
      </c>
      <c r="H65" s="2">
        <f>H10*'Output-Calculation-sheet'!H54/10^9</f>
        <v>0.83343412608446354</v>
      </c>
      <c r="I65" s="2">
        <f>I10*'Output-Calculation-sheet'!I54/10^9</f>
        <v>0.43993953644800066</v>
      </c>
      <c r="J65" s="2">
        <f>J10*'Output-Calculation-sheet'!J54/10^9</f>
        <v>0.39708052462499854</v>
      </c>
      <c r="K65" s="2">
        <f>K10*'Output-Calculation-sheet'!K54/10^9</f>
        <v>0.51272004275140914</v>
      </c>
      <c r="L65" s="2">
        <f>L10*'Output-Calculation-sheet'!L54/10^9</f>
        <v>0.42355753396485324</v>
      </c>
      <c r="M65" s="2">
        <f>M10*'Output-Calculation-sheet'!M54/10^9</f>
        <v>0.57585757501834067</v>
      </c>
      <c r="N65" s="2">
        <f>N10*'Output-Calculation-sheet'!N54/10^9</f>
        <v>0.6032980369420311</v>
      </c>
      <c r="O65" s="2">
        <f>O10*'Output-Calculation-sheet'!O54/10^9</f>
        <v>0.54171427456501231</v>
      </c>
      <c r="P65" s="2">
        <f>P10*'Output-Calculation-sheet'!P54/10^9</f>
        <v>0.45064869925999002</v>
      </c>
      <c r="Q65" s="2">
        <f>Q10*'Output-Calculation-sheet'!Q54/10^9</f>
        <v>0.46451350992018631</v>
      </c>
      <c r="R65" s="2">
        <f>R10*'Output-Calculation-sheet'!R54/10^9</f>
        <v>0.37123153401598813</v>
      </c>
      <c r="S65" s="2">
        <f>S10*'Output-Calculation-sheet'!S54/10^9</f>
        <v>0.34076344812559467</v>
      </c>
      <c r="T65" s="2">
        <f>T10*'Output-Calculation-sheet'!T54/10^9</f>
        <v>0.11587978407338981</v>
      </c>
      <c r="U65" s="2">
        <f>U10*'Output-Calculation-sheet'!U54/10^9</f>
        <v>0.1167664381006267</v>
      </c>
      <c r="V65" s="2">
        <f>V10*'Output-Calculation-sheet'!V54/10^9</f>
        <v>8.67678798850368E-2</v>
      </c>
      <c r="W65" s="2">
        <f>W10*'Output-Calculation-sheet'!W54/10^9</f>
        <v>5.419071900985778E-2</v>
      </c>
      <c r="X65" s="2">
        <f>X10*'Output-Calculation-sheet'!X54/10^9</f>
        <v>6.8609515799816889E-2</v>
      </c>
      <c r="Y65" s="2">
        <f>Y10*'Output-Calculation-sheet'!Y54/10^9</f>
        <v>4.5458498771372736E-2</v>
      </c>
      <c r="AA65" s="2">
        <f t="shared" si="4"/>
        <v>18.713898718288725</v>
      </c>
    </row>
    <row r="66" spans="1:27" x14ac:dyDescent="0.25">
      <c r="A66" s="2">
        <v>2034</v>
      </c>
      <c r="B66" s="2">
        <f>B11*'Output-Calculation-sheet'!B55/10^9</f>
        <v>4.8102081414928257</v>
      </c>
      <c r="C66" s="2">
        <f>C11*'Output-Calculation-sheet'!C55/10^9</f>
        <v>2.3240325020389832</v>
      </c>
      <c r="D66" s="2">
        <f>D11*'Output-Calculation-sheet'!D55/10^9</f>
        <v>1.0517702083080511</v>
      </c>
      <c r="E66" s="2">
        <f>E11*'Output-Calculation-sheet'!E55/10^9</f>
        <v>1.1715320605717345</v>
      </c>
      <c r="F66" s="2">
        <f>F11*'Output-Calculation-sheet'!F55/10^9</f>
        <v>0.53948325217113002</v>
      </c>
      <c r="G66" s="2">
        <f>G11*'Output-Calculation-sheet'!G55/10^9</f>
        <v>0.3737291633384508</v>
      </c>
      <c r="H66" s="2">
        <f>H11*'Output-Calculation-sheet'!H55/10^9</f>
        <v>0.69497273129202675</v>
      </c>
      <c r="I66" s="2">
        <f>I11*'Output-Calculation-sheet'!I55/10^9</f>
        <v>0.36863333646687585</v>
      </c>
      <c r="J66" s="2">
        <f>J11*'Output-Calculation-sheet'!J55/10^9</f>
        <v>0.33270557949811708</v>
      </c>
      <c r="K66" s="2">
        <f>K11*'Output-Calculation-sheet'!K55/10^9</f>
        <v>0.42968062579702981</v>
      </c>
      <c r="L66" s="2">
        <f>L11*'Output-Calculation-sheet'!L55/10^9</f>
        <v>0.35496426508061002</v>
      </c>
      <c r="M66" s="2">
        <f>M11*'Output-Calculation-sheet'!M55/10^9</f>
        <v>0.48020929377680732</v>
      </c>
      <c r="N66" s="2">
        <f>N11*'Output-Calculation-sheet'!N55/10^9</f>
        <v>0.50353973364874549</v>
      </c>
      <c r="O66" s="2">
        <f>O11*'Output-Calculation-sheet'!O55/10^9</f>
        <v>0.45629412411553366</v>
      </c>
      <c r="P66" s="2">
        <f>P11*'Output-Calculation-sheet'!P55/10^9</f>
        <v>0.37812387053231361</v>
      </c>
      <c r="Q66" s="2">
        <f>Q11*'Output-Calculation-sheet'!Q55/10^9</f>
        <v>0.38965830782828098</v>
      </c>
      <c r="R66" s="2">
        <f>R11*'Output-Calculation-sheet'!R55/10^9</f>
        <v>0.31130848865165073</v>
      </c>
      <c r="S66" s="2">
        <f>S11*'Output-Calculation-sheet'!S55/10^9</f>
        <v>0.28480894083408276</v>
      </c>
      <c r="T66" s="2">
        <f>T11*'Output-Calculation-sheet'!T55/10^9</f>
        <v>9.7103583168984597E-2</v>
      </c>
      <c r="U66" s="2">
        <f>U11*'Output-Calculation-sheet'!U55/10^9</f>
        <v>9.7965080942540458E-2</v>
      </c>
      <c r="V66" s="2">
        <f>V11*'Output-Calculation-sheet'!V55/10^9</f>
        <v>7.2712947777182804E-2</v>
      </c>
      <c r="W66" s="2">
        <f>W11*'Output-Calculation-sheet'!W55/10^9</f>
        <v>4.5388868844159186E-2</v>
      </c>
      <c r="X66" s="2">
        <f>X11*'Output-Calculation-sheet'!X55/10^9</f>
        <v>5.7268058720659251E-2</v>
      </c>
      <c r="Y66" s="2">
        <f>Y11*'Output-Calculation-sheet'!Y55/10^9</f>
        <v>3.8119966190071519E-2</v>
      </c>
      <c r="AA66" s="2">
        <f t="shared" si="4"/>
        <v>15.664213131086848</v>
      </c>
    </row>
    <row r="67" spans="1:27" x14ac:dyDescent="0.25">
      <c r="A67" s="2">
        <v>2035</v>
      </c>
      <c r="B67" s="2">
        <f>B12*'Output-Calculation-sheet'!B56/10^9</f>
        <v>3.6107392318044718</v>
      </c>
      <c r="C67" s="2">
        <f>C12*'Output-Calculation-sheet'!C56/10^9</f>
        <v>1.7421000526258075</v>
      </c>
      <c r="D67" s="2">
        <f>D12*'Output-Calculation-sheet'!D56/10^9</f>
        <v>0.79119445178831072</v>
      </c>
      <c r="E67" s="2">
        <f>E12*'Output-Calculation-sheet'!E56/10^9</f>
        <v>0.88159970289570977</v>
      </c>
      <c r="F67" s="2">
        <f>F12*'Output-Calculation-sheet'!F56/10^9</f>
        <v>0.40555431857588881</v>
      </c>
      <c r="G67" s="2">
        <f>G12*'Output-Calculation-sheet'!G56/10^9</f>
        <v>0.28116936974940099</v>
      </c>
      <c r="H67" s="2">
        <f>H12*'Output-Calculation-sheet'!H56/10^9</f>
        <v>0.52004964014134558</v>
      </c>
      <c r="I67" s="2">
        <f>I12*'Output-Calculation-sheet'!I56/10^9</f>
        <v>0.27728783994932721</v>
      </c>
      <c r="J67" s="2">
        <f>J12*'Output-Calculation-sheet'!J56/10^9</f>
        <v>0.25025504950477823</v>
      </c>
      <c r="K67" s="2">
        <f>K12*'Output-Calculation-sheet'!K56/10^9</f>
        <v>0.32325612457991021</v>
      </c>
      <c r="L67" s="2">
        <f>L12*'Output-Calculation-sheet'!L56/10^9</f>
        <v>0.26705247422483308</v>
      </c>
      <c r="M67" s="2">
        <f>M12*'Output-Calculation-sheet'!M56/10^9</f>
        <v>0.35935731567784984</v>
      </c>
      <c r="N67" s="2">
        <f>N12*'Output-Calculation-sheet'!N56/10^9</f>
        <v>0.37714959522623409</v>
      </c>
      <c r="O67" s="2">
        <f>O12*'Output-Calculation-sheet'!O56/10^9</f>
        <v>0.34304688561452479</v>
      </c>
      <c r="P67" s="2">
        <f>P12*'Output-Calculation-sheet'!P56/10^9</f>
        <v>0.28481508430269403</v>
      </c>
      <c r="Q67" s="2">
        <f>Q12*'Output-Calculation-sheet'!Q56/10^9</f>
        <v>0.29341940377389963</v>
      </c>
      <c r="R67" s="2">
        <f>R12*'Output-Calculation-sheet'!R56/10^9</f>
        <v>0.23435429477978376</v>
      </c>
      <c r="S67" s="2">
        <f>S12*'Output-Calculation-sheet'!S56/10^9</f>
        <v>0.21356330144828412</v>
      </c>
      <c r="T67" s="2">
        <f>T12*'Output-Calculation-sheet'!T56/10^9</f>
        <v>7.3046664794564495E-2</v>
      </c>
      <c r="U67" s="2">
        <f>U12*'Output-Calculation-sheet'!U56/10^9</f>
        <v>7.3784221540221712E-2</v>
      </c>
      <c r="V67" s="2">
        <f>V12*'Output-Calculation-sheet'!V56/10^9</f>
        <v>5.4700604264786991E-2</v>
      </c>
      <c r="W67" s="2">
        <f>W12*'Output-Calculation-sheet'!W56/10^9</f>
        <v>3.4127922357753457E-2</v>
      </c>
      <c r="X67" s="2">
        <f>X12*'Output-Calculation-sheet'!X56/10^9</f>
        <v>4.2894413113385266E-2</v>
      </c>
      <c r="Y67" s="2">
        <f>Y12*'Output-Calculation-sheet'!Y56/10^9</f>
        <v>2.8696498617978468E-2</v>
      </c>
      <c r="AA67" s="2">
        <f t="shared" si="4"/>
        <v>11.763214461351746</v>
      </c>
    </row>
    <row r="68" spans="1:27" x14ac:dyDescent="0.25">
      <c r="B68" s="2">
        <f>SUM(B60:B67)</f>
        <v>38.806632970349739</v>
      </c>
      <c r="C68" s="2">
        <f t="shared" ref="C68:Y68" si="5">SUM(C60:C67)</f>
        <v>18.65924238852482</v>
      </c>
      <c r="D68" s="2">
        <f t="shared" si="5"/>
        <v>8.4994327144691262</v>
      </c>
      <c r="E68" s="2">
        <f t="shared" si="5"/>
        <v>9.4581316252003944</v>
      </c>
      <c r="F68" s="2">
        <f t="shared" si="5"/>
        <v>4.3670909471985047</v>
      </c>
      <c r="G68" s="2">
        <f t="shared" si="5"/>
        <v>3.0194485097118871</v>
      </c>
      <c r="H68" s="2">
        <f t="shared" si="5"/>
        <v>5.6662081188362023</v>
      </c>
      <c r="I68" s="2">
        <f t="shared" si="5"/>
        <v>2.9792831272981144</v>
      </c>
      <c r="J68" s="2">
        <f t="shared" si="5"/>
        <v>2.6893475607681179</v>
      </c>
      <c r="K68" s="2">
        <f t="shared" si="5"/>
        <v>3.4712054138548187</v>
      </c>
      <c r="L68" s="2">
        <f t="shared" si="5"/>
        <v>2.8675755928320079</v>
      </c>
      <c r="M68" s="2">
        <f t="shared" si="5"/>
        <v>3.9143931932328528</v>
      </c>
      <c r="N68" s="2">
        <f t="shared" si="5"/>
        <v>4.0949550292571741</v>
      </c>
      <c r="O68" s="2">
        <f t="shared" si="5"/>
        <v>3.6359916479214265</v>
      </c>
      <c r="P68" s="2">
        <f t="shared" si="5"/>
        <v>3.0448279774344864</v>
      </c>
      <c r="Q68" s="2">
        <f t="shared" si="5"/>
        <v>3.1396393214615603</v>
      </c>
      <c r="R68" s="2">
        <f t="shared" si="5"/>
        <v>2.5107446761601699</v>
      </c>
      <c r="S68" s="2">
        <f t="shared" si="5"/>
        <v>2.3065491696433593</v>
      </c>
      <c r="T68" s="2">
        <f t="shared" si="5"/>
        <v>0.7846627471462021</v>
      </c>
      <c r="U68" s="2">
        <f t="shared" si="5"/>
        <v>0.78912444245922997</v>
      </c>
      <c r="V68" s="2">
        <f t="shared" si="5"/>
        <v>0.5874526031470384</v>
      </c>
      <c r="W68" s="2">
        <f t="shared" si="5"/>
        <v>0.36722988152924357</v>
      </c>
      <c r="X68" s="2">
        <f t="shared" si="5"/>
        <v>0.46561620175339458</v>
      </c>
      <c r="Y68" s="2">
        <f t="shared" si="5"/>
        <v>0.30746275343695256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12204666466.665863</v>
      </c>
      <c r="C96" s="2">
        <f>C8/'Output-Calculation-sheet'!C7*'Output-Calculation-sheet'!C79</f>
        <v>0</v>
      </c>
      <c r="D96" s="2">
        <f>D8/'Output-Calculation-sheet'!D7*'Output-Calculation-sheet'!D79</f>
        <v>7428854654.9931326</v>
      </c>
      <c r="E96" s="2">
        <f>E8/'Output-Calculation-sheet'!E7*'Output-Calculation-sheet'!E79</f>
        <v>11636247099.02483</v>
      </c>
      <c r="F96" s="2">
        <f>F8/'Output-Calculation-sheet'!F7*'Output-Calculation-sheet'!F79</f>
        <v>5570003268.2595558</v>
      </c>
      <c r="G96" s="2">
        <f>G8/'Output-Calculation-sheet'!G7*'Output-Calculation-sheet'!G79</f>
        <v>4246307329.748982</v>
      </c>
      <c r="H96" s="2">
        <f>H8/'Output-Calculation-sheet'!H7*'Output-Calculation-sheet'!H79</f>
        <v>1147627115.7057238</v>
      </c>
      <c r="I96" s="2">
        <f>I8/'Output-Calculation-sheet'!I7*'Output-Calculation-sheet'!I79</f>
        <v>2912045658.4543805</v>
      </c>
      <c r="J96" s="2">
        <f>J8/'Output-Calculation-sheet'!J7*'Output-Calculation-sheet'!J79</f>
        <v>2072860209.3483639</v>
      </c>
      <c r="K96" s="2">
        <f>K8/'Output-Calculation-sheet'!K7*'Output-Calculation-sheet'!K79</f>
        <v>2583460196.645287</v>
      </c>
      <c r="L96" s="2">
        <f>L8/'Output-Calculation-sheet'!L7*'Output-Calculation-sheet'!L79</f>
        <v>1797727879.304858</v>
      </c>
      <c r="M96" s="2">
        <f>M8/'Output-Calculation-sheet'!M7*'Output-Calculation-sheet'!M79</f>
        <v>850765733.36413407</v>
      </c>
      <c r="N96" s="2">
        <f>N8/'Output-Calculation-sheet'!N7*'Output-Calculation-sheet'!N79</f>
        <v>948181565.24173677</v>
      </c>
      <c r="O96" s="2">
        <f>O8/'Output-Calculation-sheet'!O7*'Output-Calculation-sheet'!O79</f>
        <v>0</v>
      </c>
      <c r="P96" s="2">
        <f>P8/'Output-Calculation-sheet'!P7*'Output-Calculation-sheet'!P79</f>
        <v>2192926730.2775187</v>
      </c>
      <c r="Q96" s="2">
        <f>Q8/'Output-Calculation-sheet'!Q7*'Output-Calculation-sheet'!Q79</f>
        <v>1018066847.0782129</v>
      </c>
      <c r="R96" s="2">
        <f>R8/'Output-Calculation-sheet'!R7*'Output-Calculation-sheet'!R79</f>
        <v>1570744383.0351942</v>
      </c>
      <c r="S96" s="2">
        <f>S8/'Output-Calculation-sheet'!S7*'Output-Calculation-sheet'!S79</f>
        <v>575341210.84423661</v>
      </c>
      <c r="T96" s="2">
        <f>T8/'Output-Calculation-sheet'!T7*'Output-Calculation-sheet'!T79</f>
        <v>823314777.37450314</v>
      </c>
      <c r="U96" s="2">
        <f>U8/'Output-Calculation-sheet'!U7*'Output-Calculation-sheet'!U79</f>
        <v>418026265.89688784</v>
      </c>
      <c r="V96" s="2">
        <f>V8/'Output-Calculation-sheet'!V7*'Output-Calculation-sheet'!V79</f>
        <v>253410324.14269498</v>
      </c>
      <c r="W96" s="2">
        <f>W8/'Output-Calculation-sheet'!W7*'Output-Calculation-sheet'!W79</f>
        <v>882495600.10637844</v>
      </c>
      <c r="X96" s="2">
        <f>X8/'Output-Calculation-sheet'!X7*'Output-Calculation-sheet'!X79</f>
        <v>82277304.355698109</v>
      </c>
      <c r="Y96" s="2">
        <f>Y8/'Output-Calculation-sheet'!Y7*'Output-Calculation-sheet'!Y79</f>
        <v>375389180.09268725</v>
      </c>
      <c r="AA96" s="2">
        <f t="shared" si="8"/>
        <v>61.590739799960879</v>
      </c>
    </row>
    <row r="97" spans="1:27" x14ac:dyDescent="0.25">
      <c r="A97" s="2">
        <v>2032</v>
      </c>
      <c r="B97" s="2">
        <f>B9/'Output-Calculation-sheet'!B8*'Output-Calculation-sheet'!B80</f>
        <v>12714133620.64863</v>
      </c>
      <c r="C97" s="2">
        <f>C9/'Output-Calculation-sheet'!C8*'Output-Calculation-sheet'!C80</f>
        <v>0</v>
      </c>
      <c r="D97" s="2">
        <f>D9/'Output-Calculation-sheet'!D8*'Output-Calculation-sheet'!D80</f>
        <v>7380932457.8833361</v>
      </c>
      <c r="E97" s="2">
        <f>E9/'Output-Calculation-sheet'!E8*'Output-Calculation-sheet'!E80</f>
        <v>11907860056.675138</v>
      </c>
      <c r="F97" s="2">
        <f>F9/'Output-Calculation-sheet'!F8*'Output-Calculation-sheet'!F80</f>
        <v>5680236746.5060053</v>
      </c>
      <c r="G97" s="2">
        <f>G9/'Output-Calculation-sheet'!G8*'Output-Calculation-sheet'!G80</f>
        <v>4206085198.455934</v>
      </c>
      <c r="H97" s="2">
        <f>H9/'Output-Calculation-sheet'!H8*'Output-Calculation-sheet'!H80</f>
        <v>1201180247.8077331</v>
      </c>
      <c r="I97" s="2">
        <f>I9/'Output-Calculation-sheet'!I8*'Output-Calculation-sheet'!I80</f>
        <v>2999253626.7090821</v>
      </c>
      <c r="J97" s="2">
        <f>J9/'Output-Calculation-sheet'!J8*'Output-Calculation-sheet'!J80</f>
        <v>2074254073.8668342</v>
      </c>
      <c r="K97" s="2">
        <f>K9/'Output-Calculation-sheet'!K8*'Output-Calculation-sheet'!K80</f>
        <v>2609236330.7064271</v>
      </c>
      <c r="L97" s="2">
        <f>L9/'Output-Calculation-sheet'!L8*'Output-Calculation-sheet'!L80</f>
        <v>1873394898.6206493</v>
      </c>
      <c r="M97" s="2">
        <f>M9/'Output-Calculation-sheet'!M8*'Output-Calculation-sheet'!M80</f>
        <v>892042617.12321353</v>
      </c>
      <c r="N97" s="2">
        <f>N9/'Output-Calculation-sheet'!N8*'Output-Calculation-sheet'!N80</f>
        <v>949484115.54017854</v>
      </c>
      <c r="O97" s="2">
        <f>O9/'Output-Calculation-sheet'!O8*'Output-Calculation-sheet'!O80</f>
        <v>0</v>
      </c>
      <c r="P97" s="2">
        <f>P9/'Output-Calculation-sheet'!P8*'Output-Calculation-sheet'!P80</f>
        <v>2221962008.8876066</v>
      </c>
      <c r="Q97" s="2">
        <f>Q9/'Output-Calculation-sheet'!Q8*'Output-Calculation-sheet'!Q80</f>
        <v>1035986698.4528567</v>
      </c>
      <c r="R97" s="2">
        <f>R9/'Output-Calculation-sheet'!R8*'Output-Calculation-sheet'!R80</f>
        <v>1605700038.0972786</v>
      </c>
      <c r="S97" s="2">
        <f>S9/'Output-Calculation-sheet'!S8*'Output-Calculation-sheet'!S80</f>
        <v>605012936.78648734</v>
      </c>
      <c r="T97" s="2">
        <f>T9/'Output-Calculation-sheet'!T8*'Output-Calculation-sheet'!T80</f>
        <v>825701050.17971432</v>
      </c>
      <c r="U97" s="2">
        <f>U9/'Output-Calculation-sheet'!U8*'Output-Calculation-sheet'!U80</f>
        <v>427515606.32594919</v>
      </c>
      <c r="V97" s="2">
        <f>V9/'Output-Calculation-sheet'!V8*'Output-Calculation-sheet'!V80</f>
        <v>262081824.59949088</v>
      </c>
      <c r="W97" s="2">
        <f>W9/'Output-Calculation-sheet'!W8*'Output-Calculation-sheet'!W80</f>
        <v>892258903.11723244</v>
      </c>
      <c r="X97" s="2">
        <f>X9/'Output-Calculation-sheet'!X8*'Output-Calculation-sheet'!X80</f>
        <v>88336690.78944245</v>
      </c>
      <c r="Y97" s="2">
        <f>Y9/'Output-Calculation-sheet'!Y8*'Output-Calculation-sheet'!Y80</f>
        <v>379926445.77761751</v>
      </c>
      <c r="AA97" s="2">
        <f t="shared" si="8"/>
        <v>62.832576193556847</v>
      </c>
    </row>
    <row r="98" spans="1:27" x14ac:dyDescent="0.25">
      <c r="A98" s="2">
        <v>2033</v>
      </c>
      <c r="B98" s="2">
        <f>B10/'Output-Calculation-sheet'!B9*'Output-Calculation-sheet'!B81</f>
        <v>12397984910.319773</v>
      </c>
      <c r="C98" s="2">
        <f>C10/'Output-Calculation-sheet'!C9*'Output-Calculation-sheet'!C81</f>
        <v>1623769826.3756928</v>
      </c>
      <c r="D98" s="2">
        <f>D10/'Output-Calculation-sheet'!D9*'Output-Calculation-sheet'!D81</f>
        <v>6609769655.4009733</v>
      </c>
      <c r="E98" s="2">
        <f>E10/'Output-Calculation-sheet'!E9*'Output-Calculation-sheet'!E81</f>
        <v>10974528931.499813</v>
      </c>
      <c r="F98" s="2">
        <f>F10/'Output-Calculation-sheet'!F9*'Output-Calculation-sheet'!F81</f>
        <v>5224863492.3742085</v>
      </c>
      <c r="G98" s="2">
        <f>G10/'Output-Calculation-sheet'!G9*'Output-Calculation-sheet'!G81</f>
        <v>3751855512.1444817</v>
      </c>
      <c r="H98" s="2">
        <f>H10/'Output-Calculation-sheet'!H9*'Output-Calculation-sheet'!H81</f>
        <v>1130714082.8565025</v>
      </c>
      <c r="I98" s="2">
        <f>I10/'Output-Calculation-sheet'!I9*'Output-Calculation-sheet'!I81</f>
        <v>2784725631.2887864</v>
      </c>
      <c r="J98" s="2">
        <f>J10/'Output-Calculation-sheet'!J9*'Output-Calculation-sheet'!J81</f>
        <v>1872524506.1022632</v>
      </c>
      <c r="K98" s="2">
        <f>K10/'Output-Calculation-sheet'!K9*'Output-Calculation-sheet'!K81</f>
        <v>2378044965.8180823</v>
      </c>
      <c r="L98" s="2">
        <f>L10/'Output-Calculation-sheet'!L9*'Output-Calculation-sheet'!L81</f>
        <v>1758194869.2920706</v>
      </c>
      <c r="M98" s="2">
        <f>M10/'Output-Calculation-sheet'!M9*'Output-Calculation-sheet'!M81</f>
        <v>843064598.47036564</v>
      </c>
      <c r="N98" s="2">
        <f>N10/'Output-Calculation-sheet'!N9*'Output-Calculation-sheet'!N81</f>
        <v>857905124.13611829</v>
      </c>
      <c r="O98" s="2">
        <f>O10/'Output-Calculation-sheet'!O9*'Output-Calculation-sheet'!O81</f>
        <v>0</v>
      </c>
      <c r="P98" s="2">
        <f>P10/'Output-Calculation-sheet'!P9*'Output-Calculation-sheet'!P81</f>
        <v>2023136213.8526986</v>
      </c>
      <c r="Q98" s="2">
        <f>Q10/'Output-Calculation-sheet'!Q9*'Output-Calculation-sheet'!Q81</f>
        <v>949630936.82117081</v>
      </c>
      <c r="R98" s="2">
        <f>R10/'Output-Calculation-sheet'!R9*'Output-Calculation-sheet'!R81</f>
        <v>1481859594.09905</v>
      </c>
      <c r="S98" s="2">
        <f>S10/'Output-Calculation-sheet'!S9*'Output-Calculation-sheet'!S81</f>
        <v>562686406.14394486</v>
      </c>
      <c r="T98" s="2">
        <f>T10/'Output-Calculation-sheet'!T9*'Output-Calculation-sheet'!T81</f>
        <v>746859242.31119001</v>
      </c>
      <c r="U98" s="2">
        <f>U10/'Output-Calculation-sheet'!U9*'Output-Calculation-sheet'!U81</f>
        <v>393671006.48685318</v>
      </c>
      <c r="V98" s="2">
        <f>V10/'Output-Calculation-sheet'!V9*'Output-Calculation-sheet'!V81</f>
        <v>243955217.00549537</v>
      </c>
      <c r="W98" s="2">
        <f>W10/'Output-Calculation-sheet'!W9*'Output-Calculation-sheet'!W81</f>
        <v>811070840.78775215</v>
      </c>
      <c r="X98" s="2">
        <f>X10/'Output-Calculation-sheet'!X9*'Output-Calculation-sheet'!X81</f>
        <v>84372342.14861165</v>
      </c>
      <c r="Y98" s="2">
        <f>Y10/'Output-Calculation-sheet'!Y9*'Output-Calculation-sheet'!Y81</f>
        <v>346248981.82044494</v>
      </c>
      <c r="AA98" s="2">
        <f t="shared" si="8"/>
        <v>59.851436887556346</v>
      </c>
    </row>
    <row r="99" spans="1:27" x14ac:dyDescent="0.25">
      <c r="A99" s="2">
        <v>2034</v>
      </c>
      <c r="B99" s="2">
        <f>B11/'Output-Calculation-sheet'!B10*'Output-Calculation-sheet'!B82</f>
        <v>10744541837.522505</v>
      </c>
      <c r="C99" s="2">
        <f>C11/'Output-Calculation-sheet'!C10*'Output-Calculation-sheet'!C82</f>
        <v>1457226541.7152798</v>
      </c>
      <c r="D99" s="2">
        <f>D11/'Output-Calculation-sheet'!D10*'Output-Calculation-sheet'!D82</f>
        <v>5361017873.7908258</v>
      </c>
      <c r="E99" s="2">
        <f>E11/'Output-Calculation-sheet'!E10*'Output-Calculation-sheet'!E82</f>
        <v>9168254969.1360378</v>
      </c>
      <c r="F99" s="2">
        <f>F11/'Output-Calculation-sheet'!F10*'Output-Calculation-sheet'!F82</f>
        <v>4354079225.2115278</v>
      </c>
      <c r="G99" s="2">
        <f>G11/'Output-Calculation-sheet'!G10*'Output-Calculation-sheet'!G82</f>
        <v>3024591954.9212689</v>
      </c>
      <c r="H99" s="2">
        <f>H11/'Output-Calculation-sheet'!H10*'Output-Calculation-sheet'!H82</f>
        <v>965127239.18868852</v>
      </c>
      <c r="I99" s="2">
        <f>I11/'Output-Calculation-sheet'!I10*'Output-Calculation-sheet'!I82</f>
        <v>2344600303.8597965</v>
      </c>
      <c r="J99" s="2">
        <f>J11/'Output-Calculation-sheet'!J10*'Output-Calculation-sheet'!J82</f>
        <v>1531805597.72349</v>
      </c>
      <c r="K99" s="2">
        <f>K11/'Output-Calculation-sheet'!K10*'Output-Calculation-sheet'!K82</f>
        <v>1964048980.6605349</v>
      </c>
      <c r="L99" s="2">
        <f>L11/'Output-Calculation-sheet'!L10*'Output-Calculation-sheet'!L82</f>
        <v>1493469570.6961153</v>
      </c>
      <c r="M99" s="2">
        <f>M11/'Output-Calculation-sheet'!M10*'Output-Calculation-sheet'!M82</f>
        <v>721945100.99787915</v>
      </c>
      <c r="N99" s="2">
        <f>N11/'Output-Calculation-sheet'!N10*'Output-Calculation-sheet'!N82</f>
        <v>704586056.05959654</v>
      </c>
      <c r="O99" s="2">
        <f>O11/'Output-Calculation-sheet'!O10*'Output-Calculation-sheet'!O82</f>
        <v>0</v>
      </c>
      <c r="P99" s="2">
        <f>P11/'Output-Calculation-sheet'!P10*'Output-Calculation-sheet'!P82</f>
        <v>1666516100.4907074</v>
      </c>
      <c r="Q99" s="2">
        <f>Q11/'Output-Calculation-sheet'!Q10*'Output-Calculation-sheet'!Q82</f>
        <v>789106352.91279328</v>
      </c>
      <c r="R99" s="2">
        <f>R11/'Output-Calculation-sheet'!R10*'Output-Calculation-sheet'!R82</f>
        <v>1238371136.6018989</v>
      </c>
      <c r="S99" s="2">
        <f>S11/'Output-Calculation-sheet'!S10*'Output-Calculation-sheet'!S82</f>
        <v>482510859.6425972</v>
      </c>
      <c r="T99" s="2">
        <f>T11/'Output-Calculation-sheet'!T10*'Output-Calculation-sheet'!T82</f>
        <v>611849448.45889568</v>
      </c>
      <c r="U99" s="2">
        <f>U11/'Output-Calculation-sheet'!U10*'Output-Calculation-sheet'!U82</f>
        <v>328885817.44159347</v>
      </c>
      <c r="V99" s="2">
        <f>V11/'Output-Calculation-sheet'!V10*'Output-Calculation-sheet'!V82</f>
        <v>205742600.60145989</v>
      </c>
      <c r="W99" s="2">
        <f>W11/'Output-Calculation-sheet'!W10*'Output-Calculation-sheet'!W82</f>
        <v>666937257.18225169</v>
      </c>
      <c r="X99" s="2">
        <f>X11/'Output-Calculation-sheet'!X10*'Output-Calculation-sheet'!X82</f>
        <v>73385669.623926789</v>
      </c>
      <c r="Y99" s="2">
        <f>Y11/'Output-Calculation-sheet'!Y10*'Output-Calculation-sheet'!Y82</f>
        <v>285364445.33429676</v>
      </c>
      <c r="AA99" s="2">
        <f t="shared" si="8"/>
        <v>50.183964939773972</v>
      </c>
    </row>
    <row r="100" spans="1:27" x14ac:dyDescent="0.25">
      <c r="A100" s="2">
        <v>2035</v>
      </c>
      <c r="B100" s="2">
        <f>B12/'Output-Calculation-sheet'!B11*'Output-Calculation-sheet'!B83</f>
        <v>8222994313.0183954</v>
      </c>
      <c r="C100" s="2">
        <f>C12/'Output-Calculation-sheet'!C11*'Output-Calculation-sheet'!C83</f>
        <v>1163433702.3225198</v>
      </c>
      <c r="D100" s="2">
        <f>D12/'Output-Calculation-sheet'!D11*'Output-Calculation-sheet'!D83</f>
        <v>3910889342.4836507</v>
      </c>
      <c r="E100" s="2">
        <f>E12/'Output-Calculation-sheet'!E11*'Output-Calculation-sheet'!E83</f>
        <v>6880498273.0956755</v>
      </c>
      <c r="F100" s="2">
        <f>F12/'Output-Calculation-sheet'!F11*'Output-Calculation-sheet'!F83</f>
        <v>3260714376.7712708</v>
      </c>
      <c r="G100" s="2">
        <f>G12/'Output-Calculation-sheet'!G11*'Output-Calculation-sheet'!G83</f>
        <v>2186880683.5585456</v>
      </c>
      <c r="H100" s="2">
        <f>H12/'Output-Calculation-sheet'!H11*'Output-Calculation-sheet'!H83</f>
        <v>736888818.92728615</v>
      </c>
      <c r="I100" s="2">
        <f>I12/'Output-Calculation-sheet'!I11*'Output-Calculation-sheet'!I83</f>
        <v>1771878107.3856733</v>
      </c>
      <c r="J100" s="2">
        <f>J12/'Output-Calculation-sheet'!J11*'Output-Calculation-sheet'!J83</f>
        <v>1125704647.0687604</v>
      </c>
      <c r="K100" s="2">
        <f>K12/'Output-Calculation-sheet'!K11*'Output-Calculation-sheet'!K83</f>
        <v>1457128317.7740316</v>
      </c>
      <c r="L100" s="2">
        <f>L12/'Output-Calculation-sheet'!L11*'Output-Calculation-sheet'!L83</f>
        <v>1138508418.0290854</v>
      </c>
      <c r="M100" s="2">
        <f>M12/'Output-Calculation-sheet'!M11*'Output-Calculation-sheet'!M83</f>
        <v>552333782.85281825</v>
      </c>
      <c r="N100" s="2">
        <f>N12/'Output-Calculation-sheet'!N11*'Output-Calculation-sheet'!N83</f>
        <v>520314559.73131734</v>
      </c>
      <c r="O100" s="2">
        <f>O12/'Output-Calculation-sheet'!O11*'Output-Calculation-sheet'!O83</f>
        <v>140374235.33378726</v>
      </c>
      <c r="P100" s="2">
        <f>P12/'Output-Calculation-sheet'!P11*'Output-Calculation-sheet'!P83</f>
        <v>1232539208.0459685</v>
      </c>
      <c r="Q100" s="2">
        <f>Q12/'Output-Calculation-sheet'!Q11*'Output-Calculation-sheet'!Q83</f>
        <v>591096882.39424205</v>
      </c>
      <c r="R100" s="2">
        <f>R12/'Output-Calculation-sheet'!R11*'Output-Calculation-sheet'!R83</f>
        <v>931096350.09809589</v>
      </c>
      <c r="S100" s="2">
        <f>S12/'Output-Calculation-sheet'!S11*'Output-Calculation-sheet'!S83</f>
        <v>361127072.76239407</v>
      </c>
      <c r="T100" s="2">
        <f>T12/'Output-Calculation-sheet'!T11*'Output-Calculation-sheet'!T83</f>
        <v>450122585.65593725</v>
      </c>
      <c r="U100" s="2">
        <f>U12/'Output-Calculation-sheet'!U11*'Output-Calculation-sheet'!U83</f>
        <v>246574978.84519312</v>
      </c>
      <c r="V100" s="2">
        <f>V12/'Output-Calculation-sheet'!V11*'Output-Calculation-sheet'!V83</f>
        <v>155845953.16909796</v>
      </c>
      <c r="W100" s="2">
        <f>W12/'Output-Calculation-sheet'!W11*'Output-Calculation-sheet'!W83</f>
        <v>491776514.15201712</v>
      </c>
      <c r="X100" s="2">
        <f>X12/'Output-Calculation-sheet'!X11*'Output-Calculation-sheet'!X83</f>
        <v>57224081.136416316</v>
      </c>
      <c r="Y100" s="2">
        <f>Y12/'Output-Calculation-sheet'!Y11*'Output-Calculation-sheet'!Y83</f>
        <v>211144195.15360704</v>
      </c>
      <c r="AA100" s="2">
        <f t="shared" si="8"/>
        <v>37.797089399765795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4.4253225066284642E-4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3982899890.8693194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2728879079.6763277</v>
      </c>
      <c r="N118" s="2">
        <f>N8/'Output-Calculation-sheet'!N7*'Output-Calculation-sheet'!N97</f>
        <v>1803959257.6535652</v>
      </c>
      <c r="O118" s="2">
        <f>O8/'Output-Calculation-sheet'!O7*'Output-Calculation-sheet'!O97</f>
        <v>2.4348024909699606E-5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447202665.25432801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259354672.45327023</v>
      </c>
      <c r="Y118" s="2">
        <f>Y8/'Output-Calculation-sheet'!Y7*'Output-Calculation-sheet'!Y97</f>
        <v>0</v>
      </c>
      <c r="AA118" s="2">
        <f t="shared" si="10"/>
        <v>9222.2955659072777</v>
      </c>
    </row>
    <row r="119" spans="1:27" x14ac:dyDescent="0.25">
      <c r="A119" s="2">
        <v>2032</v>
      </c>
      <c r="B119" s="2">
        <f>B9/'Output-Calculation-sheet'!B8*'Output-Calculation-sheet'!B98</f>
        <v>3941408.8963120668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4232499201.358624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2896447009.8354287</v>
      </c>
      <c r="N119" s="2">
        <f>N9/'Output-Calculation-sheet'!N8*'Output-Calculation-sheet'!N98</f>
        <v>2113210605.1336911</v>
      </c>
      <c r="O119" s="2">
        <f>O9/'Output-Calculation-sheet'!O8*'Output-Calculation-sheet'!O98</f>
        <v>2.1553302887205355E-4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664901560.26973498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278957309.16440856</v>
      </c>
      <c r="Y119" s="2">
        <f>Y9/'Output-Calculation-sheet'!Y8*'Output-Calculation-sheet'!Y98</f>
        <v>0</v>
      </c>
      <c r="AA119" s="2">
        <f t="shared" si="10"/>
        <v>10189.957094658415</v>
      </c>
    </row>
    <row r="120" spans="1:27" x14ac:dyDescent="0.25">
      <c r="A120" s="2">
        <v>2033</v>
      </c>
      <c r="B120" s="2">
        <f>B10/'Output-Calculation-sheet'!B9*'Output-Calculation-sheet'!B99</f>
        <v>4909240821.2845001</v>
      </c>
      <c r="C120" s="2">
        <f>C10/'Output-Calculation-sheet'!C9*'Output-Calculation-sheet'!C99</f>
        <v>9137447012.9332104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4041914211.9729524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2768686498.0642152</v>
      </c>
      <c r="N120" s="2">
        <f>N10/'Output-Calculation-sheet'!N9*'Output-Calculation-sheet'!N99</f>
        <v>2188452258.8734245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765526949.3319025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266798250.4314912</v>
      </c>
      <c r="Y120" s="2">
        <f>Y10/'Output-Calculation-sheet'!Y9*'Output-Calculation-sheet'!Y99</f>
        <v>0</v>
      </c>
      <c r="AA120" s="2">
        <f t="shared" si="10"/>
        <v>24078.066002891697</v>
      </c>
    </row>
    <row r="121" spans="1:27" x14ac:dyDescent="0.25">
      <c r="A121" s="2">
        <v>2034</v>
      </c>
      <c r="B121" s="2">
        <f>B11/'Output-Calculation-sheet'!B10*'Output-Calculation-sheet'!B100</f>
        <v>7035411934.4550934</v>
      </c>
      <c r="C121" s="2">
        <f>C11/'Output-Calculation-sheet'!C10*'Output-Calculation-sheet'!C100</f>
        <v>8150940746.6232443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3497240595.6166177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2395973823.428925</v>
      </c>
      <c r="N121" s="2">
        <f>N11/'Output-Calculation-sheet'!N10*'Output-Calculation-sheet'!N100</f>
        <v>1956166563.0444839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750947881.41850328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232271940.04354089</v>
      </c>
      <c r="Y121" s="2">
        <f>Y11/'Output-Calculation-sheet'!Y10*'Output-Calculation-sheet'!Y100</f>
        <v>0</v>
      </c>
      <c r="AA121" s="2">
        <f t="shared" si="10"/>
        <v>24018.953484630409</v>
      </c>
    </row>
    <row r="122" spans="1:27" x14ac:dyDescent="0.25">
      <c r="A122" s="2">
        <v>2035</v>
      </c>
      <c r="B122" s="2">
        <f>B12/'Output-Calculation-sheet'!B11*'Output-Calculation-sheet'!B101</f>
        <v>6618598298.6671581</v>
      </c>
      <c r="C122" s="2">
        <f>C12/'Output-Calculation-sheet'!C11*'Output-Calculation-sheet'!C101</f>
        <v>6469089750.3642597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2704696103.7121224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1850902220.9693933</v>
      </c>
      <c r="N122" s="2">
        <f>N12/'Output-Calculation-sheet'!N11*'Output-Calculation-sheet'!N101</f>
        <v>1546985232.51156</v>
      </c>
      <c r="O122" s="2">
        <f>O12/'Output-Calculation-sheet'!O11*'Output-Calculation-sheet'!O101</f>
        <v>1105622025.590991</v>
      </c>
      <c r="P122" s="2">
        <f>P12/'Output-Calculation-sheet'!P11*'Output-Calculation-sheet'!P101</f>
        <v>0</v>
      </c>
      <c r="Q122" s="2">
        <f>Q12/'Output-Calculation-sheet'!Q11*'Output-Calculation-sheet'!Q101</f>
        <v>20182698.291682389</v>
      </c>
      <c r="R122" s="2">
        <f>R12/'Output-Calculation-sheet'!R11*'Output-Calculation-sheet'!R101</f>
        <v>0</v>
      </c>
      <c r="S122" s="2">
        <f>S12/'Output-Calculation-sheet'!S11*'Output-Calculation-sheet'!S101</f>
        <v>651327758.94895709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181215642.38447484</v>
      </c>
      <c r="Y122" s="2">
        <f>Y12/'Output-Calculation-sheet'!Y11*'Output-Calculation-sheet'!Y101</f>
        <v>0</v>
      </c>
      <c r="AA122" s="2">
        <f t="shared" si="10"/>
        <v>21148.619731440598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49916317296.971191</v>
      </c>
      <c r="C129" s="2">
        <f>C8/'Output-Calculation-sheet'!C7*'Output-Calculation-sheet'!C106</f>
        <v>0</v>
      </c>
      <c r="D129" s="2">
        <f>D8/'Output-Calculation-sheet'!D7*'Output-Calculation-sheet'!D106</f>
        <v>36134242180.49308</v>
      </c>
      <c r="E129" s="2">
        <f>E8/'Output-Calculation-sheet'!E7*'Output-Calculation-sheet'!E106</f>
        <v>25257494029.660278</v>
      </c>
      <c r="F129" s="2">
        <f>F8/'Output-Calculation-sheet'!F7*'Output-Calculation-sheet'!F106</f>
        <v>18804229469.210278</v>
      </c>
      <c r="G129" s="2">
        <f>G8/'Output-Calculation-sheet'!G7*'Output-Calculation-sheet'!G106</f>
        <v>12931381054.317205</v>
      </c>
      <c r="H129" s="2">
        <f>H8/'Output-Calculation-sheet'!H7*'Output-Calculation-sheet'!H106</f>
        <v>0</v>
      </c>
      <c r="I129" s="2">
        <f>I8/'Output-Calculation-sheet'!I7*'Output-Calculation-sheet'!I106</f>
        <v>11598454143.18564</v>
      </c>
      <c r="J129" s="2">
        <f>J8/'Output-Calculation-sheet'!J7*'Output-Calculation-sheet'!J106</f>
        <v>11883405980.709818</v>
      </c>
      <c r="K129" s="2">
        <f>K8/'Output-Calculation-sheet'!K7*'Output-Calculation-sheet'!K106</f>
        <v>10252741669.067575</v>
      </c>
      <c r="L129" s="2">
        <f>L8/'Output-Calculation-sheet'!L7*'Output-Calculation-sheet'!L106</f>
        <v>8111361672.8121805</v>
      </c>
      <c r="M129" s="2">
        <f>M8/'Output-Calculation-sheet'!M7*'Output-Calculation-sheet'!M106</f>
        <v>0</v>
      </c>
      <c r="N129" s="2">
        <f>N8/'Output-Calculation-sheet'!N7*'Output-Calculation-sheet'!N106</f>
        <v>2207804646.8272834</v>
      </c>
      <c r="O129" s="2">
        <f>O8/'Output-Calculation-sheet'!O7*'Output-Calculation-sheet'!O106</f>
        <v>0</v>
      </c>
      <c r="P129" s="2">
        <f>P8/'Output-Calculation-sheet'!P7*'Output-Calculation-sheet'!P106</f>
        <v>4995223588.0951834</v>
      </c>
      <c r="Q129" s="2">
        <f>Q8/'Output-Calculation-sheet'!Q7*'Output-Calculation-sheet'!Q106</f>
        <v>4895588204.4958124</v>
      </c>
      <c r="R129" s="2">
        <f>R8/'Output-Calculation-sheet'!R7*'Output-Calculation-sheet'!R106</f>
        <v>5824358161.7992525</v>
      </c>
      <c r="S129" s="2">
        <f>S8/'Output-Calculation-sheet'!S7*'Output-Calculation-sheet'!S106</f>
        <v>1986283901.1848295</v>
      </c>
      <c r="T129" s="2">
        <f>T8/'Output-Calculation-sheet'!T7*'Output-Calculation-sheet'!T106</f>
        <v>2521612906.744945</v>
      </c>
      <c r="U129" s="2">
        <f>U8/'Output-Calculation-sheet'!U7*'Output-Calculation-sheet'!U106</f>
        <v>1775158250.0793979</v>
      </c>
      <c r="V129" s="2">
        <f>V8/'Output-Calculation-sheet'!V7*'Output-Calculation-sheet'!V106</f>
        <v>1597042100.4507153</v>
      </c>
      <c r="W129" s="2">
        <f>W8/'Output-Calculation-sheet'!W7*'Output-Calculation-sheet'!W106</f>
        <v>1629541854.2341471</v>
      </c>
      <c r="X129" s="2">
        <f>X8/'Output-Calculation-sheet'!X7*'Output-Calculation-sheet'!X106</f>
        <v>0</v>
      </c>
      <c r="Y129" s="2">
        <f>Y8/'Output-Calculation-sheet'!Y7*'Output-Calculation-sheet'!Y106</f>
        <v>735780385.64071405</v>
      </c>
      <c r="AA129" s="2">
        <f t="shared" si="11"/>
        <v>213058.02149597951</v>
      </c>
    </row>
    <row r="130" spans="1:27" x14ac:dyDescent="0.25">
      <c r="A130" s="2">
        <v>2032</v>
      </c>
      <c r="B130" s="2">
        <f>B9/'Output-Calculation-sheet'!B8*'Output-Calculation-sheet'!B107</f>
        <v>52025248017.559883</v>
      </c>
      <c r="C130" s="2">
        <f>C9/'Output-Calculation-sheet'!C8*'Output-Calculation-sheet'!C107</f>
        <v>0</v>
      </c>
      <c r="D130" s="2">
        <f>D9/'Output-Calculation-sheet'!D8*'Output-Calculation-sheet'!D107</f>
        <v>37380610675.566444</v>
      </c>
      <c r="E130" s="2">
        <f>E9/'Output-Calculation-sheet'!E8*'Output-Calculation-sheet'!E107</f>
        <v>26162668547.06443</v>
      </c>
      <c r="F130" s="2">
        <f>F9/'Output-Calculation-sheet'!F8*'Output-Calculation-sheet'!F107</f>
        <v>19447657599.013233</v>
      </c>
      <c r="G130" s="2">
        <f>G9/'Output-Calculation-sheet'!G8*'Output-Calculation-sheet'!G107</f>
        <v>13367173648.349186</v>
      </c>
      <c r="H130" s="2">
        <f>H9/'Output-Calculation-sheet'!H8*'Output-Calculation-sheet'!H107</f>
        <v>0</v>
      </c>
      <c r="I130" s="2">
        <f>I9/'Output-Calculation-sheet'!I8*'Output-Calculation-sheet'!I107</f>
        <v>11999491965.92971</v>
      </c>
      <c r="J130" s="2">
        <f>J9/'Output-Calculation-sheet'!J8*'Output-Calculation-sheet'!J107</f>
        <v>12286760956.103092</v>
      </c>
      <c r="K130" s="2">
        <f>K9/'Output-Calculation-sheet'!K8*'Output-Calculation-sheet'!K107</f>
        <v>10617616051.702831</v>
      </c>
      <c r="L130" s="2">
        <f>L9/'Output-Calculation-sheet'!L8*'Output-Calculation-sheet'!L107</f>
        <v>8402337965.4543219</v>
      </c>
      <c r="M130" s="2">
        <f>M9/'Output-Calculation-sheet'!M8*'Output-Calculation-sheet'!M107</f>
        <v>0</v>
      </c>
      <c r="N130" s="2">
        <f>N9/'Output-Calculation-sheet'!N8*'Output-Calculation-sheet'!N107</f>
        <v>2028284731.4979224</v>
      </c>
      <c r="O130" s="2">
        <f>O9/'Output-Calculation-sheet'!O8*'Output-Calculation-sheet'!O107</f>
        <v>0</v>
      </c>
      <c r="P130" s="2">
        <f>P9/'Output-Calculation-sheet'!P8*'Output-Calculation-sheet'!P107</f>
        <v>5212580372.1252337</v>
      </c>
      <c r="Q130" s="2">
        <f>Q9/'Output-Calculation-sheet'!Q8*'Output-Calculation-sheet'!Q107</f>
        <v>5111746128.7330093</v>
      </c>
      <c r="R130" s="2">
        <f>R9/'Output-Calculation-sheet'!R8*'Output-Calculation-sheet'!R107</f>
        <v>6032551248.3360729</v>
      </c>
      <c r="S130" s="2">
        <f>S9/'Output-Calculation-sheet'!S8*'Output-Calculation-sheet'!S107</f>
        <v>1938072166.3786314</v>
      </c>
      <c r="T130" s="2">
        <f>T9/'Output-Calculation-sheet'!T8*'Output-Calculation-sheet'!T107</f>
        <v>2609060196.878612</v>
      </c>
      <c r="U130" s="2">
        <f>U9/'Output-Calculation-sheet'!U8*'Output-Calculation-sheet'!U107</f>
        <v>1840409948.2079158</v>
      </c>
      <c r="V130" s="2">
        <f>V9/'Output-Calculation-sheet'!V8*'Output-Calculation-sheet'!V107</f>
        <v>1656870335.3946581</v>
      </c>
      <c r="W130" s="2">
        <f>W9/'Output-Calculation-sheet'!W8*'Output-Calculation-sheet'!W107</f>
        <v>1686349258.6334815</v>
      </c>
      <c r="X130" s="2">
        <f>X9/'Output-Calculation-sheet'!X8*'Output-Calculation-sheet'!X107</f>
        <v>0</v>
      </c>
      <c r="Y130" s="2">
        <f>Y9/'Output-Calculation-sheet'!Y8*'Output-Calculation-sheet'!Y107</f>
        <v>762245337.64550054</v>
      </c>
      <c r="AA130" s="2">
        <f t="shared" si="11"/>
        <v>220567.73515057415</v>
      </c>
    </row>
    <row r="131" spans="1:27" x14ac:dyDescent="0.25">
      <c r="A131" s="2">
        <v>2033</v>
      </c>
      <c r="B131" s="2">
        <f>B10/'Output-Calculation-sheet'!B9*'Output-Calculation-sheet'!B108</f>
        <v>45848666956.507469</v>
      </c>
      <c r="C131" s="2">
        <f>C10/'Output-Calculation-sheet'!C9*'Output-Calculation-sheet'!C108</f>
        <v>0</v>
      </c>
      <c r="D131" s="2">
        <f>D10/'Output-Calculation-sheet'!D9*'Output-Calculation-sheet'!D108</f>
        <v>34833590665.78273</v>
      </c>
      <c r="E131" s="2">
        <f>E10/'Output-Calculation-sheet'!E9*'Output-Calculation-sheet'!E108</f>
        <v>24394168162.29739</v>
      </c>
      <c r="F131" s="2">
        <f>F10/'Output-Calculation-sheet'!F9*'Output-Calculation-sheet'!F108</f>
        <v>18127524183.822411</v>
      </c>
      <c r="G131" s="2">
        <f>G10/'Output-Calculation-sheet'!G9*'Output-Calculation-sheet'!G108</f>
        <v>12456690178.232349</v>
      </c>
      <c r="H131" s="2">
        <f>H10/'Output-Calculation-sheet'!H9*'Output-Calculation-sheet'!H108</f>
        <v>0</v>
      </c>
      <c r="I131" s="2">
        <f>I10/'Output-Calculation-sheet'!I9*'Output-Calculation-sheet'!I108</f>
        <v>11184259995.62429</v>
      </c>
      <c r="J131" s="2">
        <f>J10/'Output-Calculation-sheet'!J9*'Output-Calculation-sheet'!J108</f>
        <v>11447830687.536438</v>
      </c>
      <c r="K131" s="2">
        <f>K10/'Output-Calculation-sheet'!K9*'Output-Calculation-sheet'!K108</f>
        <v>9912979448.2237759</v>
      </c>
      <c r="L131" s="2">
        <f>L10/'Output-Calculation-sheet'!L9*'Output-Calculation-sheet'!L108</f>
        <v>7839182326.9604626</v>
      </c>
      <c r="M131" s="2">
        <f>M10/'Output-Calculation-sheet'!M9*'Output-Calculation-sheet'!M108</f>
        <v>0</v>
      </c>
      <c r="N131" s="2">
        <f>N10/'Output-Calculation-sheet'!N9*'Output-Calculation-sheet'!N108</f>
        <v>1666034955.6823883</v>
      </c>
      <c r="O131" s="2">
        <f>O10/'Output-Calculation-sheet'!O9*'Output-Calculation-sheet'!O108</f>
        <v>0</v>
      </c>
      <c r="P131" s="2">
        <f>P10/'Output-Calculation-sheet'!P9*'Output-Calculation-sheet'!P108</f>
        <v>4889666615.6114721</v>
      </c>
      <c r="Q131" s="2">
        <f>Q10/'Output-Calculation-sheet'!Q9*'Output-Calculation-sheet'!Q108</f>
        <v>4802565892.5816851</v>
      </c>
      <c r="R131" s="2">
        <f>R10/'Output-Calculation-sheet'!R9*'Output-Calculation-sheet'!R108</f>
        <v>5636368423.3659077</v>
      </c>
      <c r="S131" s="2">
        <f>S10/'Output-Calculation-sheet'!S9*'Output-Calculation-sheet'!S108</f>
        <v>1694790886.9890251</v>
      </c>
      <c r="T131" s="2">
        <f>T10/'Output-Calculation-sheet'!T9*'Output-Calculation-sheet'!T108</f>
        <v>2433923732.1323915</v>
      </c>
      <c r="U131" s="2">
        <f>U10/'Output-Calculation-sheet'!U9*'Output-Calculation-sheet'!U108</f>
        <v>1717297352.2625153</v>
      </c>
      <c r="V131" s="2">
        <f>V10/'Output-Calculation-sheet'!V9*'Output-Calculation-sheet'!V108</f>
        <v>1547256327.0165534</v>
      </c>
      <c r="W131" s="2">
        <f>W10/'Output-Calculation-sheet'!W9*'Output-Calculation-sheet'!W108</f>
        <v>1570767281.9505098</v>
      </c>
      <c r="X131" s="2">
        <f>X10/'Output-Calculation-sheet'!X9*'Output-Calculation-sheet'!X108</f>
        <v>0</v>
      </c>
      <c r="Y131" s="2">
        <f>Y10/'Output-Calculation-sheet'!Y9*'Output-Calculation-sheet'!Y108</f>
        <v>711581060.81763363</v>
      </c>
      <c r="AA131" s="2">
        <f t="shared" si="11"/>
        <v>202715.14513339734</v>
      </c>
    </row>
    <row r="132" spans="1:27" x14ac:dyDescent="0.25">
      <c r="A132" s="2">
        <v>2034</v>
      </c>
      <c r="B132" s="2">
        <f>B11/'Output-Calculation-sheet'!B10*'Output-Calculation-sheet'!B109</f>
        <v>36968140939.39196</v>
      </c>
      <c r="C132" s="2">
        <f>C11/'Output-Calculation-sheet'!C10*'Output-Calculation-sheet'!C109</f>
        <v>0</v>
      </c>
      <c r="D132" s="2">
        <f>D11/'Output-Calculation-sheet'!D10*'Output-Calculation-sheet'!D109</f>
        <v>29378550634.696095</v>
      </c>
      <c r="E132" s="2">
        <f>E11/'Output-Calculation-sheet'!E10*'Output-Calculation-sheet'!E109</f>
        <v>20606872870.539703</v>
      </c>
      <c r="F132" s="2">
        <f>F11/'Output-Calculation-sheet'!F10*'Output-Calculation-sheet'!F109</f>
        <v>15296481916.52022</v>
      </c>
      <c r="G132" s="2">
        <f>G11/'Output-Calculation-sheet'!G10*'Output-Calculation-sheet'!G109</f>
        <v>10501741116.499659</v>
      </c>
      <c r="H132" s="2">
        <f>H11/'Output-Calculation-sheet'!H10*'Output-Calculation-sheet'!H109</f>
        <v>0</v>
      </c>
      <c r="I132" s="2">
        <f>I11/'Output-Calculation-sheet'!I10*'Output-Calculation-sheet'!I109</f>
        <v>9447398440.3520012</v>
      </c>
      <c r="J132" s="2">
        <f>J11/'Output-Calculation-sheet'!J10*'Output-Calculation-sheet'!J109</f>
        <v>9654013126.4409332</v>
      </c>
      <c r="K132" s="2">
        <f>K11/'Output-Calculation-sheet'!K10*'Output-Calculation-sheet'!K109</f>
        <v>8378956918.5831423</v>
      </c>
      <c r="L132" s="2">
        <f>L11/'Output-Calculation-sheet'!L10*'Output-Calculation-sheet'!L109</f>
        <v>6620112553.067625</v>
      </c>
      <c r="M132" s="2">
        <f>M11/'Output-Calculation-sheet'!M10*'Output-Calculation-sheet'!M109</f>
        <v>0</v>
      </c>
      <c r="N132" s="2">
        <f>N11/'Output-Calculation-sheet'!N10*'Output-Calculation-sheet'!N109</f>
        <v>1301595963.4934435</v>
      </c>
      <c r="O132" s="2">
        <f>O11/'Output-Calculation-sheet'!O10*'Output-Calculation-sheet'!O109</f>
        <v>0</v>
      </c>
      <c r="P132" s="2">
        <f>P11/'Output-Calculation-sheet'!P10*'Output-Calculation-sheet'!P109</f>
        <v>4150621623.9582176</v>
      </c>
      <c r="Q132" s="2">
        <f>Q11/'Output-Calculation-sheet'!Q10*'Output-Calculation-sheet'!Q109</f>
        <v>4085644501.5179901</v>
      </c>
      <c r="R132" s="2">
        <f>R11/'Output-Calculation-sheet'!R10*'Output-Calculation-sheet'!R109</f>
        <v>4765092722.198658</v>
      </c>
      <c r="S132" s="2">
        <f>S11/'Output-Calculation-sheet'!S10*'Output-Calculation-sheet'!S109</f>
        <v>1391340431.9705575</v>
      </c>
      <c r="T132" s="2">
        <f>T11/'Output-Calculation-sheet'!T10*'Output-Calculation-sheet'!T109</f>
        <v>2055600719.5258565</v>
      </c>
      <c r="U132" s="2">
        <f>U11/'Output-Calculation-sheet'!U10*'Output-Calculation-sheet'!U109</f>
        <v>1453241695.6288826</v>
      </c>
      <c r="V132" s="2">
        <f>V11/'Output-Calculation-sheet'!V10*'Output-Calculation-sheet'!V109</f>
        <v>1309239944.8192937</v>
      </c>
      <c r="W132" s="2">
        <f>W11/'Output-Calculation-sheet'!W10*'Output-Calculation-sheet'!W109</f>
        <v>1325047249.3657188</v>
      </c>
      <c r="X132" s="2">
        <f>X11/'Output-Calculation-sheet'!X10*'Output-Calculation-sheet'!X109</f>
        <v>0</v>
      </c>
      <c r="Y132" s="2">
        <f>Y11/'Output-Calculation-sheet'!Y10*'Output-Calculation-sheet'!Y109</f>
        <v>601131488.25502419</v>
      </c>
      <c r="AA132" s="2">
        <f t="shared" si="11"/>
        <v>169290.82485682497</v>
      </c>
    </row>
    <row r="133" spans="1:27" x14ac:dyDescent="0.25">
      <c r="A133" s="2">
        <v>2035</v>
      </c>
      <c r="B133" s="2">
        <f>B12/'Output-Calculation-sheet'!B11*'Output-Calculation-sheet'!B110</f>
        <v>27066580460.552631</v>
      </c>
      <c r="C133" s="2">
        <f>C12/'Output-Calculation-sheet'!C11*'Output-Calculation-sheet'!C110</f>
        <v>0</v>
      </c>
      <c r="D133" s="2">
        <f>D12/'Output-Calculation-sheet'!D11*'Output-Calculation-sheet'!D110</f>
        <v>22268023516.134548</v>
      </c>
      <c r="E133" s="2">
        <f>E12/'Output-Calculation-sheet'!E11*'Output-Calculation-sheet'!E110</f>
        <v>15629283486.041067</v>
      </c>
      <c r="F133" s="2">
        <f>F12/'Output-Calculation-sheet'!F11*'Output-Calculation-sheet'!F110</f>
        <v>11590909642.843645</v>
      </c>
      <c r="G133" s="2">
        <f>G12/'Output-Calculation-sheet'!G11*'Output-Calculation-sheet'!G110</f>
        <v>7948312995.0386677</v>
      </c>
      <c r="H133" s="2">
        <f>H12/'Output-Calculation-sheet'!H11*'Output-Calculation-sheet'!H110</f>
        <v>0</v>
      </c>
      <c r="I133" s="2">
        <f>I12/'Output-Calculation-sheet'!I11*'Output-Calculation-sheet'!I110</f>
        <v>7159031598.3331213</v>
      </c>
      <c r="J133" s="2">
        <f>J12/'Output-Calculation-sheet'!J11*'Output-Calculation-sheet'!J110</f>
        <v>7304692533.5206976</v>
      </c>
      <c r="K133" s="2">
        <f>K12/'Output-Calculation-sheet'!K11*'Output-Calculation-sheet'!K110</f>
        <v>6355702069.799057</v>
      </c>
      <c r="L133" s="2">
        <f>L12/'Output-Calculation-sheet'!L11*'Output-Calculation-sheet'!L110</f>
        <v>5017676265.5093527</v>
      </c>
      <c r="M133" s="2">
        <f>M12/'Output-Calculation-sheet'!M11*'Output-Calculation-sheet'!M110</f>
        <v>0</v>
      </c>
      <c r="N133" s="2">
        <f>N12/'Output-Calculation-sheet'!N11*'Output-Calculation-sheet'!N110</f>
        <v>926333520.13668728</v>
      </c>
      <c r="O133" s="2">
        <f>O12/'Output-Calculation-sheet'!O11*'Output-Calculation-sheet'!O110</f>
        <v>0</v>
      </c>
      <c r="P133" s="2">
        <f>P12/'Output-Calculation-sheet'!P11*'Output-Calculation-sheet'!P110</f>
        <v>3163907999.9610481</v>
      </c>
      <c r="Q133" s="2">
        <f>Q12/'Output-Calculation-sheet'!Q11*'Output-Calculation-sheet'!Q110</f>
        <v>3109373558.6782169</v>
      </c>
      <c r="R133" s="2">
        <f>R12/'Output-Calculation-sheet'!R11*'Output-Calculation-sheet'!R110</f>
        <v>3621825786.1709747</v>
      </c>
      <c r="S133" s="2">
        <f>S12/'Output-Calculation-sheet'!S11*'Output-Calculation-sheet'!S110</f>
        <v>975395686.95235014</v>
      </c>
      <c r="T133" s="2">
        <f>T12/'Output-Calculation-sheet'!T11*'Output-Calculation-sheet'!T110</f>
        <v>1558233656.9669576</v>
      </c>
      <c r="U133" s="2">
        <f>U12/'Output-Calculation-sheet'!U11*'Output-Calculation-sheet'!U110</f>
        <v>1103227359.3629558</v>
      </c>
      <c r="V133" s="2">
        <f>V12/'Output-Calculation-sheet'!V11*'Output-Calculation-sheet'!V110</f>
        <v>995120226.12631381</v>
      </c>
      <c r="W133" s="2">
        <f>W12/'Output-Calculation-sheet'!W11*'Output-Calculation-sheet'!W110</f>
        <v>1003473520.2652761</v>
      </c>
      <c r="X133" s="2">
        <f>X12/'Output-Calculation-sheet'!X11*'Output-Calculation-sheet'!X110</f>
        <v>0</v>
      </c>
      <c r="Y133" s="2">
        <f>Y12/'Output-Calculation-sheet'!Y11*'Output-Calculation-sheet'!Y110</f>
        <v>456199786.85176879</v>
      </c>
      <c r="AA133" s="2">
        <f t="shared" si="11"/>
        <v>127253.30366924535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62080194768.422981</v>
      </c>
      <c r="C151" s="2">
        <f>C8/'Output-Calculation-sheet'!C7*'Output-Calculation-sheet'!C124</f>
        <v>52778366472.874344</v>
      </c>
      <c r="D151" s="2">
        <f>D8/'Output-Calculation-sheet'!D7*'Output-Calculation-sheet'!D124</f>
        <v>10905444698.51083</v>
      </c>
      <c r="E151" s="2">
        <f>E8/'Output-Calculation-sheet'!E7*'Output-Calculation-sheet'!E124</f>
        <v>12063760459.789043</v>
      </c>
      <c r="F151" s="2">
        <f>F8/'Output-Calculation-sheet'!F7*'Output-Calculation-sheet'!F124</f>
        <v>5220795116.6745615</v>
      </c>
      <c r="G151" s="2">
        <f>G8/'Output-Calculation-sheet'!G7*'Output-Calculation-sheet'!G124</f>
        <v>3949301235.8596201</v>
      </c>
      <c r="H151" s="2">
        <f>H8/'Output-Calculation-sheet'!H7*'Output-Calculation-sheet'!H124</f>
        <v>12483575158.270693</v>
      </c>
      <c r="I151" s="2">
        <f>I8/'Output-Calculation-sheet'!I7*'Output-Calculation-sheet'!I124</f>
        <v>3781140458.1079435</v>
      </c>
      <c r="J151" s="2">
        <f>J8/'Output-Calculation-sheet'!J7*'Output-Calculation-sheet'!J124</f>
        <v>3085984792.5811181</v>
      </c>
      <c r="K151" s="2">
        <f>K8/'Output-Calculation-sheet'!K7*'Output-Calculation-sheet'!K124</f>
        <v>4573157956.0886259</v>
      </c>
      <c r="L151" s="2">
        <f>L8/'Output-Calculation-sheet'!L7*'Output-Calculation-sheet'!L124</f>
        <v>3782197098.5918941</v>
      </c>
      <c r="M151" s="2">
        <f>M8/'Output-Calculation-sheet'!M7*'Output-Calculation-sheet'!M124</f>
        <v>8631544419.9105968</v>
      </c>
      <c r="N151" s="2">
        <f>N8/'Output-Calculation-sheet'!N7*'Output-Calculation-sheet'!N124</f>
        <v>7138440604.479846</v>
      </c>
      <c r="O151" s="2">
        <f>O8/'Output-Calculation-sheet'!O7*'Output-Calculation-sheet'!O124</f>
        <v>10254882439.398483</v>
      </c>
      <c r="P151" s="2">
        <f>P8/'Output-Calculation-sheet'!P7*'Output-Calculation-sheet'!P124</f>
        <v>5155368437.4767447</v>
      </c>
      <c r="Q151" s="2">
        <f>Q8/'Output-Calculation-sheet'!Q7*'Output-Calculation-sheet'!Q124</f>
        <v>5090934275.1620083</v>
      </c>
      <c r="R151" s="2">
        <f>R8/'Output-Calculation-sheet'!R7*'Output-Calculation-sheet'!R124</f>
        <v>3783154364.8792534</v>
      </c>
      <c r="S151" s="2">
        <f>S8/'Output-Calculation-sheet'!S7*'Output-Calculation-sheet'!S124</f>
        <v>3952143537.5706</v>
      </c>
      <c r="T151" s="2">
        <f>T8/'Output-Calculation-sheet'!T7*'Output-Calculation-sheet'!T124</f>
        <v>1010001879.4638441</v>
      </c>
      <c r="U151" s="2">
        <f>U8/'Output-Calculation-sheet'!U7*'Output-Calculation-sheet'!U124</f>
        <v>1300763307.409184</v>
      </c>
      <c r="V151" s="2">
        <f>V8/'Output-Calculation-sheet'!V7*'Output-Calculation-sheet'!V124</f>
        <v>771468770.13326681</v>
      </c>
      <c r="W151" s="2">
        <f>W8/'Output-Calculation-sheet'!W7*'Output-Calculation-sheet'!W124</f>
        <v>421079572.51079446</v>
      </c>
      <c r="X151" s="2">
        <f>X8/'Output-Calculation-sheet'!X7*'Output-Calculation-sheet'!X124</f>
        <v>971011781.55928707</v>
      </c>
      <c r="Y151" s="2">
        <f>Y8/'Output-Calculation-sheet'!Y7*'Output-Calculation-sheet'!Y124</f>
        <v>460739523.31544852</v>
      </c>
      <c r="AA151" s="2">
        <f t="shared" si="13"/>
        <v>223645.45112904097</v>
      </c>
    </row>
    <row r="152" spans="1:27" x14ac:dyDescent="0.25">
      <c r="A152" s="2">
        <v>2032</v>
      </c>
      <c r="B152" s="2">
        <f>B9/'Output-Calculation-sheet'!B8*'Output-Calculation-sheet'!B125</f>
        <v>63605106436.207985</v>
      </c>
      <c r="C152" s="2">
        <f>C9/'Output-Calculation-sheet'!C8*'Output-Calculation-sheet'!C125</f>
        <v>54492671450.45723</v>
      </c>
      <c r="D152" s="2">
        <f>D9/'Output-Calculation-sheet'!D8*'Output-Calculation-sheet'!D125</f>
        <v>11186981948.721592</v>
      </c>
      <c r="E152" s="2">
        <f>E9/'Output-Calculation-sheet'!E8*'Output-Calculation-sheet'!E125</f>
        <v>12370829057.752975</v>
      </c>
      <c r="F152" s="2">
        <f>F9/'Output-Calculation-sheet'!F8*'Output-Calculation-sheet'!F125</f>
        <v>5357728752.2419186</v>
      </c>
      <c r="G152" s="2">
        <f>G9/'Output-Calculation-sheet'!G8*'Output-Calculation-sheet'!G125</f>
        <v>4061813555.5448556</v>
      </c>
      <c r="H152" s="2">
        <f>H9/'Output-Calculation-sheet'!H8*'Output-Calculation-sheet'!H125</f>
        <v>12768826810.902674</v>
      </c>
      <c r="I152" s="2">
        <f>I9/'Output-Calculation-sheet'!I8*'Output-Calculation-sheet'!I125</f>
        <v>3879650411.0941978</v>
      </c>
      <c r="J152" s="2">
        <f>J9/'Output-Calculation-sheet'!J8*'Output-Calculation-sheet'!J125</f>
        <v>3168852162.6374536</v>
      </c>
      <c r="K152" s="2">
        <f>K9/'Output-Calculation-sheet'!K8*'Output-Calculation-sheet'!K125</f>
        <v>4689846668.7722092</v>
      </c>
      <c r="L152" s="2">
        <f>L9/'Output-Calculation-sheet'!L8*'Output-Calculation-sheet'!L125</f>
        <v>3877537934.8338304</v>
      </c>
      <c r="M152" s="2">
        <f>M9/'Output-Calculation-sheet'!M8*'Output-Calculation-sheet'!M125</f>
        <v>8832976742.2091141</v>
      </c>
      <c r="N152" s="2">
        <f>N9/'Output-Calculation-sheet'!N8*'Output-Calculation-sheet'!N125</f>
        <v>7370881258.5114489</v>
      </c>
      <c r="O152" s="2">
        <f>O9/'Output-Calculation-sheet'!O8*'Output-Calculation-sheet'!O125</f>
        <v>10587973385.27729</v>
      </c>
      <c r="P152" s="2">
        <f>P9/'Output-Calculation-sheet'!P8*'Output-Calculation-sheet'!P125</f>
        <v>5267714090.5979128</v>
      </c>
      <c r="Q152" s="2">
        <f>Q9/'Output-Calculation-sheet'!Q8*'Output-Calculation-sheet'!Q125</f>
        <v>5199150641.7513285</v>
      </c>
      <c r="R152" s="2">
        <f>R9/'Output-Calculation-sheet'!R8*'Output-Calculation-sheet'!R125</f>
        <v>3887024868.92627</v>
      </c>
      <c r="S152" s="2">
        <f>S9/'Output-Calculation-sheet'!S8*'Output-Calculation-sheet'!S125</f>
        <v>3990069789.7847977</v>
      </c>
      <c r="T152" s="2">
        <f>T9/'Output-Calculation-sheet'!T8*'Output-Calculation-sheet'!T125</f>
        <v>1037265695.6319339</v>
      </c>
      <c r="U152" s="2">
        <f>U9/'Output-Calculation-sheet'!U8*'Output-Calculation-sheet'!U125</f>
        <v>1335421250.087137</v>
      </c>
      <c r="V152" s="2">
        <f>V9/'Output-Calculation-sheet'!V8*'Output-Calculation-sheet'!V125</f>
        <v>788572623.96452546</v>
      </c>
      <c r="W152" s="2">
        <f>W9/'Output-Calculation-sheet'!W8*'Output-Calculation-sheet'!W125</f>
        <v>430879032.65042102</v>
      </c>
      <c r="X152" s="2">
        <f>X9/'Output-Calculation-sheet'!X8*'Output-Calculation-sheet'!X125</f>
        <v>991372806.23200583</v>
      </c>
      <c r="Y152" s="2">
        <f>Y9/'Output-Calculation-sheet'!Y8*'Output-Calculation-sheet'!Y125</f>
        <v>473138980.59007365</v>
      </c>
      <c r="AA152" s="2">
        <f t="shared" si="13"/>
        <v>229652.28635538116</v>
      </c>
    </row>
    <row r="153" spans="1:27" x14ac:dyDescent="0.25">
      <c r="A153" s="2">
        <v>2033</v>
      </c>
      <c r="B153" s="2">
        <f>B10/'Output-Calculation-sheet'!B9*'Output-Calculation-sheet'!B126</f>
        <v>56809304624.490791</v>
      </c>
      <c r="C153" s="2">
        <f>C10/'Output-Calculation-sheet'!C9*'Output-Calculation-sheet'!C126</f>
        <v>41553723245.409126</v>
      </c>
      <c r="D153" s="2">
        <f>D10/'Output-Calculation-sheet'!D9*'Output-Calculation-sheet'!D126</f>
        <v>10345742156.149858</v>
      </c>
      <c r="E153" s="2">
        <f>E10/'Output-Calculation-sheet'!E9*'Output-Calculation-sheet'!E126</f>
        <v>11451086234.985147</v>
      </c>
      <c r="F153" s="2">
        <f>F10/'Output-Calculation-sheet'!F9*'Output-Calculation-sheet'!F126</f>
        <v>4947344163.2559462</v>
      </c>
      <c r="G153" s="2">
        <f>G10/'Output-Calculation-sheet'!G9*'Output-Calculation-sheet'!G126</f>
        <v>3756384653.8965435</v>
      </c>
      <c r="H153" s="2">
        <f>H10/'Output-Calculation-sheet'!H9*'Output-Calculation-sheet'!H126</f>
        <v>11773334698.223431</v>
      </c>
      <c r="I153" s="2">
        <f>I10/'Output-Calculation-sheet'!I9*'Output-Calculation-sheet'!I126</f>
        <v>3587091649.2930179</v>
      </c>
      <c r="J153" s="2">
        <f>J10/'Output-Calculation-sheet'!J9*'Output-Calculation-sheet'!J126</f>
        <v>2929541543.4412909</v>
      </c>
      <c r="K153" s="2">
        <f>K10/'Output-Calculation-sheet'!K9*'Output-Calculation-sheet'!K126</f>
        <v>4326576509.5449972</v>
      </c>
      <c r="L153" s="2">
        <f>L10/'Output-Calculation-sheet'!L9*'Output-Calculation-sheet'!L126</f>
        <v>3584002771.0322413</v>
      </c>
      <c r="M153" s="2">
        <f>M10/'Output-Calculation-sheet'!M9*'Output-Calculation-sheet'!M126</f>
        <v>8142448085.0835514</v>
      </c>
      <c r="N153" s="2">
        <f>N10/'Output-Calculation-sheet'!N9*'Output-Calculation-sheet'!N126</f>
        <v>6854742246.0637627</v>
      </c>
      <c r="O153" s="2">
        <f>O10/'Output-Calculation-sheet'!O9*'Output-Calculation-sheet'!O126</f>
        <v>9849316131.1023369</v>
      </c>
      <c r="P153" s="2">
        <f>P10/'Output-Calculation-sheet'!P9*'Output-Calculation-sheet'!P126</f>
        <v>4859482683.7186041</v>
      </c>
      <c r="Q153" s="2">
        <f>Q10/'Output-Calculation-sheet'!Q9*'Output-Calculation-sheet'!Q126</f>
        <v>4789003541.1757011</v>
      </c>
      <c r="R153" s="2">
        <f>R10/'Output-Calculation-sheet'!R9*'Output-Calculation-sheet'!R126</f>
        <v>3591180372.8280826</v>
      </c>
      <c r="S153" s="2">
        <f>S10/'Output-Calculation-sheet'!S9*'Output-Calculation-sheet'!S126</f>
        <v>3672769913.0079947</v>
      </c>
      <c r="T153" s="2">
        <f>T10/'Output-Calculation-sheet'!T9*'Output-Calculation-sheet'!T126</f>
        <v>958020611.27697706</v>
      </c>
      <c r="U153" s="2">
        <f>U10/'Output-Calculation-sheet'!U9*'Output-Calculation-sheet'!U126</f>
        <v>1236975794.5249925</v>
      </c>
      <c r="V153" s="2">
        <f>V10/'Output-Calculation-sheet'!V9*'Output-Calculation-sheet'!V126</f>
        <v>727583239.61844015</v>
      </c>
      <c r="W153" s="2">
        <f>W10/'Output-Calculation-sheet'!W9*'Output-Calculation-sheet'!W126</f>
        <v>398754925.30823493</v>
      </c>
      <c r="X153" s="2">
        <f>X10/'Output-Calculation-sheet'!X9*'Output-Calculation-sheet'!X126</f>
        <v>914908925.08088613</v>
      </c>
      <c r="Y153" s="2">
        <f>Y10/'Output-Calculation-sheet'!Y9*'Output-Calculation-sheet'!Y126</f>
        <v>437618153.3235569</v>
      </c>
      <c r="AA153" s="2">
        <f t="shared" si="13"/>
        <v>201496.93687183544</v>
      </c>
    </row>
    <row r="154" spans="1:27" x14ac:dyDescent="0.25">
      <c r="A154" s="2">
        <v>2034</v>
      </c>
      <c r="B154" s="2">
        <f>B11/'Output-Calculation-sheet'!B10*'Output-Calculation-sheet'!B127</f>
        <v>46601933881.550392</v>
      </c>
      <c r="C154" s="2">
        <f>C11/'Output-Calculation-sheet'!C10*'Output-Calculation-sheet'!C127</f>
        <v>34546998405.884384</v>
      </c>
      <c r="D154" s="2">
        <f>D11/'Output-Calculation-sheet'!D10*'Output-Calculation-sheet'!D127</f>
        <v>8676680788.3755646</v>
      </c>
      <c r="E154" s="2">
        <f>E11/'Output-Calculation-sheet'!E10*'Output-Calculation-sheet'!E127</f>
        <v>9586126883.8789921</v>
      </c>
      <c r="F154" s="2">
        <f>F11/'Output-Calculation-sheet'!F10*'Output-Calculation-sheet'!F127</f>
        <v>4139828581.2342057</v>
      </c>
      <c r="G154" s="2">
        <f>G11/'Output-Calculation-sheet'!G10*'Output-Calculation-sheet'!G127</f>
        <v>3154776954.1867299</v>
      </c>
      <c r="H154" s="2">
        <f>H11/'Output-Calculation-sheet'!H10*'Output-Calculation-sheet'!H127</f>
        <v>9824182685.9497814</v>
      </c>
      <c r="I154" s="2">
        <f>I11/'Output-Calculation-sheet'!I10*'Output-Calculation-sheet'!I127</f>
        <v>2994735590.8428092</v>
      </c>
      <c r="J154" s="2">
        <f>J11/'Output-Calculation-sheet'!J10*'Output-Calculation-sheet'!J127</f>
        <v>2456264887.7110872</v>
      </c>
      <c r="K154" s="2">
        <f>K11/'Output-Calculation-sheet'!K10*'Output-Calculation-sheet'!K127</f>
        <v>3615237544.0578246</v>
      </c>
      <c r="L154" s="2">
        <f>L11/'Output-Calculation-sheet'!L10*'Output-Calculation-sheet'!L127</f>
        <v>3001808972.0456195</v>
      </c>
      <c r="M154" s="2">
        <f>M11/'Output-Calculation-sheet'!M10*'Output-Calculation-sheet'!M127</f>
        <v>6794639810.893198</v>
      </c>
      <c r="N154" s="2">
        <f>N11/'Output-Calculation-sheet'!N10*'Output-Calculation-sheet'!N127</f>
        <v>5762783370.29949</v>
      </c>
      <c r="O154" s="2">
        <f>O11/'Output-Calculation-sheet'!O10*'Output-Calculation-sheet'!O127</f>
        <v>8296227897.6072664</v>
      </c>
      <c r="P154" s="2">
        <f>P11/'Output-Calculation-sheet'!P10*'Output-Calculation-sheet'!P127</f>
        <v>4061234236.7377977</v>
      </c>
      <c r="Q154" s="2">
        <f>Q11/'Output-Calculation-sheet'!Q10*'Output-Calculation-sheet'!Q127</f>
        <v>3993479455.8190613</v>
      </c>
      <c r="R154" s="2">
        <f>R11/'Output-Calculation-sheet'!R10*'Output-Calculation-sheet'!R127</f>
        <v>3007411148.174016</v>
      </c>
      <c r="S154" s="2">
        <f>S11/'Output-Calculation-sheet'!S10*'Output-Calculation-sheet'!S127</f>
        <v>3023704229.3603334</v>
      </c>
      <c r="T154" s="2">
        <f>T11/'Output-Calculation-sheet'!T10*'Output-Calculation-sheet'!T127</f>
        <v>801485286.68546975</v>
      </c>
      <c r="U154" s="2">
        <f>U11/'Output-Calculation-sheet'!U10*'Output-Calculation-sheet'!U127</f>
        <v>1035187244.1362423</v>
      </c>
      <c r="V154" s="2">
        <f>V11/'Output-Calculation-sheet'!V10*'Output-Calculation-sheet'!V127</f>
        <v>606891817.4359442</v>
      </c>
      <c r="W154" s="2">
        <f>W11/'Output-Calculation-sheet'!W10*'Output-Calculation-sheet'!W127</f>
        <v>333911247.84558296</v>
      </c>
      <c r="X154" s="2">
        <f>X11/'Output-Calculation-sheet'!X10*'Output-Calculation-sheet'!X127</f>
        <v>763097881.14943969</v>
      </c>
      <c r="Y154" s="2">
        <f>Y11/'Output-Calculation-sheet'!Y10*'Output-Calculation-sheet'!Y127</f>
        <v>366856385.55885476</v>
      </c>
      <c r="AA154" s="2">
        <f t="shared" si="13"/>
        <v>167445.4851874201</v>
      </c>
    </row>
    <row r="155" spans="1:27" x14ac:dyDescent="0.25">
      <c r="A155" s="2">
        <v>2035</v>
      </c>
      <c r="B155" s="2">
        <f>B12/'Output-Calculation-sheet'!B11*'Output-Calculation-sheet'!B128</f>
        <v>34830443278.556488</v>
      </c>
      <c r="C155" s="2">
        <f>C12/'Output-Calculation-sheet'!C11*'Output-Calculation-sheet'!C128</f>
        <v>25818979850.781563</v>
      </c>
      <c r="D155" s="2">
        <f>D12/'Output-Calculation-sheet'!D11*'Output-Calculation-sheet'!D128</f>
        <v>6509242659.4043045</v>
      </c>
      <c r="E155" s="2">
        <f>E12/'Output-Calculation-sheet'!E11*'Output-Calculation-sheet'!E128</f>
        <v>7202581494.925231</v>
      </c>
      <c r="F155" s="2">
        <f>F12/'Output-Calculation-sheet'!F11*'Output-Calculation-sheet'!F128</f>
        <v>3106775934.0233035</v>
      </c>
      <c r="G155" s="2">
        <f>G12/'Output-Calculation-sheet'!G11*'Output-Calculation-sheet'!G128</f>
        <v>2378709137.116519</v>
      </c>
      <c r="H155" s="2">
        <f>H12/'Output-Calculation-sheet'!H11*'Output-Calculation-sheet'!H128</f>
        <v>7368928252.6923008</v>
      </c>
      <c r="I155" s="2">
        <f>I12/'Output-Calculation-sheet'!I11*'Output-Calculation-sheet'!I128</f>
        <v>2249676598.4650989</v>
      </c>
      <c r="J155" s="2">
        <f>J12/'Output-Calculation-sheet'!J11*'Output-Calculation-sheet'!J128</f>
        <v>1853067038.2362692</v>
      </c>
      <c r="K155" s="2">
        <f>K12/'Output-Calculation-sheet'!K11*'Output-Calculation-sheet'!K128</f>
        <v>2714274541.7029176</v>
      </c>
      <c r="L155" s="2">
        <f>L12/'Output-Calculation-sheet'!L11*'Output-Calculation-sheet'!L128</f>
        <v>2258394840.5651002</v>
      </c>
      <c r="M155" s="2">
        <f>M12/'Output-Calculation-sheet'!M11*'Output-Calculation-sheet'!M128</f>
        <v>5099015021.3662605</v>
      </c>
      <c r="N155" s="2">
        <f>N12/'Output-Calculation-sheet'!N11*'Output-Calculation-sheet'!N128</f>
        <v>4347993725.289958</v>
      </c>
      <c r="O155" s="2">
        <f>O12/'Output-Calculation-sheet'!O11*'Output-Calculation-sheet'!O128</f>
        <v>5167949567.8404465</v>
      </c>
      <c r="P155" s="2">
        <f>P12/'Output-Calculation-sheet'!P11*'Output-Calculation-sheet'!P128</f>
        <v>3045875864.2586474</v>
      </c>
      <c r="Q155" s="2">
        <f>Q12/'Output-Calculation-sheet'!Q11*'Output-Calculation-sheet'!Q128</f>
        <v>2979854950.9538679</v>
      </c>
      <c r="R155" s="2">
        <f>R12/'Output-Calculation-sheet'!R11*'Output-Calculation-sheet'!R128</f>
        <v>2255720677.4398766</v>
      </c>
      <c r="S155" s="2">
        <f>S12/'Output-Calculation-sheet'!S11*'Output-Calculation-sheet'!S128</f>
        <v>2279786181.7640004</v>
      </c>
      <c r="T155" s="2">
        <f>T12/'Output-Calculation-sheet'!T11*'Output-Calculation-sheet'!T128</f>
        <v>602287075.10367894</v>
      </c>
      <c r="U155" s="2">
        <f>U12/'Output-Calculation-sheet'!U11*'Output-Calculation-sheet'!U128</f>
        <v>778515893.36341798</v>
      </c>
      <c r="V155" s="2">
        <f>V12/'Output-Calculation-sheet'!V11*'Output-Calculation-sheet'!V128</f>
        <v>453853586.95230854</v>
      </c>
      <c r="W155" s="2">
        <f>W12/'Output-Calculation-sheet'!W11*'Output-Calculation-sheet'!W128</f>
        <v>251026297.61174327</v>
      </c>
      <c r="X155" s="2">
        <f>X12/'Output-Calculation-sheet'!X11*'Output-Calculation-sheet'!X128</f>
        <v>571480258.03542948</v>
      </c>
      <c r="Y155" s="2">
        <f>Y12/'Output-Calculation-sheet'!Y11*'Output-Calculation-sheet'!Y128</f>
        <v>275790032.57306939</v>
      </c>
      <c r="AA155" s="2">
        <f t="shared" si="13"/>
        <v>124400.22275902182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2.7487239856889724E-10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2489.2067790882415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1704.7220099416224</v>
      </c>
      <c r="N19" s="2">
        <f>N8/'Output-Calculation-sheet'!N7*'Output-Calculation-sheet'!N25</f>
        <v>1146.672448414374</v>
      </c>
      <c r="O19" s="2">
        <f>O8/'Output-Calculation-sheet'!O7*'Output-Calculation-sheet'!O25</f>
        <v>1.5127977677711876E-11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304.14873944775263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161.78364123614975</v>
      </c>
      <c r="Y19" s="2">
        <f>Y8/'Output-Calculation-sheet'!Y7*'Output-Calculation-sheet'!Y25</f>
        <v>0</v>
      </c>
      <c r="AA19" s="2">
        <f t="shared" si="0"/>
        <v>5.8065336181284302</v>
      </c>
    </row>
    <row r="20" spans="1:27" x14ac:dyDescent="0.25">
      <c r="A20" s="2">
        <v>2032</v>
      </c>
      <c r="B20" s="2">
        <f>B9/'Output-Calculation-sheet'!B8*'Output-Calculation-sheet'!B26</f>
        <v>2.6489787235552278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2750.1680408555058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1880.7511592365572</v>
      </c>
      <c r="N20" s="2">
        <f>N9/'Output-Calculation-sheet'!N8*'Output-Calculation-sheet'!N26</f>
        <v>1369.7108291772879</v>
      </c>
      <c r="O20" s="2">
        <f>O9/'Output-Calculation-sheet'!O8*'Output-Calculation-sheet'!O26</f>
        <v>1.3867296851618345E-10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471.24935810091608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181.02937900771127</v>
      </c>
      <c r="Y20" s="2">
        <f>Y9/'Output-Calculation-sheet'!Y8*'Output-Calculation-sheet'!Y26</f>
        <v>0</v>
      </c>
      <c r="AA20" s="2">
        <f t="shared" si="0"/>
        <v>6.655557745101671</v>
      </c>
    </row>
    <row r="21" spans="1:27" x14ac:dyDescent="0.25">
      <c r="A21" s="2">
        <v>2033</v>
      </c>
      <c r="B21" s="2">
        <f>B10/'Output-Calculation-sheet'!B9*'Output-Calculation-sheet'!B27</f>
        <v>4017.1058596363891</v>
      </c>
      <c r="C21" s="2">
        <f>C10/'Output-Calculation-sheet'!C9*'Output-Calculation-sheet'!C27</f>
        <v>6268.5586382342581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2812.4713509162179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1925.2853353280093</v>
      </c>
      <c r="N21" s="2">
        <f>N10/'Output-Calculation-sheet'!N9*'Output-Calculation-sheet'!N27</f>
        <v>1504.2799995174321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573.86800519974202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185.31866680406813</v>
      </c>
      <c r="Y21" s="2">
        <f>Y10/'Output-Calculation-sheet'!Y9*'Output-Calculation-sheet'!Y27</f>
        <v>0</v>
      </c>
      <c r="AA21" s="2">
        <f t="shared" si="0"/>
        <v>17.28688785563612</v>
      </c>
    </row>
    <row r="22" spans="1:27" x14ac:dyDescent="0.25">
      <c r="A22" s="2">
        <v>2034</v>
      </c>
      <c r="B22" s="2">
        <f>B11/'Output-Calculation-sheet'!B10*'Output-Calculation-sheet'!B28</f>
        <v>6378.6011761138725</v>
      </c>
      <c r="C22" s="2">
        <f>C11/'Output-Calculation-sheet'!C10*'Output-Calculation-sheet'!C28</f>
        <v>6179.892231274629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2700.0099692971412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1848.4499557270096</v>
      </c>
      <c r="N22" s="2">
        <f>N11/'Output-Calculation-sheet'!N10*'Output-Calculation-sheet'!N28</f>
        <v>1482.2249888700096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604.64589193733957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179.08982444666484</v>
      </c>
      <c r="Y22" s="2">
        <f>Y11/'Output-Calculation-sheet'!Y10*'Output-Calculation-sheet'!Y28</f>
        <v>0</v>
      </c>
      <c r="AA22" s="2">
        <f t="shared" si="0"/>
        <v>19.372914037666668</v>
      </c>
    </row>
    <row r="23" spans="1:27" x14ac:dyDescent="0.25">
      <c r="A23" s="2">
        <v>2035</v>
      </c>
      <c r="B23" s="2">
        <f>B12/'Output-Calculation-sheet'!B11*'Output-Calculation-sheet'!B29</f>
        <v>6949.1987026318184</v>
      </c>
      <c r="C23" s="2">
        <f>C12/'Output-Calculation-sheet'!C11*'Output-Calculation-sheet'!C29</f>
        <v>5694.3362718573599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2429.4381504915518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1660.6266410626138</v>
      </c>
      <c r="N23" s="2">
        <f>N12/'Output-Calculation-sheet'!N11*'Output-Calculation-sheet'!N29</f>
        <v>1357.4124062932153</v>
      </c>
      <c r="O23" s="2">
        <f>O12/'Output-Calculation-sheet'!O11*'Output-Calculation-sheet'!O29</f>
        <v>968.16771899945013</v>
      </c>
      <c r="P23" s="2">
        <f>P12/'Output-Calculation-sheet'!P11*'Output-Calculation-sheet'!P29</f>
        <v>0</v>
      </c>
      <c r="Q23" s="2">
        <f>Q12/'Output-Calculation-sheet'!Q11*'Output-Calculation-sheet'!Q29</f>
        <v>18.530487330635875</v>
      </c>
      <c r="R23" s="2">
        <f>R12/'Output-Calculation-sheet'!R11*'Output-Calculation-sheet'!R29</f>
        <v>0</v>
      </c>
      <c r="S23" s="2">
        <f>S12/'Output-Calculation-sheet'!S11*'Output-Calculation-sheet'!S29</f>
        <v>596.11923754078794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162.78505705374343</v>
      </c>
      <c r="Y23" s="2">
        <f>Y12/'Output-Calculation-sheet'!Y11*'Output-Calculation-sheet'!Y29</f>
        <v>0</v>
      </c>
      <c r="AA23" s="2">
        <f t="shared" si="0"/>
        <v>19.836614673261177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19564.791240348357</v>
      </c>
      <c r="C30" s="2">
        <f>C8/'Output-Calculation-sheet'!C7*'Output-Calculation-sheet'!C16</f>
        <v>0</v>
      </c>
      <c r="D30" s="2">
        <f>D8/'Output-Calculation-sheet'!D7*'Output-Calculation-sheet'!D16</f>
        <v>6107.4260716890431</v>
      </c>
      <c r="E30" s="2">
        <f>E8/'Output-Calculation-sheet'!E7*'Output-Calculation-sheet'!E16</f>
        <v>6317.0986696473701</v>
      </c>
      <c r="F30" s="2">
        <f>F8/'Output-Calculation-sheet'!F7*'Output-Calculation-sheet'!F16</f>
        <v>3539.105134666529</v>
      </c>
      <c r="G30" s="2">
        <f>G8/'Output-Calculation-sheet'!G7*'Output-Calculation-sheet'!G16</f>
        <v>2134.4694539832572</v>
      </c>
      <c r="H30" s="2">
        <f>H8/'Output-Calculation-sheet'!H7*'Output-Calculation-sheet'!H16</f>
        <v>0</v>
      </c>
      <c r="I30" s="2">
        <f>I8/'Output-Calculation-sheet'!I7*'Output-Calculation-sheet'!I16</f>
        <v>2160.3125679683162</v>
      </c>
      <c r="J30" s="2">
        <f>J8/'Output-Calculation-sheet'!J7*'Output-Calculation-sheet'!J16</f>
        <v>1971.8229849065726</v>
      </c>
      <c r="K30" s="2">
        <f>K8/'Output-Calculation-sheet'!K7*'Output-Calculation-sheet'!K16</f>
        <v>2438.6274086197709</v>
      </c>
      <c r="L30" s="2">
        <f>L8/'Output-Calculation-sheet'!L7*'Output-Calculation-sheet'!L16</f>
        <v>2012.5066721984272</v>
      </c>
      <c r="M30" s="2">
        <f>M8/'Output-Calculation-sheet'!M7*'Output-Calculation-sheet'!M16</f>
        <v>0</v>
      </c>
      <c r="N30" s="2">
        <f>N8/'Output-Calculation-sheet'!N7*'Output-Calculation-sheet'!N16</f>
        <v>987.44388654421789</v>
      </c>
      <c r="O30" s="2">
        <f>O8/'Output-Calculation-sheet'!O7*'Output-Calculation-sheet'!O16</f>
        <v>0</v>
      </c>
      <c r="P30" s="2">
        <f>P8/'Output-Calculation-sheet'!P7*'Output-Calculation-sheet'!P16</f>
        <v>1604.0725779194688</v>
      </c>
      <c r="Q30" s="2">
        <f>Q8/'Output-Calculation-sheet'!Q7*'Output-Calculation-sheet'!Q16</f>
        <v>1759.3770027896292</v>
      </c>
      <c r="R30" s="2">
        <f>R8/'Output-Calculation-sheet'!R7*'Output-Calculation-sheet'!R16</f>
        <v>1541.4586871011315</v>
      </c>
      <c r="S30" s="2">
        <f>S8/'Output-Calculation-sheet'!S7*'Output-Calculation-sheet'!S16</f>
        <v>823.19247251828926</v>
      </c>
      <c r="T30" s="2">
        <f>T8/'Output-Calculation-sheet'!T7*'Output-Calculation-sheet'!T16</f>
        <v>562.3487616736204</v>
      </c>
      <c r="U30" s="2">
        <f>U8/'Output-Calculation-sheet'!U7*'Output-Calculation-sheet'!U16</f>
        <v>432.2041626065789</v>
      </c>
      <c r="V30" s="2">
        <f>V8/'Output-Calculation-sheet'!V7*'Output-Calculation-sheet'!V16</f>
        <v>413.87161165962078</v>
      </c>
      <c r="W30" s="2">
        <f>W8/'Output-Calculation-sheet'!W7*'Output-Calculation-sheet'!W16</f>
        <v>287.33001476711075</v>
      </c>
      <c r="X30" s="2">
        <f>X8/'Output-Calculation-sheet'!X7*'Output-Calculation-sheet'!X16</f>
        <v>0</v>
      </c>
      <c r="Y30" s="2">
        <f>Y8/'Output-Calculation-sheet'!Y7*'Output-Calculation-sheet'!Y16</f>
        <v>189.95340128368821</v>
      </c>
      <c r="AA30" s="2">
        <f t="shared" si="1"/>
        <v>54.847412782891006</v>
      </c>
    </row>
    <row r="31" spans="1:27" x14ac:dyDescent="0.25">
      <c r="A31" s="2">
        <v>2032</v>
      </c>
      <c r="B31" s="2">
        <f>B9/'Output-Calculation-sheet'!B8*'Output-Calculation-sheet'!B17</f>
        <v>21183.977458654139</v>
      </c>
      <c r="C31" s="2">
        <f>C9/'Output-Calculation-sheet'!C8*'Output-Calculation-sheet'!C17</f>
        <v>0</v>
      </c>
      <c r="D31" s="2">
        <f>D9/'Output-Calculation-sheet'!D8*'Output-Calculation-sheet'!D17</f>
        <v>6567.4443745338349</v>
      </c>
      <c r="E31" s="2">
        <f>E9/'Output-Calculation-sheet'!E8*'Output-Calculation-sheet'!E17</f>
        <v>6801.3448394469824</v>
      </c>
      <c r="F31" s="2">
        <f>F9/'Output-Calculation-sheet'!F8*'Output-Calculation-sheet'!F17</f>
        <v>3799.652864653393</v>
      </c>
      <c r="G31" s="2">
        <f>G9/'Output-Calculation-sheet'!G8*'Output-Calculation-sheet'!G17</f>
        <v>2290.5804488819322</v>
      </c>
      <c r="H31" s="2">
        <f>H9/'Output-Calculation-sheet'!H8*'Output-Calculation-sheet'!H17</f>
        <v>0</v>
      </c>
      <c r="I31" s="2">
        <f>I9/'Output-Calculation-sheet'!I8*'Output-Calculation-sheet'!I17</f>
        <v>2322.3586404238999</v>
      </c>
      <c r="J31" s="2">
        <f>J9/'Output-Calculation-sheet'!J8*'Output-Calculation-sheet'!J17</f>
        <v>2118.1479171876958</v>
      </c>
      <c r="K31" s="2">
        <f>K9/'Output-Calculation-sheet'!K8*'Output-Calculation-sheet'!K17</f>
        <v>2623.7104300128785</v>
      </c>
      <c r="L31" s="2">
        <f>L9/'Output-Calculation-sheet'!L8*'Output-Calculation-sheet'!L17</f>
        <v>2165.8334843525263</v>
      </c>
      <c r="M31" s="2">
        <f>M9/'Output-Calculation-sheet'!M8*'Output-Calculation-sheet'!M17</f>
        <v>0</v>
      </c>
      <c r="N31" s="2">
        <f>N9/'Output-Calculation-sheet'!N8*'Output-Calculation-sheet'!N17</f>
        <v>958.04974946320431</v>
      </c>
      <c r="O31" s="2">
        <f>O9/'Output-Calculation-sheet'!O8*'Output-Calculation-sheet'!O17</f>
        <v>0</v>
      </c>
      <c r="P31" s="2">
        <f>P9/'Output-Calculation-sheet'!P8*'Output-Calculation-sheet'!P17</f>
        <v>1742.3644623254104</v>
      </c>
      <c r="Q31" s="2">
        <f>Q9/'Output-Calculation-sheet'!Q8*'Output-Calculation-sheet'!Q17</f>
        <v>1909.4637401750317</v>
      </c>
      <c r="R31" s="2">
        <f>R9/'Output-Calculation-sheet'!R8*'Output-Calculation-sheet'!R17</f>
        <v>1657.8977509993897</v>
      </c>
      <c r="S31" s="2">
        <f>S9/'Output-Calculation-sheet'!S8*'Output-Calculation-sheet'!S17</f>
        <v>827.20589122496017</v>
      </c>
      <c r="T31" s="2">
        <f>T9/'Output-Calculation-sheet'!T8*'Output-Calculation-sheet'!T17</f>
        <v>604.15165342283547</v>
      </c>
      <c r="U31" s="2">
        <f>U9/'Output-Calculation-sheet'!U8*'Output-Calculation-sheet'!U17</f>
        <v>465.95189717773474</v>
      </c>
      <c r="V31" s="2">
        <f>V9/'Output-Calculation-sheet'!V8*'Output-Calculation-sheet'!V17</f>
        <v>446.51862399154174</v>
      </c>
      <c r="W31" s="2">
        <f>W9/'Output-Calculation-sheet'!W8*'Output-Calculation-sheet'!W17</f>
        <v>309.19787003183961</v>
      </c>
      <c r="X31" s="2">
        <f>X9/'Output-Calculation-sheet'!X8*'Output-Calculation-sheet'!X17</f>
        <v>0</v>
      </c>
      <c r="Y31" s="2">
        <f>Y9/'Output-Calculation-sheet'!Y8*'Output-Calculation-sheet'!Y17</f>
        <v>204.4097836220169</v>
      </c>
      <c r="AA31" s="2">
        <f t="shared" si="1"/>
        <v>58.998261880581254</v>
      </c>
    </row>
    <row r="32" spans="1:27" x14ac:dyDescent="0.25">
      <c r="A32" s="2">
        <v>2033</v>
      </c>
      <c r="B32" s="2">
        <f>B10/'Output-Calculation-sheet'!B9*'Output-Calculation-sheet'!B18</f>
        <v>19604.143196385634</v>
      </c>
      <c r="C32" s="2">
        <f>C10/'Output-Calculation-sheet'!C9*'Output-Calculation-sheet'!C18</f>
        <v>0</v>
      </c>
      <c r="D32" s="2">
        <f>D10/'Output-Calculation-sheet'!D9*'Output-Calculation-sheet'!D18</f>
        <v>6544.6940269166371</v>
      </c>
      <c r="E32" s="2">
        <f>E10/'Output-Calculation-sheet'!E9*'Output-Calculation-sheet'!E18</f>
        <v>6777.2237543627161</v>
      </c>
      <c r="F32" s="2">
        <f>F10/'Output-Calculation-sheet'!F9*'Output-Calculation-sheet'!F18</f>
        <v>3785.507463297743</v>
      </c>
      <c r="G32" s="2">
        <f>G10/'Output-Calculation-sheet'!G9*'Output-Calculation-sheet'!G18</f>
        <v>2283.100989545047</v>
      </c>
      <c r="H32" s="2">
        <f>H10/'Output-Calculation-sheet'!H9*'Output-Calculation-sheet'!H18</f>
        <v>0</v>
      </c>
      <c r="I32" s="2">
        <f>I10/'Output-Calculation-sheet'!I9*'Output-Calculation-sheet'!I18</f>
        <v>2314.5351456801195</v>
      </c>
      <c r="J32" s="2">
        <f>J10/'Output-Calculation-sheet'!J9*'Output-Calculation-sheet'!J18</f>
        <v>2110.9605477461128</v>
      </c>
      <c r="K32" s="2">
        <f>K10/'Output-Calculation-sheet'!K9*'Output-Calculation-sheet'!K18</f>
        <v>2620.790887219418</v>
      </c>
      <c r="L32" s="2">
        <f>L10/'Output-Calculation-sheet'!L9*'Output-Calculation-sheet'!L18</f>
        <v>2159.8877157615029</v>
      </c>
      <c r="M32" s="2">
        <f>M10/'Output-Calculation-sheet'!M9*'Output-Calculation-sheet'!M18</f>
        <v>0</v>
      </c>
      <c r="N32" s="2">
        <f>N10/'Output-Calculation-sheet'!N9*'Output-Calculation-sheet'!N18</f>
        <v>854.91665661950026</v>
      </c>
      <c r="O32" s="2">
        <f>O10/'Output-Calculation-sheet'!O9*'Output-Calculation-sheet'!O18</f>
        <v>0</v>
      </c>
      <c r="P32" s="2">
        <f>P10/'Output-Calculation-sheet'!P9*'Output-Calculation-sheet'!P18</f>
        <v>1749.1858967185146</v>
      </c>
      <c r="Q32" s="2">
        <f>Q10/'Output-Calculation-sheet'!Q9*'Output-Calculation-sheet'!Q18</f>
        <v>1918.3918885354808</v>
      </c>
      <c r="R32" s="2">
        <f>R10/'Output-Calculation-sheet'!R9*'Output-Calculation-sheet'!R18</f>
        <v>1657.0188280750606</v>
      </c>
      <c r="S32" s="2">
        <f>S10/'Output-Calculation-sheet'!S9*'Output-Calculation-sheet'!S18</f>
        <v>771.28313720626863</v>
      </c>
      <c r="T32" s="2">
        <f>T10/'Output-Calculation-sheet'!T9*'Output-Calculation-sheet'!T18</f>
        <v>602.72953091335535</v>
      </c>
      <c r="U32" s="2">
        <f>U10/'Output-Calculation-sheet'!U9*'Output-Calculation-sheet'!U18</f>
        <v>464.84230638799113</v>
      </c>
      <c r="V32" s="2">
        <f>V10/'Output-Calculation-sheet'!V9*'Output-Calculation-sheet'!V18</f>
        <v>445.93418492712652</v>
      </c>
      <c r="W32" s="2">
        <f>W10/'Output-Calculation-sheet'!W9*'Output-Calculation-sheet'!W18</f>
        <v>307.71049901024202</v>
      </c>
      <c r="X32" s="2">
        <f>X10/'Output-Calculation-sheet'!X9*'Output-Calculation-sheet'!X18</f>
        <v>0</v>
      </c>
      <c r="Y32" s="2">
        <f>Y10/'Output-Calculation-sheet'!Y9*'Output-Calculation-sheet'!Y18</f>
        <v>204.02614467808064</v>
      </c>
      <c r="AA32" s="2">
        <f t="shared" si="1"/>
        <v>57.176882799986558</v>
      </c>
    </row>
    <row r="33" spans="1:27" x14ac:dyDescent="0.25">
      <c r="A33" s="2">
        <v>2034</v>
      </c>
      <c r="B33" s="2">
        <f>B11/'Output-Calculation-sheet'!B10*'Output-Calculation-sheet'!B19</f>
        <v>17259.559122910414</v>
      </c>
      <c r="C33" s="2">
        <f>C11/'Output-Calculation-sheet'!C10*'Output-Calculation-sheet'!C19</f>
        <v>0</v>
      </c>
      <c r="D33" s="2">
        <f>D11/'Output-Calculation-sheet'!D10*'Output-Calculation-sheet'!D19</f>
        <v>6102.6219726747913</v>
      </c>
      <c r="E33" s="2">
        <f>E11/'Output-Calculation-sheet'!E10*'Output-Calculation-sheet'!E19</f>
        <v>6334.3658095989313</v>
      </c>
      <c r="F33" s="2">
        <f>F11/'Output-Calculation-sheet'!F10*'Output-Calculation-sheet'!F19</f>
        <v>3531.6084654184356</v>
      </c>
      <c r="G33" s="2">
        <f>G11/'Output-Calculation-sheet'!G10*'Output-Calculation-sheet'!G19</f>
        <v>2126.6333399512569</v>
      </c>
      <c r="H33" s="2">
        <f>H11/'Output-Calculation-sheet'!H10*'Output-Calculation-sheet'!H19</f>
        <v>0</v>
      </c>
      <c r="I33" s="2">
        <f>I11/'Output-Calculation-sheet'!I10*'Output-Calculation-sheet'!I19</f>
        <v>2165.9919409129461</v>
      </c>
      <c r="J33" s="2">
        <f>J11/'Output-Calculation-sheet'!J10*'Output-Calculation-sheet'!J19</f>
        <v>1968.4960224515992</v>
      </c>
      <c r="K33" s="2">
        <f>K11/'Output-Calculation-sheet'!K10*'Output-Calculation-sheet'!K19</f>
        <v>2451.9072612229543</v>
      </c>
      <c r="L33" s="2">
        <f>L11/'Output-Calculation-sheet'!L10*'Output-Calculation-sheet'!L19</f>
        <v>2016.665665532093</v>
      </c>
      <c r="M33" s="2">
        <f>M11/'Output-Calculation-sheet'!M10*'Output-Calculation-sheet'!M19</f>
        <v>0</v>
      </c>
      <c r="N33" s="2">
        <f>N11/'Output-Calculation-sheet'!N10*'Output-Calculation-sheet'!N19</f>
        <v>747.34138001795861</v>
      </c>
      <c r="O33" s="2">
        <f>O11/'Output-Calculation-sheet'!O10*'Output-Calculation-sheet'!O19</f>
        <v>0</v>
      </c>
      <c r="P33" s="2">
        <f>P11/'Output-Calculation-sheet'!P10*'Output-Calculation-sheet'!P19</f>
        <v>1643.7839705380754</v>
      </c>
      <c r="Q33" s="2">
        <f>Q11/'Output-Calculation-sheet'!Q10*'Output-Calculation-sheet'!Q19</f>
        <v>1805.8604548999458</v>
      </c>
      <c r="R33" s="2">
        <f>R11/'Output-Calculation-sheet'!R10*'Output-Calculation-sheet'!R19</f>
        <v>1549.7093320058573</v>
      </c>
      <c r="S33" s="2">
        <f>S11/'Output-Calculation-sheet'!S10*'Output-Calculation-sheet'!S19</f>
        <v>714.75257576840136</v>
      </c>
      <c r="T33" s="2">
        <f>T11/'Output-Calculation-sheet'!T10*'Output-Calculation-sheet'!T19</f>
        <v>563.17753020648956</v>
      </c>
      <c r="U33" s="2">
        <f>U11/'Output-Calculation-sheet'!U10*'Output-Calculation-sheet'!U19</f>
        <v>435.80334193086105</v>
      </c>
      <c r="V33" s="2">
        <f>V11/'Output-Calculation-sheet'!V10*'Output-Calculation-sheet'!V19</f>
        <v>417.78755829862627</v>
      </c>
      <c r="W33" s="2">
        <f>W11/'Output-Calculation-sheet'!W10*'Output-Calculation-sheet'!W19</f>
        <v>287.03910899369265</v>
      </c>
      <c r="X33" s="2">
        <f>X11/'Output-Calculation-sheet'!X10*'Output-Calculation-sheet'!X19</f>
        <v>0</v>
      </c>
      <c r="Y33" s="2">
        <f>Y11/'Output-Calculation-sheet'!Y10*'Output-Calculation-sheet'!Y19</f>
        <v>190.58271481703514</v>
      </c>
      <c r="AA33" s="2">
        <f t="shared" si="1"/>
        <v>52.31368756815035</v>
      </c>
    </row>
    <row r="34" spans="1:27" x14ac:dyDescent="0.25">
      <c r="A34" s="2">
        <v>2035</v>
      </c>
      <c r="B34" s="2">
        <f>B12/'Output-Calculation-sheet'!B11*'Output-Calculation-sheet'!B20</f>
        <v>14525.518797351306</v>
      </c>
      <c r="C34" s="2">
        <f>C12/'Output-Calculation-sheet'!C11*'Output-Calculation-sheet'!C20</f>
        <v>0</v>
      </c>
      <c r="D34" s="2">
        <f>D12/'Output-Calculation-sheet'!D11*'Output-Calculation-sheet'!D20</f>
        <v>5371.9599243833281</v>
      </c>
      <c r="E34" s="2">
        <f>E12/'Output-Calculation-sheet'!E11*'Output-Calculation-sheet'!E20</f>
        <v>5573.6410611771807</v>
      </c>
      <c r="F34" s="2">
        <f>F12/'Output-Calculation-sheet'!F11*'Output-Calculation-sheet'!F20</f>
        <v>3102.9693939914423</v>
      </c>
      <c r="G34" s="2">
        <f>G12/'Output-Calculation-sheet'!G11*'Output-Calculation-sheet'!G20</f>
        <v>1864.4036630964117</v>
      </c>
      <c r="H34" s="2">
        <f>H12/'Output-Calculation-sheet'!H11*'Output-Calculation-sheet'!H20</f>
        <v>0</v>
      </c>
      <c r="I34" s="2">
        <f>I12/'Output-Calculation-sheet'!I11*'Output-Calculation-sheet'!I20</f>
        <v>1904.2676912327051</v>
      </c>
      <c r="J34" s="2">
        <f>J12/'Output-Calculation-sheet'!J11*'Output-Calculation-sheet'!J20</f>
        <v>1724.6369306956262</v>
      </c>
      <c r="K34" s="2">
        <f>K12/'Output-Calculation-sheet'!K11*'Output-Calculation-sheet'!K20</f>
        <v>2157.4278346878641</v>
      </c>
      <c r="L34" s="2">
        <f>L12/'Output-Calculation-sheet'!L11*'Output-Calculation-sheet'!L20</f>
        <v>1771.3863967671718</v>
      </c>
      <c r="M34" s="2">
        <f>M12/'Output-Calculation-sheet'!M11*'Output-Calculation-sheet'!M20</f>
        <v>0</v>
      </c>
      <c r="N34" s="2">
        <f>N12/'Output-Calculation-sheet'!N11*'Output-Calculation-sheet'!N20</f>
        <v>623.19025889020213</v>
      </c>
      <c r="O34" s="2">
        <f>O12/'Output-Calculation-sheet'!O11*'Output-Calculation-sheet'!O20</f>
        <v>0</v>
      </c>
      <c r="P34" s="2">
        <f>P12/'Output-Calculation-sheet'!P11*'Output-Calculation-sheet'!P20</f>
        <v>1454.5774283521575</v>
      </c>
      <c r="Q34" s="2">
        <f>Q12/'Output-Calculation-sheet'!Q11*'Output-Calculation-sheet'!Q20</f>
        <v>1595.0110370668431</v>
      </c>
      <c r="R34" s="2">
        <f>R12/'Output-Calculation-sheet'!R11*'Output-Calculation-sheet'!R20</f>
        <v>1367.7251144537408</v>
      </c>
      <c r="S34" s="2">
        <f>S12/'Output-Calculation-sheet'!S11*'Output-Calculation-sheet'!S20</f>
        <v>588.18781247123468</v>
      </c>
      <c r="T34" s="2">
        <f>T12/'Output-Calculation-sheet'!T11*'Output-Calculation-sheet'!T20</f>
        <v>495.0640584386046</v>
      </c>
      <c r="U34" s="2">
        <f>U12/'Output-Calculation-sheet'!U11*'Output-Calculation-sheet'!U20</f>
        <v>384.0125658900015</v>
      </c>
      <c r="V34" s="2">
        <f>V12/'Output-Calculation-sheet'!V11*'Output-Calculation-sheet'!V20</f>
        <v>368.79177350599622</v>
      </c>
      <c r="W34" s="2">
        <f>W12/'Output-Calculation-sheet'!W11*'Output-Calculation-sheet'!W20</f>
        <v>252.01259141951402</v>
      </c>
      <c r="X34" s="2">
        <f>X12/'Output-Calculation-sheet'!X11*'Output-Calculation-sheet'!X20</f>
        <v>0</v>
      </c>
      <c r="Y34" s="2">
        <f>Y12/'Output-Calculation-sheet'!Y11*'Output-Calculation-sheet'!Y20</f>
        <v>167.76378304351832</v>
      </c>
      <c r="AA34" s="2">
        <f t="shared" si="1"/>
        <v>45.292548116914858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6.1012914648386376</v>
      </c>
      <c r="C63" s="2">
        <f>C8*'Output-Calculation-sheet'!C52/10^9</f>
        <v>2.9358074562602932</v>
      </c>
      <c r="D63" s="2">
        <f>D8*'Output-Calculation-sheet'!D52/10^9</f>
        <v>1.3352641922357462</v>
      </c>
      <c r="E63" s="2">
        <f>E8*'Output-Calculation-sheet'!E52/10^9</f>
        <v>1.4857075524227035</v>
      </c>
      <c r="F63" s="2">
        <f>F8*'Output-Calculation-sheet'!F52/10^9</f>
        <v>0.68623474873730816</v>
      </c>
      <c r="G63" s="2">
        <f>G8*'Output-Calculation-sheet'!G52/10^9</f>
        <v>0.474330105423445</v>
      </c>
      <c r="H63" s="2">
        <f>H8*'Output-Calculation-sheet'!H52/10^9</f>
        <v>0.89442330126570646</v>
      </c>
      <c r="I63" s="2">
        <f>I8*'Output-Calculation-sheet'!I52/10^9</f>
        <v>0.46806029172777974</v>
      </c>
      <c r="J63" s="2">
        <f>J8*'Output-Calculation-sheet'!J52/10^9</f>
        <v>0.42251067906126244</v>
      </c>
      <c r="K63" s="2">
        <f>K8*'Output-Calculation-sheet'!K52/10^9</f>
        <v>0.54532256728304185</v>
      </c>
      <c r="L63" s="2">
        <f>L8*'Output-Calculation-sheet'!L52/10^9</f>
        <v>0.45048590830409291</v>
      </c>
      <c r="M63" s="2">
        <f>M8*'Output-Calculation-sheet'!M52/10^9</f>
        <v>0.61794096302422885</v>
      </c>
      <c r="N63" s="2">
        <f>N8*'Output-Calculation-sheet'!N52/10^9</f>
        <v>0.64587128093729707</v>
      </c>
      <c r="O63" s="2">
        <f>O8*'Output-Calculation-sheet'!O52/10^9</f>
        <v>0.57043407900229559</v>
      </c>
      <c r="P63" s="2">
        <f>P8*'Output-Calculation-sheet'!P52/10^9</f>
        <v>0.47813802829640673</v>
      </c>
      <c r="Q63" s="2">
        <f>Q8*'Output-Calculation-sheet'!Q52/10^9</f>
        <v>0.49308446482675639</v>
      </c>
      <c r="R63" s="2">
        <f>R8*'Output-Calculation-sheet'!R52/10^9</f>
        <v>0.39434025381786658</v>
      </c>
      <c r="S63" s="2">
        <f>S8*'Output-Calculation-sheet'!S52/10^9</f>
        <v>0.363512648207095</v>
      </c>
      <c r="T63" s="2">
        <f>T8*'Output-Calculation-sheet'!T52/10^9</f>
        <v>0.12327205418342015</v>
      </c>
      <c r="U63" s="2">
        <f>U8*'Output-Calculation-sheet'!U52/10^9</f>
        <v>0.12391892419614683</v>
      </c>
      <c r="V63" s="2">
        <f>V8*'Output-Calculation-sheet'!V52/10^9</f>
        <v>9.2289857654713592E-2</v>
      </c>
      <c r="W63" s="2">
        <f>W8*'Output-Calculation-sheet'!W52/10^9</f>
        <v>5.7701837772631215E-2</v>
      </c>
      <c r="X63" s="2">
        <f>X8*'Output-Calculation-sheet'!X52/10^9</f>
        <v>7.3484251443889176E-2</v>
      </c>
      <c r="Y63" s="2">
        <f>Y8*'Output-Calculation-sheet'!Y52/10^9</f>
        <v>4.8290879941848858E-2</v>
      </c>
      <c r="AA63" s="2">
        <f t="shared" si="4"/>
        <v>19.881717790864613</v>
      </c>
    </row>
    <row r="64" spans="1:27" x14ac:dyDescent="0.25">
      <c r="A64" s="2">
        <v>2032</v>
      </c>
      <c r="B64" s="2">
        <f>B9*'Output-Calculation-sheet'!B53/10^9</f>
        <v>6.5023960636161355</v>
      </c>
      <c r="C64" s="2">
        <f>C9*'Output-Calculation-sheet'!C53/10^9</f>
        <v>3.1400002893290795</v>
      </c>
      <c r="D64" s="2">
        <f>D9*'Output-Calculation-sheet'!D53/10^9</f>
        <v>1.4208950074878171</v>
      </c>
      <c r="E64" s="2">
        <f>E9*'Output-Calculation-sheet'!E53/10^9</f>
        <v>1.5815529052839772</v>
      </c>
      <c r="F64" s="2">
        <f>F9*'Output-Calculation-sheet'!F53/10^9</f>
        <v>0.72977399937683274</v>
      </c>
      <c r="G64" s="2">
        <f>G9*'Output-Calculation-sheet'!G53/10^9</f>
        <v>0.50479489598257554</v>
      </c>
      <c r="H64" s="2">
        <f>H9*'Output-Calculation-sheet'!H53/10^9</f>
        <v>0.94778543976719976</v>
      </c>
      <c r="I64" s="2">
        <f>I9*'Output-Calculation-sheet'!I53/10^9</f>
        <v>0.49805544888817604</v>
      </c>
      <c r="J64" s="2">
        <f>J9*'Output-Calculation-sheet'!J53/10^9</f>
        <v>0.44956083979636735</v>
      </c>
      <c r="K64" s="2">
        <f>K9*'Output-Calculation-sheet'!K53/10^9</f>
        <v>0.58036275373388313</v>
      </c>
      <c r="L64" s="2">
        <f>L9*'Output-Calculation-sheet'!L53/10^9</f>
        <v>0.47943345704847151</v>
      </c>
      <c r="M64" s="2">
        <f>M9*'Output-Calculation-sheet'!M53/10^9</f>
        <v>0.65483978960422751</v>
      </c>
      <c r="N64" s="2">
        <f>N9*'Output-Calculation-sheet'!N53/10^9</f>
        <v>0.68531800240571761</v>
      </c>
      <c r="O64" s="2">
        <f>O9*'Output-Calculation-sheet'!O53/10^9</f>
        <v>0.61010921179143152</v>
      </c>
      <c r="P64" s="2">
        <f>P9*'Output-Calculation-sheet'!P53/10^9</f>
        <v>0.50948171415391419</v>
      </c>
      <c r="Q64" s="2">
        <f>Q9*'Output-Calculation-sheet'!Q53/10^9</f>
        <v>0.52528438872067973</v>
      </c>
      <c r="R64" s="2">
        <f>R9*'Output-Calculation-sheet'!R53/10^9</f>
        <v>0.41994136529560183</v>
      </c>
      <c r="S64" s="2">
        <f>S9*'Output-Calculation-sheet'!S53/10^9</f>
        <v>0.38646454751511694</v>
      </c>
      <c r="T64" s="2">
        <f>T9*'Output-Calculation-sheet'!T53/10^9</f>
        <v>0.13118011529194409</v>
      </c>
      <c r="U64" s="2">
        <f>U9*'Output-Calculation-sheet'!U53/10^9</f>
        <v>0.1320254210619865</v>
      </c>
      <c r="V64" s="2">
        <f>V9*'Output-Calculation-sheet'!V53/10^9</f>
        <v>9.8217873699717698E-2</v>
      </c>
      <c r="W64" s="2">
        <f>W9*'Output-Calculation-sheet'!W53/10^9</f>
        <v>6.1374800943454946E-2</v>
      </c>
      <c r="X64" s="2">
        <f>X9*'Output-Calculation-sheet'!X53/10^9</f>
        <v>7.7947308088921835E-2</v>
      </c>
      <c r="Y64" s="2">
        <f>Y9*'Output-Calculation-sheet'!Y53/10^9</f>
        <v>5.1424440163710311E-2</v>
      </c>
      <c r="AA64" s="2">
        <f t="shared" si="4"/>
        <v>21.178220079046945</v>
      </c>
    </row>
    <row r="65" spans="1:27" x14ac:dyDescent="0.25">
      <c r="A65" s="2">
        <v>2033</v>
      </c>
      <c r="B65" s="2">
        <f>B10*'Output-Calculation-sheet'!B54/10^9</f>
        <v>6.4185165980443335</v>
      </c>
      <c r="C65" s="2">
        <f>C10*'Output-Calculation-sheet'!C54/10^9</f>
        <v>3.1071387977939215</v>
      </c>
      <c r="D65" s="2">
        <f>D10*'Output-Calculation-sheet'!D54/10^9</f>
        <v>1.4018926389965625</v>
      </c>
      <c r="E65" s="2">
        <f>E10*'Output-Calculation-sheet'!E54/10^9</f>
        <v>1.5609629649937649</v>
      </c>
      <c r="F65" s="2">
        <f>F10*'Output-Calculation-sheet'!F54/10^9</f>
        <v>0.719546781443688</v>
      </c>
      <c r="G65" s="2">
        <f>G10*'Output-Calculation-sheet'!G54/10^9</f>
        <v>0.49809164506005377</v>
      </c>
      <c r="H65" s="2">
        <f>H10*'Output-Calculation-sheet'!H54/10^9</f>
        <v>0.93087261946919864</v>
      </c>
      <c r="I65" s="2">
        <f>I10*'Output-Calculation-sheet'!I54/10^9</f>
        <v>0.49137377014474709</v>
      </c>
      <c r="J65" s="2">
        <f>J10*'Output-Calculation-sheet'!J54/10^9</f>
        <v>0.44350402332867284</v>
      </c>
      <c r="K65" s="2">
        <f>K10*'Output-Calculation-sheet'!K54/10^9</f>
        <v>0.57266319474179361</v>
      </c>
      <c r="L65" s="2">
        <f>L10*'Output-Calculation-sheet'!L54/10^9</f>
        <v>0.47307651414530538</v>
      </c>
      <c r="M65" s="2">
        <f>M10*'Output-Calculation-sheet'!M54/10^9</f>
        <v>0.6431822654261915</v>
      </c>
      <c r="N65" s="2">
        <f>N10*'Output-Calculation-sheet'!N54/10^9</f>
        <v>0.67383084804465965</v>
      </c>
      <c r="O65" s="2">
        <f>O10*'Output-Calculation-sheet'!O54/10^9</f>
        <v>0.60504720167540305</v>
      </c>
      <c r="P65" s="2">
        <f>P10*'Output-Calculation-sheet'!P54/10^9</f>
        <v>0.50333496314982973</v>
      </c>
      <c r="Q65" s="2">
        <f>Q10*'Output-Calculation-sheet'!Q54/10^9</f>
        <v>0.51882073726653943</v>
      </c>
      <c r="R65" s="2">
        <f>R10*'Output-Calculation-sheet'!R54/10^9</f>
        <v>0.4146329742010233</v>
      </c>
      <c r="S65" s="2">
        <f>S10*'Output-Calculation-sheet'!S54/10^9</f>
        <v>0.38060280188704637</v>
      </c>
      <c r="T65" s="2">
        <f>T10*'Output-Calculation-sheet'!T54/10^9</f>
        <v>0.12942752734484209</v>
      </c>
      <c r="U65" s="2">
        <f>U10*'Output-Calculation-sheet'!U54/10^9</f>
        <v>0.13041784191328262</v>
      </c>
      <c r="V65" s="2">
        <f>V10*'Output-Calculation-sheet'!V54/10^9</f>
        <v>9.6912090717758123E-2</v>
      </c>
      <c r="W65" s="2">
        <f>W10*'Output-Calculation-sheet'!W54/10^9</f>
        <v>6.05262671359744E-2</v>
      </c>
      <c r="X65" s="2">
        <f>X10*'Output-Calculation-sheet'!X54/10^9</f>
        <v>7.663079503732298E-2</v>
      </c>
      <c r="Y65" s="2">
        <f>Y10*'Output-Calculation-sheet'!Y54/10^9</f>
        <v>5.0773145116158346E-2</v>
      </c>
      <c r="AA65" s="2">
        <f t="shared" si="4"/>
        <v>20.901779007078073</v>
      </c>
    </row>
    <row r="66" spans="1:27" x14ac:dyDescent="0.25">
      <c r="A66" s="2">
        <v>2034</v>
      </c>
      <c r="B66" s="2">
        <f>B11*'Output-Calculation-sheet'!B55/10^9</f>
        <v>5.9261489536136649</v>
      </c>
      <c r="C66" s="2">
        <f>C11*'Output-Calculation-sheet'!C55/10^9</f>
        <v>2.8631947672535052</v>
      </c>
      <c r="D66" s="2">
        <f>D11*'Output-Calculation-sheet'!D55/10^9</f>
        <v>1.295774888749911</v>
      </c>
      <c r="E66" s="2">
        <f>E11*'Output-Calculation-sheet'!E55/10^9</f>
        <v>1.443320806639236</v>
      </c>
      <c r="F66" s="2">
        <f>F11*'Output-Calculation-sheet'!F55/10^9</f>
        <v>0.66464028505715489</v>
      </c>
      <c r="G66" s="2">
        <f>G11*'Output-Calculation-sheet'!G55/10^9</f>
        <v>0.46043219443009914</v>
      </c>
      <c r="H66" s="2">
        <f>H11*'Output-Calculation-sheet'!H55/10^9</f>
        <v>0.8562024351524451</v>
      </c>
      <c r="I66" s="2">
        <f>I11*'Output-Calculation-sheet'!I55/10^9</f>
        <v>0.45415416483252574</v>
      </c>
      <c r="J66" s="2">
        <f>J11*'Output-Calculation-sheet'!J55/10^9</f>
        <v>0.40989137347231258</v>
      </c>
      <c r="K66" s="2">
        <f>K11*'Output-Calculation-sheet'!K55/10^9</f>
        <v>0.52936407657504903</v>
      </c>
      <c r="L66" s="2">
        <f>L11*'Output-Calculation-sheet'!L55/10^9</f>
        <v>0.43731394696464571</v>
      </c>
      <c r="M66" s="2">
        <f>M11*'Output-Calculation-sheet'!M55/10^9</f>
        <v>0.59161510689801577</v>
      </c>
      <c r="N66" s="2">
        <f>N11*'Output-Calculation-sheet'!N55/10^9</f>
        <v>0.62035807555290723</v>
      </c>
      <c r="O66" s="2">
        <f>O11*'Output-Calculation-sheet'!O55/10^9</f>
        <v>0.56215175448273613</v>
      </c>
      <c r="P66" s="2">
        <f>P11*'Output-Calculation-sheet'!P55/10^9</f>
        <v>0.46584644858964269</v>
      </c>
      <c r="Q66" s="2">
        <f>Q11*'Output-Calculation-sheet'!Q55/10^9</f>
        <v>0.48005680945165868</v>
      </c>
      <c r="R66" s="2">
        <f>R11*'Output-Calculation-sheet'!R55/10^9</f>
        <v>0.38353027977319248</v>
      </c>
      <c r="S66" s="2">
        <f>S11*'Output-Calculation-sheet'!S55/10^9</f>
        <v>0.35088298823175423</v>
      </c>
      <c r="T66" s="2">
        <f>T11*'Output-Calculation-sheet'!T55/10^9</f>
        <v>0.11963105979244117</v>
      </c>
      <c r="U66" s="2">
        <f>U11*'Output-Calculation-sheet'!U55/10^9</f>
        <v>0.12069242012844401</v>
      </c>
      <c r="V66" s="2">
        <f>V11*'Output-Calculation-sheet'!V55/10^9</f>
        <v>8.9581936313089902E-2</v>
      </c>
      <c r="W66" s="2">
        <f>W11*'Output-Calculation-sheet'!W55/10^9</f>
        <v>5.5918827147268674E-2</v>
      </c>
      <c r="X66" s="2">
        <f>X11*'Output-Calculation-sheet'!X55/10^9</f>
        <v>7.0553921219216928E-2</v>
      </c>
      <c r="Y66" s="2">
        <f>Y11*'Output-Calculation-sheet'!Y55/10^9</f>
        <v>4.696358059860839E-2</v>
      </c>
      <c r="AA66" s="2">
        <f t="shared" si="4"/>
        <v>19.29822110091952</v>
      </c>
    </row>
    <row r="67" spans="1:27" x14ac:dyDescent="0.25">
      <c r="A67" s="2">
        <v>2035</v>
      </c>
      <c r="B67" s="2">
        <f>B12*'Output-Calculation-sheet'!B56/10^9</f>
        <v>5.1442253457281168</v>
      </c>
      <c r="C67" s="2">
        <f>C12*'Output-Calculation-sheet'!C56/10^9</f>
        <v>2.4819724356093462</v>
      </c>
      <c r="D67" s="2">
        <f>D12*'Output-Calculation-sheet'!D56/10^9</f>
        <v>1.127215866612129</v>
      </c>
      <c r="E67" s="2">
        <f>E12*'Output-Calculation-sheet'!E56/10^9</f>
        <v>1.2560163571147844</v>
      </c>
      <c r="F67" s="2">
        <f>F12*'Output-Calculation-sheet'!F56/10^9</f>
        <v>0.57779381748511649</v>
      </c>
      <c r="G67" s="2">
        <f>G12*'Output-Calculation-sheet'!G56/10^9</f>
        <v>0.40058240306221982</v>
      </c>
      <c r="H67" s="2">
        <f>H12*'Output-Calculation-sheet'!H56/10^9</f>
        <v>0.74091546581028922</v>
      </c>
      <c r="I67" s="2">
        <f>I12*'Output-Calculation-sheet'!I56/10^9</f>
        <v>0.39505238200673648</v>
      </c>
      <c r="J67" s="2">
        <f>J12*'Output-Calculation-sheet'!J56/10^9</f>
        <v>0.35653872681233778</v>
      </c>
      <c r="K67" s="2">
        <f>K12*'Output-Calculation-sheet'!K56/10^9</f>
        <v>0.46054346283954212</v>
      </c>
      <c r="L67" s="2">
        <f>L12*'Output-Calculation-sheet'!L56/10^9</f>
        <v>0.38047004182582395</v>
      </c>
      <c r="M67" s="2">
        <f>M12*'Output-Calculation-sheet'!M56/10^9</f>
        <v>0.5119768814096739</v>
      </c>
      <c r="N67" s="2">
        <f>N12*'Output-Calculation-sheet'!N56/10^9</f>
        <v>0.53732556751939808</v>
      </c>
      <c r="O67" s="2">
        <f>O12*'Output-Calculation-sheet'!O56/10^9</f>
        <v>0.48873938837987368</v>
      </c>
      <c r="P67" s="2">
        <f>P12*'Output-Calculation-sheet'!P56/10^9</f>
        <v>0.40577645779847599</v>
      </c>
      <c r="Q67" s="2">
        <f>Q12*'Output-Calculation-sheet'!Q56/10^9</f>
        <v>0.4180350440504656</v>
      </c>
      <c r="R67" s="2">
        <f>R12*'Output-Calculation-sheet'!R56/10^9</f>
        <v>0.33388489882275885</v>
      </c>
      <c r="S67" s="2">
        <f>S12*'Output-Calculation-sheet'!S56/10^9</f>
        <v>0.30426394089905012</v>
      </c>
      <c r="T67" s="2">
        <f>T12*'Output-Calculation-sheet'!T56/10^9</f>
        <v>0.10406968776565834</v>
      </c>
      <c r="U67" s="2">
        <f>U12*'Output-Calculation-sheet'!U56/10^9</f>
        <v>0.1051204859156611</v>
      </c>
      <c r="V67" s="2">
        <f>V12*'Output-Calculation-sheet'!V56/10^9</f>
        <v>7.7932029100017439E-2</v>
      </c>
      <c r="W67" s="2">
        <f>W12*'Output-Calculation-sheet'!W56/10^9</f>
        <v>4.8622099774859512E-2</v>
      </c>
      <c r="X67" s="2">
        <f>X12*'Output-Calculation-sheet'!X56/10^9</f>
        <v>6.1111731687623044E-2</v>
      </c>
      <c r="Y67" s="2">
        <f>Y12*'Output-Calculation-sheet'!Y56/10^9</f>
        <v>4.088394260764236E-2</v>
      </c>
      <c r="AA67" s="2">
        <f t="shared" si="4"/>
        <v>16.759068460637607</v>
      </c>
    </row>
    <row r="68" spans="1:27" x14ac:dyDescent="0.25">
      <c r="B68" s="2">
        <f>SUM(B60:B67)</f>
        <v>42.492464347781159</v>
      </c>
      <c r="C68" s="2">
        <f t="shared" ref="C68:Y68" si="5">SUM(C60:C67)</f>
        <v>20.439437725517426</v>
      </c>
      <c r="D68" s="2">
        <f t="shared" si="5"/>
        <v>9.3058847719319466</v>
      </c>
      <c r="E68" s="2">
        <f t="shared" si="5"/>
        <v>10.356417275896415</v>
      </c>
      <c r="F68" s="2">
        <f t="shared" si="5"/>
        <v>4.7807362377282212</v>
      </c>
      <c r="G68" s="2">
        <f t="shared" si="5"/>
        <v>3.3060103953835878</v>
      </c>
      <c r="H68" s="2">
        <f t="shared" si="5"/>
        <v>6.1989361577591966</v>
      </c>
      <c r="I68" s="2">
        <f t="shared" si="5"/>
        <v>3.2619338954526187</v>
      </c>
      <c r="J68" s="2">
        <f t="shared" si="5"/>
        <v>2.9444523709169221</v>
      </c>
      <c r="K68" s="2">
        <f t="shared" si="5"/>
        <v>3.8006653573619054</v>
      </c>
      <c r="L68" s="2">
        <f t="shared" si="5"/>
        <v>3.1397478264149181</v>
      </c>
      <c r="M68" s="2">
        <f t="shared" si="5"/>
        <v>4.2824955021262907</v>
      </c>
      <c r="N68" s="2">
        <f t="shared" si="5"/>
        <v>4.4809356162016121</v>
      </c>
      <c r="O68" s="2">
        <f t="shared" si="5"/>
        <v>3.9850569346327385</v>
      </c>
      <c r="P68" s="2">
        <f t="shared" si="5"/>
        <v>3.3347627218357805</v>
      </c>
      <c r="Q68" s="2">
        <f t="shared" si="5"/>
        <v>3.4384125138689341</v>
      </c>
      <c r="R68" s="2">
        <f t="shared" si="5"/>
        <v>2.7494455148612182</v>
      </c>
      <c r="S68" s="2">
        <f t="shared" si="5"/>
        <v>2.5248399372495522</v>
      </c>
      <c r="T68" s="2">
        <f t="shared" si="5"/>
        <v>0.85911753966736182</v>
      </c>
      <c r="U68" s="2">
        <f t="shared" si="5"/>
        <v>0.86424174589803293</v>
      </c>
      <c r="V68" s="2">
        <f t="shared" si="5"/>
        <v>0.64320518306920826</v>
      </c>
      <c r="W68" s="2">
        <f t="shared" si="5"/>
        <v>0.40203175267283076</v>
      </c>
      <c r="X68" s="2">
        <f t="shared" si="5"/>
        <v>0.50951458106390757</v>
      </c>
      <c r="Y68" s="2">
        <f t="shared" si="5"/>
        <v>0.33669195201416713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12343447950.667961</v>
      </c>
      <c r="C96" s="2">
        <f>C8/'Output-Calculation-sheet'!C7*'Output-Calculation-sheet'!C79</f>
        <v>0</v>
      </c>
      <c r="D96" s="2">
        <f>D8/'Output-Calculation-sheet'!D7*'Output-Calculation-sheet'!D79</f>
        <v>7513329513.5459452</v>
      </c>
      <c r="E96" s="2">
        <f>E8/'Output-Calculation-sheet'!E7*'Output-Calculation-sheet'!E79</f>
        <v>11768564982.928375</v>
      </c>
      <c r="F96" s="2">
        <f>F8/'Output-Calculation-sheet'!F7*'Output-Calculation-sheet'!F79</f>
        <v>5633340789.3279867</v>
      </c>
      <c r="G96" s="2">
        <f>G8/'Output-Calculation-sheet'!G7*'Output-Calculation-sheet'!G79</f>
        <v>4294592863.3488655</v>
      </c>
      <c r="H96" s="2">
        <f>H8/'Output-Calculation-sheet'!H7*'Output-Calculation-sheet'!H79</f>
        <v>1160676992.5404329</v>
      </c>
      <c r="I96" s="2">
        <f>I8/'Output-Calculation-sheet'!I7*'Output-Calculation-sheet'!I79</f>
        <v>2945159059.7149539</v>
      </c>
      <c r="J96" s="2">
        <f>J8/'Output-Calculation-sheet'!J7*'Output-Calculation-sheet'!J79</f>
        <v>2096431080.1106238</v>
      </c>
      <c r="K96" s="2">
        <f>K8/'Output-Calculation-sheet'!K7*'Output-Calculation-sheet'!K79</f>
        <v>2612837192.8073745</v>
      </c>
      <c r="L96" s="2">
        <f>L8/'Output-Calculation-sheet'!L7*'Output-Calculation-sheet'!L79</f>
        <v>1818170170.2599859</v>
      </c>
      <c r="M96" s="2">
        <f>M8/'Output-Calculation-sheet'!M7*'Output-Calculation-sheet'!M79</f>
        <v>860439945.3827002</v>
      </c>
      <c r="N96" s="2">
        <f>N8/'Output-Calculation-sheet'!N7*'Output-Calculation-sheet'!N79</f>
        <v>958963510.41714084</v>
      </c>
      <c r="O96" s="2">
        <f>O8/'Output-Calculation-sheet'!O7*'Output-Calculation-sheet'!O79</f>
        <v>0</v>
      </c>
      <c r="P96" s="2">
        <f>P8/'Output-Calculation-sheet'!P7*'Output-Calculation-sheet'!P79</f>
        <v>2217862899.3049164</v>
      </c>
      <c r="Q96" s="2">
        <f>Q8/'Output-Calculation-sheet'!Q7*'Output-Calculation-sheet'!Q79</f>
        <v>1029643470.5145642</v>
      </c>
      <c r="R96" s="2">
        <f>R8/'Output-Calculation-sheet'!R7*'Output-Calculation-sheet'!R79</f>
        <v>1588605603.3365417</v>
      </c>
      <c r="S96" s="2">
        <f>S8/'Output-Calculation-sheet'!S7*'Output-Calculation-sheet'!S79</f>
        <v>581883520.48183382</v>
      </c>
      <c r="T96" s="2">
        <f>T8/'Output-Calculation-sheet'!T7*'Output-Calculation-sheet'!T79</f>
        <v>832676839.57562661</v>
      </c>
      <c r="U96" s="2">
        <f>U8/'Output-Calculation-sheet'!U7*'Output-Calculation-sheet'!U79</f>
        <v>422779718.65952408</v>
      </c>
      <c r="V96" s="2">
        <f>V8/'Output-Calculation-sheet'!V7*'Output-Calculation-sheet'!V79</f>
        <v>256291899.06668264</v>
      </c>
      <c r="W96" s="2">
        <f>W8/'Output-Calculation-sheet'!W7*'Output-Calculation-sheet'!W79</f>
        <v>892530618.21544337</v>
      </c>
      <c r="X96" s="2">
        <f>X8/'Output-Calculation-sheet'!X7*'Output-Calculation-sheet'!X79</f>
        <v>83212894.560425416</v>
      </c>
      <c r="Y96" s="2">
        <f>Y8/'Output-Calculation-sheet'!Y7*'Output-Calculation-sheet'!Y79</f>
        <v>379657798.79143548</v>
      </c>
      <c r="AA96" s="2">
        <f t="shared" si="8"/>
        <v>62.291099313559343</v>
      </c>
    </row>
    <row r="97" spans="1:27" x14ac:dyDescent="0.25">
      <c r="A97" s="2">
        <v>2032</v>
      </c>
      <c r="B97" s="2">
        <f>B9/'Output-Calculation-sheet'!B8*'Output-Calculation-sheet'!B80</f>
        <v>13320401337.195335</v>
      </c>
      <c r="C97" s="2">
        <f>C9/'Output-Calculation-sheet'!C8*'Output-Calculation-sheet'!C80</f>
        <v>0</v>
      </c>
      <c r="D97" s="2">
        <f>D9/'Output-Calculation-sheet'!D8*'Output-Calculation-sheet'!D80</f>
        <v>7732888886.904892</v>
      </c>
      <c r="E97" s="2">
        <f>E9/'Output-Calculation-sheet'!E8*'Output-Calculation-sheet'!E80</f>
        <v>12475680982.655769</v>
      </c>
      <c r="F97" s="2">
        <f>F9/'Output-Calculation-sheet'!F8*'Output-Calculation-sheet'!F80</f>
        <v>5951096269.0263605</v>
      </c>
      <c r="G97" s="2">
        <f>G9/'Output-Calculation-sheet'!G8*'Output-Calculation-sheet'!G80</f>
        <v>4406650470.5345116</v>
      </c>
      <c r="H97" s="2">
        <f>H9/'Output-Calculation-sheet'!H8*'Output-Calculation-sheet'!H80</f>
        <v>1258457985.1453912</v>
      </c>
      <c r="I97" s="2">
        <f>I9/'Output-Calculation-sheet'!I8*'Output-Calculation-sheet'!I80</f>
        <v>3142271680.6216359</v>
      </c>
      <c r="J97" s="2">
        <f>J9/'Output-Calculation-sheet'!J8*'Output-Calculation-sheet'!J80</f>
        <v>2173163942.0829892</v>
      </c>
      <c r="K97" s="2">
        <f>K9/'Output-Calculation-sheet'!K8*'Output-Calculation-sheet'!K80</f>
        <v>2733656586.0967736</v>
      </c>
      <c r="L97" s="2">
        <f>L9/'Output-Calculation-sheet'!L8*'Output-Calculation-sheet'!L80</f>
        <v>1962726887.8277159</v>
      </c>
      <c r="M97" s="2">
        <f>M9/'Output-Calculation-sheet'!M8*'Output-Calculation-sheet'!M80</f>
        <v>934579266.23214805</v>
      </c>
      <c r="N97" s="2">
        <f>N9/'Output-Calculation-sheet'!N8*'Output-Calculation-sheet'!N80</f>
        <v>994759836.54495323</v>
      </c>
      <c r="O97" s="2">
        <f>O9/'Output-Calculation-sheet'!O8*'Output-Calculation-sheet'!O80</f>
        <v>0</v>
      </c>
      <c r="P97" s="2">
        <f>P9/'Output-Calculation-sheet'!P8*'Output-Calculation-sheet'!P80</f>
        <v>2327915263.2402296</v>
      </c>
      <c r="Q97" s="2">
        <f>Q9/'Output-Calculation-sheet'!Q8*'Output-Calculation-sheet'!Q80</f>
        <v>1085387256.0357754</v>
      </c>
      <c r="R97" s="2">
        <f>R9/'Output-Calculation-sheet'!R8*'Output-Calculation-sheet'!R80</f>
        <v>1682267118.8439522</v>
      </c>
      <c r="S97" s="2">
        <f>S9/'Output-Calculation-sheet'!S8*'Output-Calculation-sheet'!S80</f>
        <v>633862705.28908145</v>
      </c>
      <c r="T97" s="2">
        <f>T9/'Output-Calculation-sheet'!T8*'Output-Calculation-sheet'!T80</f>
        <v>865074231.64680779</v>
      </c>
      <c r="U97" s="2">
        <f>U9/'Output-Calculation-sheet'!U8*'Output-Calculation-sheet'!U80</f>
        <v>447901494.83150738</v>
      </c>
      <c r="V97" s="2">
        <f>V9/'Output-Calculation-sheet'!V8*'Output-Calculation-sheet'!V80</f>
        <v>274579077.97822499</v>
      </c>
      <c r="W97" s="2">
        <f>W9/'Output-Calculation-sheet'!W8*'Output-Calculation-sheet'!W80</f>
        <v>934805865.72605824</v>
      </c>
      <c r="X97" s="2">
        <f>X9/'Output-Calculation-sheet'!X8*'Output-Calculation-sheet'!X80</f>
        <v>92548985.972908944</v>
      </c>
      <c r="Y97" s="2">
        <f>Y9/'Output-Calculation-sheet'!Y8*'Output-Calculation-sheet'!Y80</f>
        <v>398043066.66661131</v>
      </c>
      <c r="AA97" s="2">
        <f t="shared" si="8"/>
        <v>65.828719197099616</v>
      </c>
    </row>
    <row r="98" spans="1:27" x14ac:dyDescent="0.25">
      <c r="A98" s="2">
        <v>2033</v>
      </c>
      <c r="B98" s="2">
        <f>B10/'Output-Calculation-sheet'!B9*'Output-Calculation-sheet'!B81</f>
        <v>13847458759.373333</v>
      </c>
      <c r="C98" s="2">
        <f>C10/'Output-Calculation-sheet'!C9*'Output-Calculation-sheet'!C81</f>
        <v>1813608087.7736981</v>
      </c>
      <c r="D98" s="2">
        <f>D10/'Output-Calculation-sheet'!D9*'Output-Calculation-sheet'!D81</f>
        <v>7382531385.0750237</v>
      </c>
      <c r="E98" s="2">
        <f>E10/'Output-Calculation-sheet'!E9*'Output-Calculation-sheet'!E81</f>
        <v>12257583621.996319</v>
      </c>
      <c r="F98" s="2">
        <f>F10/'Output-Calculation-sheet'!F9*'Output-Calculation-sheet'!F81</f>
        <v>5835713001.5365601</v>
      </c>
      <c r="G98" s="2">
        <f>G10/'Output-Calculation-sheet'!G9*'Output-Calculation-sheet'!G81</f>
        <v>4190492636.6141405</v>
      </c>
      <c r="H98" s="2">
        <f>H10/'Output-Calculation-sheet'!H9*'Output-Calculation-sheet'!H81</f>
        <v>1262908185.8266447</v>
      </c>
      <c r="I98" s="2">
        <f>I10/'Output-Calculation-sheet'!I9*'Output-Calculation-sheet'!I81</f>
        <v>3110293617.4203453</v>
      </c>
      <c r="J98" s="2">
        <f>J10/'Output-Calculation-sheet'!J9*'Output-Calculation-sheet'!J81</f>
        <v>2091445187.4016852</v>
      </c>
      <c r="K98" s="2">
        <f>K10/'Output-Calculation-sheet'!K9*'Output-Calculation-sheet'!K81</f>
        <v>2656067081.0859966</v>
      </c>
      <c r="L98" s="2">
        <f>L10/'Output-Calculation-sheet'!L9*'Output-Calculation-sheet'!L81</f>
        <v>1963749038.2165489</v>
      </c>
      <c r="M98" s="2">
        <f>M10/'Output-Calculation-sheet'!M9*'Output-Calculation-sheet'!M81</f>
        <v>941629010.137658</v>
      </c>
      <c r="N98" s="2">
        <f>N10/'Output-Calculation-sheet'!N9*'Output-Calculation-sheet'!N81</f>
        <v>958204572.1028024</v>
      </c>
      <c r="O98" s="2">
        <f>O10/'Output-Calculation-sheet'!O9*'Output-Calculation-sheet'!O81</f>
        <v>0</v>
      </c>
      <c r="P98" s="2">
        <f>P10/'Output-Calculation-sheet'!P9*'Output-Calculation-sheet'!P81</f>
        <v>2259665218.8696179</v>
      </c>
      <c r="Q98" s="2">
        <f>Q10/'Output-Calculation-sheet'!Q9*'Output-Calculation-sheet'!Q81</f>
        <v>1060654237.7149138</v>
      </c>
      <c r="R98" s="2">
        <f>R10/'Output-Calculation-sheet'!R9*'Output-Calculation-sheet'!R81</f>
        <v>1655106839.1273789</v>
      </c>
      <c r="S98" s="2">
        <f>S10/'Output-Calculation-sheet'!S9*'Output-Calculation-sheet'!S81</f>
        <v>628471228.17939484</v>
      </c>
      <c r="T98" s="2">
        <f>T10/'Output-Calculation-sheet'!T9*'Output-Calculation-sheet'!T81</f>
        <v>834176088.43454146</v>
      </c>
      <c r="U98" s="2">
        <f>U10/'Output-Calculation-sheet'!U9*'Output-Calculation-sheet'!U81</f>
        <v>439695891.43072182</v>
      </c>
      <c r="V98" s="2">
        <f>V10/'Output-Calculation-sheet'!V9*'Output-Calculation-sheet'!V81</f>
        <v>272476521.87458897</v>
      </c>
      <c r="W98" s="2">
        <f>W10/'Output-Calculation-sheet'!W9*'Output-Calculation-sheet'!W81</f>
        <v>905894796.6124742</v>
      </c>
      <c r="X98" s="2">
        <f>X10/'Output-Calculation-sheet'!X9*'Output-Calculation-sheet'!X81</f>
        <v>94236485.750368774</v>
      </c>
      <c r="Y98" s="2">
        <f>Y10/'Output-Calculation-sheet'!Y9*'Output-Calculation-sheet'!Y81</f>
        <v>386729660.5791685</v>
      </c>
      <c r="AA98" s="2">
        <f t="shared" si="8"/>
        <v>66.848791153133931</v>
      </c>
    </row>
    <row r="99" spans="1:27" x14ac:dyDescent="0.25">
      <c r="A99" s="2">
        <v>2034</v>
      </c>
      <c r="B99" s="2">
        <f>B11/'Output-Calculation-sheet'!B10*'Output-Calculation-sheet'!B82</f>
        <v>13237214169.225405</v>
      </c>
      <c r="C99" s="2">
        <f>C11/'Output-Calculation-sheet'!C10*'Output-Calculation-sheet'!C82</f>
        <v>1795294775.4738953</v>
      </c>
      <c r="D99" s="2">
        <f>D11/'Output-Calculation-sheet'!D10*'Output-Calculation-sheet'!D82</f>
        <v>6604743397.4883919</v>
      </c>
      <c r="E99" s="2">
        <f>E11/'Output-Calculation-sheet'!E10*'Output-Calculation-sheet'!E82</f>
        <v>11295237751.384912</v>
      </c>
      <c r="F99" s="2">
        <f>F11/'Output-Calculation-sheet'!F10*'Output-Calculation-sheet'!F82</f>
        <v>5364200734.2390127</v>
      </c>
      <c r="G99" s="2">
        <f>G11/'Output-Calculation-sheet'!G10*'Output-Calculation-sheet'!G82</f>
        <v>3726280011.4928703</v>
      </c>
      <c r="H99" s="2">
        <f>H11/'Output-Calculation-sheet'!H10*'Output-Calculation-sheet'!H82</f>
        <v>1189031245.7138443</v>
      </c>
      <c r="I99" s="2">
        <f>I11/'Output-Calculation-sheet'!I10*'Output-Calculation-sheet'!I82</f>
        <v>2888534181.6100564</v>
      </c>
      <c r="J99" s="2">
        <f>J11/'Output-Calculation-sheet'!J10*'Output-Calculation-sheet'!J82</f>
        <v>1887175746.4680915</v>
      </c>
      <c r="K99" s="2">
        <f>K11/'Output-Calculation-sheet'!K10*'Output-Calculation-sheet'!K82</f>
        <v>2419697125.2007461</v>
      </c>
      <c r="L99" s="2">
        <f>L11/'Output-Calculation-sheet'!L10*'Output-Calculation-sheet'!L82</f>
        <v>1839945980.1521006</v>
      </c>
      <c r="M99" s="2">
        <f>M11/'Output-Calculation-sheet'!M10*'Output-Calculation-sheet'!M82</f>
        <v>889432240.55941284</v>
      </c>
      <c r="N99" s="2">
        <f>N11/'Output-Calculation-sheet'!N10*'Output-Calculation-sheet'!N82</f>
        <v>868045996.3531878</v>
      </c>
      <c r="O99" s="2">
        <f>O11/'Output-Calculation-sheet'!O10*'Output-Calculation-sheet'!O82</f>
        <v>0</v>
      </c>
      <c r="P99" s="2">
        <f>P11/'Output-Calculation-sheet'!P10*'Output-Calculation-sheet'!P82</f>
        <v>2053138316.388602</v>
      </c>
      <c r="Q99" s="2">
        <f>Q11/'Output-Calculation-sheet'!Q10*'Output-Calculation-sheet'!Q82</f>
        <v>972174519.28239369</v>
      </c>
      <c r="R99" s="2">
        <f>R11/'Output-Calculation-sheet'!R10*'Output-Calculation-sheet'!R82</f>
        <v>1525666166.5125275</v>
      </c>
      <c r="S99" s="2">
        <f>S11/'Output-Calculation-sheet'!S10*'Output-Calculation-sheet'!S82</f>
        <v>594450622.89774334</v>
      </c>
      <c r="T99" s="2">
        <f>T11/'Output-Calculation-sheet'!T10*'Output-Calculation-sheet'!T82</f>
        <v>753795025.51598465</v>
      </c>
      <c r="U99" s="2">
        <f>U11/'Output-Calculation-sheet'!U10*'Output-Calculation-sheet'!U82</f>
        <v>405185448.43778896</v>
      </c>
      <c r="V99" s="2">
        <f>V11/'Output-Calculation-sheet'!V10*'Output-Calculation-sheet'!V82</f>
        <v>253473708.705192</v>
      </c>
      <c r="W99" s="2">
        <f>W11/'Output-Calculation-sheet'!W10*'Output-Calculation-sheet'!W82</f>
        <v>821662891.19247317</v>
      </c>
      <c r="X99" s="2">
        <f>X11/'Output-Calculation-sheet'!X10*'Output-Calculation-sheet'!X82</f>
        <v>90410725.78557992</v>
      </c>
      <c r="Y99" s="2">
        <f>Y11/'Output-Calculation-sheet'!Y10*'Output-Calculation-sheet'!Y82</f>
        <v>351567366.60288411</v>
      </c>
      <c r="AA99" s="2">
        <f t="shared" si="8"/>
        <v>61.826358146683098</v>
      </c>
    </row>
    <row r="100" spans="1:27" x14ac:dyDescent="0.25">
      <c r="A100" s="2">
        <v>2035</v>
      </c>
      <c r="B100" s="2">
        <f>B12/'Output-Calculation-sheet'!B11*'Output-Calculation-sheet'!B83</f>
        <v>11715311753.950018</v>
      </c>
      <c r="C100" s="2">
        <f>C12/'Output-Calculation-sheet'!C11*'Output-Calculation-sheet'!C83</f>
        <v>1657545659.0286121</v>
      </c>
      <c r="D100" s="2">
        <f>D12/'Output-Calculation-sheet'!D11*'Output-Calculation-sheet'!D83</f>
        <v>5571849637.5292435</v>
      </c>
      <c r="E100" s="2">
        <f>E12/'Output-Calculation-sheet'!E11*'Output-Calculation-sheet'!E83</f>
        <v>9802655726.5418186</v>
      </c>
      <c r="F100" s="2">
        <f>F12/'Output-Calculation-sheet'!F11*'Output-Calculation-sheet'!F83</f>
        <v>4645544434.3412409</v>
      </c>
      <c r="G100" s="2">
        <f>G12/'Output-Calculation-sheet'!G11*'Output-Calculation-sheet'!G83</f>
        <v>3115652036.3900642</v>
      </c>
      <c r="H100" s="2">
        <f>H12/'Output-Calculation-sheet'!H11*'Output-Calculation-sheet'!H83</f>
        <v>1049846553.8357317</v>
      </c>
      <c r="I100" s="2">
        <f>I12/'Output-Calculation-sheet'!I11*'Output-Calculation-sheet'!I83</f>
        <v>2524397272.7986069</v>
      </c>
      <c r="J100" s="2">
        <f>J12/'Output-Calculation-sheet'!J11*'Output-Calculation-sheet'!J83</f>
        <v>1603793020.0683706</v>
      </c>
      <c r="K100" s="2">
        <f>K12/'Output-Calculation-sheet'!K11*'Output-Calculation-sheet'!K83</f>
        <v>2075972797.5496342</v>
      </c>
      <c r="L100" s="2">
        <f>L12/'Output-Calculation-sheet'!L11*'Output-Calculation-sheet'!L83</f>
        <v>1622034570.8607507</v>
      </c>
      <c r="M100" s="2">
        <f>M12/'Output-Calculation-sheet'!M11*'Output-Calculation-sheet'!M83</f>
        <v>786910730.08709061</v>
      </c>
      <c r="N100" s="2">
        <f>N12/'Output-Calculation-sheet'!N11*'Output-Calculation-sheet'!N83</f>
        <v>741292897.12887049</v>
      </c>
      <c r="O100" s="2">
        <f>O12/'Output-Calculation-sheet'!O11*'Output-Calculation-sheet'!O83</f>
        <v>199991373.76929682</v>
      </c>
      <c r="P100" s="2">
        <f>P12/'Output-Calculation-sheet'!P11*'Output-Calculation-sheet'!P83</f>
        <v>1756000371.8310833</v>
      </c>
      <c r="Q100" s="2">
        <f>Q12/'Output-Calculation-sheet'!Q11*'Output-Calculation-sheet'!Q83</f>
        <v>842136573.42231286</v>
      </c>
      <c r="R100" s="2">
        <f>R12/'Output-Calculation-sheet'!R11*'Output-Calculation-sheet'!R83</f>
        <v>1326534301.1480422</v>
      </c>
      <c r="S100" s="2">
        <f>S12/'Output-Calculation-sheet'!S11*'Output-Calculation-sheet'!S83</f>
        <v>514498256.85819799</v>
      </c>
      <c r="T100" s="2">
        <f>T12/'Output-Calculation-sheet'!T11*'Output-Calculation-sheet'!T83</f>
        <v>641290291.31210828</v>
      </c>
      <c r="U100" s="2">
        <f>U12/'Output-Calculation-sheet'!U11*'Output-Calculation-sheet'!U83</f>
        <v>351295724.88232923</v>
      </c>
      <c r="V100" s="2">
        <f>V12/'Output-Calculation-sheet'!V11*'Output-Calculation-sheet'!V83</f>
        <v>222033952.28876078</v>
      </c>
      <c r="W100" s="2">
        <f>W12/'Output-Calculation-sheet'!W11*'Output-Calculation-sheet'!W83</f>
        <v>700634702.79196906</v>
      </c>
      <c r="X100" s="2">
        <f>X12/'Output-Calculation-sheet'!X11*'Output-Calculation-sheet'!X83</f>
        <v>81527230.206774443</v>
      </c>
      <c r="Y100" s="2">
        <f>Y12/'Output-Calculation-sheet'!Y11*'Output-Calculation-sheet'!Y83</f>
        <v>300817436.70249277</v>
      </c>
      <c r="AA100" s="2">
        <f t="shared" si="8"/>
        <v>53.849567305323404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4.4756436543906916E-4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4028190170.5337715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2759909660.4278908</v>
      </c>
      <c r="N118" s="2">
        <f>N8/'Output-Calculation-sheet'!N7*'Output-Calculation-sheet'!N97</f>
        <v>1824472406.7461913</v>
      </c>
      <c r="O118" s="2">
        <f>O8/'Output-Calculation-sheet'!O7*'Output-Calculation-sheet'!O97</f>
        <v>2.462489073300722E-5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452287888.1650238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262303841.64394429</v>
      </c>
      <c r="Y118" s="2">
        <f>Y8/'Output-Calculation-sheet'!Y7*'Output-Calculation-sheet'!Y97</f>
        <v>0</v>
      </c>
      <c r="AA118" s="2">
        <f t="shared" si="10"/>
        <v>9327.1639675172937</v>
      </c>
    </row>
    <row r="119" spans="1:27" x14ac:dyDescent="0.25">
      <c r="A119" s="2">
        <v>2032</v>
      </c>
      <c r="B119" s="2">
        <f>B9/'Output-Calculation-sheet'!B8*'Output-Calculation-sheet'!B98</f>
        <v>4129353.1985225766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4434324013.2298822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3034562776.6777368</v>
      </c>
      <c r="N119" s="2">
        <f>N9/'Output-Calculation-sheet'!N8*'Output-Calculation-sheet'!N98</f>
        <v>2213978097.9399629</v>
      </c>
      <c r="O119" s="2">
        <f>O9/'Output-Calculation-sheet'!O8*'Output-Calculation-sheet'!O98</f>
        <v>2.2581062396059636E-4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696607090.72116899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292259262.39907116</v>
      </c>
      <c r="Y119" s="2">
        <f>Y9/'Output-Calculation-sheet'!Y8*'Output-Calculation-sheet'!Y98</f>
        <v>0</v>
      </c>
      <c r="AA119" s="2">
        <f t="shared" si="10"/>
        <v>10675.860594166568</v>
      </c>
    </row>
    <row r="120" spans="1:27" x14ac:dyDescent="0.25">
      <c r="A120" s="2">
        <v>2033</v>
      </c>
      <c r="B120" s="2">
        <f>B10/'Output-Calculation-sheet'!B9*'Output-Calculation-sheet'!B99</f>
        <v>5483190236.5023775</v>
      </c>
      <c r="C120" s="2">
        <f>C10/'Output-Calculation-sheet'!C9*'Output-Calculation-sheet'!C99</f>
        <v>10205724687.745903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4514462694.0650806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3092379316.2278614</v>
      </c>
      <c r="N120" s="2">
        <f>N10/'Output-Calculation-sheet'!N9*'Output-Calculation-sheet'!N99</f>
        <v>2444308701.8425431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855026275.37792242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297990181.19854641</v>
      </c>
      <c r="Y120" s="2">
        <f>Y10/'Output-Calculation-sheet'!Y9*'Output-Calculation-sheet'!Y99</f>
        <v>0</v>
      </c>
      <c r="AA120" s="2">
        <f t="shared" si="10"/>
        <v>26893.082092960234</v>
      </c>
    </row>
    <row r="121" spans="1:27" x14ac:dyDescent="0.25">
      <c r="A121" s="2">
        <v>2034</v>
      </c>
      <c r="B121" s="2">
        <f>B11/'Output-Calculation-sheet'!B10*'Output-Calculation-sheet'!B100</f>
        <v>8667587315.8106079</v>
      </c>
      <c r="C121" s="2">
        <f>C11/'Output-Calculation-sheet'!C10*'Output-Calculation-sheet'!C100</f>
        <v>10041912440.31646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4308580436.9822311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2951826064.265172</v>
      </c>
      <c r="N121" s="2">
        <f>N11/'Output-Calculation-sheet'!N10*'Output-Calculation-sheet'!N100</f>
        <v>2409986031.7234454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925163500.3689369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286157703.35785556</v>
      </c>
      <c r="Y121" s="2">
        <f>Y11/'Output-Calculation-sheet'!Y10*'Output-Calculation-sheet'!Y100</f>
        <v>0</v>
      </c>
      <c r="AA121" s="2">
        <f t="shared" si="10"/>
        <v>29591.213492824711</v>
      </c>
    </row>
    <row r="122" spans="1:27" x14ac:dyDescent="0.25">
      <c r="A122" s="2">
        <v>2035</v>
      </c>
      <c r="B122" s="2">
        <f>B12/'Output-Calculation-sheet'!B11*'Output-Calculation-sheet'!B101</f>
        <v>9429526458.5421944</v>
      </c>
      <c r="C122" s="2">
        <f>C12/'Output-Calculation-sheet'!C11*'Output-Calculation-sheet'!C101</f>
        <v>9216521416.0267258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3853384405.7895751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2636983040.3999724</v>
      </c>
      <c r="N122" s="2">
        <f>N12/'Output-Calculation-sheet'!N11*'Output-Calculation-sheet'!N101</f>
        <v>2203992072.4421935</v>
      </c>
      <c r="O122" s="2">
        <f>O12/'Output-Calculation-sheet'!O11*'Output-Calculation-sheet'!O101</f>
        <v>1575181280.537411</v>
      </c>
      <c r="P122" s="2">
        <f>P12/'Output-Calculation-sheet'!P11*'Output-Calculation-sheet'!P101</f>
        <v>0</v>
      </c>
      <c r="Q122" s="2">
        <f>Q12/'Output-Calculation-sheet'!Q11*'Output-Calculation-sheet'!Q101</f>
        <v>28754319.110818133</v>
      </c>
      <c r="R122" s="2">
        <f>R12/'Output-Calculation-sheet'!R11*'Output-Calculation-sheet'!R101</f>
        <v>0</v>
      </c>
      <c r="S122" s="2">
        <f>S12/'Output-Calculation-sheet'!S11*'Output-Calculation-sheet'!S101</f>
        <v>927947589.36027157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258178184.78426719</v>
      </c>
      <c r="Y122" s="2">
        <f>Y12/'Output-Calculation-sheet'!Y11*'Output-Calculation-sheet'!Y101</f>
        <v>0</v>
      </c>
      <c r="AA122" s="2">
        <f t="shared" si="10"/>
        <v>30130.468766993425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50483924827.198586</v>
      </c>
      <c r="C129" s="2">
        <f>C8/'Output-Calculation-sheet'!C7*'Output-Calculation-sheet'!C106</f>
        <v>0</v>
      </c>
      <c r="D129" s="2">
        <f>D8/'Output-Calculation-sheet'!D7*'Output-Calculation-sheet'!D106</f>
        <v>36545131225.826416</v>
      </c>
      <c r="E129" s="2">
        <f>E8/'Output-Calculation-sheet'!E7*'Output-Calculation-sheet'!E106</f>
        <v>25544701591.881191</v>
      </c>
      <c r="F129" s="2">
        <f>F8/'Output-Calculation-sheet'!F7*'Output-Calculation-sheet'!F106</f>
        <v>19018055785.429634</v>
      </c>
      <c r="G129" s="2">
        <f>G8/'Output-Calculation-sheet'!G7*'Output-Calculation-sheet'!G106</f>
        <v>13078426142.179001</v>
      </c>
      <c r="H129" s="2">
        <f>H8/'Output-Calculation-sheet'!H7*'Output-Calculation-sheet'!H106</f>
        <v>0</v>
      </c>
      <c r="I129" s="2">
        <f>I8/'Output-Calculation-sheet'!I7*'Output-Calculation-sheet'!I106</f>
        <v>11730342276.508905</v>
      </c>
      <c r="J129" s="2">
        <f>J8/'Output-Calculation-sheet'!J7*'Output-Calculation-sheet'!J106</f>
        <v>12018534353.247217</v>
      </c>
      <c r="K129" s="2">
        <f>K8/'Output-Calculation-sheet'!K7*'Output-Calculation-sheet'!K106</f>
        <v>10369327460.888245</v>
      </c>
      <c r="L129" s="2">
        <f>L8/'Output-Calculation-sheet'!L7*'Output-Calculation-sheet'!L106</f>
        <v>8203597442.901042</v>
      </c>
      <c r="M129" s="2">
        <f>M8/'Output-Calculation-sheet'!M7*'Output-Calculation-sheet'!M106</f>
        <v>0</v>
      </c>
      <c r="N129" s="2">
        <f>N8/'Output-Calculation-sheet'!N7*'Output-Calculation-sheet'!N106</f>
        <v>2232909995.3519883</v>
      </c>
      <c r="O129" s="2">
        <f>O8/'Output-Calculation-sheet'!O7*'Output-Calculation-sheet'!O106</f>
        <v>0</v>
      </c>
      <c r="P129" s="2">
        <f>P8/'Output-Calculation-sheet'!P7*'Output-Calculation-sheet'!P106</f>
        <v>5052025184.7935925</v>
      </c>
      <c r="Q129" s="2">
        <f>Q8/'Output-Calculation-sheet'!Q7*'Output-Calculation-sheet'!Q106</f>
        <v>4951256829.1107321</v>
      </c>
      <c r="R129" s="2">
        <f>R8/'Output-Calculation-sheet'!R7*'Output-Calculation-sheet'!R106</f>
        <v>5890587998.6622238</v>
      </c>
      <c r="S129" s="2">
        <f>S8/'Output-Calculation-sheet'!S7*'Output-Calculation-sheet'!S106</f>
        <v>2008870296.9875176</v>
      </c>
      <c r="T129" s="2">
        <f>T8/'Output-Calculation-sheet'!T7*'Output-Calculation-sheet'!T106</f>
        <v>2550286626.1155419</v>
      </c>
      <c r="U129" s="2">
        <f>U8/'Output-Calculation-sheet'!U7*'Output-Calculation-sheet'!U106</f>
        <v>1795343897.6722643</v>
      </c>
      <c r="V129" s="2">
        <f>V8/'Output-Calculation-sheet'!V7*'Output-Calculation-sheet'!V106</f>
        <v>1615202356.8837562</v>
      </c>
      <c r="W129" s="2">
        <f>W8/'Output-Calculation-sheet'!W7*'Output-Calculation-sheet'!W106</f>
        <v>1648071671.2833738</v>
      </c>
      <c r="X129" s="2">
        <f>X8/'Output-Calculation-sheet'!X7*'Output-Calculation-sheet'!X106</f>
        <v>0</v>
      </c>
      <c r="Y129" s="2">
        <f>Y8/'Output-Calculation-sheet'!Y7*'Output-Calculation-sheet'!Y106</f>
        <v>744147078.33958888</v>
      </c>
      <c r="AA129" s="2">
        <f t="shared" si="11"/>
        <v>215480.74304126084</v>
      </c>
    </row>
    <row r="130" spans="1:27" x14ac:dyDescent="0.25">
      <c r="A130" s="2">
        <v>2032</v>
      </c>
      <c r="B130" s="2">
        <f>B9/'Output-Calculation-sheet'!B8*'Output-Calculation-sheet'!B107</f>
        <v>54506048460.553253</v>
      </c>
      <c r="C130" s="2">
        <f>C9/'Output-Calculation-sheet'!C8*'Output-Calculation-sheet'!C107</f>
        <v>0</v>
      </c>
      <c r="D130" s="2">
        <f>D9/'Output-Calculation-sheet'!D8*'Output-Calculation-sheet'!D107</f>
        <v>39163088204.400291</v>
      </c>
      <c r="E130" s="2">
        <f>E9/'Output-Calculation-sheet'!E8*'Output-Calculation-sheet'!E107</f>
        <v>27410223574.568375</v>
      </c>
      <c r="F130" s="2">
        <f>F9/'Output-Calculation-sheet'!F8*'Output-Calculation-sheet'!F107</f>
        <v>20375010363.781048</v>
      </c>
      <c r="G130" s="2">
        <f>G9/'Output-Calculation-sheet'!G8*'Output-Calculation-sheet'!G107</f>
        <v>14004581283.526653</v>
      </c>
      <c r="H130" s="2">
        <f>H9/'Output-Calculation-sheet'!H8*'Output-Calculation-sheet'!H107</f>
        <v>0</v>
      </c>
      <c r="I130" s="2">
        <f>I9/'Output-Calculation-sheet'!I8*'Output-Calculation-sheet'!I107</f>
        <v>12571682318.0973</v>
      </c>
      <c r="J130" s="2">
        <f>J9/'Output-Calculation-sheet'!J8*'Output-Calculation-sheet'!J107</f>
        <v>12872649600.258448</v>
      </c>
      <c r="K130" s="2">
        <f>K9/'Output-Calculation-sheet'!K8*'Output-Calculation-sheet'!K107</f>
        <v>11123912275.33078</v>
      </c>
      <c r="L130" s="2">
        <f>L9/'Output-Calculation-sheet'!L8*'Output-Calculation-sheet'!L107</f>
        <v>8802999654.5604172</v>
      </c>
      <c r="M130" s="2">
        <f>M9/'Output-Calculation-sheet'!M8*'Output-Calculation-sheet'!M107</f>
        <v>0</v>
      </c>
      <c r="N130" s="2">
        <f>N9/'Output-Calculation-sheet'!N8*'Output-Calculation-sheet'!N107</f>
        <v>2125002572.3954496</v>
      </c>
      <c r="O130" s="2">
        <f>O9/'Output-Calculation-sheet'!O8*'Output-Calculation-sheet'!O107</f>
        <v>0</v>
      </c>
      <c r="P130" s="2">
        <f>P9/'Output-Calculation-sheet'!P8*'Output-Calculation-sheet'!P107</f>
        <v>5461139911.7538033</v>
      </c>
      <c r="Q130" s="2">
        <f>Q9/'Output-Calculation-sheet'!Q8*'Output-Calculation-sheet'!Q107</f>
        <v>5355497433.0295372</v>
      </c>
      <c r="R130" s="2">
        <f>R9/'Output-Calculation-sheet'!R8*'Output-Calculation-sheet'!R107</f>
        <v>6320210728.675333</v>
      </c>
      <c r="S130" s="2">
        <f>S9/'Output-Calculation-sheet'!S8*'Output-Calculation-sheet'!S107</f>
        <v>2030488261.8729274</v>
      </c>
      <c r="T130" s="2">
        <f>T9/'Output-Calculation-sheet'!T8*'Output-Calculation-sheet'!T107</f>
        <v>2733472053.4069686</v>
      </c>
      <c r="U130" s="2">
        <f>U9/'Output-Calculation-sheet'!U8*'Output-Calculation-sheet'!U107</f>
        <v>1928169064.9595079</v>
      </c>
      <c r="V130" s="2">
        <f>V9/'Output-Calculation-sheet'!V8*'Output-Calculation-sheet'!V107</f>
        <v>1735877448.6455607</v>
      </c>
      <c r="W130" s="2">
        <f>W9/'Output-Calculation-sheet'!W8*'Output-Calculation-sheet'!W107</f>
        <v>1766762061.0183434</v>
      </c>
      <c r="X130" s="2">
        <f>X9/'Output-Calculation-sheet'!X8*'Output-Calculation-sheet'!X107</f>
        <v>0</v>
      </c>
      <c r="Y130" s="2">
        <f>Y9/'Output-Calculation-sheet'!Y8*'Output-Calculation-sheet'!Y107</f>
        <v>798592662.1342243</v>
      </c>
      <c r="AA130" s="2">
        <f t="shared" si="11"/>
        <v>231085.40793296823</v>
      </c>
    </row>
    <row r="131" spans="1:27" x14ac:dyDescent="0.25">
      <c r="A131" s="2">
        <v>2033</v>
      </c>
      <c r="B131" s="2">
        <f>B10/'Output-Calculation-sheet'!B9*'Output-Calculation-sheet'!B108</f>
        <v>51208928664.207001</v>
      </c>
      <c r="C131" s="2">
        <f>C10/'Output-Calculation-sheet'!C9*'Output-Calculation-sheet'!C108</f>
        <v>0</v>
      </c>
      <c r="D131" s="2">
        <f>D10/'Output-Calculation-sheet'!D9*'Output-Calculation-sheet'!D108</f>
        <v>38906057208.040039</v>
      </c>
      <c r="E131" s="2">
        <f>E10/'Output-Calculation-sheet'!E9*'Output-Calculation-sheet'!E108</f>
        <v>27246140404.273045</v>
      </c>
      <c r="F131" s="2">
        <f>F10/'Output-Calculation-sheet'!F9*'Output-Calculation-sheet'!F108</f>
        <v>20246850222.900391</v>
      </c>
      <c r="G131" s="2">
        <f>G10/'Output-Calculation-sheet'!G9*'Output-Calculation-sheet'!G108</f>
        <v>13913027380.585379</v>
      </c>
      <c r="H131" s="2">
        <f>H10/'Output-Calculation-sheet'!H9*'Output-Calculation-sheet'!H108</f>
        <v>0</v>
      </c>
      <c r="I131" s="2">
        <f>I10/'Output-Calculation-sheet'!I9*'Output-Calculation-sheet'!I108</f>
        <v>12491834775.06925</v>
      </c>
      <c r="J131" s="2">
        <f>J10/'Output-Calculation-sheet'!J9*'Output-Calculation-sheet'!J108</f>
        <v>12786220057.26095</v>
      </c>
      <c r="K131" s="2">
        <f>K10/'Output-Calculation-sheet'!K9*'Output-Calculation-sheet'!K108</f>
        <v>11071926210.971142</v>
      </c>
      <c r="L131" s="2">
        <f>L10/'Output-Calculation-sheet'!L9*'Output-Calculation-sheet'!L108</f>
        <v>8755677214.0799026</v>
      </c>
      <c r="M131" s="2">
        <f>M10/'Output-Calculation-sheet'!M9*'Output-Calculation-sheet'!M108</f>
        <v>0</v>
      </c>
      <c r="N131" s="2">
        <f>N10/'Output-Calculation-sheet'!N9*'Output-Calculation-sheet'!N108</f>
        <v>1860814520.0501955</v>
      </c>
      <c r="O131" s="2">
        <f>O10/'Output-Calculation-sheet'!O9*'Output-Calculation-sheet'!O108</f>
        <v>0</v>
      </c>
      <c r="P131" s="2">
        <f>P10/'Output-Calculation-sheet'!P9*'Output-Calculation-sheet'!P108</f>
        <v>5461327570.2896519</v>
      </c>
      <c r="Q131" s="2">
        <f>Q10/'Output-Calculation-sheet'!Q9*'Output-Calculation-sheet'!Q108</f>
        <v>5364043723.0522957</v>
      </c>
      <c r="R131" s="2">
        <f>R10/'Output-Calculation-sheet'!R9*'Output-Calculation-sheet'!R108</f>
        <v>6295327818.1704464</v>
      </c>
      <c r="S131" s="2">
        <f>S10/'Output-Calculation-sheet'!S9*'Output-Calculation-sheet'!S108</f>
        <v>1892932366.2757204</v>
      </c>
      <c r="T131" s="2">
        <f>T10/'Output-Calculation-sheet'!T9*'Output-Calculation-sheet'!T108</f>
        <v>2718478748.5996394</v>
      </c>
      <c r="U131" s="2">
        <f>U10/'Output-Calculation-sheet'!U9*'Output-Calculation-sheet'!U108</f>
        <v>1918070108.5740271</v>
      </c>
      <c r="V131" s="2">
        <f>V10/'Output-Calculation-sheet'!V9*'Output-Calculation-sheet'!V108</f>
        <v>1728149238.2449245</v>
      </c>
      <c r="W131" s="2">
        <f>W10/'Output-Calculation-sheet'!W9*'Output-Calculation-sheet'!W108</f>
        <v>1754408907.1505103</v>
      </c>
      <c r="X131" s="2">
        <f>X10/'Output-Calculation-sheet'!X9*'Output-Calculation-sheet'!X108</f>
        <v>0</v>
      </c>
      <c r="Y131" s="2">
        <f>Y10/'Output-Calculation-sheet'!Y9*'Output-Calculation-sheet'!Y108</f>
        <v>794773462.37302053</v>
      </c>
      <c r="AA131" s="2">
        <f t="shared" si="11"/>
        <v>226414.98860016753</v>
      </c>
    </row>
    <row r="132" spans="1:27" x14ac:dyDescent="0.25">
      <c r="A132" s="2">
        <v>2034</v>
      </c>
      <c r="B132" s="2">
        <f>B11/'Output-Calculation-sheet'!B10*'Output-Calculation-sheet'!B109</f>
        <v>45544538469.187752</v>
      </c>
      <c r="C132" s="2">
        <f>C11/'Output-Calculation-sheet'!C10*'Output-Calculation-sheet'!C109</f>
        <v>0</v>
      </c>
      <c r="D132" s="2">
        <f>D11/'Output-Calculation-sheet'!D10*'Output-Calculation-sheet'!D109</f>
        <v>36194206566.799133</v>
      </c>
      <c r="E132" s="2">
        <f>E11/'Output-Calculation-sheet'!E10*'Output-Calculation-sheet'!E109</f>
        <v>25387549666.634491</v>
      </c>
      <c r="F132" s="2">
        <f>F11/'Output-Calculation-sheet'!F10*'Output-Calculation-sheet'!F109</f>
        <v>18845178345.11504</v>
      </c>
      <c r="G132" s="2">
        <f>G11/'Output-Calculation-sheet'!G10*'Output-Calculation-sheet'!G109</f>
        <v>12938085067.843184</v>
      </c>
      <c r="H132" s="2">
        <f>H11/'Output-Calculation-sheet'!H10*'Output-Calculation-sheet'!H109</f>
        <v>0</v>
      </c>
      <c r="I132" s="2">
        <f>I11/'Output-Calculation-sheet'!I10*'Output-Calculation-sheet'!I109</f>
        <v>11639140913.409241</v>
      </c>
      <c r="J132" s="2">
        <f>J11/'Output-Calculation-sheet'!J10*'Output-Calculation-sheet'!J109</f>
        <v>11893689026.453503</v>
      </c>
      <c r="K132" s="2">
        <f>K11/'Output-Calculation-sheet'!K10*'Output-Calculation-sheet'!K109</f>
        <v>10322827061.704918</v>
      </c>
      <c r="L132" s="2">
        <f>L11/'Output-Calculation-sheet'!L10*'Output-Calculation-sheet'!L109</f>
        <v>8155940850.2000895</v>
      </c>
      <c r="M132" s="2">
        <f>M11/'Output-Calculation-sheet'!M10*'Output-Calculation-sheet'!M109</f>
        <v>0</v>
      </c>
      <c r="N132" s="2">
        <f>N11/'Output-Calculation-sheet'!N10*'Output-Calculation-sheet'!N109</f>
        <v>1603558792.0922284</v>
      </c>
      <c r="O132" s="2">
        <f>O11/'Output-Calculation-sheet'!O10*'Output-Calculation-sheet'!O109</f>
        <v>0</v>
      </c>
      <c r="P132" s="2">
        <f>P11/'Output-Calculation-sheet'!P10*'Output-Calculation-sheet'!P109</f>
        <v>5113542131.6784449</v>
      </c>
      <c r="Q132" s="2">
        <f>Q11/'Output-Calculation-sheet'!Q10*'Output-Calculation-sheet'!Q109</f>
        <v>5033490687.9921694</v>
      </c>
      <c r="R132" s="2">
        <f>R11/'Output-Calculation-sheet'!R10*'Output-Calculation-sheet'!R109</f>
        <v>5870567014.7499981</v>
      </c>
      <c r="S132" s="2">
        <f>S11/'Output-Calculation-sheet'!S10*'Output-Calculation-sheet'!S109</f>
        <v>1714123464.6207669</v>
      </c>
      <c r="T132" s="2">
        <f>T11/'Output-Calculation-sheet'!T10*'Output-Calculation-sheet'!T109</f>
        <v>2532488344.524128</v>
      </c>
      <c r="U132" s="2">
        <f>U11/'Output-Calculation-sheet'!U10*'Output-Calculation-sheet'!U109</f>
        <v>1790385467.8575544</v>
      </c>
      <c r="V132" s="2">
        <f>V11/'Output-Calculation-sheet'!V10*'Output-Calculation-sheet'!V109</f>
        <v>1612976133.4219887</v>
      </c>
      <c r="W132" s="2">
        <f>W11/'Output-Calculation-sheet'!W10*'Output-Calculation-sheet'!W109</f>
        <v>1632450642.3292434</v>
      </c>
      <c r="X132" s="2">
        <f>X11/'Output-Calculation-sheet'!X10*'Output-Calculation-sheet'!X109</f>
        <v>0</v>
      </c>
      <c r="Y132" s="2">
        <f>Y11/'Output-Calculation-sheet'!Y10*'Output-Calculation-sheet'!Y109</f>
        <v>740590559.76757872</v>
      </c>
      <c r="AA132" s="2">
        <f t="shared" si="11"/>
        <v>208565.32920638143</v>
      </c>
    </row>
    <row r="133" spans="1:27" x14ac:dyDescent="0.25">
      <c r="A133" s="2">
        <v>2035</v>
      </c>
      <c r="B133" s="2">
        <f>B12/'Output-Calculation-sheet'!B11*'Output-Calculation-sheet'!B110</f>
        <v>38561795878.507843</v>
      </c>
      <c r="C133" s="2">
        <f>C12/'Output-Calculation-sheet'!C11*'Output-Calculation-sheet'!C110</f>
        <v>0</v>
      </c>
      <c r="D133" s="2">
        <f>D12/'Output-Calculation-sheet'!D11*'Output-Calculation-sheet'!D110</f>
        <v>31725284939.42823</v>
      </c>
      <c r="E133" s="2">
        <f>E12/'Output-Calculation-sheet'!E11*'Output-Calculation-sheet'!E110</f>
        <v>22267062527.32687</v>
      </c>
      <c r="F133" s="2">
        <f>F12/'Output-Calculation-sheet'!F11*'Output-Calculation-sheet'!F110</f>
        <v>16513585539.36957</v>
      </c>
      <c r="G133" s="2">
        <f>G12/'Output-Calculation-sheet'!G11*'Output-Calculation-sheet'!G110</f>
        <v>11323972887.519844</v>
      </c>
      <c r="H133" s="2">
        <f>H12/'Output-Calculation-sheet'!H11*'Output-Calculation-sheet'!H110</f>
        <v>0</v>
      </c>
      <c r="I133" s="2">
        <f>I12/'Output-Calculation-sheet'!I11*'Output-Calculation-sheet'!I110</f>
        <v>10199482553.219173</v>
      </c>
      <c r="J133" s="2">
        <f>J12/'Output-Calculation-sheet'!J11*'Output-Calculation-sheet'!J110</f>
        <v>10407005895.828417</v>
      </c>
      <c r="K133" s="2">
        <f>K12/'Output-Calculation-sheet'!K11*'Output-Calculation-sheet'!K110</f>
        <v>9054977825.4181786</v>
      </c>
      <c r="L133" s="2">
        <f>L12/'Output-Calculation-sheet'!L11*'Output-Calculation-sheet'!L110</f>
        <v>7148690549.1073093</v>
      </c>
      <c r="M133" s="2">
        <f>M12/'Output-Calculation-sheet'!M11*'Output-Calculation-sheet'!M110</f>
        <v>0</v>
      </c>
      <c r="N133" s="2">
        <f>N12/'Output-Calculation-sheet'!N11*'Output-Calculation-sheet'!N110</f>
        <v>1319748690.4927347</v>
      </c>
      <c r="O133" s="2">
        <f>O12/'Output-Calculation-sheet'!O11*'Output-Calculation-sheet'!O110</f>
        <v>0</v>
      </c>
      <c r="P133" s="2">
        <f>P12/'Output-Calculation-sheet'!P11*'Output-Calculation-sheet'!P110</f>
        <v>4507624250.8982563</v>
      </c>
      <c r="Q133" s="2">
        <f>Q12/'Output-Calculation-sheet'!Q11*'Output-Calculation-sheet'!Q110</f>
        <v>4429928954.4361897</v>
      </c>
      <c r="R133" s="2">
        <f>R12/'Output-Calculation-sheet'!R11*'Output-Calculation-sheet'!R110</f>
        <v>5160020375.5842199</v>
      </c>
      <c r="S133" s="2">
        <f>S12/'Output-Calculation-sheet'!S11*'Output-Calculation-sheet'!S110</f>
        <v>1389647629.6978631</v>
      </c>
      <c r="T133" s="2">
        <f>T12/'Output-Calculation-sheet'!T11*'Output-Calculation-sheet'!T110</f>
        <v>2220017718.845367</v>
      </c>
      <c r="U133" s="2">
        <f>U12/'Output-Calculation-sheet'!U11*'Output-Calculation-sheet'!U110</f>
        <v>1571769596.1387401</v>
      </c>
      <c r="V133" s="2">
        <f>V12/'Output-Calculation-sheet'!V11*'Output-Calculation-sheet'!V110</f>
        <v>1417749208.8586497</v>
      </c>
      <c r="W133" s="2">
        <f>W12/'Output-Calculation-sheet'!W11*'Output-Calculation-sheet'!W110</f>
        <v>1429650158.9609084</v>
      </c>
      <c r="X133" s="2">
        <f>X12/'Output-Calculation-sheet'!X11*'Output-Calculation-sheet'!X110</f>
        <v>0</v>
      </c>
      <c r="Y133" s="2">
        <f>Y12/'Output-Calculation-sheet'!Y11*'Output-Calculation-sheet'!Y110</f>
        <v>649948488.54421973</v>
      </c>
      <c r="AA133" s="2">
        <f t="shared" si="11"/>
        <v>181297.96366818258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62786119963.563095</v>
      </c>
      <c r="C151" s="2">
        <f>C8/'Output-Calculation-sheet'!C7*'Output-Calculation-sheet'!C124</f>
        <v>53378518885.258392</v>
      </c>
      <c r="D151" s="2">
        <f>D8/'Output-Calculation-sheet'!D7*'Output-Calculation-sheet'!D124</f>
        <v>11029452495.290516</v>
      </c>
      <c r="E151" s="2">
        <f>E8/'Output-Calculation-sheet'!E7*'Output-Calculation-sheet'!E124</f>
        <v>12200939675.937893</v>
      </c>
      <c r="F151" s="2">
        <f>F8/'Output-Calculation-sheet'!F7*'Output-Calculation-sheet'!F124</f>
        <v>5280161728.2851257</v>
      </c>
      <c r="G151" s="2">
        <f>G8/'Output-Calculation-sheet'!G7*'Output-Calculation-sheet'!G124</f>
        <v>3994209459.1020093</v>
      </c>
      <c r="H151" s="2">
        <f>H8/'Output-Calculation-sheet'!H7*'Output-Calculation-sheet'!H124</f>
        <v>12625528163.774652</v>
      </c>
      <c r="I151" s="2">
        <f>I8/'Output-Calculation-sheet'!I7*'Output-Calculation-sheet'!I124</f>
        <v>3824136494.5362916</v>
      </c>
      <c r="J151" s="2">
        <f>J8/'Output-Calculation-sheet'!J7*'Output-Calculation-sheet'!J124</f>
        <v>3121076087.3979049</v>
      </c>
      <c r="K151" s="2">
        <f>K8/'Output-Calculation-sheet'!K7*'Output-Calculation-sheet'!K124</f>
        <v>4625160167.6570826</v>
      </c>
      <c r="L151" s="2">
        <f>L8/'Output-Calculation-sheet'!L7*'Output-Calculation-sheet'!L124</f>
        <v>3825205150.2715244</v>
      </c>
      <c r="M151" s="2">
        <f>M8/'Output-Calculation-sheet'!M7*'Output-Calculation-sheet'!M124</f>
        <v>8729695282.7053318</v>
      </c>
      <c r="N151" s="2">
        <f>N8/'Output-Calculation-sheet'!N7*'Output-Calculation-sheet'!N124</f>
        <v>7219613112.0003414</v>
      </c>
      <c r="O151" s="2">
        <f>O8/'Output-Calculation-sheet'!O7*'Output-Calculation-sheet'!O124</f>
        <v>10371492574.308268</v>
      </c>
      <c r="P151" s="2">
        <f>P8/'Output-Calculation-sheet'!P7*'Output-Calculation-sheet'!P124</f>
        <v>5213991070.4085627</v>
      </c>
      <c r="Q151" s="2">
        <f>Q8/'Output-Calculation-sheet'!Q7*'Output-Calculation-sheet'!Q124</f>
        <v>5148824215.5052252</v>
      </c>
      <c r="R151" s="2">
        <f>R8/'Output-Calculation-sheet'!R7*'Output-Calculation-sheet'!R124</f>
        <v>3826173301.8080888</v>
      </c>
      <c r="S151" s="2">
        <f>S8/'Output-Calculation-sheet'!S7*'Output-Calculation-sheet'!S124</f>
        <v>3997084081.143127</v>
      </c>
      <c r="T151" s="2">
        <f>T8/'Output-Calculation-sheet'!T7*'Output-Calculation-sheet'!T124</f>
        <v>1021486794.68539</v>
      </c>
      <c r="U151" s="2">
        <f>U8/'Output-Calculation-sheet'!U7*'Output-Calculation-sheet'!U124</f>
        <v>1315554523.7550611</v>
      </c>
      <c r="V151" s="2">
        <f>V8/'Output-Calculation-sheet'!V7*'Output-Calculation-sheet'!V124</f>
        <v>780241281.94854629</v>
      </c>
      <c r="W151" s="2">
        <f>W8/'Output-Calculation-sheet'!W7*'Output-Calculation-sheet'!W124</f>
        <v>425867744.97872943</v>
      </c>
      <c r="X151" s="2">
        <f>X8/'Output-Calculation-sheet'!X7*'Output-Calculation-sheet'!X124</f>
        <v>982053333.28021133</v>
      </c>
      <c r="Y151" s="2">
        <f>Y8/'Output-Calculation-sheet'!Y7*'Output-Calculation-sheet'!Y124</f>
        <v>465978676.30326515</v>
      </c>
      <c r="AA151" s="2">
        <f t="shared" si="13"/>
        <v>226188.56426390461</v>
      </c>
    </row>
    <row r="152" spans="1:27" x14ac:dyDescent="0.25">
      <c r="A152" s="2">
        <v>2032</v>
      </c>
      <c r="B152" s="2">
        <f>B9/'Output-Calculation-sheet'!B8*'Output-Calculation-sheet'!B125</f>
        <v>66638087195.287239</v>
      </c>
      <c r="C152" s="2">
        <f>C9/'Output-Calculation-sheet'!C8*'Output-Calculation-sheet'!C125</f>
        <v>57091129864.890114</v>
      </c>
      <c r="D152" s="2">
        <f>D9/'Output-Calculation-sheet'!D8*'Output-Calculation-sheet'!D125</f>
        <v>11720428127.868689</v>
      </c>
      <c r="E152" s="2">
        <f>E9/'Output-Calculation-sheet'!E8*'Output-Calculation-sheet'!E125</f>
        <v>12960726451.347532</v>
      </c>
      <c r="F152" s="2">
        <f>F9/'Output-Calculation-sheet'!F8*'Output-Calculation-sheet'!F125</f>
        <v>5613209626.7879438</v>
      </c>
      <c r="G152" s="2">
        <f>G9/'Output-Calculation-sheet'!G8*'Output-Calculation-sheet'!G125</f>
        <v>4255499299.5234542</v>
      </c>
      <c r="H152" s="2">
        <f>H9/'Output-Calculation-sheet'!H8*'Output-Calculation-sheet'!H125</f>
        <v>13377702547.512352</v>
      </c>
      <c r="I152" s="2">
        <f>I9/'Output-Calculation-sheet'!I8*'Output-Calculation-sheet'!I125</f>
        <v>4064649787.8439894</v>
      </c>
      <c r="J152" s="2">
        <f>J9/'Output-Calculation-sheet'!J8*'Output-Calculation-sheet'!J125</f>
        <v>3319957446.0990162</v>
      </c>
      <c r="K152" s="2">
        <f>K9/'Output-Calculation-sheet'!K8*'Output-Calculation-sheet'!K125</f>
        <v>4913479887.9648237</v>
      </c>
      <c r="L152" s="2">
        <f>L9/'Output-Calculation-sheet'!L8*'Output-Calculation-sheet'!L125</f>
        <v>4062436579.1077137</v>
      </c>
      <c r="M152" s="2">
        <f>M9/'Output-Calculation-sheet'!M8*'Output-Calculation-sheet'!M125</f>
        <v>9254173246.7913952</v>
      </c>
      <c r="N152" s="2">
        <f>N9/'Output-Calculation-sheet'!N8*'Output-Calculation-sheet'!N125</f>
        <v>7722358400.6328068</v>
      </c>
      <c r="O152" s="2">
        <f>O9/'Output-Calculation-sheet'!O8*'Output-Calculation-sheet'!O125</f>
        <v>11092856111.751411</v>
      </c>
      <c r="P152" s="2">
        <f>P9/'Output-Calculation-sheet'!P8*'Output-Calculation-sheet'!P125</f>
        <v>5518902656.6784992</v>
      </c>
      <c r="Q152" s="2">
        <f>Q9/'Output-Calculation-sheet'!Q8*'Output-Calculation-sheet'!Q125</f>
        <v>5447069790.7555313</v>
      </c>
      <c r="R152" s="2">
        <f>R9/'Output-Calculation-sheet'!R8*'Output-Calculation-sheet'!R125</f>
        <v>4072375893.365478</v>
      </c>
      <c r="S152" s="2">
        <f>S9/'Output-Calculation-sheet'!S8*'Output-Calculation-sheet'!S125</f>
        <v>4180334464.7120872</v>
      </c>
      <c r="T152" s="2">
        <f>T9/'Output-Calculation-sheet'!T8*'Output-Calculation-sheet'!T125</f>
        <v>1086727241.6173944</v>
      </c>
      <c r="U152" s="2">
        <f>U9/'Output-Calculation-sheet'!U8*'Output-Calculation-sheet'!U125</f>
        <v>1399100208.9588125</v>
      </c>
      <c r="V152" s="2">
        <f>V9/'Output-Calculation-sheet'!V8*'Output-Calculation-sheet'!V125</f>
        <v>826175353.20482326</v>
      </c>
      <c r="W152" s="2">
        <f>W9/'Output-Calculation-sheet'!W8*'Output-Calculation-sheet'!W125</f>
        <v>451425304.62042546</v>
      </c>
      <c r="X152" s="2">
        <f>X9/'Output-Calculation-sheet'!X8*'Output-Calculation-sheet'!X125</f>
        <v>1038645970.524117</v>
      </c>
      <c r="Y152" s="2">
        <f>Y9/'Output-Calculation-sheet'!Y8*'Output-Calculation-sheet'!Y125</f>
        <v>495700399.08151668</v>
      </c>
      <c r="AA152" s="2">
        <f t="shared" si="13"/>
        <v>240603.15185692714</v>
      </c>
    </row>
    <row r="153" spans="1:27" x14ac:dyDescent="0.25">
      <c r="A153" s="2">
        <v>2033</v>
      </c>
      <c r="B153" s="2">
        <f>B10/'Output-Calculation-sheet'!B9*'Output-Calculation-sheet'!B126</f>
        <v>63450996966.572624</v>
      </c>
      <c r="C153" s="2">
        <f>C10/'Output-Calculation-sheet'!C9*'Output-Calculation-sheet'!C126</f>
        <v>46411854273.209846</v>
      </c>
      <c r="D153" s="2">
        <f>D10/'Output-Calculation-sheet'!D9*'Output-Calculation-sheet'!D126</f>
        <v>11555284094.848948</v>
      </c>
      <c r="E153" s="2">
        <f>E10/'Output-Calculation-sheet'!E9*'Output-Calculation-sheet'!E126</f>
        <v>12789856217.44031</v>
      </c>
      <c r="F153" s="2">
        <f>F10/'Output-Calculation-sheet'!F9*'Output-Calculation-sheet'!F126</f>
        <v>5525748318.3487844</v>
      </c>
      <c r="G153" s="2">
        <f>G10/'Output-Calculation-sheet'!G9*'Output-Calculation-sheet'!G126</f>
        <v>4195551289.6195035</v>
      </c>
      <c r="H153" s="2">
        <f>H10/'Output-Calculation-sheet'!H9*'Output-Calculation-sheet'!H126</f>
        <v>13149779409.575285</v>
      </c>
      <c r="I153" s="2">
        <f>I10/'Output-Calculation-sheet'!I9*'Output-Calculation-sheet'!I126</f>
        <v>4006465892.5606303</v>
      </c>
      <c r="J153" s="2">
        <f>J10/'Output-Calculation-sheet'!J9*'Output-Calculation-sheet'!J126</f>
        <v>3272040254.9375148</v>
      </c>
      <c r="K153" s="2">
        <f>K10/'Output-Calculation-sheet'!K9*'Output-Calculation-sheet'!K126</f>
        <v>4832405444.8016357</v>
      </c>
      <c r="L153" s="2">
        <f>L10/'Output-Calculation-sheet'!L9*'Output-Calculation-sheet'!L126</f>
        <v>4003015887.2058716</v>
      </c>
      <c r="M153" s="2">
        <f>M10/'Output-Calculation-sheet'!M9*'Output-Calculation-sheet'!M126</f>
        <v>9094398394.1036053</v>
      </c>
      <c r="N153" s="2">
        <f>N10/'Output-Calculation-sheet'!N9*'Output-Calculation-sheet'!N126</f>
        <v>7656144223.848218</v>
      </c>
      <c r="O153" s="2">
        <f>O10/'Output-Calculation-sheet'!O9*'Output-Calculation-sheet'!O126</f>
        <v>11000819884.8463</v>
      </c>
      <c r="P153" s="2">
        <f>P10/'Output-Calculation-sheet'!P9*'Output-Calculation-sheet'!P126</f>
        <v>5427614772.9999628</v>
      </c>
      <c r="Q153" s="2">
        <f>Q10/'Output-Calculation-sheet'!Q9*'Output-Calculation-sheet'!Q126</f>
        <v>5348895769.3216715</v>
      </c>
      <c r="R153" s="2">
        <f>R10/'Output-Calculation-sheet'!R9*'Output-Calculation-sheet'!R126</f>
        <v>4011032637.1517739</v>
      </c>
      <c r="S153" s="2">
        <f>S10/'Output-Calculation-sheet'!S9*'Output-Calculation-sheet'!S126</f>
        <v>4102160977.8466525</v>
      </c>
      <c r="T153" s="2">
        <f>T10/'Output-Calculation-sheet'!T9*'Output-Calculation-sheet'!T126</f>
        <v>1070024766.2219008</v>
      </c>
      <c r="U153" s="2">
        <f>U10/'Output-Calculation-sheet'!U9*'Output-Calculation-sheet'!U126</f>
        <v>1381593172.1912458</v>
      </c>
      <c r="V153" s="2">
        <f>V10/'Output-Calculation-sheet'!V9*'Output-Calculation-sheet'!V126</f>
        <v>812646488.72424972</v>
      </c>
      <c r="W153" s="2">
        <f>W10/'Output-Calculation-sheet'!W9*'Output-Calculation-sheet'!W126</f>
        <v>445374181.63064682</v>
      </c>
      <c r="X153" s="2">
        <f>X10/'Output-Calculation-sheet'!X9*'Output-Calculation-sheet'!X126</f>
        <v>1021872804.3534448</v>
      </c>
      <c r="Y153" s="2">
        <f>Y10/'Output-Calculation-sheet'!Y9*'Output-Calculation-sheet'!Y126</f>
        <v>488780989.35714638</v>
      </c>
      <c r="AA153" s="2">
        <f t="shared" si="13"/>
        <v>225054.35711171778</v>
      </c>
    </row>
    <row r="154" spans="1:27" x14ac:dyDescent="0.25">
      <c r="A154" s="2">
        <v>2034</v>
      </c>
      <c r="B154" s="2">
        <f>B11/'Output-Calculation-sheet'!B10*'Output-Calculation-sheet'!B127</f>
        <v>57413316344.106255</v>
      </c>
      <c r="C154" s="2">
        <f>C11/'Output-Calculation-sheet'!C10*'Output-Calculation-sheet'!C127</f>
        <v>42561704697.873528</v>
      </c>
      <c r="D154" s="2">
        <f>D11/'Output-Calculation-sheet'!D10*'Output-Calculation-sheet'!D127</f>
        <v>10689621168.641132</v>
      </c>
      <c r="E154" s="2">
        <f>E11/'Output-Calculation-sheet'!E10*'Output-Calculation-sheet'!E127</f>
        <v>11810053563.394653</v>
      </c>
      <c r="F154" s="2">
        <f>F11/'Output-Calculation-sheet'!F10*'Output-Calculation-sheet'!F127</f>
        <v>5100245164.6941118</v>
      </c>
      <c r="G154" s="2">
        <f>G11/'Output-Calculation-sheet'!G10*'Output-Calculation-sheet'!G127</f>
        <v>3886667186.9496427</v>
      </c>
      <c r="H154" s="2">
        <f>H11/'Output-Calculation-sheet'!H10*'Output-Calculation-sheet'!H127</f>
        <v>12103336951.731697</v>
      </c>
      <c r="I154" s="2">
        <f>I11/'Output-Calculation-sheet'!I10*'Output-Calculation-sheet'!I127</f>
        <v>3689497141.4927039</v>
      </c>
      <c r="J154" s="2">
        <f>J11/'Output-Calculation-sheet'!J10*'Output-Calculation-sheet'!J127</f>
        <v>3026104311.0682521</v>
      </c>
      <c r="K154" s="2">
        <f>K11/'Output-Calculation-sheet'!K10*'Output-Calculation-sheet'!K127</f>
        <v>4453952003.4436884</v>
      </c>
      <c r="L154" s="2">
        <f>L11/'Output-Calculation-sheet'!L10*'Output-Calculation-sheet'!L127</f>
        <v>3698211506.7302413</v>
      </c>
      <c r="M154" s="2">
        <f>M11/'Output-Calculation-sheet'!M10*'Output-Calculation-sheet'!M127</f>
        <v>8370957434.9125967</v>
      </c>
      <c r="N154" s="2">
        <f>N11/'Output-Calculation-sheet'!N10*'Output-Calculation-sheet'!N127</f>
        <v>7099716194.2360163</v>
      </c>
      <c r="O154" s="2">
        <f>O11/'Output-Calculation-sheet'!O10*'Output-Calculation-sheet'!O127</f>
        <v>10220905380.424507</v>
      </c>
      <c r="P154" s="2">
        <f>P11/'Output-Calculation-sheet'!P10*'Output-Calculation-sheet'!P127</f>
        <v>5003417381.2184458</v>
      </c>
      <c r="Q154" s="2">
        <f>Q11/'Output-Calculation-sheet'!Q10*'Output-Calculation-sheet'!Q127</f>
        <v>4919943878.1530933</v>
      </c>
      <c r="R154" s="2">
        <f>R11/'Output-Calculation-sheet'!R10*'Output-Calculation-sheet'!R127</f>
        <v>3705113355.7198691</v>
      </c>
      <c r="S154" s="2">
        <f>S11/'Output-Calculation-sheet'!S10*'Output-Calculation-sheet'!S127</f>
        <v>3725186338.6726327</v>
      </c>
      <c r="T154" s="2">
        <f>T11/'Output-Calculation-sheet'!T10*'Output-Calculation-sheet'!T127</f>
        <v>987425294.97981143</v>
      </c>
      <c r="U154" s="2">
        <f>U11/'Output-Calculation-sheet'!U10*'Output-Calculation-sheet'!U127</f>
        <v>1275344771.6148801</v>
      </c>
      <c r="V154" s="2">
        <f>V11/'Output-Calculation-sheet'!V10*'Output-Calculation-sheet'!V127</f>
        <v>747687252.41451776</v>
      </c>
      <c r="W154" s="2">
        <f>W11/'Output-Calculation-sheet'!W10*'Output-Calculation-sheet'!W127</f>
        <v>411376749.98941326</v>
      </c>
      <c r="X154" s="2">
        <f>X11/'Output-Calculation-sheet'!X10*'Output-Calculation-sheet'!X127</f>
        <v>940132230.63464022</v>
      </c>
      <c r="Y154" s="2">
        <f>Y11/'Output-Calculation-sheet'!Y10*'Output-Calculation-sheet'!Y127</f>
        <v>451964971.46408153</v>
      </c>
      <c r="AA154" s="2">
        <f t="shared" si="13"/>
        <v>206291.88127456044</v>
      </c>
    </row>
    <row r="155" spans="1:27" x14ac:dyDescent="0.25">
      <c r="A155" s="2">
        <v>2035</v>
      </c>
      <c r="B155" s="2">
        <f>B12/'Output-Calculation-sheet'!B11*'Output-Calculation-sheet'!B128</f>
        <v>49622982335.102753</v>
      </c>
      <c r="C155" s="2">
        <f>C12/'Output-Calculation-sheet'!C11*'Output-Calculation-sheet'!C128</f>
        <v>36784337506.106133</v>
      </c>
      <c r="D155" s="2">
        <f>D12/'Output-Calculation-sheet'!D11*'Output-Calculation-sheet'!D128</f>
        <v>9273727322.9416065</v>
      </c>
      <c r="E155" s="2">
        <f>E12/'Output-Calculation-sheet'!E11*'Output-Calculation-sheet'!E128</f>
        <v>10261528153.156065</v>
      </c>
      <c r="F155" s="2">
        <f>F12/'Output-Calculation-sheet'!F11*'Output-Calculation-sheet'!F128</f>
        <v>4426228114.8765812</v>
      </c>
      <c r="G155" s="2">
        <f>G12/'Output-Calculation-sheet'!G11*'Output-Calculation-sheet'!G128</f>
        <v>3388950308.4260635</v>
      </c>
      <c r="H155" s="2">
        <f>H12/'Output-Calculation-sheet'!H11*'Output-Calculation-sheet'!H128</f>
        <v>10498522616.76827</v>
      </c>
      <c r="I155" s="2">
        <f>I12/'Output-Calculation-sheet'!I11*'Output-Calculation-sheet'!I128</f>
        <v>3205117466.1350522</v>
      </c>
      <c r="J155" s="2">
        <f>J12/'Output-Calculation-sheet'!J11*'Output-Calculation-sheet'!J128</f>
        <v>2640067258.6550713</v>
      </c>
      <c r="K155" s="2">
        <f>K12/'Output-Calculation-sheet'!K11*'Output-Calculation-sheet'!K128</f>
        <v>3867030820.0890951</v>
      </c>
      <c r="L155" s="2">
        <f>L12/'Output-Calculation-sheet'!L11*'Output-Calculation-sheet'!L128</f>
        <v>3217538358.1191597</v>
      </c>
      <c r="M155" s="2">
        <f>M12/'Output-Calculation-sheet'!M11*'Output-Calculation-sheet'!M128</f>
        <v>7264573990.8644676</v>
      </c>
      <c r="N155" s="2">
        <f>N12/'Output-Calculation-sheet'!N11*'Output-Calculation-sheet'!N128</f>
        <v>6194592876.6297112</v>
      </c>
      <c r="O155" s="2">
        <f>O12/'Output-Calculation-sheet'!O11*'Output-Calculation-sheet'!O128</f>
        <v>7362785137.780098</v>
      </c>
      <c r="P155" s="2">
        <f>P12/'Output-Calculation-sheet'!P11*'Output-Calculation-sheet'!P128</f>
        <v>4339463698.4156923</v>
      </c>
      <c r="Q155" s="2">
        <f>Q12/'Output-Calculation-sheet'!Q11*'Output-Calculation-sheet'!Q128</f>
        <v>4245403608.8420572</v>
      </c>
      <c r="R155" s="2">
        <f>R12/'Output-Calculation-sheet'!R11*'Output-Calculation-sheet'!R128</f>
        <v>3213728474.0914745</v>
      </c>
      <c r="S155" s="2">
        <f>S12/'Output-Calculation-sheet'!S11*'Output-Calculation-sheet'!S128</f>
        <v>3248014632.5078559</v>
      </c>
      <c r="T155" s="2">
        <f>T12/'Output-Calculation-sheet'!T11*'Output-Calculation-sheet'!T128</f>
        <v>858079256.97376359</v>
      </c>
      <c r="U155" s="2">
        <f>U12/'Output-Calculation-sheet'!U11*'Output-Calculation-sheet'!U128</f>
        <v>1109152706.297992</v>
      </c>
      <c r="V155" s="2">
        <f>V12/'Output-Calculation-sheet'!V11*'Output-Calculation-sheet'!V128</f>
        <v>646605854.19316018</v>
      </c>
      <c r="W155" s="2">
        <f>W12/'Output-Calculation-sheet'!W11*'Output-Calculation-sheet'!W128</f>
        <v>357637525.09296346</v>
      </c>
      <c r="X155" s="2">
        <f>X12/'Output-Calculation-sheet'!X11*'Output-Calculation-sheet'!X128</f>
        <v>814188740.65295494</v>
      </c>
      <c r="Y155" s="2">
        <f>Y12/'Output-Calculation-sheet'!Y11*'Output-Calculation-sheet'!Y128</f>
        <v>392918453.69640726</v>
      </c>
      <c r="AA155" s="2">
        <f t="shared" si="13"/>
        <v>177233.17521641441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2.7684053123650141E-10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2507.0299188572835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1716.9281066411029</v>
      </c>
      <c r="N19" s="2">
        <f>N8/'Output-Calculation-sheet'!N7*'Output-Calculation-sheet'!N25</f>
        <v>1154.8828162669338</v>
      </c>
      <c r="O19" s="2">
        <f>O8/'Output-Calculation-sheet'!O7*'Output-Calculation-sheet'!O25</f>
        <v>1.5236296545729567E-11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306.32649564675393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162.94203935490816</v>
      </c>
      <c r="Y19" s="2">
        <f>Y8/'Output-Calculation-sheet'!Y7*'Output-Calculation-sheet'!Y25</f>
        <v>0</v>
      </c>
      <c r="AA19" s="2">
        <f t="shared" si="0"/>
        <v>5.8481093767672743</v>
      </c>
    </row>
    <row r="20" spans="1:27" x14ac:dyDescent="0.25">
      <c r="A20" s="2">
        <v>2032</v>
      </c>
      <c r="B20" s="2">
        <f>B9/'Output-Calculation-sheet'!B8*'Output-Calculation-sheet'!B26</f>
        <v>2.7173706948147167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2821.1725423022067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1929.3088460480708</v>
      </c>
      <c r="N20" s="2">
        <f>N9/'Output-Calculation-sheet'!N8*'Output-Calculation-sheet'!N26</f>
        <v>1405.0743535536481</v>
      </c>
      <c r="O20" s="2">
        <f>O9/'Output-Calculation-sheet'!O8*'Output-Calculation-sheet'!O26</f>
        <v>1.4225326064646457E-10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483.41618762985803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185.7032391546897</v>
      </c>
      <c r="Y20" s="2">
        <f>Y9/'Output-Calculation-sheet'!Y8*'Output-Calculation-sheet'!Y26</f>
        <v>0</v>
      </c>
      <c r="AA20" s="2">
        <f t="shared" si="0"/>
        <v>6.8273925393834292</v>
      </c>
    </row>
    <row r="21" spans="1:27" x14ac:dyDescent="0.25">
      <c r="A21" s="2">
        <v>2033</v>
      </c>
      <c r="B21" s="2">
        <f>B10/'Output-Calculation-sheet'!B9*'Output-Calculation-sheet'!B27</f>
        <v>4244.6750647602048</v>
      </c>
      <c r="C21" s="2">
        <f>C10/'Output-Calculation-sheet'!C9*'Output-Calculation-sheet'!C27</f>
        <v>6623.6727319176434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2971.7979636879904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2034.3528253833479</v>
      </c>
      <c r="N21" s="2">
        <f>N10/'Output-Calculation-sheet'!N9*'Output-Calculation-sheet'!N27</f>
        <v>1589.4975207218201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606.37765029062734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195.81697657552738</v>
      </c>
      <c r="Y21" s="2">
        <f>Y10/'Output-Calculation-sheet'!Y9*'Output-Calculation-sheet'!Y27</f>
        <v>0</v>
      </c>
      <c r="AA21" s="2">
        <f t="shared" si="0"/>
        <v>18.266190733337162</v>
      </c>
    </row>
    <row r="22" spans="1:27" x14ac:dyDescent="0.25">
      <c r="A22" s="2">
        <v>2034</v>
      </c>
      <c r="B22" s="2">
        <f>B11/'Output-Calculation-sheet'!B10*'Output-Calculation-sheet'!B28</f>
        <v>7034.8800819548596</v>
      </c>
      <c r="C22" s="2">
        <f>C11/'Output-Calculation-sheet'!C10*'Output-Calculation-sheet'!C28</f>
        <v>6815.7264525681221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2977.8074893938028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2038.6325178519262</v>
      </c>
      <c r="N22" s="2">
        <f>N11/'Output-Calculation-sheet'!N10*'Output-Calculation-sheet'!N28</f>
        <v>1634.7275465700388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666.85645087114676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197.5159449690201</v>
      </c>
      <c r="Y22" s="2">
        <f>Y11/'Output-Calculation-sheet'!Y10*'Output-Calculation-sheet'!Y28</f>
        <v>0</v>
      </c>
      <c r="AA22" s="2">
        <f t="shared" si="0"/>
        <v>21.366146484178916</v>
      </c>
    </row>
    <row r="23" spans="1:27" x14ac:dyDescent="0.25">
      <c r="A23" s="2">
        <v>2035</v>
      </c>
      <c r="B23" s="2">
        <f>B12/'Output-Calculation-sheet'!B11*'Output-Calculation-sheet'!B29</f>
        <v>8130.5457657352372</v>
      </c>
      <c r="C23" s="2">
        <f>C12/'Output-Calculation-sheet'!C11*'Output-Calculation-sheet'!C29</f>
        <v>6662.3597403090971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2842.4367920453851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1942.9291753947589</v>
      </c>
      <c r="N23" s="2">
        <f>N12/'Output-Calculation-sheet'!N11*'Output-Calculation-sheet'!N29</f>
        <v>1588.1692500984336</v>
      </c>
      <c r="O23" s="2">
        <f>O12/'Output-Calculation-sheet'!O11*'Output-Calculation-sheet'!O29</f>
        <v>1132.7539022954288</v>
      </c>
      <c r="P23" s="2">
        <f>P12/'Output-Calculation-sheet'!P11*'Output-Calculation-sheet'!P29</f>
        <v>0</v>
      </c>
      <c r="Q23" s="2">
        <f>Q12/'Output-Calculation-sheet'!Q11*'Output-Calculation-sheet'!Q29</f>
        <v>21.680625601632681</v>
      </c>
      <c r="R23" s="2">
        <f>R12/'Output-Calculation-sheet'!R11*'Output-Calculation-sheet'!R29</f>
        <v>0</v>
      </c>
      <c r="S23" s="2">
        <f>S12/'Output-Calculation-sheet'!S11*'Output-Calculation-sheet'!S29</f>
        <v>697.45807395390625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190.45812517233554</v>
      </c>
      <c r="Y23" s="2">
        <f>Y12/'Output-Calculation-sheet'!Y11*'Output-Calculation-sheet'!Y29</f>
        <v>0</v>
      </c>
      <c r="AA23" s="2">
        <f t="shared" si="0"/>
        <v>23.208791450606217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19704.878440720113</v>
      </c>
      <c r="C30" s="2">
        <f>C8/'Output-Calculation-sheet'!C7*'Output-Calculation-sheet'!C16</f>
        <v>0</v>
      </c>
      <c r="D30" s="2">
        <f>D8/'Output-Calculation-sheet'!D7*'Output-Calculation-sheet'!D16</f>
        <v>6151.1562709715135</v>
      </c>
      <c r="E30" s="2">
        <f>E8/'Output-Calculation-sheet'!E7*'Output-Calculation-sheet'!E16</f>
        <v>6362.3301600441637</v>
      </c>
      <c r="F30" s="2">
        <f>F8/'Output-Calculation-sheet'!F7*'Output-Calculation-sheet'!F16</f>
        <v>3564.4457234847873</v>
      </c>
      <c r="G30" s="2">
        <f>G8/'Output-Calculation-sheet'!G7*'Output-Calculation-sheet'!G16</f>
        <v>2149.7526147598924</v>
      </c>
      <c r="H30" s="2">
        <f>H8/'Output-Calculation-sheet'!H7*'Output-Calculation-sheet'!H16</f>
        <v>0</v>
      </c>
      <c r="I30" s="2">
        <f>I8/'Output-Calculation-sheet'!I7*'Output-Calculation-sheet'!I16</f>
        <v>2175.7807697935659</v>
      </c>
      <c r="J30" s="2">
        <f>J8/'Output-Calculation-sheet'!J7*'Output-Calculation-sheet'!J16</f>
        <v>1985.9415695717942</v>
      </c>
      <c r="K30" s="2">
        <f>K8/'Output-Calculation-sheet'!K7*'Output-Calculation-sheet'!K16</f>
        <v>2456.0883915777104</v>
      </c>
      <c r="L30" s="2">
        <f>L8/'Output-Calculation-sheet'!L7*'Output-Calculation-sheet'!L16</f>
        <v>2026.9165589165812</v>
      </c>
      <c r="M30" s="2">
        <f>M8/'Output-Calculation-sheet'!M7*'Output-Calculation-sheet'!M16</f>
        <v>0</v>
      </c>
      <c r="N30" s="2">
        <f>N8/'Output-Calculation-sheet'!N7*'Output-Calculation-sheet'!N16</f>
        <v>994.51415107660466</v>
      </c>
      <c r="O30" s="2">
        <f>O8/'Output-Calculation-sheet'!O7*'Output-Calculation-sheet'!O16</f>
        <v>0</v>
      </c>
      <c r="P30" s="2">
        <f>P8/'Output-Calculation-sheet'!P7*'Output-Calculation-sheet'!P16</f>
        <v>1615.5580077343504</v>
      </c>
      <c r="Q30" s="2">
        <f>Q8/'Output-Calculation-sheet'!Q7*'Output-Calculation-sheet'!Q16</f>
        <v>1771.9744384428632</v>
      </c>
      <c r="R30" s="2">
        <f>R8/'Output-Calculation-sheet'!R7*'Output-Calculation-sheet'!R16</f>
        <v>1552.4957909123586</v>
      </c>
      <c r="S30" s="2">
        <f>S8/'Output-Calculation-sheet'!S7*'Output-Calculation-sheet'!S16</f>
        <v>829.08666926312196</v>
      </c>
      <c r="T30" s="2">
        <f>T8/'Output-Calculation-sheet'!T7*'Output-Calculation-sheet'!T16</f>
        <v>566.37527351765766</v>
      </c>
      <c r="U30" s="2">
        <f>U8/'Output-Calculation-sheet'!U7*'Output-Calculation-sheet'!U16</f>
        <v>435.29881720241781</v>
      </c>
      <c r="V30" s="2">
        <f>V8/'Output-Calculation-sheet'!V7*'Output-Calculation-sheet'!V16</f>
        <v>416.83500210312178</v>
      </c>
      <c r="W30" s="2">
        <f>W8/'Output-Calculation-sheet'!W7*'Output-Calculation-sheet'!W16</f>
        <v>289.38734606479875</v>
      </c>
      <c r="X30" s="2">
        <f>X8/'Output-Calculation-sheet'!X7*'Output-Calculation-sheet'!X16</f>
        <v>0</v>
      </c>
      <c r="Y30" s="2">
        <f>Y8/'Output-Calculation-sheet'!Y7*'Output-Calculation-sheet'!Y16</f>
        <v>191.31349962872173</v>
      </c>
      <c r="AA30" s="2">
        <f t="shared" si="1"/>
        <v>55.240129495786135</v>
      </c>
    </row>
    <row r="31" spans="1:27" x14ac:dyDescent="0.25">
      <c r="A31" s="2">
        <v>2032</v>
      </c>
      <c r="B31" s="2">
        <f>B9/'Output-Calculation-sheet'!B8*'Output-Calculation-sheet'!B17</f>
        <v>21730.910495386677</v>
      </c>
      <c r="C31" s="2">
        <f>C9/'Output-Calculation-sheet'!C8*'Output-Calculation-sheet'!C17</f>
        <v>0</v>
      </c>
      <c r="D31" s="2">
        <f>D9/'Output-Calculation-sheet'!D8*'Output-Calculation-sheet'!D17</f>
        <v>6737.004236573267</v>
      </c>
      <c r="E31" s="2">
        <f>E9/'Output-Calculation-sheet'!E8*'Output-Calculation-sheet'!E17</f>
        <v>6976.9436000746409</v>
      </c>
      <c r="F31" s="2">
        <f>F9/'Output-Calculation-sheet'!F8*'Output-Calculation-sheet'!F17</f>
        <v>3897.7532182744453</v>
      </c>
      <c r="G31" s="2">
        <f>G9/'Output-Calculation-sheet'!G8*'Output-Calculation-sheet'!G17</f>
        <v>2349.7192070888045</v>
      </c>
      <c r="H31" s="2">
        <f>H9/'Output-Calculation-sheet'!H8*'Output-Calculation-sheet'!H17</f>
        <v>0</v>
      </c>
      <c r="I31" s="2">
        <f>I9/'Output-Calculation-sheet'!I8*'Output-Calculation-sheet'!I17</f>
        <v>2382.3178556405969</v>
      </c>
      <c r="J31" s="2">
        <f>J9/'Output-Calculation-sheet'!J8*'Output-Calculation-sheet'!J17</f>
        <v>2172.8347707239236</v>
      </c>
      <c r="K31" s="2">
        <f>K9/'Output-Calculation-sheet'!K8*'Output-Calculation-sheet'!K17</f>
        <v>2691.450018378403</v>
      </c>
      <c r="L31" s="2">
        <f>L9/'Output-Calculation-sheet'!L8*'Output-Calculation-sheet'!L17</f>
        <v>2221.7514953571135</v>
      </c>
      <c r="M31" s="2">
        <f>M9/'Output-Calculation-sheet'!M8*'Output-Calculation-sheet'!M17</f>
        <v>0</v>
      </c>
      <c r="N31" s="2">
        <f>N9/'Output-Calculation-sheet'!N8*'Output-Calculation-sheet'!N17</f>
        <v>982.78490884663233</v>
      </c>
      <c r="O31" s="2">
        <f>O9/'Output-Calculation-sheet'!O8*'Output-Calculation-sheet'!O17</f>
        <v>0</v>
      </c>
      <c r="P31" s="2">
        <f>P9/'Output-Calculation-sheet'!P8*'Output-Calculation-sheet'!P17</f>
        <v>1787.3492480359516</v>
      </c>
      <c r="Q31" s="2">
        <f>Q9/'Output-Calculation-sheet'!Q8*'Output-Calculation-sheet'!Q17</f>
        <v>1958.7627353227986</v>
      </c>
      <c r="R31" s="2">
        <f>R9/'Output-Calculation-sheet'!R8*'Output-Calculation-sheet'!R17</f>
        <v>1700.7017547949899</v>
      </c>
      <c r="S31" s="2">
        <f>S9/'Output-Calculation-sheet'!S8*'Output-Calculation-sheet'!S17</f>
        <v>848.56289233458358</v>
      </c>
      <c r="T31" s="2">
        <f>T9/'Output-Calculation-sheet'!T8*'Output-Calculation-sheet'!T17</f>
        <v>619.74978645042472</v>
      </c>
      <c r="U31" s="2">
        <f>U9/'Output-Calculation-sheet'!U8*'Output-Calculation-sheet'!U17</f>
        <v>477.98195558353223</v>
      </c>
      <c r="V31" s="2">
        <f>V9/'Output-Calculation-sheet'!V8*'Output-Calculation-sheet'!V17</f>
        <v>458.04694946554571</v>
      </c>
      <c r="W31" s="2">
        <f>W9/'Output-Calculation-sheet'!W8*'Output-Calculation-sheet'!W17</f>
        <v>317.18081517695271</v>
      </c>
      <c r="X31" s="2">
        <f>X9/'Output-Calculation-sheet'!X8*'Output-Calculation-sheet'!X17</f>
        <v>0</v>
      </c>
      <c r="Y31" s="2">
        <f>Y9/'Output-Calculation-sheet'!Y8*'Output-Calculation-sheet'!Y17</f>
        <v>209.68728469151316</v>
      </c>
      <c r="AA31" s="2">
        <f t="shared" si="1"/>
        <v>60.521493228200811</v>
      </c>
    </row>
    <row r="32" spans="1:27" x14ac:dyDescent="0.25">
      <c r="A32" s="2">
        <v>2033</v>
      </c>
      <c r="B32" s="2">
        <f>B10/'Output-Calculation-sheet'!B9*'Output-Calculation-sheet'!B18</f>
        <v>20714.718680383146</v>
      </c>
      <c r="C32" s="2">
        <f>C10/'Output-Calculation-sheet'!C9*'Output-Calculation-sheet'!C18</f>
        <v>0</v>
      </c>
      <c r="D32" s="2">
        <f>D10/'Output-Calculation-sheet'!D9*'Output-Calculation-sheet'!D18</f>
        <v>6915.4512012418409</v>
      </c>
      <c r="E32" s="2">
        <f>E10/'Output-Calculation-sheet'!E9*'Output-Calculation-sheet'!E18</f>
        <v>7161.1537469037075</v>
      </c>
      <c r="F32" s="2">
        <f>F10/'Output-Calculation-sheet'!F9*'Output-Calculation-sheet'!F18</f>
        <v>3999.9566101496803</v>
      </c>
      <c r="G32" s="2">
        <f>G10/'Output-Calculation-sheet'!G9*'Output-Calculation-sheet'!G18</f>
        <v>2412.4387505009386</v>
      </c>
      <c r="H32" s="2">
        <f>H10/'Output-Calculation-sheet'!H9*'Output-Calculation-sheet'!H18</f>
        <v>0</v>
      </c>
      <c r="I32" s="2">
        <f>I10/'Output-Calculation-sheet'!I9*'Output-Calculation-sheet'!I18</f>
        <v>2445.6536528187976</v>
      </c>
      <c r="J32" s="2">
        <f>J10/'Output-Calculation-sheet'!J9*'Output-Calculation-sheet'!J18</f>
        <v>2230.5465458959848</v>
      </c>
      <c r="K32" s="2">
        <f>K10/'Output-Calculation-sheet'!K9*'Output-Calculation-sheet'!K18</f>
        <v>2769.2587941752595</v>
      </c>
      <c r="L32" s="2">
        <f>L10/'Output-Calculation-sheet'!L9*'Output-Calculation-sheet'!L18</f>
        <v>2282.245439905977</v>
      </c>
      <c r="M32" s="2">
        <f>M10/'Output-Calculation-sheet'!M9*'Output-Calculation-sheet'!M18</f>
        <v>0</v>
      </c>
      <c r="N32" s="2">
        <f>N10/'Output-Calculation-sheet'!N9*'Output-Calculation-sheet'!N18</f>
        <v>903.34771887973648</v>
      </c>
      <c r="O32" s="2">
        <f>O10/'Output-Calculation-sheet'!O9*'Output-Calculation-sheet'!O18</f>
        <v>0</v>
      </c>
      <c r="P32" s="2">
        <f>P10/'Output-Calculation-sheet'!P9*'Output-Calculation-sheet'!P18</f>
        <v>1848.2773466426279</v>
      </c>
      <c r="Q32" s="2">
        <f>Q10/'Output-Calculation-sheet'!Q9*'Output-Calculation-sheet'!Q18</f>
        <v>2027.0688645585906</v>
      </c>
      <c r="R32" s="2">
        <f>R10/'Output-Calculation-sheet'!R9*'Output-Calculation-sheet'!R18</f>
        <v>1750.8890099314012</v>
      </c>
      <c r="S32" s="2">
        <f>S10/'Output-Calculation-sheet'!S9*'Output-Calculation-sheet'!S18</f>
        <v>814.97635729863646</v>
      </c>
      <c r="T32" s="2">
        <f>T10/'Output-Calculation-sheet'!T9*'Output-Calculation-sheet'!T18</f>
        <v>636.87418257235299</v>
      </c>
      <c r="U32" s="2">
        <f>U10/'Output-Calculation-sheet'!U9*'Output-Calculation-sheet'!U18</f>
        <v>491.17564134825329</v>
      </c>
      <c r="V32" s="2">
        <f>V10/'Output-Calculation-sheet'!V9*'Output-Calculation-sheet'!V18</f>
        <v>471.1963740621145</v>
      </c>
      <c r="W32" s="2">
        <f>W10/'Output-Calculation-sheet'!W9*'Output-Calculation-sheet'!W18</f>
        <v>325.14231089541641</v>
      </c>
      <c r="X32" s="2">
        <f>X10/'Output-Calculation-sheet'!X9*'Output-Calculation-sheet'!X18</f>
        <v>0</v>
      </c>
      <c r="Y32" s="2">
        <f>Y10/'Output-Calculation-sheet'!Y9*'Output-Calculation-sheet'!Y18</f>
        <v>215.58423380771836</v>
      </c>
      <c r="AA32" s="2">
        <f t="shared" si="1"/>
        <v>60.415955461972189</v>
      </c>
    </row>
    <row r="33" spans="1:27" x14ac:dyDescent="0.25">
      <c r="A33" s="2">
        <v>2034</v>
      </c>
      <c r="B33" s="2">
        <f>B11/'Output-Calculation-sheet'!B10*'Output-Calculation-sheet'!B19</f>
        <v>19035.353574348814</v>
      </c>
      <c r="C33" s="2">
        <f>C11/'Output-Calculation-sheet'!C10*'Output-Calculation-sheet'!C19</f>
        <v>0</v>
      </c>
      <c r="D33" s="2">
        <f>D11/'Output-Calculation-sheet'!D10*'Output-Calculation-sheet'!D19</f>
        <v>6730.5060432427881</v>
      </c>
      <c r="E33" s="2">
        <f>E11/'Output-Calculation-sheet'!E10*'Output-Calculation-sheet'!E19</f>
        <v>6986.0934451638232</v>
      </c>
      <c r="F33" s="2">
        <f>F11/'Output-Calculation-sheet'!F10*'Output-Calculation-sheet'!F19</f>
        <v>3894.9671510535877</v>
      </c>
      <c r="G33" s="2">
        <f>G11/'Output-Calculation-sheet'!G10*'Output-Calculation-sheet'!G19</f>
        <v>2345.437520199202</v>
      </c>
      <c r="H33" s="2">
        <f>H11/'Output-Calculation-sheet'!H10*'Output-Calculation-sheet'!H19</f>
        <v>0</v>
      </c>
      <c r="I33" s="2">
        <f>I11/'Output-Calculation-sheet'!I10*'Output-Calculation-sheet'!I19</f>
        <v>2388.8456327797235</v>
      </c>
      <c r="J33" s="2">
        <f>J11/'Output-Calculation-sheet'!J10*'Output-Calculation-sheet'!J19</f>
        <v>2171.0298351321317</v>
      </c>
      <c r="K33" s="2">
        <f>K11/'Output-Calculation-sheet'!K10*'Output-Calculation-sheet'!K19</f>
        <v>2704.1780914866094</v>
      </c>
      <c r="L33" s="2">
        <f>L11/'Output-Calculation-sheet'!L10*'Output-Calculation-sheet'!L19</f>
        <v>2224.1555367249521</v>
      </c>
      <c r="M33" s="2">
        <f>M11/'Output-Calculation-sheet'!M10*'Output-Calculation-sheet'!M19</f>
        <v>0</v>
      </c>
      <c r="N33" s="2">
        <f>N11/'Output-Calculation-sheet'!N10*'Output-Calculation-sheet'!N19</f>
        <v>824.23353389717204</v>
      </c>
      <c r="O33" s="2">
        <f>O11/'Output-Calculation-sheet'!O10*'Output-Calculation-sheet'!O19</f>
        <v>0</v>
      </c>
      <c r="P33" s="2">
        <f>P11/'Output-Calculation-sheet'!P10*'Output-Calculation-sheet'!P19</f>
        <v>1812.9089425873428</v>
      </c>
      <c r="Q33" s="2">
        <f>Q11/'Output-Calculation-sheet'!Q10*'Output-Calculation-sheet'!Q19</f>
        <v>1991.6610859036991</v>
      </c>
      <c r="R33" s="2">
        <f>R11/'Output-Calculation-sheet'!R10*'Output-Calculation-sheet'!R19</f>
        <v>1709.1551911683505</v>
      </c>
      <c r="S33" s="2">
        <f>S11/'Output-Calculation-sheet'!S10*'Output-Calculation-sheet'!S19</f>
        <v>788.29174610074301</v>
      </c>
      <c r="T33" s="2">
        <f>T11/'Output-Calculation-sheet'!T10*'Output-Calculation-sheet'!T19</f>
        <v>621.12150931937117</v>
      </c>
      <c r="U33" s="2">
        <f>U11/'Output-Calculation-sheet'!U10*'Output-Calculation-sheet'!U19</f>
        <v>480.64209771876875</v>
      </c>
      <c r="V33" s="2">
        <f>V11/'Output-Calculation-sheet'!V10*'Output-Calculation-sheet'!V19</f>
        <v>460.77271351744588</v>
      </c>
      <c r="W33" s="2">
        <f>W11/'Output-Calculation-sheet'!W10*'Output-Calculation-sheet'!W19</f>
        <v>316.57187130047799</v>
      </c>
      <c r="X33" s="2">
        <f>X11/'Output-Calculation-sheet'!X10*'Output-Calculation-sheet'!X19</f>
        <v>0</v>
      </c>
      <c r="Y33" s="2">
        <f>Y11/'Output-Calculation-sheet'!Y10*'Output-Calculation-sheet'!Y19</f>
        <v>210.19131113760503</v>
      </c>
      <c r="AA33" s="2">
        <f t="shared" si="1"/>
        <v>57.6961168327826</v>
      </c>
    </row>
    <row r="34" spans="1:27" x14ac:dyDescent="0.25">
      <c r="A34" s="2">
        <v>2035</v>
      </c>
      <c r="B34" s="2">
        <f>B12/'Output-Calculation-sheet'!B11*'Output-Calculation-sheet'!B20</f>
        <v>16994.822051668343</v>
      </c>
      <c r="C34" s="2">
        <f>C12/'Output-Calculation-sheet'!C11*'Output-Calculation-sheet'!C20</f>
        <v>0</v>
      </c>
      <c r="D34" s="2">
        <f>D12/'Output-Calculation-sheet'!D11*'Output-Calculation-sheet'!D20</f>
        <v>6285.1801892429403</v>
      </c>
      <c r="E34" s="2">
        <f>E12/'Output-Calculation-sheet'!E11*'Output-Calculation-sheet'!E20</f>
        <v>6521.1466341464238</v>
      </c>
      <c r="F34" s="2">
        <f>F12/'Output-Calculation-sheet'!F11*'Output-Calculation-sheet'!F20</f>
        <v>3630.4667267563418</v>
      </c>
      <c r="G34" s="2">
        <f>G12/'Output-Calculation-sheet'!G11*'Output-Calculation-sheet'!G20</f>
        <v>2181.347800987312</v>
      </c>
      <c r="H34" s="2">
        <f>H12/'Output-Calculation-sheet'!H11*'Output-Calculation-sheet'!H20</f>
        <v>0</v>
      </c>
      <c r="I34" s="2">
        <f>I12/'Output-Calculation-sheet'!I11*'Output-Calculation-sheet'!I20</f>
        <v>2227.9886180135886</v>
      </c>
      <c r="J34" s="2">
        <f>J12/'Output-Calculation-sheet'!J11*'Output-Calculation-sheet'!J20</f>
        <v>2017.8210602882027</v>
      </c>
      <c r="K34" s="2">
        <f>K12/'Output-Calculation-sheet'!K11*'Output-Calculation-sheet'!K20</f>
        <v>2524.1853768777055</v>
      </c>
      <c r="L34" s="2">
        <f>L12/'Output-Calculation-sheet'!L11*'Output-Calculation-sheet'!L20</f>
        <v>2072.5178231357581</v>
      </c>
      <c r="M34" s="2">
        <f>M12/'Output-Calculation-sheet'!M11*'Output-Calculation-sheet'!M20</f>
        <v>0</v>
      </c>
      <c r="N34" s="2">
        <f>N12/'Output-Calculation-sheet'!N11*'Output-Calculation-sheet'!N20</f>
        <v>729.13110381319768</v>
      </c>
      <c r="O34" s="2">
        <f>O12/'Output-Calculation-sheet'!O11*'Output-Calculation-sheet'!O20</f>
        <v>0</v>
      </c>
      <c r="P34" s="2">
        <f>P12/'Output-Calculation-sheet'!P11*'Output-Calculation-sheet'!P20</f>
        <v>1701.8520921762849</v>
      </c>
      <c r="Q34" s="2">
        <f>Q12/'Output-Calculation-sheet'!Q11*'Output-Calculation-sheet'!Q20</f>
        <v>1866.1590765584817</v>
      </c>
      <c r="R34" s="2">
        <f>R12/'Output-Calculation-sheet'!R11*'Output-Calculation-sheet'!R20</f>
        <v>1600.23509383896</v>
      </c>
      <c r="S34" s="2">
        <f>S12/'Output-Calculation-sheet'!S11*'Output-Calculation-sheet'!S20</f>
        <v>688.178325701625</v>
      </c>
      <c r="T34" s="2">
        <f>T12/'Output-Calculation-sheet'!T11*'Output-Calculation-sheet'!T20</f>
        <v>579.22375749326125</v>
      </c>
      <c r="U34" s="2">
        <f>U12/'Output-Calculation-sheet'!U11*'Output-Calculation-sheet'!U20</f>
        <v>449.29377834650433</v>
      </c>
      <c r="V34" s="2">
        <f>V12/'Output-Calculation-sheet'!V11*'Output-Calculation-sheet'!V20</f>
        <v>431.4854878709362</v>
      </c>
      <c r="W34" s="2">
        <f>W12/'Output-Calculation-sheet'!W11*'Output-Calculation-sheet'!W20</f>
        <v>294.85412574285607</v>
      </c>
      <c r="X34" s="2">
        <f>X12/'Output-Calculation-sheet'!X11*'Output-Calculation-sheet'!X20</f>
        <v>0</v>
      </c>
      <c r="Y34" s="2">
        <f>Y12/'Output-Calculation-sheet'!Y11*'Output-Calculation-sheet'!Y20</f>
        <v>196.2832226040135</v>
      </c>
      <c r="AA34" s="2">
        <f t="shared" si="1"/>
        <v>52.992172345262723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6.1449777393028731</v>
      </c>
      <c r="C63" s="2">
        <f>C8*'Output-Calculation-sheet'!C52/10^9</f>
        <v>2.9568283320941156</v>
      </c>
      <c r="D63" s="2">
        <f>D8*'Output-Calculation-sheet'!D52/10^9</f>
        <v>1.3448249087365791</v>
      </c>
      <c r="E63" s="2">
        <f>E8*'Output-Calculation-sheet'!E52/10^9</f>
        <v>1.4963454687200597</v>
      </c>
      <c r="F63" s="2">
        <f>F8*'Output-Calculation-sheet'!F52/10^9</f>
        <v>0.69114830511352787</v>
      </c>
      <c r="G63" s="2">
        <f>G8*'Output-Calculation-sheet'!G52/10^9</f>
        <v>0.47772638886467977</v>
      </c>
      <c r="H63" s="2">
        <f>H8*'Output-Calculation-sheet'!H52/10^9</f>
        <v>0.9008275227410254</v>
      </c>
      <c r="I63" s="2">
        <f>I8*'Output-Calculation-sheet'!I52/10^9</f>
        <v>0.47141168224699503</v>
      </c>
      <c r="J63" s="2">
        <f>J8*'Output-Calculation-sheet'!J52/10^9</f>
        <v>0.42553592668234613</v>
      </c>
      <c r="K63" s="2">
        <f>K8*'Output-Calculation-sheet'!K52/10^9</f>
        <v>0.54922716870770072</v>
      </c>
      <c r="L63" s="2">
        <f>L8*'Output-Calculation-sheet'!L52/10^9</f>
        <v>0.45371146327812711</v>
      </c>
      <c r="M63" s="2">
        <f>M8*'Output-Calculation-sheet'!M52/10^9</f>
        <v>0.62236552439274306</v>
      </c>
      <c r="N63" s="2">
        <f>N8*'Output-Calculation-sheet'!N52/10^9</f>
        <v>0.65049582808607687</v>
      </c>
      <c r="O63" s="2">
        <f>O8*'Output-Calculation-sheet'!O52/10^9</f>
        <v>0.57451848308013054</v>
      </c>
      <c r="P63" s="2">
        <f>P8*'Output-Calculation-sheet'!P52/10^9</f>
        <v>0.48156157710673991</v>
      </c>
      <c r="Q63" s="2">
        <f>Q8*'Output-Calculation-sheet'!Q52/10^9</f>
        <v>0.49661503263991713</v>
      </c>
      <c r="R63" s="2">
        <f>R8*'Output-Calculation-sheet'!R52/10^9</f>
        <v>0.39716379644976063</v>
      </c>
      <c r="S63" s="2">
        <f>S8*'Output-Calculation-sheet'!S52/10^9</f>
        <v>0.36611545999084855</v>
      </c>
      <c r="T63" s="2">
        <f>T8*'Output-Calculation-sheet'!T52/10^9</f>
        <v>0.12415470285278173</v>
      </c>
      <c r="U63" s="2">
        <f>U8*'Output-Calculation-sheet'!U52/10^9</f>
        <v>0.12480620456374499</v>
      </c>
      <c r="V63" s="2">
        <f>V8*'Output-Calculation-sheet'!V52/10^9</f>
        <v>9.2950668578925935E-2</v>
      </c>
      <c r="W63" s="2">
        <f>W8*'Output-Calculation-sheet'!W52/10^9</f>
        <v>5.8114992649193502E-2</v>
      </c>
      <c r="X63" s="2">
        <f>X8*'Output-Calculation-sheet'!X52/10^9</f>
        <v>7.4010411060402667E-2</v>
      </c>
      <c r="Y63" s="2">
        <f>Y8*'Output-Calculation-sheet'!Y52/10^9</f>
        <v>4.8636650775354659E-2</v>
      </c>
      <c r="AA63" s="2">
        <f t="shared" si="4"/>
        <v>20.024074238714643</v>
      </c>
    </row>
    <row r="64" spans="1:27" x14ac:dyDescent="0.25">
      <c r="A64" s="2">
        <v>2032</v>
      </c>
      <c r="B64" s="2">
        <f>B9*'Output-Calculation-sheet'!B53/10^9</f>
        <v>6.6702764926834552</v>
      </c>
      <c r="C64" s="2">
        <f>C9*'Output-Calculation-sheet'!C53/10^9</f>
        <v>3.2210695737415884</v>
      </c>
      <c r="D64" s="2">
        <f>D9*'Output-Calculation-sheet'!D53/10^9</f>
        <v>1.457580017318487</v>
      </c>
      <c r="E64" s="2">
        <f>E9*'Output-Calculation-sheet'!E53/10^9</f>
        <v>1.6223858194488647</v>
      </c>
      <c r="F64" s="2">
        <f>F9*'Output-Calculation-sheet'!F53/10^9</f>
        <v>0.74861548041535053</v>
      </c>
      <c r="G64" s="2">
        <f>G9*'Output-Calculation-sheet'!G53/10^9</f>
        <v>0.51782781229518471</v>
      </c>
      <c r="H64" s="2">
        <f>H9*'Output-Calculation-sheet'!H53/10^9</f>
        <v>0.9722555927285359</v>
      </c>
      <c r="I64" s="2">
        <f>I9*'Output-Calculation-sheet'!I53/10^9</f>
        <v>0.51091436453106043</v>
      </c>
      <c r="J64" s="2">
        <f>J9*'Output-Calculation-sheet'!J53/10^9</f>
        <v>0.46116770993139067</v>
      </c>
      <c r="K64" s="2">
        <f>K9*'Output-Calculation-sheet'!K53/10^9</f>
        <v>0.59534669921464356</v>
      </c>
      <c r="L64" s="2">
        <f>L9*'Output-Calculation-sheet'!L53/10^9</f>
        <v>0.49181158561693722</v>
      </c>
      <c r="M64" s="2">
        <f>M9*'Output-Calculation-sheet'!M53/10^9</f>
        <v>0.67174660115085816</v>
      </c>
      <c r="N64" s="2">
        <f>N9*'Output-Calculation-sheet'!N53/10^9</f>
        <v>0.70301170779767252</v>
      </c>
      <c r="O64" s="2">
        <f>O9*'Output-Calculation-sheet'!O53/10^9</f>
        <v>0.62586115849713697</v>
      </c>
      <c r="P64" s="2">
        <f>P9*'Output-Calculation-sheet'!P53/10^9</f>
        <v>0.52263563586789641</v>
      </c>
      <c r="Q64" s="2">
        <f>Q9*'Output-Calculation-sheet'!Q53/10^9</f>
        <v>0.53884630769609043</v>
      </c>
      <c r="R64" s="2">
        <f>R9*'Output-Calculation-sheet'!R53/10^9</f>
        <v>0.43078351269776038</v>
      </c>
      <c r="S64" s="2">
        <f>S9*'Output-Calculation-sheet'!S53/10^9</f>
        <v>0.39644238236574647</v>
      </c>
      <c r="T64" s="2">
        <f>T9*'Output-Calculation-sheet'!T53/10^9</f>
        <v>0.13456695513142086</v>
      </c>
      <c r="U64" s="2">
        <f>U9*'Output-Calculation-sheet'!U53/10^9</f>
        <v>0.13543408520960742</v>
      </c>
      <c r="V64" s="2">
        <f>V9*'Output-Calculation-sheet'!V53/10^9</f>
        <v>0.10075368643973996</v>
      </c>
      <c r="W64" s="2">
        <f>W9*'Output-Calculation-sheet'!W53/10^9</f>
        <v>6.2959390349498975E-2</v>
      </c>
      <c r="X64" s="2">
        <f>X9*'Output-Calculation-sheet'!X53/10^9</f>
        <v>7.9959770479490738E-2</v>
      </c>
      <c r="Y64" s="2">
        <f>Y9*'Output-Calculation-sheet'!Y53/10^9</f>
        <v>5.2752128756464123E-2</v>
      </c>
      <c r="AA64" s="2">
        <f t="shared" si="4"/>
        <v>21.72500447036488</v>
      </c>
    </row>
    <row r="65" spans="1:27" x14ac:dyDescent="0.25">
      <c r="A65" s="2">
        <v>2033</v>
      </c>
      <c r="B65" s="2">
        <f>B10*'Output-Calculation-sheet'!B54/10^9</f>
        <v>6.7821258160556255</v>
      </c>
      <c r="C65" s="2">
        <f>C10*'Output-Calculation-sheet'!C54/10^9</f>
        <v>3.2831583330339837</v>
      </c>
      <c r="D65" s="2">
        <f>D10*'Output-Calculation-sheet'!D54/10^9</f>
        <v>1.4813099121958935</v>
      </c>
      <c r="E65" s="2">
        <f>E10*'Output-Calculation-sheet'!E54/10^9</f>
        <v>1.6493915784243058</v>
      </c>
      <c r="F65" s="2">
        <f>F10*'Output-Calculation-sheet'!F54/10^9</f>
        <v>0.76030913494496277</v>
      </c>
      <c r="G65" s="2">
        <f>G10*'Output-Calculation-sheet'!G54/10^9</f>
        <v>0.52630855636529628</v>
      </c>
      <c r="H65" s="2">
        <f>H10*'Output-Calculation-sheet'!H54/10^9</f>
        <v>0.98360659001567152</v>
      </c>
      <c r="I65" s="2">
        <f>I10*'Output-Calculation-sheet'!I54/10^9</f>
        <v>0.51921011357151803</v>
      </c>
      <c r="J65" s="2">
        <f>J10*'Output-Calculation-sheet'!J54/10^9</f>
        <v>0.46862854371341967</v>
      </c>
      <c r="K65" s="2">
        <f>K10*'Output-Calculation-sheet'!K54/10^9</f>
        <v>0.60510458727279626</v>
      </c>
      <c r="L65" s="2">
        <f>L10*'Output-Calculation-sheet'!L54/10^9</f>
        <v>0.49987631729924514</v>
      </c>
      <c r="M65" s="2">
        <f>M10*'Output-Calculation-sheet'!M54/10^9</f>
        <v>0.67961856608818649</v>
      </c>
      <c r="N65" s="2">
        <f>N10*'Output-Calculation-sheet'!N54/10^9</f>
        <v>0.71200339211879315</v>
      </c>
      <c r="O65" s="2">
        <f>O10*'Output-Calculation-sheet'!O54/10^9</f>
        <v>0.63932314947433</v>
      </c>
      <c r="P65" s="2">
        <f>P10*'Output-Calculation-sheet'!P54/10^9</f>
        <v>0.53184890863131629</v>
      </c>
      <c r="Q65" s="2">
        <f>Q10*'Output-Calculation-sheet'!Q54/10^9</f>
        <v>0.54821195246149712</v>
      </c>
      <c r="R65" s="2">
        <f>R10*'Output-Calculation-sheet'!R54/10^9</f>
        <v>0.43812194851587777</v>
      </c>
      <c r="S65" s="2">
        <f>S10*'Output-Calculation-sheet'!S54/10^9</f>
        <v>0.40216396560036016</v>
      </c>
      <c r="T65" s="2">
        <f>T10*'Output-Calculation-sheet'!T54/10^9</f>
        <v>0.13675960186519659</v>
      </c>
      <c r="U65" s="2">
        <f>U10*'Output-Calculation-sheet'!U54/10^9</f>
        <v>0.13780601779293333</v>
      </c>
      <c r="V65" s="2">
        <f>V10*'Output-Calculation-sheet'!V54/10^9</f>
        <v>0.10240216447287782</v>
      </c>
      <c r="W65" s="2">
        <f>W10*'Output-Calculation-sheet'!W54/10^9</f>
        <v>6.395508255247731E-2</v>
      </c>
      <c r="X65" s="2">
        <f>X10*'Output-Calculation-sheet'!X54/10^9</f>
        <v>8.0971932593560558E-2</v>
      </c>
      <c r="Y65" s="2">
        <f>Y10*'Output-Calculation-sheet'!Y54/10^9</f>
        <v>5.3649445786204938E-2</v>
      </c>
      <c r="AA65" s="2">
        <f t="shared" si="4"/>
        <v>22.08586561084633</v>
      </c>
    </row>
    <row r="66" spans="1:27" x14ac:dyDescent="0.25">
      <c r="A66" s="2">
        <v>2034</v>
      </c>
      <c r="B66" s="2">
        <f>B11*'Output-Calculation-sheet'!B55/10^9</f>
        <v>6.5358761404602586</v>
      </c>
      <c r="C66" s="2">
        <f>C11*'Output-Calculation-sheet'!C55/10^9</f>
        <v>3.1577819780199219</v>
      </c>
      <c r="D66" s="2">
        <f>D11*'Output-Calculation-sheet'!D55/10^9</f>
        <v>1.4290940448980485</v>
      </c>
      <c r="E66" s="2">
        <f>E11*'Output-Calculation-sheet'!E55/10^9</f>
        <v>1.5918206067687395</v>
      </c>
      <c r="F66" s="2">
        <f>F11*'Output-Calculation-sheet'!F55/10^9</f>
        <v>0.73302352254322967</v>
      </c>
      <c r="G66" s="2">
        <f>G11*'Output-Calculation-sheet'!G55/10^9</f>
        <v>0.50780495350870436</v>
      </c>
      <c r="H66" s="2">
        <f>H11*'Output-Calculation-sheet'!H55/10^9</f>
        <v>0.94429504069493087</v>
      </c>
      <c r="I66" s="2">
        <f>I11*'Output-Calculation-sheet'!I55/10^9</f>
        <v>0.50088099257267993</v>
      </c>
      <c r="J66" s="2">
        <f>J11*'Output-Calculation-sheet'!J55/10^9</f>
        <v>0.45206410926012319</v>
      </c>
      <c r="K66" s="2">
        <f>K11*'Output-Calculation-sheet'!K55/10^9</f>
        <v>0.58382907091693625</v>
      </c>
      <c r="L66" s="2">
        <f>L11*'Output-Calculation-sheet'!L55/10^9</f>
        <v>0.4823081252646933</v>
      </c>
      <c r="M66" s="2">
        <f>M11*'Output-Calculation-sheet'!M55/10^9</f>
        <v>0.6524849597566601</v>
      </c>
      <c r="N66" s="2">
        <f>N11*'Output-Calculation-sheet'!N55/10^9</f>
        <v>0.68418522320058683</v>
      </c>
      <c r="O66" s="2">
        <f>O11*'Output-Calculation-sheet'!O55/10^9</f>
        <v>0.61999019400299604</v>
      </c>
      <c r="P66" s="2">
        <f>P11*'Output-Calculation-sheet'!P55/10^9</f>
        <v>0.51377626723313752</v>
      </c>
      <c r="Q66" s="2">
        <f>Q11*'Output-Calculation-sheet'!Q55/10^9</f>
        <v>0.52944869788453797</v>
      </c>
      <c r="R66" s="2">
        <f>R11*'Output-Calculation-sheet'!R55/10^9</f>
        <v>0.42299078614706581</v>
      </c>
      <c r="S66" s="2">
        <f>S11*'Output-Calculation-sheet'!S55/10^9</f>
        <v>0.38698449344221897</v>
      </c>
      <c r="T66" s="2">
        <f>T11*'Output-Calculation-sheet'!T55/10^9</f>
        <v>0.13193961128476278</v>
      </c>
      <c r="U66" s="2">
        <f>U11*'Output-Calculation-sheet'!U55/10^9</f>
        <v>0.13311017242840092</v>
      </c>
      <c r="V66" s="2">
        <f>V11*'Output-Calculation-sheet'!V55/10^9</f>
        <v>9.8798805893653599E-2</v>
      </c>
      <c r="W66" s="2">
        <f>W11*'Output-Calculation-sheet'!W55/10^9</f>
        <v>6.1672180536652244E-2</v>
      </c>
      <c r="X66" s="2">
        <f>X11*'Output-Calculation-sheet'!X55/10^9</f>
        <v>7.7813044174565041E-2</v>
      </c>
      <c r="Y66" s="2">
        <f>Y11*'Output-Calculation-sheet'!Y55/10^9</f>
        <v>5.1795550248168364E-2</v>
      </c>
      <c r="AA66" s="2">
        <f t="shared" si="4"/>
        <v>21.283768571141675</v>
      </c>
    </row>
    <row r="67" spans="1:27" x14ac:dyDescent="0.25">
      <c r="A67" s="2">
        <v>2035</v>
      </c>
      <c r="B67" s="2">
        <f>B12*'Output-Calculation-sheet'!B56/10^9</f>
        <v>6.0187312800333981</v>
      </c>
      <c r="C67" s="2">
        <f>C12*'Output-Calculation-sheet'!C56/10^9</f>
        <v>2.9039017792616302</v>
      </c>
      <c r="D67" s="2">
        <f>D12*'Output-Calculation-sheet'!D56/10^9</f>
        <v>1.3188398524108791</v>
      </c>
      <c r="E67" s="2">
        <f>E12*'Output-Calculation-sheet'!E56/10^9</f>
        <v>1.4695361164685443</v>
      </c>
      <c r="F67" s="2">
        <f>F12*'Output-Calculation-sheet'!F56/10^9</f>
        <v>0.67601737657069116</v>
      </c>
      <c r="G67" s="2">
        <f>G12*'Output-Calculation-sheet'!G56/10^9</f>
        <v>0.46868044797914565</v>
      </c>
      <c r="H67" s="2">
        <f>H12*'Output-Calculation-sheet'!H56/10^9</f>
        <v>0.86686931272092671</v>
      </c>
      <c r="I67" s="2">
        <f>I12*'Output-Calculation-sheet'!I56/10^9</f>
        <v>0.46221033664673267</v>
      </c>
      <c r="J67" s="2">
        <f>J12*'Output-Calculation-sheet'!J56/10^9</f>
        <v>0.41714945271414144</v>
      </c>
      <c r="K67" s="2">
        <f>K12*'Output-Calculation-sheet'!K56/10^9</f>
        <v>0.538834743681882</v>
      </c>
      <c r="L67" s="2">
        <f>L12*'Output-Calculation-sheet'!L56/10^9</f>
        <v>0.44514903371298192</v>
      </c>
      <c r="M67" s="2">
        <f>M12*'Output-Calculation-sheet'!M56/10^9</f>
        <v>0.59901171968550371</v>
      </c>
      <c r="N67" s="2">
        <f>N12*'Output-Calculation-sheet'!N56/10^9</f>
        <v>0.62866962145744698</v>
      </c>
      <c r="O67" s="2">
        <f>O12*'Output-Calculation-sheet'!O56/10^9</f>
        <v>0.57182390873858235</v>
      </c>
      <c r="P67" s="2">
        <f>P12*'Output-Calculation-sheet'!P56/10^9</f>
        <v>0.47475747952623187</v>
      </c>
      <c r="Q67" s="2">
        <f>Q12*'Output-Calculation-sheet'!Q56/10^9</f>
        <v>0.48909999595294845</v>
      </c>
      <c r="R67" s="2">
        <f>R12*'Output-Calculation-sheet'!R56/10^9</f>
        <v>0.39064452846026909</v>
      </c>
      <c r="S67" s="2">
        <f>S12*'Output-Calculation-sheet'!S56/10^9</f>
        <v>0.35598807894294238</v>
      </c>
      <c r="T67" s="2">
        <f>T12*'Output-Calculation-sheet'!T56/10^9</f>
        <v>0.1217612843454898</v>
      </c>
      <c r="U67" s="2">
        <f>U12*'Output-Calculation-sheet'!U56/10^9</f>
        <v>0.12299071565329105</v>
      </c>
      <c r="V67" s="2">
        <f>V12*'Output-Calculation-sheet'!V56/10^9</f>
        <v>9.1180286581002828E-2</v>
      </c>
      <c r="W67" s="2">
        <f>W12*'Output-Calculation-sheet'!W56/10^9</f>
        <v>5.6887739775799202E-2</v>
      </c>
      <c r="X67" s="2">
        <f>X12*'Output-Calculation-sheet'!X56/10^9</f>
        <v>7.1500579069839379E-2</v>
      </c>
      <c r="Y67" s="2">
        <f>Y12*'Output-Calculation-sheet'!Y56/10^9</f>
        <v>4.7834114504343987E-2</v>
      </c>
      <c r="AA67" s="2">
        <f t="shared" si="4"/>
        <v>19.608069784894642</v>
      </c>
    </row>
    <row r="68" spans="1:27" x14ac:dyDescent="0.25">
      <c r="B68" s="2">
        <f>SUM(B60:B67)</f>
        <v>44.551873390475883</v>
      </c>
      <c r="C68" s="2">
        <f t="shared" ref="C68:Y68" si="5">SUM(C60:C67)</f>
        <v>21.434063975422518</v>
      </c>
      <c r="D68" s="2">
        <f t="shared" si="5"/>
        <v>9.7564909134096673</v>
      </c>
      <c r="E68" s="2">
        <f t="shared" si="5"/>
        <v>10.858336279272462</v>
      </c>
      <c r="F68" s="2">
        <f t="shared" si="5"/>
        <v>5.0118604252158825</v>
      </c>
      <c r="G68" s="2">
        <f t="shared" si="5"/>
        <v>3.4661273104382047</v>
      </c>
      <c r="H68" s="2">
        <f t="shared" si="5"/>
        <v>6.4965909551954484</v>
      </c>
      <c r="I68" s="2">
        <f t="shared" si="5"/>
        <v>3.4198653274216397</v>
      </c>
      <c r="J68" s="2">
        <f t="shared" si="5"/>
        <v>3.0869924707473904</v>
      </c>
      <c r="K68" s="2">
        <f t="shared" si="5"/>
        <v>3.9847515719825539</v>
      </c>
      <c r="L68" s="2">
        <f t="shared" si="5"/>
        <v>3.2918244832985635</v>
      </c>
      <c r="M68" s="2">
        <f t="shared" si="5"/>
        <v>4.4881678668379053</v>
      </c>
      <c r="N68" s="2">
        <f t="shared" si="5"/>
        <v>4.6965976144022088</v>
      </c>
      <c r="O68" s="2">
        <f t="shared" si="5"/>
        <v>4.1800921930941737</v>
      </c>
      <c r="P68" s="2">
        <f t="shared" si="5"/>
        <v>3.4967649782128332</v>
      </c>
      <c r="Q68" s="2">
        <f t="shared" si="5"/>
        <v>3.6053530561878246</v>
      </c>
      <c r="R68" s="2">
        <f t="shared" si="5"/>
        <v>2.8828203152215082</v>
      </c>
      <c r="S68" s="2">
        <f t="shared" si="5"/>
        <v>2.6468073908516061</v>
      </c>
      <c r="T68" s="2">
        <f t="shared" si="5"/>
        <v>0.90071925076870807</v>
      </c>
      <c r="U68" s="2">
        <f t="shared" si="5"/>
        <v>0.90621384833048946</v>
      </c>
      <c r="V68" s="2">
        <f t="shared" si="5"/>
        <v>0.67435700755011174</v>
      </c>
      <c r="W68" s="2">
        <f t="shared" si="5"/>
        <v>0.42147730576226317</v>
      </c>
      <c r="X68" s="2">
        <f t="shared" si="5"/>
        <v>0.53404231096479204</v>
      </c>
      <c r="Y68" s="2">
        <f t="shared" si="5"/>
        <v>0.35302385365673494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12431829116.871132</v>
      </c>
      <c r="C96" s="2">
        <f>C8/'Output-Calculation-sheet'!C7*'Output-Calculation-sheet'!C79</f>
        <v>0</v>
      </c>
      <c r="D96" s="2">
        <f>D8/'Output-Calculation-sheet'!D7*'Output-Calculation-sheet'!D79</f>
        <v>7567126218.2535582</v>
      </c>
      <c r="E96" s="2">
        <f>E8/'Output-Calculation-sheet'!E7*'Output-Calculation-sheet'!E79</f>
        <v>11852829890.261076</v>
      </c>
      <c r="F96" s="2">
        <f>F8/'Output-Calculation-sheet'!F7*'Output-Calculation-sheet'!F79</f>
        <v>5673676458.1435823</v>
      </c>
      <c r="G96" s="2">
        <f>G8/'Output-Calculation-sheet'!G7*'Output-Calculation-sheet'!G79</f>
        <v>4325342871.5432978</v>
      </c>
      <c r="H96" s="2">
        <f>H8/'Output-Calculation-sheet'!H7*'Output-Calculation-sheet'!H79</f>
        <v>1168987635.2875721</v>
      </c>
      <c r="I96" s="2">
        <f>I8/'Output-Calculation-sheet'!I7*'Output-Calculation-sheet'!I79</f>
        <v>2966246894.6045032</v>
      </c>
      <c r="J96" s="2">
        <f>J8/'Output-Calculation-sheet'!J7*'Output-Calculation-sheet'!J79</f>
        <v>2111441879.7239301</v>
      </c>
      <c r="K96" s="2">
        <f>K8/'Output-Calculation-sheet'!K7*'Output-Calculation-sheet'!K79</f>
        <v>2631545547.1604085</v>
      </c>
      <c r="L96" s="2">
        <f>L8/'Output-Calculation-sheet'!L7*'Output-Calculation-sheet'!L79</f>
        <v>1831188574.8942192</v>
      </c>
      <c r="M96" s="2">
        <f>M8/'Output-Calculation-sheet'!M7*'Output-Calculation-sheet'!M79</f>
        <v>866600840.30644</v>
      </c>
      <c r="N96" s="2">
        <f>N8/'Output-Calculation-sheet'!N7*'Output-Calculation-sheet'!N79</f>
        <v>965829850.65980911</v>
      </c>
      <c r="O96" s="2">
        <f>O8/'Output-Calculation-sheet'!O7*'Output-Calculation-sheet'!O79</f>
        <v>0</v>
      </c>
      <c r="P96" s="2">
        <f>P8/'Output-Calculation-sheet'!P7*'Output-Calculation-sheet'!P79</f>
        <v>2233743171.1951294</v>
      </c>
      <c r="Q96" s="2">
        <f>Q8/'Output-Calculation-sheet'!Q7*'Output-Calculation-sheet'!Q79</f>
        <v>1037015891.175408</v>
      </c>
      <c r="R96" s="2">
        <f>R8/'Output-Calculation-sheet'!R7*'Output-Calculation-sheet'!R79</f>
        <v>1599980287.0084708</v>
      </c>
      <c r="S96" s="2">
        <f>S8/'Output-Calculation-sheet'!S7*'Output-Calculation-sheet'!S79</f>
        <v>586049904.48897088</v>
      </c>
      <c r="T96" s="2">
        <f>T8/'Output-Calculation-sheet'!T7*'Output-Calculation-sheet'!T79</f>
        <v>838638945.98594129</v>
      </c>
      <c r="U96" s="2">
        <f>U8/'Output-Calculation-sheet'!U7*'Output-Calculation-sheet'!U79</f>
        <v>425806892.64944267</v>
      </c>
      <c r="V96" s="2">
        <f>V8/'Output-Calculation-sheet'!V7*'Output-Calculation-sheet'!V79</f>
        <v>258126992.22853389</v>
      </c>
      <c r="W96" s="2">
        <f>W8/'Output-Calculation-sheet'!W7*'Output-Calculation-sheet'!W79</f>
        <v>898921287.76135802</v>
      </c>
      <c r="X96" s="2">
        <f>X8/'Output-Calculation-sheet'!X7*'Output-Calculation-sheet'!X79</f>
        <v>83808712.900145769</v>
      </c>
      <c r="Y96" s="2">
        <f>Y8/'Output-Calculation-sheet'!Y7*'Output-Calculation-sheet'!Y79</f>
        <v>382376212.57252973</v>
      </c>
      <c r="AA96" s="2">
        <f t="shared" si="8"/>
        <v>62.737114075675464</v>
      </c>
    </row>
    <row r="97" spans="1:27" x14ac:dyDescent="0.25">
      <c r="A97" s="2">
        <v>2032</v>
      </c>
      <c r="B97" s="2">
        <f>B9/'Output-Calculation-sheet'!B8*'Output-Calculation-sheet'!B80</f>
        <v>13664310669.994976</v>
      </c>
      <c r="C97" s="2">
        <f>C9/'Output-Calculation-sheet'!C8*'Output-Calculation-sheet'!C80</f>
        <v>0</v>
      </c>
      <c r="D97" s="2">
        <f>D9/'Output-Calculation-sheet'!D8*'Output-Calculation-sheet'!D80</f>
        <v>7932538476.3120222</v>
      </c>
      <c r="E97" s="2">
        <f>E9/'Output-Calculation-sheet'!E8*'Output-Calculation-sheet'!E80</f>
        <v>12797781121.709816</v>
      </c>
      <c r="F97" s="2">
        <f>F9/'Output-Calculation-sheet'!F8*'Output-Calculation-sheet'!F80</f>
        <v>6104743107.0981503</v>
      </c>
      <c r="G97" s="2">
        <f>G9/'Output-Calculation-sheet'!G8*'Output-Calculation-sheet'!G80</f>
        <v>4520422434.6697798</v>
      </c>
      <c r="H97" s="2">
        <f>H9/'Output-Calculation-sheet'!H8*'Output-Calculation-sheet'!H80</f>
        <v>1290949156.7754245</v>
      </c>
      <c r="I97" s="2">
        <f>I9/'Output-Calculation-sheet'!I8*'Output-Calculation-sheet'!I80</f>
        <v>3223399608.3620882</v>
      </c>
      <c r="J97" s="2">
        <f>J9/'Output-Calculation-sheet'!J8*'Output-Calculation-sheet'!J80</f>
        <v>2229271212.6123748</v>
      </c>
      <c r="K97" s="2">
        <f>K9/'Output-Calculation-sheet'!K8*'Output-Calculation-sheet'!K80</f>
        <v>2804234790.8241878</v>
      </c>
      <c r="L97" s="2">
        <f>L9/'Output-Calculation-sheet'!L8*'Output-Calculation-sheet'!L80</f>
        <v>2013401043.7614346</v>
      </c>
      <c r="M97" s="2">
        <f>M9/'Output-Calculation-sheet'!M8*'Output-Calculation-sheet'!M80</f>
        <v>958708459.02161634</v>
      </c>
      <c r="N97" s="2">
        <f>N9/'Output-Calculation-sheet'!N8*'Output-Calculation-sheet'!N80</f>
        <v>1020442785.8061569</v>
      </c>
      <c r="O97" s="2">
        <f>O9/'Output-Calculation-sheet'!O8*'Output-Calculation-sheet'!O80</f>
        <v>0</v>
      </c>
      <c r="P97" s="2">
        <f>P9/'Output-Calculation-sheet'!P8*'Output-Calculation-sheet'!P80</f>
        <v>2388017940.6843033</v>
      </c>
      <c r="Q97" s="2">
        <f>Q9/'Output-Calculation-sheet'!Q8*'Output-Calculation-sheet'!Q80</f>
        <v>1113410045.8604467</v>
      </c>
      <c r="R97" s="2">
        <f>R9/'Output-Calculation-sheet'!R8*'Output-Calculation-sheet'!R80</f>
        <v>1725700296.8531528</v>
      </c>
      <c r="S97" s="2">
        <f>S9/'Output-Calculation-sheet'!S8*'Output-Calculation-sheet'!S80</f>
        <v>650227925.41603315</v>
      </c>
      <c r="T97" s="2">
        <f>T9/'Output-Calculation-sheet'!T8*'Output-Calculation-sheet'!T80</f>
        <v>887408926.69815528</v>
      </c>
      <c r="U97" s="2">
        <f>U9/'Output-Calculation-sheet'!U8*'Output-Calculation-sheet'!U80</f>
        <v>459465523.59821874</v>
      </c>
      <c r="V97" s="2">
        <f>V9/'Output-Calculation-sheet'!V8*'Output-Calculation-sheet'!V80</f>
        <v>281668226.80473584</v>
      </c>
      <c r="W97" s="2">
        <f>W9/'Output-Calculation-sheet'!W8*'Output-Calculation-sheet'!W80</f>
        <v>958940908.91588557</v>
      </c>
      <c r="X97" s="2">
        <f>X9/'Output-Calculation-sheet'!X8*'Output-Calculation-sheet'!X80</f>
        <v>94938438.003032833</v>
      </c>
      <c r="Y97" s="2">
        <f>Y9/'Output-Calculation-sheet'!Y8*'Output-Calculation-sheet'!Y80</f>
        <v>408319838.51586419</v>
      </c>
      <c r="AA97" s="2">
        <f t="shared" si="8"/>
        <v>67.528300938297846</v>
      </c>
    </row>
    <row r="98" spans="1:27" x14ac:dyDescent="0.25">
      <c r="A98" s="2">
        <v>2033</v>
      </c>
      <c r="B98" s="2">
        <f>B10/'Output-Calculation-sheet'!B9*'Output-Calculation-sheet'!B81</f>
        <v>14631917843.34197</v>
      </c>
      <c r="C98" s="2">
        <f>C10/'Output-Calculation-sheet'!C9*'Output-Calculation-sheet'!C81</f>
        <v>1916349057.3577409</v>
      </c>
      <c r="D98" s="2">
        <f>D10/'Output-Calculation-sheet'!D9*'Output-Calculation-sheet'!D81</f>
        <v>7800752078.7301369</v>
      </c>
      <c r="E98" s="2">
        <f>E10/'Output-Calculation-sheet'!E9*'Output-Calculation-sheet'!E81</f>
        <v>12951976216.830477</v>
      </c>
      <c r="F98" s="2">
        <f>F10/'Output-Calculation-sheet'!F9*'Output-Calculation-sheet'!F81</f>
        <v>6166306372.8575249</v>
      </c>
      <c r="G98" s="2">
        <f>G10/'Output-Calculation-sheet'!G9*'Output-Calculation-sheet'!G81</f>
        <v>4427884209.4809303</v>
      </c>
      <c r="H98" s="2">
        <f>H10/'Output-Calculation-sheet'!H9*'Output-Calculation-sheet'!H81</f>
        <v>1334451984.281322</v>
      </c>
      <c r="I98" s="2">
        <f>I10/'Output-Calculation-sheet'!I9*'Output-Calculation-sheet'!I81</f>
        <v>3286491873.3164678</v>
      </c>
      <c r="J98" s="2">
        <f>J10/'Output-Calculation-sheet'!J9*'Output-Calculation-sheet'!J81</f>
        <v>2209925639.6196194</v>
      </c>
      <c r="K98" s="2">
        <f>K10/'Output-Calculation-sheet'!K9*'Output-Calculation-sheet'!K81</f>
        <v>2806533385.813396</v>
      </c>
      <c r="L98" s="2">
        <f>L10/'Output-Calculation-sheet'!L9*'Output-Calculation-sheet'!L81</f>
        <v>2074995498.5550497</v>
      </c>
      <c r="M98" s="2">
        <f>M10/'Output-Calculation-sheet'!M9*'Output-Calculation-sheet'!M81</f>
        <v>994972330.63903725</v>
      </c>
      <c r="N98" s="2">
        <f>N10/'Output-Calculation-sheet'!N9*'Output-Calculation-sheet'!N81</f>
        <v>1012486898.8421775</v>
      </c>
      <c r="O98" s="2">
        <f>O10/'Output-Calculation-sheet'!O9*'Output-Calculation-sheet'!O81</f>
        <v>0</v>
      </c>
      <c r="P98" s="2">
        <f>P10/'Output-Calculation-sheet'!P9*'Output-Calculation-sheet'!P81</f>
        <v>2387675342.4939523</v>
      </c>
      <c r="Q98" s="2">
        <f>Q10/'Output-Calculation-sheet'!Q9*'Output-Calculation-sheet'!Q81</f>
        <v>1120740342.0452187</v>
      </c>
      <c r="R98" s="2">
        <f>R10/'Output-Calculation-sheet'!R9*'Output-Calculation-sheet'!R81</f>
        <v>1748868706.7345481</v>
      </c>
      <c r="S98" s="2">
        <f>S10/'Output-Calculation-sheet'!S9*'Output-Calculation-sheet'!S81</f>
        <v>664074148.00210488</v>
      </c>
      <c r="T98" s="2">
        <f>T10/'Output-Calculation-sheet'!T9*'Output-Calculation-sheet'!T81</f>
        <v>881432196.6904304</v>
      </c>
      <c r="U98" s="2">
        <f>U10/'Output-Calculation-sheet'!U9*'Output-Calculation-sheet'!U81</f>
        <v>464604680.99350286</v>
      </c>
      <c r="V98" s="2">
        <f>V10/'Output-Calculation-sheet'!V9*'Output-Calculation-sheet'!V81</f>
        <v>287912327.56767434</v>
      </c>
      <c r="W98" s="2">
        <f>W10/'Output-Calculation-sheet'!W9*'Output-Calculation-sheet'!W81</f>
        <v>957213772.51060033</v>
      </c>
      <c r="X98" s="2">
        <f>X10/'Output-Calculation-sheet'!X9*'Output-Calculation-sheet'!X81</f>
        <v>99574986.378732681</v>
      </c>
      <c r="Y98" s="2">
        <f>Y10/'Output-Calculation-sheet'!Y9*'Output-Calculation-sheet'!Y81</f>
        <v>408637911.07863885</v>
      </c>
      <c r="AA98" s="2">
        <f t="shared" si="8"/>
        <v>70.635777804161251</v>
      </c>
    </row>
    <row r="99" spans="1:27" x14ac:dyDescent="0.25">
      <c r="A99" s="2">
        <v>2034</v>
      </c>
      <c r="B99" s="2">
        <f>B11/'Output-Calculation-sheet'!B10*'Output-Calculation-sheet'!B82</f>
        <v>14599159240.175074</v>
      </c>
      <c r="C99" s="2">
        <f>C11/'Output-Calculation-sheet'!C10*'Output-Calculation-sheet'!C82</f>
        <v>1980008329.1793909</v>
      </c>
      <c r="D99" s="2">
        <f>D11/'Output-Calculation-sheet'!D10*'Output-Calculation-sheet'!D82</f>
        <v>7284289531.5994091</v>
      </c>
      <c r="E99" s="2">
        <f>E11/'Output-Calculation-sheet'!E10*'Output-Calculation-sheet'!E82</f>
        <v>12457377547.873789</v>
      </c>
      <c r="F99" s="2">
        <f>F11/'Output-Calculation-sheet'!F10*'Output-Calculation-sheet'!F82</f>
        <v>5916110422.8022013</v>
      </c>
      <c r="G99" s="2">
        <f>G11/'Output-Calculation-sheet'!G10*'Output-Calculation-sheet'!G82</f>
        <v>4109667983.4446735</v>
      </c>
      <c r="H99" s="2">
        <f>H11/'Output-Calculation-sheet'!H10*'Output-Calculation-sheet'!H82</f>
        <v>1311367805.6276345</v>
      </c>
      <c r="I99" s="2">
        <f>I11/'Output-Calculation-sheet'!I10*'Output-Calculation-sheet'!I82</f>
        <v>3185728503.6645789</v>
      </c>
      <c r="J99" s="2">
        <f>J11/'Output-Calculation-sheet'!J10*'Output-Calculation-sheet'!J82</f>
        <v>2081342711.8929913</v>
      </c>
      <c r="K99" s="2">
        <f>K11/'Output-Calculation-sheet'!K10*'Output-Calculation-sheet'!K82</f>
        <v>2668653932.1790442</v>
      </c>
      <c r="L99" s="2">
        <f>L11/'Output-Calculation-sheet'!L10*'Output-Calculation-sheet'!L82</f>
        <v>2029253588.7203505</v>
      </c>
      <c r="M99" s="2">
        <f>M11/'Output-Calculation-sheet'!M10*'Output-Calculation-sheet'!M82</f>
        <v>980943780.7133708</v>
      </c>
      <c r="N99" s="2">
        <f>N11/'Output-Calculation-sheet'!N10*'Output-Calculation-sheet'!N82</f>
        <v>957357157.37068772</v>
      </c>
      <c r="O99" s="2">
        <f>O11/'Output-Calculation-sheet'!O10*'Output-Calculation-sheet'!O82</f>
        <v>0</v>
      </c>
      <c r="P99" s="2">
        <f>P11/'Output-Calculation-sheet'!P10*'Output-Calculation-sheet'!P82</f>
        <v>2264380770.7476368</v>
      </c>
      <c r="Q99" s="2">
        <f>Q11/'Output-Calculation-sheet'!Q10*'Output-Calculation-sheet'!Q82</f>
        <v>1072199213.1275486</v>
      </c>
      <c r="R99" s="2">
        <f>R11/'Output-Calculation-sheet'!R10*'Output-Calculation-sheet'!R82</f>
        <v>1682638282.309155</v>
      </c>
      <c r="S99" s="2">
        <f>S11/'Output-Calculation-sheet'!S10*'Output-Calculation-sheet'!S82</f>
        <v>655612215.1654551</v>
      </c>
      <c r="T99" s="2">
        <f>T11/'Output-Calculation-sheet'!T10*'Output-Calculation-sheet'!T82</f>
        <v>831351179.43050206</v>
      </c>
      <c r="U99" s="2">
        <f>U11/'Output-Calculation-sheet'!U10*'Output-Calculation-sheet'!U82</f>
        <v>446874002.93767202</v>
      </c>
      <c r="V99" s="2">
        <f>V11/'Output-Calculation-sheet'!V10*'Output-Calculation-sheet'!V82</f>
        <v>279553007.85175633</v>
      </c>
      <c r="W99" s="2">
        <f>W11/'Output-Calculation-sheet'!W10*'Output-Calculation-sheet'!W82</f>
        <v>906201806.27956867</v>
      </c>
      <c r="X99" s="2">
        <f>X11/'Output-Calculation-sheet'!X10*'Output-Calculation-sheet'!X82</f>
        <v>99712867.518008947</v>
      </c>
      <c r="Y99" s="2">
        <f>Y11/'Output-Calculation-sheet'!Y10*'Output-Calculation-sheet'!Y82</f>
        <v>387739285.85495239</v>
      </c>
      <c r="AA99" s="2">
        <f t="shared" si="8"/>
        <v>68.187523166465454</v>
      </c>
    </row>
    <row r="100" spans="1:27" x14ac:dyDescent="0.25">
      <c r="A100" s="2">
        <v>2035</v>
      </c>
      <c r="B100" s="2">
        <f>B12/'Output-Calculation-sheet'!B11*'Output-Calculation-sheet'!B83</f>
        <v>13706886570.860687</v>
      </c>
      <c r="C100" s="2">
        <f>C12/'Output-Calculation-sheet'!C11*'Output-Calculation-sheet'!C83</f>
        <v>1939324433.8262994</v>
      </c>
      <c r="D100" s="2">
        <f>D12/'Output-Calculation-sheet'!D11*'Output-Calculation-sheet'!D83</f>
        <v>6519050672.7876177</v>
      </c>
      <c r="E100" s="2">
        <f>E12/'Output-Calculation-sheet'!E11*'Output-Calculation-sheet'!E83</f>
        <v>11469083619.69997</v>
      </c>
      <c r="F100" s="2">
        <f>F12/'Output-Calculation-sheet'!F11*'Output-Calculation-sheet'!F83</f>
        <v>5435275813.2910213</v>
      </c>
      <c r="G100" s="2">
        <f>G12/'Output-Calculation-sheet'!G11*'Output-Calculation-sheet'!G83</f>
        <v>3645305387.8545489</v>
      </c>
      <c r="H100" s="2">
        <f>H12/'Output-Calculation-sheet'!H11*'Output-Calculation-sheet'!H83</f>
        <v>1228317942.5748944</v>
      </c>
      <c r="I100" s="2">
        <f>I12/'Output-Calculation-sheet'!I11*'Output-Calculation-sheet'!I83</f>
        <v>2953538736.7198348</v>
      </c>
      <c r="J100" s="2">
        <f>J12/'Output-Calculation-sheet'!J11*'Output-Calculation-sheet'!J83</f>
        <v>1876433975.5451493</v>
      </c>
      <c r="K100" s="2">
        <f>K12/'Output-Calculation-sheet'!K11*'Output-Calculation-sheet'!K83</f>
        <v>2428883179.3666129</v>
      </c>
      <c r="L100" s="2">
        <f>L12/'Output-Calculation-sheet'!L11*'Output-Calculation-sheet'!L83</f>
        <v>1897776546.0920622</v>
      </c>
      <c r="M100" s="2">
        <f>M12/'Output-Calculation-sheet'!M11*'Output-Calculation-sheet'!M83</f>
        <v>920683661.28286815</v>
      </c>
      <c r="N100" s="2">
        <f>N12/'Output-Calculation-sheet'!N11*'Output-Calculation-sheet'!N83</f>
        <v>867310906.45575297</v>
      </c>
      <c r="O100" s="2">
        <f>O12/'Output-Calculation-sheet'!O11*'Output-Calculation-sheet'!O83</f>
        <v>233989426.22948915</v>
      </c>
      <c r="P100" s="2">
        <f>P12/'Output-Calculation-sheet'!P11*'Output-Calculation-sheet'!P83</f>
        <v>2054516210.9717202</v>
      </c>
      <c r="Q100" s="2">
        <f>Q12/'Output-Calculation-sheet'!Q11*'Output-Calculation-sheet'!Q83</f>
        <v>985297765.13894248</v>
      </c>
      <c r="R100" s="2">
        <f>R12/'Output-Calculation-sheet'!R11*'Output-Calculation-sheet'!R83</f>
        <v>1552041941.35607</v>
      </c>
      <c r="S100" s="2">
        <f>S12/'Output-Calculation-sheet'!S11*'Output-Calculation-sheet'!S83</f>
        <v>601961722.8950913</v>
      </c>
      <c r="T100" s="2">
        <f>T12/'Output-Calculation-sheet'!T11*'Output-Calculation-sheet'!T83</f>
        <v>750308098.20707881</v>
      </c>
      <c r="U100" s="2">
        <f>U12/'Output-Calculation-sheet'!U11*'Output-Calculation-sheet'!U83</f>
        <v>411015153.06810778</v>
      </c>
      <c r="V100" s="2">
        <f>V12/'Output-Calculation-sheet'!V11*'Output-Calculation-sheet'!V83</f>
        <v>259779190.07369187</v>
      </c>
      <c r="W100" s="2">
        <f>W12/'Output-Calculation-sheet'!W11*'Output-Calculation-sheet'!W83</f>
        <v>819740916.88513708</v>
      </c>
      <c r="X100" s="2">
        <f>X12/'Output-Calculation-sheet'!X11*'Output-Calculation-sheet'!X83</f>
        <v>95386663.227628171</v>
      </c>
      <c r="Y100" s="2">
        <f>Y12/'Output-Calculation-sheet'!Y11*'Output-Calculation-sheet'!Y83</f>
        <v>351955677.32355922</v>
      </c>
      <c r="AA100" s="2">
        <f t="shared" si="8"/>
        <v>63.003864211733841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4.5076900167414526E-4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4057032690.5802588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2779671078.4189487</v>
      </c>
      <c r="N118" s="2">
        <f>N8/'Output-Calculation-sheet'!N7*'Output-Calculation-sheet'!N97</f>
        <v>1837535936.4550848</v>
      </c>
      <c r="O118" s="2">
        <f>O8/'Output-Calculation-sheet'!O7*'Output-Calculation-sheet'!O97</f>
        <v>2.4801209097965446E-5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455526345.6183508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264181981.32717669</v>
      </c>
      <c r="Y118" s="2">
        <f>Y8/'Output-Calculation-sheet'!Y7*'Output-Calculation-sheet'!Y97</f>
        <v>0</v>
      </c>
      <c r="AA118" s="2">
        <f t="shared" si="10"/>
        <v>9393.9480324002961</v>
      </c>
    </row>
    <row r="119" spans="1:27" x14ac:dyDescent="0.25">
      <c r="A119" s="2">
        <v>2032</v>
      </c>
      <c r="B119" s="2">
        <f>B9/'Output-Calculation-sheet'!B8*'Output-Calculation-sheet'!B98</f>
        <v>4235965.8348425105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4548810459.5615683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3112909849.9713717</v>
      </c>
      <c r="N119" s="2">
        <f>N9/'Output-Calculation-sheet'!N8*'Output-Calculation-sheet'!N98</f>
        <v>2271139118.1841073</v>
      </c>
      <c r="O119" s="2">
        <f>O9/'Output-Calculation-sheet'!O8*'Output-Calculation-sheet'!O98</f>
        <v>2.31640657084937E-4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714592260.51665056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299804882.48902434</v>
      </c>
      <c r="Y119" s="2">
        <f>Y9/'Output-Calculation-sheet'!Y8*'Output-Calculation-sheet'!Y98</f>
        <v>0</v>
      </c>
      <c r="AA119" s="2">
        <f t="shared" si="10"/>
        <v>10951.492536557796</v>
      </c>
    </row>
    <row r="120" spans="1:27" x14ac:dyDescent="0.25">
      <c r="A120" s="2">
        <v>2033</v>
      </c>
      <c r="B120" s="2">
        <f>B10/'Output-Calculation-sheet'!B9*'Output-Calculation-sheet'!B99</f>
        <v>5793813179.3034067</v>
      </c>
      <c r="C120" s="2">
        <f>C10/'Output-Calculation-sheet'!C9*'Output-Calculation-sheet'!C99</f>
        <v>10783879393.161871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4770207183.4429379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3267562726.2560458</v>
      </c>
      <c r="N120" s="2">
        <f>N10/'Output-Calculation-sheet'!N9*'Output-Calculation-sheet'!N99</f>
        <v>2582778886.0477171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903463547.54513955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314871336.6969462</v>
      </c>
      <c r="Y120" s="2">
        <f>Y10/'Output-Calculation-sheet'!Y9*'Output-Calculation-sheet'!Y99</f>
        <v>0</v>
      </c>
      <c r="AA120" s="2">
        <f t="shared" si="10"/>
        <v>28416.576252454066</v>
      </c>
    </row>
    <row r="121" spans="1:27" x14ac:dyDescent="0.25">
      <c r="A121" s="2">
        <v>2034</v>
      </c>
      <c r="B121" s="2">
        <f>B11/'Output-Calculation-sheet'!B10*'Output-Calculation-sheet'!B100</f>
        <v>9559374490.2780666</v>
      </c>
      <c r="C121" s="2">
        <f>C11/'Output-Calculation-sheet'!C10*'Output-Calculation-sheet'!C100</f>
        <v>11075100615.423056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4751879896.6661644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3255532335.6249838</v>
      </c>
      <c r="N121" s="2">
        <f>N11/'Output-Calculation-sheet'!N10*'Output-Calculation-sheet'!N100</f>
        <v>2657943687.692637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1020351343.7506193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315599779.96250677</v>
      </c>
      <c r="Y121" s="2">
        <f>Y11/'Output-Calculation-sheet'!Y10*'Output-Calculation-sheet'!Y100</f>
        <v>0</v>
      </c>
      <c r="AA121" s="2">
        <f t="shared" si="10"/>
        <v>32635.782149398034</v>
      </c>
    </row>
    <row r="122" spans="1:27" x14ac:dyDescent="0.25">
      <c r="A122" s="2">
        <v>2035</v>
      </c>
      <c r="B122" s="2">
        <f>B12/'Output-Calculation-sheet'!B11*'Output-Calculation-sheet'!B101</f>
        <v>11032523273.70536</v>
      </c>
      <c r="C122" s="2">
        <f>C12/'Output-Calculation-sheet'!C11*'Output-Calculation-sheet'!C101</f>
        <v>10783307886.347317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4508450485.4318247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3085263813.9876151</v>
      </c>
      <c r="N122" s="2">
        <f>N12/'Output-Calculation-sheet'!N11*'Output-Calculation-sheet'!N101</f>
        <v>2578665423.0396848</v>
      </c>
      <c r="O122" s="2">
        <f>O12/'Output-Calculation-sheet'!O11*'Output-Calculation-sheet'!O101</f>
        <v>1842958309.119658</v>
      </c>
      <c r="P122" s="2">
        <f>P12/'Output-Calculation-sheet'!P11*'Output-Calculation-sheet'!P101</f>
        <v>0</v>
      </c>
      <c r="Q122" s="2">
        <f>Q12/'Output-Calculation-sheet'!Q11*'Output-Calculation-sheet'!Q101</f>
        <v>33642484.190950148</v>
      </c>
      <c r="R122" s="2">
        <f>R12/'Output-Calculation-sheet'!R11*'Output-Calculation-sheet'!R101</f>
        <v>0</v>
      </c>
      <c r="S122" s="2">
        <f>S12/'Output-Calculation-sheet'!S11*'Output-Calculation-sheet'!S101</f>
        <v>1085696447.3673809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302067855.14824116</v>
      </c>
      <c r="Y122" s="2">
        <f>Y12/'Output-Calculation-sheet'!Y11*'Output-Calculation-sheet'!Y101</f>
        <v>0</v>
      </c>
      <c r="AA122" s="2">
        <f t="shared" si="10"/>
        <v>35252.575978338027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50845398231.434845</v>
      </c>
      <c r="C129" s="2">
        <f>C8/'Output-Calculation-sheet'!C7*'Output-Calculation-sheet'!C106</f>
        <v>0</v>
      </c>
      <c r="D129" s="2">
        <f>D8/'Output-Calculation-sheet'!D7*'Output-Calculation-sheet'!D106</f>
        <v>36806800520.313255</v>
      </c>
      <c r="E129" s="2">
        <f>E8/'Output-Calculation-sheet'!E7*'Output-Calculation-sheet'!E106</f>
        <v>25727605957.502983</v>
      </c>
      <c r="F129" s="2">
        <f>F8/'Output-Calculation-sheet'!F7*'Output-Calculation-sheet'!F106</f>
        <v>19154228267.863297</v>
      </c>
      <c r="G129" s="2">
        <f>G8/'Output-Calculation-sheet'!G7*'Output-Calculation-sheet'!G106</f>
        <v>13172069876.017994</v>
      </c>
      <c r="H129" s="2">
        <f>H8/'Output-Calculation-sheet'!H7*'Output-Calculation-sheet'!H106</f>
        <v>0</v>
      </c>
      <c r="I129" s="2">
        <f>I8/'Output-Calculation-sheet'!I7*'Output-Calculation-sheet'!I106</f>
        <v>11814333502.826189</v>
      </c>
      <c r="J129" s="2">
        <f>J8/'Output-Calculation-sheet'!J7*'Output-Calculation-sheet'!J106</f>
        <v>12104589083.371096</v>
      </c>
      <c r="K129" s="2">
        <f>K8/'Output-Calculation-sheet'!K7*'Output-Calculation-sheet'!K106</f>
        <v>10443573591.904356</v>
      </c>
      <c r="L129" s="2">
        <f>L8/'Output-Calculation-sheet'!L7*'Output-Calculation-sheet'!L106</f>
        <v>8262336582.2373648</v>
      </c>
      <c r="M129" s="2">
        <f>M8/'Output-Calculation-sheet'!M7*'Output-Calculation-sheet'!M106</f>
        <v>0</v>
      </c>
      <c r="N129" s="2">
        <f>N8/'Output-Calculation-sheet'!N7*'Output-Calculation-sheet'!N106</f>
        <v>2248898006.9841228</v>
      </c>
      <c r="O129" s="2">
        <f>O8/'Output-Calculation-sheet'!O7*'Output-Calculation-sheet'!O106</f>
        <v>0</v>
      </c>
      <c r="P129" s="2">
        <f>P8/'Output-Calculation-sheet'!P7*'Output-Calculation-sheet'!P106</f>
        <v>5088198535.9758816</v>
      </c>
      <c r="Q129" s="2">
        <f>Q8/'Output-Calculation-sheet'!Q7*'Output-Calculation-sheet'!Q106</f>
        <v>4986708661.8949842</v>
      </c>
      <c r="R129" s="2">
        <f>R8/'Output-Calculation-sheet'!R7*'Output-Calculation-sheet'!R106</f>
        <v>5932765600.8220787</v>
      </c>
      <c r="S129" s="2">
        <f>S8/'Output-Calculation-sheet'!S7*'Output-Calculation-sheet'!S106</f>
        <v>2023254146.6467259</v>
      </c>
      <c r="T129" s="2">
        <f>T8/'Output-Calculation-sheet'!T7*'Output-Calculation-sheet'!T106</f>
        <v>2568547107.8763318</v>
      </c>
      <c r="U129" s="2">
        <f>U8/'Output-Calculation-sheet'!U7*'Output-Calculation-sheet'!U106</f>
        <v>1808198862.3503816</v>
      </c>
      <c r="V129" s="2">
        <f>V8/'Output-Calculation-sheet'!V7*'Output-Calculation-sheet'!V106</f>
        <v>1626767477.790493</v>
      </c>
      <c r="W129" s="2">
        <f>W8/'Output-Calculation-sheet'!W7*'Output-Calculation-sheet'!W106</f>
        <v>1659872142.0170434</v>
      </c>
      <c r="X129" s="2">
        <f>X8/'Output-Calculation-sheet'!X7*'Output-Calculation-sheet'!X106</f>
        <v>0</v>
      </c>
      <c r="Y129" s="2">
        <f>Y8/'Output-Calculation-sheet'!Y7*'Output-Calculation-sheet'!Y106</f>
        <v>749475296.7493223</v>
      </c>
      <c r="AA129" s="2">
        <f t="shared" si="11"/>
        <v>217023.62145257881</v>
      </c>
    </row>
    <row r="130" spans="1:27" x14ac:dyDescent="0.25">
      <c r="A130" s="2">
        <v>2032</v>
      </c>
      <c r="B130" s="2">
        <f>B9/'Output-Calculation-sheet'!B8*'Output-Calculation-sheet'!B107</f>
        <v>55913298759.18132</v>
      </c>
      <c r="C130" s="2">
        <f>C9/'Output-Calculation-sheet'!C8*'Output-Calculation-sheet'!C107</f>
        <v>0</v>
      </c>
      <c r="D130" s="2">
        <f>D9/'Output-Calculation-sheet'!D8*'Output-Calculation-sheet'!D107</f>
        <v>40174210256.491913</v>
      </c>
      <c r="E130" s="2">
        <f>E9/'Output-Calculation-sheet'!E8*'Output-Calculation-sheet'!E107</f>
        <v>28117907334.448513</v>
      </c>
      <c r="F130" s="2">
        <f>F9/'Output-Calculation-sheet'!F8*'Output-Calculation-sheet'!F107</f>
        <v>20901057293.044903</v>
      </c>
      <c r="G130" s="2">
        <f>G9/'Output-Calculation-sheet'!G8*'Output-Calculation-sheet'!G107</f>
        <v>14366154939.112179</v>
      </c>
      <c r="H130" s="2">
        <f>H9/'Output-Calculation-sheet'!H8*'Output-Calculation-sheet'!H107</f>
        <v>0</v>
      </c>
      <c r="I130" s="2">
        <f>I9/'Output-Calculation-sheet'!I8*'Output-Calculation-sheet'!I107</f>
        <v>12896261042.772293</v>
      </c>
      <c r="J130" s="2">
        <f>J9/'Output-Calculation-sheet'!J8*'Output-Calculation-sheet'!J107</f>
        <v>13204998770.776804</v>
      </c>
      <c r="K130" s="2">
        <f>K9/'Output-Calculation-sheet'!K8*'Output-Calculation-sheet'!K107</f>
        <v>11411112124.03566</v>
      </c>
      <c r="L130" s="2">
        <f>L9/'Output-Calculation-sheet'!L8*'Output-Calculation-sheet'!L107</f>
        <v>9030277621.7325993</v>
      </c>
      <c r="M130" s="2">
        <f>M9/'Output-Calculation-sheet'!M8*'Output-Calculation-sheet'!M107</f>
        <v>0</v>
      </c>
      <c r="N130" s="2">
        <f>N9/'Output-Calculation-sheet'!N8*'Output-Calculation-sheet'!N107</f>
        <v>2179866401.0722451</v>
      </c>
      <c r="O130" s="2">
        <f>O9/'Output-Calculation-sheet'!O8*'Output-Calculation-sheet'!O107</f>
        <v>0</v>
      </c>
      <c r="P130" s="2">
        <f>P9/'Output-Calculation-sheet'!P8*'Output-Calculation-sheet'!P107</f>
        <v>5602136938.4824448</v>
      </c>
      <c r="Q130" s="2">
        <f>Q9/'Output-Calculation-sheet'!Q8*'Output-Calculation-sheet'!Q107</f>
        <v>5493766956.7758217</v>
      </c>
      <c r="R130" s="2">
        <f>R9/'Output-Calculation-sheet'!R8*'Output-Calculation-sheet'!R107</f>
        <v>6483387452.8467331</v>
      </c>
      <c r="S130" s="2">
        <f>S9/'Output-Calculation-sheet'!S8*'Output-Calculation-sheet'!S107</f>
        <v>2082911897.2966073</v>
      </c>
      <c r="T130" s="2">
        <f>T9/'Output-Calculation-sheet'!T8*'Output-Calculation-sheet'!T107</f>
        <v>2804045493.8249135</v>
      </c>
      <c r="U130" s="2">
        <f>U9/'Output-Calculation-sheet'!U8*'Output-Calculation-sheet'!U107</f>
        <v>1977950998.691751</v>
      </c>
      <c r="V130" s="2">
        <f>V9/'Output-Calculation-sheet'!V8*'Output-Calculation-sheet'!V107</f>
        <v>1780694751.0731268</v>
      </c>
      <c r="W130" s="2">
        <f>W9/'Output-Calculation-sheet'!W8*'Output-Calculation-sheet'!W107</f>
        <v>1812376749.8133342</v>
      </c>
      <c r="X130" s="2">
        <f>X9/'Output-Calculation-sheet'!X8*'Output-Calculation-sheet'!X107</f>
        <v>0</v>
      </c>
      <c r="Y130" s="2">
        <f>Y9/'Output-Calculation-sheet'!Y8*'Output-Calculation-sheet'!Y107</f>
        <v>819210919.99754941</v>
      </c>
      <c r="AA130" s="2">
        <f t="shared" si="11"/>
        <v>237051.6267014707</v>
      </c>
    </row>
    <row r="131" spans="1:27" x14ac:dyDescent="0.25">
      <c r="A131" s="2">
        <v>2033</v>
      </c>
      <c r="B131" s="2">
        <f>B10/'Output-Calculation-sheet'!B9*'Output-Calculation-sheet'!B108</f>
        <v>54109916489.409744</v>
      </c>
      <c r="C131" s="2">
        <f>C10/'Output-Calculation-sheet'!C9*'Output-Calculation-sheet'!C108</f>
        <v>0</v>
      </c>
      <c r="D131" s="2">
        <f>D10/'Output-Calculation-sheet'!D9*'Output-Calculation-sheet'!D108</f>
        <v>41110086880.819633</v>
      </c>
      <c r="E131" s="2">
        <f>E10/'Output-Calculation-sheet'!E9*'Output-Calculation-sheet'!E108</f>
        <v>28789635331.004585</v>
      </c>
      <c r="F131" s="2">
        <f>F10/'Output-Calculation-sheet'!F9*'Output-Calculation-sheet'!F108</f>
        <v>21393835085.256863</v>
      </c>
      <c r="G131" s="2">
        <f>G10/'Output-Calculation-sheet'!G9*'Output-Calculation-sheet'!G108</f>
        <v>14701200929.527472</v>
      </c>
      <c r="H131" s="2">
        <f>H10/'Output-Calculation-sheet'!H9*'Output-Calculation-sheet'!H108</f>
        <v>0</v>
      </c>
      <c r="I131" s="2">
        <f>I10/'Output-Calculation-sheet'!I9*'Output-Calculation-sheet'!I108</f>
        <v>13199497706.948736</v>
      </c>
      <c r="J131" s="2">
        <f>J10/'Output-Calculation-sheet'!J9*'Output-Calculation-sheet'!J108</f>
        <v>13510559926.968153</v>
      </c>
      <c r="K131" s="2">
        <f>K10/'Output-Calculation-sheet'!K9*'Output-Calculation-sheet'!K108</f>
        <v>11699151266.784906</v>
      </c>
      <c r="L131" s="2">
        <f>L10/'Output-Calculation-sheet'!L9*'Output-Calculation-sheet'!L108</f>
        <v>9251686673.0163994</v>
      </c>
      <c r="M131" s="2">
        <f>M10/'Output-Calculation-sheet'!M9*'Output-Calculation-sheet'!M108</f>
        <v>0</v>
      </c>
      <c r="N131" s="2">
        <f>N10/'Output-Calculation-sheet'!N9*'Output-Calculation-sheet'!N108</f>
        <v>1966229735.8814774</v>
      </c>
      <c r="O131" s="2">
        <f>O10/'Output-Calculation-sheet'!O9*'Output-Calculation-sheet'!O108</f>
        <v>0</v>
      </c>
      <c r="P131" s="2">
        <f>P10/'Output-Calculation-sheet'!P9*'Output-Calculation-sheet'!P108</f>
        <v>5770711992.1888771</v>
      </c>
      <c r="Q131" s="2">
        <f>Q10/'Output-Calculation-sheet'!Q9*'Output-Calculation-sheet'!Q108</f>
        <v>5667917011.1749296</v>
      </c>
      <c r="R131" s="2">
        <f>R10/'Output-Calculation-sheet'!R9*'Output-Calculation-sheet'!R108</f>
        <v>6651958386.9512682</v>
      </c>
      <c r="S131" s="2">
        <f>S10/'Output-Calculation-sheet'!S9*'Output-Calculation-sheet'!S108</f>
        <v>2000167059.3603332</v>
      </c>
      <c r="T131" s="2">
        <f>T10/'Output-Calculation-sheet'!T9*'Output-Calculation-sheet'!T108</f>
        <v>2872480676.7491765</v>
      </c>
      <c r="U131" s="2">
        <f>U10/'Output-Calculation-sheet'!U9*'Output-Calculation-sheet'!U108</f>
        <v>2026728855.74965</v>
      </c>
      <c r="V131" s="2">
        <f>V10/'Output-Calculation-sheet'!V9*'Output-Calculation-sheet'!V108</f>
        <v>1826048960.6381805</v>
      </c>
      <c r="W131" s="2">
        <f>W10/'Output-Calculation-sheet'!W9*'Output-Calculation-sheet'!W108</f>
        <v>1853796240.8212545</v>
      </c>
      <c r="X131" s="2">
        <f>X10/'Output-Calculation-sheet'!X9*'Output-Calculation-sheet'!X108</f>
        <v>0</v>
      </c>
      <c r="Y131" s="2">
        <f>Y10/'Output-Calculation-sheet'!Y9*'Output-Calculation-sheet'!Y108</f>
        <v>839797410.31102729</v>
      </c>
      <c r="AA131" s="2">
        <f t="shared" si="11"/>
        <v>239241.40661956262</v>
      </c>
    </row>
    <row r="132" spans="1:27" x14ac:dyDescent="0.25">
      <c r="A132" s="2">
        <v>2034</v>
      </c>
      <c r="B132" s="2">
        <f>B11/'Output-Calculation-sheet'!B10*'Output-Calculation-sheet'!B109</f>
        <v>50230506293.218025</v>
      </c>
      <c r="C132" s="2">
        <f>C11/'Output-Calculation-sheet'!C10*'Output-Calculation-sheet'!C109</f>
        <v>0</v>
      </c>
      <c r="D132" s="2">
        <f>D11/'Output-Calculation-sheet'!D10*'Output-Calculation-sheet'!D109</f>
        <v>39918141270.914513</v>
      </c>
      <c r="E132" s="2">
        <f>E11/'Output-Calculation-sheet'!E10*'Output-Calculation-sheet'!E109</f>
        <v>27999613480.812851</v>
      </c>
      <c r="F132" s="2">
        <f>F11/'Output-Calculation-sheet'!F10*'Output-Calculation-sheet'!F109</f>
        <v>20784113337.793995</v>
      </c>
      <c r="G132" s="2">
        <f>G11/'Output-Calculation-sheet'!G10*'Output-Calculation-sheet'!G109</f>
        <v>14269253466.299917</v>
      </c>
      <c r="H132" s="2">
        <f>H11/'Output-Calculation-sheet'!H10*'Output-Calculation-sheet'!H109</f>
        <v>0</v>
      </c>
      <c r="I132" s="2">
        <f>I11/'Output-Calculation-sheet'!I10*'Output-Calculation-sheet'!I109</f>
        <v>12836664077.607918</v>
      </c>
      <c r="J132" s="2">
        <f>J11/'Output-Calculation-sheet'!J10*'Output-Calculation-sheet'!J109</f>
        <v>13117402032.672424</v>
      </c>
      <c r="K132" s="2">
        <f>K11/'Output-Calculation-sheet'!K10*'Output-Calculation-sheet'!K109</f>
        <v>11384917865.345484</v>
      </c>
      <c r="L132" s="2">
        <f>L11/'Output-Calculation-sheet'!L10*'Output-Calculation-sheet'!L109</f>
        <v>8995085952.6274128</v>
      </c>
      <c r="M132" s="2">
        <f>M11/'Output-Calculation-sheet'!M10*'Output-Calculation-sheet'!M109</f>
        <v>0</v>
      </c>
      <c r="N132" s="2">
        <f>N11/'Output-Calculation-sheet'!N10*'Output-Calculation-sheet'!N109</f>
        <v>1768545092.4533274</v>
      </c>
      <c r="O132" s="2">
        <f>O11/'Output-Calculation-sheet'!O10*'Output-Calculation-sheet'!O109</f>
        <v>0</v>
      </c>
      <c r="P132" s="2">
        <f>P11/'Output-Calculation-sheet'!P10*'Output-Calculation-sheet'!P109</f>
        <v>5639662160.5833235</v>
      </c>
      <c r="Q132" s="2">
        <f>Q11/'Output-Calculation-sheet'!Q10*'Output-Calculation-sheet'!Q109</f>
        <v>5551374416.7392378</v>
      </c>
      <c r="R132" s="2">
        <f>R11/'Output-Calculation-sheet'!R10*'Output-Calculation-sheet'!R109</f>
        <v>6474575509.8309765</v>
      </c>
      <c r="S132" s="2">
        <f>S11/'Output-Calculation-sheet'!S10*'Output-Calculation-sheet'!S109</f>
        <v>1890485497.7339644</v>
      </c>
      <c r="T132" s="2">
        <f>T11/'Output-Calculation-sheet'!T10*'Output-Calculation-sheet'!T109</f>
        <v>2793049968.2894068</v>
      </c>
      <c r="U132" s="2">
        <f>U11/'Output-Calculation-sheet'!U10*'Output-Calculation-sheet'!U109</f>
        <v>1974593914.7313273</v>
      </c>
      <c r="V132" s="2">
        <f>V11/'Output-Calculation-sheet'!V10*'Output-Calculation-sheet'!V109</f>
        <v>1778931361.3415267</v>
      </c>
      <c r="W132" s="2">
        <f>W11/'Output-Calculation-sheet'!W10*'Output-Calculation-sheet'!W109</f>
        <v>1800409555.5466335</v>
      </c>
      <c r="X132" s="2">
        <f>X11/'Output-Calculation-sheet'!X10*'Output-Calculation-sheet'!X109</f>
        <v>0</v>
      </c>
      <c r="Y132" s="2">
        <f>Y11/'Output-Calculation-sheet'!Y10*'Output-Calculation-sheet'!Y109</f>
        <v>816788138.01725781</v>
      </c>
      <c r="AA132" s="2">
        <f t="shared" si="11"/>
        <v>230024.11339255952</v>
      </c>
    </row>
    <row r="133" spans="1:27" x14ac:dyDescent="0.25">
      <c r="A133" s="2">
        <v>2035</v>
      </c>
      <c r="B133" s="2">
        <f>B12/'Output-Calculation-sheet'!B11*'Output-Calculation-sheet'!B110</f>
        <v>45117208417.196091</v>
      </c>
      <c r="C133" s="2">
        <f>C12/'Output-Calculation-sheet'!C11*'Output-Calculation-sheet'!C110</f>
        <v>0</v>
      </c>
      <c r="D133" s="2">
        <f>D12/'Output-Calculation-sheet'!D11*'Output-Calculation-sheet'!D110</f>
        <v>37118507063.745766</v>
      </c>
      <c r="E133" s="2">
        <f>E12/'Output-Calculation-sheet'!E11*'Output-Calculation-sheet'!E110</f>
        <v>26052409593.404495</v>
      </c>
      <c r="F133" s="2">
        <f>F12/'Output-Calculation-sheet'!F11*'Output-Calculation-sheet'!F110</f>
        <v>19320855357.521851</v>
      </c>
      <c r="G133" s="2">
        <f>G12/'Output-Calculation-sheet'!G11*'Output-Calculation-sheet'!G110</f>
        <v>13249021038.505648</v>
      </c>
      <c r="H133" s="2">
        <f>H12/'Output-Calculation-sheet'!H11*'Output-Calculation-sheet'!H110</f>
        <v>0</v>
      </c>
      <c r="I133" s="2">
        <f>I12/'Output-Calculation-sheet'!I11*'Output-Calculation-sheet'!I110</f>
        <v>11933370052.342886</v>
      </c>
      <c r="J133" s="2">
        <f>J12/'Output-Calculation-sheet'!J11*'Output-Calculation-sheet'!J110</f>
        <v>12176171863.99691</v>
      </c>
      <c r="K133" s="2">
        <f>K12/'Output-Calculation-sheet'!K11*'Output-Calculation-sheet'!K110</f>
        <v>10594302273.929504</v>
      </c>
      <c r="L133" s="2">
        <f>L12/'Output-Calculation-sheet'!L11*'Output-Calculation-sheet'!L110</f>
        <v>8363950746.2325926</v>
      </c>
      <c r="M133" s="2">
        <f>M12/'Output-Calculation-sheet'!M11*'Output-Calculation-sheet'!M110</f>
        <v>0</v>
      </c>
      <c r="N133" s="2">
        <f>N12/'Output-Calculation-sheet'!N11*'Output-Calculation-sheet'!N110</f>
        <v>1544102793.2121913</v>
      </c>
      <c r="O133" s="2">
        <f>O12/'Output-Calculation-sheet'!O11*'Output-Calculation-sheet'!O110</f>
        <v>0</v>
      </c>
      <c r="P133" s="2">
        <f>P12/'Output-Calculation-sheet'!P11*'Output-Calculation-sheet'!P110</f>
        <v>5273909530.4306555</v>
      </c>
      <c r="Q133" s="2">
        <f>Q12/'Output-Calculation-sheet'!Q11*'Output-Calculation-sheet'!Q110</f>
        <v>5183006220.4665937</v>
      </c>
      <c r="R133" s="2">
        <f>R12/'Output-Calculation-sheet'!R11*'Output-Calculation-sheet'!R110</f>
        <v>6037211426.9699898</v>
      </c>
      <c r="S133" s="2">
        <f>S12/'Output-Calculation-sheet'!S11*'Output-Calculation-sheet'!S110</f>
        <v>1625884383.939826</v>
      </c>
      <c r="T133" s="2">
        <f>T12/'Output-Calculation-sheet'!T11*'Output-Calculation-sheet'!T110</f>
        <v>2597415390.7815976</v>
      </c>
      <c r="U133" s="2">
        <f>U12/'Output-Calculation-sheet'!U11*'Output-Calculation-sheet'!U110</f>
        <v>1838966646.5800424</v>
      </c>
      <c r="V133" s="2">
        <f>V12/'Output-Calculation-sheet'!V11*'Output-Calculation-sheet'!V110</f>
        <v>1658763163.9594095</v>
      </c>
      <c r="W133" s="2">
        <f>W12/'Output-Calculation-sheet'!W11*'Output-Calculation-sheet'!W110</f>
        <v>1672687246.951237</v>
      </c>
      <c r="X133" s="2">
        <f>X12/'Output-Calculation-sheet'!X11*'Output-Calculation-sheet'!X110</f>
        <v>0</v>
      </c>
      <c r="Y133" s="2">
        <f>Y12/'Output-Calculation-sheet'!Y11*'Output-Calculation-sheet'!Y110</f>
        <v>760438168.14129782</v>
      </c>
      <c r="AA133" s="2">
        <f t="shared" si="11"/>
        <v>212118.18137830863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63235679156.904335</v>
      </c>
      <c r="C151" s="2">
        <f>C8/'Output-Calculation-sheet'!C7*'Output-Calculation-sheet'!C124</f>
        <v>53760718070.456215</v>
      </c>
      <c r="D151" s="2">
        <f>D8/'Output-Calculation-sheet'!D7*'Output-Calculation-sheet'!D124</f>
        <v>11108425232.730825</v>
      </c>
      <c r="E151" s="2">
        <f>E8/'Output-Calculation-sheet'!E7*'Output-Calculation-sheet'!E124</f>
        <v>12288300458.892839</v>
      </c>
      <c r="F151" s="2">
        <f>F8/'Output-Calculation-sheet'!F7*'Output-Calculation-sheet'!F124</f>
        <v>5317968575.54144</v>
      </c>
      <c r="G151" s="2">
        <f>G8/'Output-Calculation-sheet'!G7*'Output-Calculation-sheet'!G124</f>
        <v>4022808671.5316343</v>
      </c>
      <c r="H151" s="2">
        <f>H8/'Output-Calculation-sheet'!H7*'Output-Calculation-sheet'!H124</f>
        <v>12715929071.811451</v>
      </c>
      <c r="I151" s="2">
        <f>I8/'Output-Calculation-sheet'!I7*'Output-Calculation-sheet'!I124</f>
        <v>3851517955.8960342</v>
      </c>
      <c r="J151" s="2">
        <f>J8/'Output-Calculation-sheet'!J7*'Output-Calculation-sheet'!J124</f>
        <v>3143423517.8335094</v>
      </c>
      <c r="K151" s="2">
        <f>K8/'Output-Calculation-sheet'!K7*'Output-Calculation-sheet'!K124</f>
        <v>4658277093.4243155</v>
      </c>
      <c r="L151" s="2">
        <f>L8/'Output-Calculation-sheet'!L7*'Output-Calculation-sheet'!L124</f>
        <v>3852594263.3863144</v>
      </c>
      <c r="M151" s="2">
        <f>M8/'Output-Calculation-sheet'!M7*'Output-Calculation-sheet'!M124</f>
        <v>8792201371.1797504</v>
      </c>
      <c r="N151" s="2">
        <f>N8/'Output-Calculation-sheet'!N7*'Output-Calculation-sheet'!N124</f>
        <v>7271306757.8053417</v>
      </c>
      <c r="O151" s="2">
        <f>O8/'Output-Calculation-sheet'!O7*'Output-Calculation-sheet'!O124</f>
        <v>10445754207.901114</v>
      </c>
      <c r="P151" s="2">
        <f>P8/'Output-Calculation-sheet'!P7*'Output-Calculation-sheet'!P124</f>
        <v>5251324124.6100559</v>
      </c>
      <c r="Q151" s="2">
        <f>Q8/'Output-Calculation-sheet'!Q7*'Output-Calculation-sheet'!Q124</f>
        <v>5185690664.0502472</v>
      </c>
      <c r="R151" s="2">
        <f>R8/'Output-Calculation-sheet'!R7*'Output-Calculation-sheet'!R124</f>
        <v>3853569347.0509353</v>
      </c>
      <c r="S151" s="2">
        <f>S8/'Output-Calculation-sheet'!S7*'Output-Calculation-sheet'!S124</f>
        <v>4025703876.3507085</v>
      </c>
      <c r="T151" s="2">
        <f>T8/'Output-Calculation-sheet'!T7*'Output-Calculation-sheet'!T124</f>
        <v>1028800812.1735543</v>
      </c>
      <c r="U151" s="2">
        <f>U8/'Output-Calculation-sheet'!U7*'Output-Calculation-sheet'!U124</f>
        <v>1324974115.7100816</v>
      </c>
      <c r="V151" s="2">
        <f>V8/'Output-Calculation-sheet'!V7*'Output-Calculation-sheet'!V124</f>
        <v>785827940.93508458</v>
      </c>
      <c r="W151" s="2">
        <f>W8/'Output-Calculation-sheet'!W7*'Output-Calculation-sheet'!W124</f>
        <v>428917029.75717723</v>
      </c>
      <c r="X151" s="2">
        <f>X8/'Output-Calculation-sheet'!X7*'Output-Calculation-sheet'!X124</f>
        <v>989085000.5433538</v>
      </c>
      <c r="Y151" s="2">
        <f>Y8/'Output-Calculation-sheet'!Y7*'Output-Calculation-sheet'!Y124</f>
        <v>469315162.10545653</v>
      </c>
      <c r="AA151" s="2">
        <f t="shared" si="13"/>
        <v>227808.11247858181</v>
      </c>
    </row>
    <row r="152" spans="1:27" x14ac:dyDescent="0.25">
      <c r="A152" s="2">
        <v>2032</v>
      </c>
      <c r="B152" s="2">
        <f>B9/'Output-Calculation-sheet'!B8*'Output-Calculation-sheet'!B125</f>
        <v>68358565394.572563</v>
      </c>
      <c r="C152" s="2">
        <f>C9/'Output-Calculation-sheet'!C8*'Output-Calculation-sheet'!C125</f>
        <v>58565122418.386719</v>
      </c>
      <c r="D152" s="2">
        <f>D9/'Output-Calculation-sheet'!D8*'Output-Calculation-sheet'!D125</f>
        <v>12023028966.653189</v>
      </c>
      <c r="E152" s="2">
        <f>E9/'Output-Calculation-sheet'!E8*'Output-Calculation-sheet'!E125</f>
        <v>13295349611.239508</v>
      </c>
      <c r="F152" s="2">
        <f>F9/'Output-Calculation-sheet'!F8*'Output-Calculation-sheet'!F125</f>
        <v>5758132826.0779467</v>
      </c>
      <c r="G152" s="2">
        <f>G9/'Output-Calculation-sheet'!G8*'Output-Calculation-sheet'!G125</f>
        <v>4365368806.2883768</v>
      </c>
      <c r="H152" s="2">
        <f>H9/'Output-Calculation-sheet'!H8*'Output-Calculation-sheet'!H125</f>
        <v>13723091296.773251</v>
      </c>
      <c r="I152" s="2">
        <f>I9/'Output-Calculation-sheet'!I8*'Output-Calculation-sheet'!I125</f>
        <v>4169591895.9093285</v>
      </c>
      <c r="J152" s="2">
        <f>J9/'Output-Calculation-sheet'!J8*'Output-Calculation-sheet'!J125</f>
        <v>3405672907.766294</v>
      </c>
      <c r="K152" s="2">
        <f>K9/'Output-Calculation-sheet'!K8*'Output-Calculation-sheet'!K125</f>
        <v>5040337296.1778898</v>
      </c>
      <c r="L152" s="2">
        <f>L9/'Output-Calculation-sheet'!L8*'Output-Calculation-sheet'!L125</f>
        <v>4167321546.0163736</v>
      </c>
      <c r="M152" s="2">
        <f>M9/'Output-Calculation-sheet'!M8*'Output-Calculation-sheet'!M125</f>
        <v>9493099722.5297337</v>
      </c>
      <c r="N152" s="2">
        <f>N9/'Output-Calculation-sheet'!N8*'Output-Calculation-sheet'!N125</f>
        <v>7921736111.4068365</v>
      </c>
      <c r="O152" s="2">
        <f>O9/'Output-Calculation-sheet'!O8*'Output-Calculation-sheet'!O125</f>
        <v>11379254144.938461</v>
      </c>
      <c r="P152" s="2">
        <f>P9/'Output-Calculation-sheet'!P8*'Output-Calculation-sheet'!P125</f>
        <v>5661391015.8801537</v>
      </c>
      <c r="Q152" s="2">
        <f>Q9/'Output-Calculation-sheet'!Q8*'Output-Calculation-sheet'!Q125</f>
        <v>5587703551.7084312</v>
      </c>
      <c r="R152" s="2">
        <f>R9/'Output-Calculation-sheet'!R8*'Output-Calculation-sheet'!R125</f>
        <v>4177517475.8856597</v>
      </c>
      <c r="S152" s="2">
        <f>S9/'Output-Calculation-sheet'!S8*'Output-Calculation-sheet'!S125</f>
        <v>4288263347.6522756</v>
      </c>
      <c r="T152" s="2">
        <f>T9/'Output-Calculation-sheet'!T8*'Output-Calculation-sheet'!T125</f>
        <v>1114784627.5128355</v>
      </c>
      <c r="U152" s="2">
        <f>U9/'Output-Calculation-sheet'!U8*'Output-Calculation-sheet'!U125</f>
        <v>1435222515.4271085</v>
      </c>
      <c r="V152" s="2">
        <f>V9/'Output-Calculation-sheet'!V8*'Output-Calculation-sheet'!V125</f>
        <v>847505747.63541651</v>
      </c>
      <c r="W152" s="2">
        <f>W9/'Output-Calculation-sheet'!W8*'Output-Calculation-sheet'!W125</f>
        <v>463080311.95773256</v>
      </c>
      <c r="X152" s="2">
        <f>X9/'Output-Calculation-sheet'!X8*'Output-Calculation-sheet'!X125</f>
        <v>1065461982.5717838</v>
      </c>
      <c r="Y152" s="2">
        <f>Y9/'Output-Calculation-sheet'!Y8*'Output-Calculation-sheet'!Y125</f>
        <v>508498511.48077393</v>
      </c>
      <c r="AA152" s="2">
        <f t="shared" si="13"/>
        <v>246815.10203244866</v>
      </c>
    </row>
    <row r="153" spans="1:27" x14ac:dyDescent="0.25">
      <c r="A153" s="2">
        <v>2033</v>
      </c>
      <c r="B153" s="2">
        <f>B10/'Output-Calculation-sheet'!B9*'Output-Calculation-sheet'!B126</f>
        <v>67045498443.141518</v>
      </c>
      <c r="C153" s="2">
        <f>C10/'Output-Calculation-sheet'!C9*'Output-Calculation-sheet'!C126</f>
        <v>49041087645.275551</v>
      </c>
      <c r="D153" s="2">
        <f>D10/'Output-Calculation-sheet'!D9*'Output-Calculation-sheet'!D126</f>
        <v>12209891393.816835</v>
      </c>
      <c r="E153" s="2">
        <f>E10/'Output-Calculation-sheet'!E9*'Output-Calculation-sheet'!E126</f>
        <v>13514402075.764853</v>
      </c>
      <c r="F153" s="2">
        <f>F10/'Output-Calculation-sheet'!F9*'Output-Calculation-sheet'!F126</f>
        <v>5838782178.162158</v>
      </c>
      <c r="G153" s="2">
        <f>G10/'Output-Calculation-sheet'!G9*'Output-Calculation-sheet'!G126</f>
        <v>4433229435.3782349</v>
      </c>
      <c r="H153" s="2">
        <f>H10/'Output-Calculation-sheet'!H9*'Output-Calculation-sheet'!H126</f>
        <v>13894714930.90641</v>
      </c>
      <c r="I153" s="2">
        <f>I10/'Output-Calculation-sheet'!I9*'Output-Calculation-sheet'!I126</f>
        <v>4233432343.130651</v>
      </c>
      <c r="J153" s="2">
        <f>J10/'Output-Calculation-sheet'!J9*'Output-Calculation-sheet'!J126</f>
        <v>3457401464.217834</v>
      </c>
      <c r="K153" s="2">
        <f>K10/'Output-Calculation-sheet'!K9*'Output-Calculation-sheet'!K126</f>
        <v>5106161403.5278625</v>
      </c>
      <c r="L153" s="2">
        <f>L10/'Output-Calculation-sheet'!L9*'Output-Calculation-sheet'!L126</f>
        <v>4229786894.8367</v>
      </c>
      <c r="M153" s="2">
        <f>M10/'Output-Calculation-sheet'!M9*'Output-Calculation-sheet'!M126</f>
        <v>9609596421.2257462</v>
      </c>
      <c r="N153" s="2">
        <f>N10/'Output-Calculation-sheet'!N9*'Output-Calculation-sheet'!N126</f>
        <v>8089865095.5934649</v>
      </c>
      <c r="O153" s="2">
        <f>O10/'Output-Calculation-sheet'!O9*'Output-Calculation-sheet'!O126</f>
        <v>11624016764.485249</v>
      </c>
      <c r="P153" s="2">
        <f>P10/'Output-Calculation-sheet'!P9*'Output-Calculation-sheet'!P126</f>
        <v>5735089363.6052704</v>
      </c>
      <c r="Q153" s="2">
        <f>Q10/'Output-Calculation-sheet'!Q9*'Output-Calculation-sheet'!Q126</f>
        <v>5651910925.2690086</v>
      </c>
      <c r="R153" s="2">
        <f>R10/'Output-Calculation-sheet'!R9*'Output-Calculation-sheet'!R126</f>
        <v>4238257793.9827008</v>
      </c>
      <c r="S153" s="2">
        <f>S10/'Output-Calculation-sheet'!S9*'Output-Calculation-sheet'!S126</f>
        <v>4334548558.7661638</v>
      </c>
      <c r="T153" s="2">
        <f>T10/'Output-Calculation-sheet'!T9*'Output-Calculation-sheet'!T126</f>
        <v>1130641711.3610952</v>
      </c>
      <c r="U153" s="2">
        <f>U10/'Output-Calculation-sheet'!U9*'Output-Calculation-sheet'!U126</f>
        <v>1459860479.7967548</v>
      </c>
      <c r="V153" s="2">
        <f>V10/'Output-Calculation-sheet'!V9*'Output-Calculation-sheet'!V126</f>
        <v>858682944.3088125</v>
      </c>
      <c r="W153" s="2">
        <f>W10/'Output-Calculation-sheet'!W9*'Output-Calculation-sheet'!W126</f>
        <v>470604646.55683881</v>
      </c>
      <c r="X153" s="2">
        <f>X10/'Output-Calculation-sheet'!X9*'Output-Calculation-sheet'!X126</f>
        <v>1079761938.956785</v>
      </c>
      <c r="Y153" s="2">
        <f>Y10/'Output-Calculation-sheet'!Y9*'Output-Calculation-sheet'!Y126</f>
        <v>516470451.65020776</v>
      </c>
      <c r="AA153" s="2">
        <f t="shared" si="13"/>
        <v>237803.6953037167</v>
      </c>
    </row>
    <row r="154" spans="1:27" x14ac:dyDescent="0.25">
      <c r="A154" s="2">
        <v>2034</v>
      </c>
      <c r="B154" s="2">
        <f>B11/'Output-Calculation-sheet'!B10*'Output-Calculation-sheet'!B127</f>
        <v>63320434125.997154</v>
      </c>
      <c r="C154" s="2">
        <f>C11/'Output-Calculation-sheet'!C10*'Output-Calculation-sheet'!C127</f>
        <v>46940775942.278442</v>
      </c>
      <c r="D154" s="2">
        <f>D11/'Output-Calculation-sheet'!D10*'Output-Calculation-sheet'!D127</f>
        <v>11789450534.158001</v>
      </c>
      <c r="E154" s="2">
        <f>E11/'Output-Calculation-sheet'!E10*'Output-Calculation-sheet'!E127</f>
        <v>13025161518.338175</v>
      </c>
      <c r="F154" s="2">
        <f>F11/'Output-Calculation-sheet'!F10*'Output-Calculation-sheet'!F127</f>
        <v>5624997100.7048664</v>
      </c>
      <c r="G154" s="2">
        <f>G11/'Output-Calculation-sheet'!G10*'Output-Calculation-sheet'!G127</f>
        <v>4286557008.9330583</v>
      </c>
      <c r="H154" s="2">
        <f>H11/'Output-Calculation-sheet'!H10*'Output-Calculation-sheet'!H127</f>
        <v>13348620127.838121</v>
      </c>
      <c r="I154" s="2">
        <f>I11/'Output-Calculation-sheet'!I10*'Output-Calculation-sheet'!I127</f>
        <v>4069100612.5781102</v>
      </c>
      <c r="J154" s="2">
        <f>J11/'Output-Calculation-sheet'!J10*'Output-Calculation-sheet'!J127</f>
        <v>3337452892.2690144</v>
      </c>
      <c r="K154" s="2">
        <f>K11/'Output-Calculation-sheet'!K10*'Output-Calculation-sheet'!K127</f>
        <v>4912208393.3296509</v>
      </c>
      <c r="L154" s="2">
        <f>L11/'Output-Calculation-sheet'!L10*'Output-Calculation-sheet'!L127</f>
        <v>4078711577.8577704</v>
      </c>
      <c r="M154" s="2">
        <f>M11/'Output-Calculation-sheet'!M10*'Output-Calculation-sheet'!M127</f>
        <v>9232225075.6608944</v>
      </c>
      <c r="N154" s="2">
        <f>N11/'Output-Calculation-sheet'!N10*'Output-Calculation-sheet'!N127</f>
        <v>7830188886.7728872</v>
      </c>
      <c r="O154" s="2">
        <f>O11/'Output-Calculation-sheet'!O10*'Output-Calculation-sheet'!O127</f>
        <v>11272509707.857302</v>
      </c>
      <c r="P154" s="2">
        <f>P11/'Output-Calculation-sheet'!P10*'Output-Calculation-sheet'!P127</f>
        <v>5518206939.8928699</v>
      </c>
      <c r="Q154" s="2">
        <f>Q11/'Output-Calculation-sheet'!Q10*'Output-Calculation-sheet'!Q127</f>
        <v>5426145049.2256079</v>
      </c>
      <c r="R154" s="2">
        <f>R11/'Output-Calculation-sheet'!R10*'Output-Calculation-sheet'!R127</f>
        <v>4086323541.4600105</v>
      </c>
      <c r="S154" s="2">
        <f>S11/'Output-Calculation-sheet'!S10*'Output-Calculation-sheet'!S127</f>
        <v>4108461785.2631531</v>
      </c>
      <c r="T154" s="2">
        <f>T11/'Output-Calculation-sheet'!T10*'Output-Calculation-sheet'!T127</f>
        <v>1089019104.3898976</v>
      </c>
      <c r="U154" s="2">
        <f>U11/'Output-Calculation-sheet'!U10*'Output-Calculation-sheet'!U127</f>
        <v>1406561922.2371366</v>
      </c>
      <c r="V154" s="2">
        <f>V11/'Output-Calculation-sheet'!V10*'Output-Calculation-sheet'!V127</f>
        <v>824614992.27123749</v>
      </c>
      <c r="W154" s="2">
        <f>W11/'Output-Calculation-sheet'!W10*'Output-Calculation-sheet'!W127</f>
        <v>453702312.58807003</v>
      </c>
      <c r="X154" s="2">
        <f>X11/'Output-Calculation-sheet'!X10*'Output-Calculation-sheet'!X127</f>
        <v>1036860170.6063699</v>
      </c>
      <c r="Y154" s="2">
        <f>Y11/'Output-Calculation-sheet'!Y10*'Output-Calculation-sheet'!Y127</f>
        <v>498466558.37339395</v>
      </c>
      <c r="AA154" s="2">
        <f t="shared" si="13"/>
        <v>227516.75588088122</v>
      </c>
    </row>
    <row r="155" spans="1:27" x14ac:dyDescent="0.25">
      <c r="A155" s="2">
        <v>2035</v>
      </c>
      <c r="B155" s="2">
        <f>B12/'Output-Calculation-sheet'!B11*'Output-Calculation-sheet'!B128</f>
        <v>58058769963.654083</v>
      </c>
      <c r="C155" s="2">
        <f>C12/'Output-Calculation-sheet'!C11*'Output-Calculation-sheet'!C128</f>
        <v>43037586397.174103</v>
      </c>
      <c r="D155" s="2">
        <f>D12/'Output-Calculation-sheet'!D11*'Output-Calculation-sheet'!D128</f>
        <v>10850238659.828533</v>
      </c>
      <c r="E155" s="2">
        <f>E12/'Output-Calculation-sheet'!E11*'Output-Calculation-sheet'!E128</f>
        <v>12005963255.017942</v>
      </c>
      <c r="F155" s="2">
        <f>F12/'Output-Calculation-sheet'!F11*'Output-Calculation-sheet'!F128</f>
        <v>5178676247.0842447</v>
      </c>
      <c r="G155" s="2">
        <f>G12/'Output-Calculation-sheet'!G11*'Output-Calculation-sheet'!G128</f>
        <v>3965063708.7158461</v>
      </c>
      <c r="H155" s="2">
        <f>H12/'Output-Calculation-sheet'!H11*'Output-Calculation-sheet'!H128</f>
        <v>12283246207.352457</v>
      </c>
      <c r="I155" s="2">
        <f>I12/'Output-Calculation-sheet'!I11*'Output-Calculation-sheet'!I128</f>
        <v>3749979725.4464951</v>
      </c>
      <c r="J155" s="2">
        <f>J12/'Output-Calculation-sheet'!J11*'Output-Calculation-sheet'!J128</f>
        <v>3088872341.9269724</v>
      </c>
      <c r="K155" s="2">
        <f>K12/'Output-Calculation-sheet'!K11*'Output-Calculation-sheet'!K128</f>
        <v>4524416757.335722</v>
      </c>
      <c r="L155" s="2">
        <f>L12/'Output-Calculation-sheet'!L11*'Output-Calculation-sheet'!L128</f>
        <v>3764512139.189362</v>
      </c>
      <c r="M155" s="2">
        <f>M12/'Output-Calculation-sheet'!M11*'Output-Calculation-sheet'!M128</f>
        <v>8499534094.3300724</v>
      </c>
      <c r="N155" s="2">
        <f>N12/'Output-Calculation-sheet'!N11*'Output-Calculation-sheet'!N128</f>
        <v>7247658764.5221376</v>
      </c>
      <c r="O155" s="2">
        <f>O12/'Output-Calculation-sheet'!O11*'Output-Calculation-sheet'!O128</f>
        <v>8614440899.9737873</v>
      </c>
      <c r="P155" s="2">
        <f>P12/'Output-Calculation-sheet'!P11*'Output-Calculation-sheet'!P128</f>
        <v>5077162088.5373898</v>
      </c>
      <c r="Q155" s="2">
        <f>Q12/'Output-Calculation-sheet'!Q11*'Output-Calculation-sheet'!Q128</f>
        <v>4967112009.9984121</v>
      </c>
      <c r="R155" s="2">
        <f>R12/'Output-Calculation-sheet'!R11*'Output-Calculation-sheet'!R128</f>
        <v>3760054584.0416722</v>
      </c>
      <c r="S155" s="2">
        <f>S12/'Output-Calculation-sheet'!S11*'Output-Calculation-sheet'!S128</f>
        <v>3800169306.9132543</v>
      </c>
      <c r="T155" s="2">
        <f>T12/'Output-Calculation-sheet'!T11*'Output-Calculation-sheet'!T128</f>
        <v>1003950666.5439076</v>
      </c>
      <c r="U155" s="2">
        <f>U12/'Output-Calculation-sheet'!U11*'Output-Calculation-sheet'!U128</f>
        <v>1297705998.2943921</v>
      </c>
      <c r="V155" s="2">
        <f>V12/'Output-Calculation-sheet'!V11*'Output-Calculation-sheet'!V128</f>
        <v>756527293.99128759</v>
      </c>
      <c r="W155" s="2">
        <f>W12/'Output-Calculation-sheet'!W11*'Output-Calculation-sheet'!W128</f>
        <v>418435044.05930704</v>
      </c>
      <c r="X155" s="2">
        <f>X12/'Output-Calculation-sheet'!X11*'Output-Calculation-sheet'!X128</f>
        <v>952598868.0274924</v>
      </c>
      <c r="Y155" s="2">
        <f>Y12/'Output-Calculation-sheet'!Y11*'Output-Calculation-sheet'!Y128</f>
        <v>459713645.65682638</v>
      </c>
      <c r="AA155" s="2">
        <f t="shared" si="13"/>
        <v>207362.38866761574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83.790999999999997</v>
      </c>
      <c r="C13" s="7">
        <v>0</v>
      </c>
      <c r="D13" s="7">
        <v>64.361999999999995</v>
      </c>
      <c r="E13" s="7">
        <v>82.617999999999995</v>
      </c>
      <c r="F13" s="7">
        <v>74.622</v>
      </c>
      <c r="G13" s="7">
        <v>63.055999999999997</v>
      </c>
      <c r="H13" s="7">
        <v>0</v>
      </c>
      <c r="I13" s="7">
        <v>70.054000000000002</v>
      </c>
      <c r="J13" s="7">
        <v>65.075000000000003</v>
      </c>
      <c r="K13" s="7">
        <v>79.879000000000005</v>
      </c>
      <c r="L13" s="7">
        <v>83.296999999999997</v>
      </c>
      <c r="M13" s="7">
        <v>0</v>
      </c>
      <c r="N13" s="7">
        <v>58.054000000000002</v>
      </c>
      <c r="O13" s="7">
        <v>0</v>
      </c>
      <c r="P13" s="7">
        <v>75.603999999999999</v>
      </c>
      <c r="Q13" s="7">
        <v>86.001000000000005</v>
      </c>
      <c r="R13" s="7">
        <v>78.265000000000001</v>
      </c>
      <c r="S13" s="7">
        <v>71.213999999999999</v>
      </c>
      <c r="T13" s="7">
        <v>77.763999999999996</v>
      </c>
      <c r="U13" s="7">
        <v>68.286000000000001</v>
      </c>
      <c r="V13" s="7">
        <v>84.834999999999994</v>
      </c>
      <c r="W13" s="7">
        <v>68.566000000000003</v>
      </c>
      <c r="X13" s="7">
        <v>0</v>
      </c>
      <c r="Y13" s="7">
        <v>77.992000000000004</v>
      </c>
    </row>
    <row r="14" spans="1:25" ht="28.5" customHeight="1" x14ac:dyDescent="0.25">
      <c r="A14" s="4"/>
      <c r="B14" s="7">
        <v>85.715000000000003</v>
      </c>
      <c r="C14" s="7">
        <v>0</v>
      </c>
      <c r="D14" s="7">
        <v>64.852999999999994</v>
      </c>
      <c r="E14" s="7">
        <v>83.798000000000002</v>
      </c>
      <c r="F14" s="7">
        <v>75.132999999999996</v>
      </c>
      <c r="G14" s="7">
        <v>63.427</v>
      </c>
      <c r="H14" s="7">
        <v>0</v>
      </c>
      <c r="I14" s="7">
        <v>70.828000000000003</v>
      </c>
      <c r="J14" s="7">
        <v>65.584000000000003</v>
      </c>
      <c r="K14" s="7">
        <v>80.997</v>
      </c>
      <c r="L14" s="7">
        <v>84.245000000000005</v>
      </c>
      <c r="M14" s="7">
        <v>0</v>
      </c>
      <c r="N14" s="7">
        <v>57.302999999999997</v>
      </c>
      <c r="O14" s="7">
        <v>0</v>
      </c>
      <c r="P14" s="7">
        <v>77.466999999999999</v>
      </c>
      <c r="Q14" s="7">
        <v>88.667000000000002</v>
      </c>
      <c r="R14" s="7">
        <v>79.498999999999995</v>
      </c>
      <c r="S14" s="7">
        <v>73.861999999999995</v>
      </c>
      <c r="T14" s="7">
        <v>78.566000000000003</v>
      </c>
      <c r="U14" s="7">
        <v>69.305999999999997</v>
      </c>
      <c r="V14" s="7">
        <v>85.968999999999994</v>
      </c>
      <c r="W14" s="7">
        <v>69.28</v>
      </c>
      <c r="X14" s="7">
        <v>0</v>
      </c>
      <c r="Y14" s="7">
        <v>78.941000000000003</v>
      </c>
    </row>
    <row r="15" spans="1:25" ht="28.5" customHeight="1" x14ac:dyDescent="0.25">
      <c r="A15" s="4"/>
      <c r="B15" s="7">
        <v>87.575000000000003</v>
      </c>
      <c r="C15" s="7">
        <v>0</v>
      </c>
      <c r="D15" s="7">
        <v>65.477000000000004</v>
      </c>
      <c r="E15" s="7">
        <v>84.932000000000002</v>
      </c>
      <c r="F15" s="7">
        <v>75.747</v>
      </c>
      <c r="G15" s="7">
        <v>63.838999999999999</v>
      </c>
      <c r="H15" s="7">
        <v>0</v>
      </c>
      <c r="I15" s="7">
        <v>71.516000000000005</v>
      </c>
      <c r="J15" s="7">
        <v>66.102000000000004</v>
      </c>
      <c r="K15" s="7">
        <v>81.954999999999998</v>
      </c>
      <c r="L15" s="7">
        <v>85.450999999999993</v>
      </c>
      <c r="M15" s="7">
        <v>0</v>
      </c>
      <c r="N15" s="7">
        <v>51.99</v>
      </c>
      <c r="O15" s="7">
        <v>0</v>
      </c>
      <c r="P15" s="7">
        <v>78.891999999999996</v>
      </c>
      <c r="Q15" s="7">
        <v>90.867000000000004</v>
      </c>
      <c r="R15" s="7">
        <v>80.682000000000002</v>
      </c>
      <c r="S15" s="7">
        <v>69.923000000000002</v>
      </c>
      <c r="T15" s="7">
        <v>79.512</v>
      </c>
      <c r="U15" s="7">
        <v>70.253</v>
      </c>
      <c r="V15" s="7">
        <v>87.206999999999994</v>
      </c>
      <c r="W15" s="7">
        <v>70.129000000000005</v>
      </c>
      <c r="X15" s="7">
        <v>0</v>
      </c>
      <c r="Y15" s="7">
        <v>80.046999999999997</v>
      </c>
    </row>
    <row r="16" spans="1:25" ht="28.5" customHeight="1" x14ac:dyDescent="0.25">
      <c r="A16" s="4"/>
      <c r="B16" s="7">
        <v>1769.4849999999999</v>
      </c>
      <c r="C16" s="7">
        <v>0</v>
      </c>
      <c r="D16" s="7">
        <v>1313.808</v>
      </c>
      <c r="E16" s="7">
        <v>1709.895</v>
      </c>
      <c r="F16" s="7">
        <v>1523.1479999999999</v>
      </c>
      <c r="G16" s="7">
        <v>1279.9849999999999</v>
      </c>
      <c r="H16" s="7">
        <v>0</v>
      </c>
      <c r="I16" s="7">
        <v>1440.3240000000001</v>
      </c>
      <c r="J16" s="7">
        <v>1328.3779999999999</v>
      </c>
      <c r="K16" s="7">
        <v>1654.268</v>
      </c>
      <c r="L16" s="7">
        <v>1716.9059999999999</v>
      </c>
      <c r="M16" s="7">
        <v>0</v>
      </c>
      <c r="N16" s="7">
        <v>903.83900000000006</v>
      </c>
      <c r="O16" s="7">
        <v>0</v>
      </c>
      <c r="P16" s="7">
        <v>1589.327</v>
      </c>
      <c r="Q16" s="7">
        <v>1838.0509999999999</v>
      </c>
      <c r="R16" s="7">
        <v>1623.885</v>
      </c>
      <c r="S16" s="7">
        <v>1314.461</v>
      </c>
      <c r="T16" s="7">
        <v>1601.296</v>
      </c>
      <c r="U16" s="7">
        <v>1415.191</v>
      </c>
      <c r="V16" s="7">
        <v>1757.471</v>
      </c>
      <c r="W16" s="7">
        <v>1409.029</v>
      </c>
      <c r="X16" s="7">
        <v>0</v>
      </c>
      <c r="Y16" s="7">
        <v>1614.1980000000001</v>
      </c>
    </row>
    <row r="17" spans="1:25" ht="28.5" customHeight="1" x14ac:dyDescent="0.25">
      <c r="A17" s="4"/>
      <c r="B17" s="7">
        <v>1791.336</v>
      </c>
      <c r="C17" s="7">
        <v>0</v>
      </c>
      <c r="D17" s="7">
        <v>1320.894</v>
      </c>
      <c r="E17" s="7">
        <v>1721.252</v>
      </c>
      <c r="F17" s="7">
        <v>1528.94</v>
      </c>
      <c r="G17" s="7">
        <v>1284.2760000000001</v>
      </c>
      <c r="H17" s="7">
        <v>0</v>
      </c>
      <c r="I17" s="7">
        <v>1447.674</v>
      </c>
      <c r="J17" s="7">
        <v>1334.16</v>
      </c>
      <c r="K17" s="7">
        <v>1664.08</v>
      </c>
      <c r="L17" s="7">
        <v>1727.556</v>
      </c>
      <c r="M17" s="7">
        <v>0</v>
      </c>
      <c r="N17" s="7">
        <v>819.90700000000004</v>
      </c>
      <c r="O17" s="7">
        <v>0</v>
      </c>
      <c r="P17" s="7">
        <v>1614.0840000000001</v>
      </c>
      <c r="Q17" s="7">
        <v>1865.125</v>
      </c>
      <c r="R17" s="7">
        <v>1632.973</v>
      </c>
      <c r="S17" s="7">
        <v>1234.9739999999999</v>
      </c>
      <c r="T17" s="7">
        <v>1608.4580000000001</v>
      </c>
      <c r="U17" s="7">
        <v>1426.4780000000001</v>
      </c>
      <c r="V17" s="7">
        <v>1772.8009999999999</v>
      </c>
      <c r="W17" s="7">
        <v>1417.664</v>
      </c>
      <c r="X17" s="7">
        <v>0</v>
      </c>
      <c r="Y17" s="7">
        <v>1624.087</v>
      </c>
    </row>
    <row r="18" spans="1:25" ht="28.5" customHeight="1" x14ac:dyDescent="0.25">
      <c r="A18" s="4"/>
      <c r="B18" s="7">
        <v>1671.6130000000001</v>
      </c>
      <c r="C18" s="7">
        <v>0</v>
      </c>
      <c r="D18" s="7">
        <v>1327.3309999999999</v>
      </c>
      <c r="E18" s="7">
        <v>1729.4970000000001</v>
      </c>
      <c r="F18" s="7">
        <v>1535.992</v>
      </c>
      <c r="G18" s="7">
        <v>1290.7919999999999</v>
      </c>
      <c r="H18" s="7">
        <v>0</v>
      </c>
      <c r="I18" s="7">
        <v>1454.8679999999999</v>
      </c>
      <c r="J18" s="7">
        <v>1340.7570000000001</v>
      </c>
      <c r="K18" s="7">
        <v>1676.135</v>
      </c>
      <c r="L18" s="7">
        <v>1737.2270000000001</v>
      </c>
      <c r="M18" s="7">
        <v>0</v>
      </c>
      <c r="N18" s="7">
        <v>737.76599999999996</v>
      </c>
      <c r="O18" s="7">
        <v>0</v>
      </c>
      <c r="P18" s="7">
        <v>1633.96</v>
      </c>
      <c r="Q18" s="7">
        <v>1889.5229999999999</v>
      </c>
      <c r="R18" s="7">
        <v>1645.7619999999999</v>
      </c>
      <c r="S18" s="7">
        <v>1161.1179999999999</v>
      </c>
      <c r="T18" s="7">
        <v>1618.097</v>
      </c>
      <c r="U18" s="7">
        <v>1434.9870000000001</v>
      </c>
      <c r="V18" s="7">
        <v>1785.2929999999999</v>
      </c>
      <c r="W18" s="7">
        <v>1422.6479999999999</v>
      </c>
      <c r="X18" s="7">
        <v>0</v>
      </c>
      <c r="Y18" s="7">
        <v>1634.6010000000001</v>
      </c>
    </row>
    <row r="19" spans="1:25" ht="28.5" customHeight="1" x14ac:dyDescent="0.25">
      <c r="A19" s="4"/>
      <c r="B19" s="7">
        <v>1583.9929999999999</v>
      </c>
      <c r="C19" s="7">
        <v>0</v>
      </c>
      <c r="D19" s="7">
        <v>1332.116</v>
      </c>
      <c r="E19" s="7">
        <v>1739.83</v>
      </c>
      <c r="F19" s="7">
        <v>1542.3150000000001</v>
      </c>
      <c r="G19" s="7">
        <v>1294.075</v>
      </c>
      <c r="H19" s="7">
        <v>0</v>
      </c>
      <c r="I19" s="7">
        <v>1465.3869999999999</v>
      </c>
      <c r="J19" s="7">
        <v>1345.675</v>
      </c>
      <c r="K19" s="7">
        <v>1687.7819999999999</v>
      </c>
      <c r="L19" s="7">
        <v>1745.8019999999999</v>
      </c>
      <c r="M19" s="7">
        <v>0</v>
      </c>
      <c r="N19" s="7">
        <v>694.14400000000001</v>
      </c>
      <c r="O19" s="7">
        <v>0</v>
      </c>
      <c r="P19" s="7">
        <v>1652.6690000000001</v>
      </c>
      <c r="Q19" s="7">
        <v>1914.4090000000001</v>
      </c>
      <c r="R19" s="7">
        <v>1656.63</v>
      </c>
      <c r="S19" s="7">
        <v>1158.1210000000001</v>
      </c>
      <c r="T19" s="7">
        <v>1627.2829999999999</v>
      </c>
      <c r="U19" s="7">
        <v>1448</v>
      </c>
      <c r="V19" s="7">
        <v>1800.2380000000001</v>
      </c>
      <c r="W19" s="7">
        <v>1428.3409999999999</v>
      </c>
      <c r="X19" s="7">
        <v>0</v>
      </c>
      <c r="Y19" s="7">
        <v>1643.4069999999999</v>
      </c>
    </row>
    <row r="20" spans="1:25" ht="28.5" customHeight="1" x14ac:dyDescent="0.25">
      <c r="A20" s="4"/>
      <c r="B20" s="7">
        <v>1524.421</v>
      </c>
      <c r="C20" s="7">
        <v>0</v>
      </c>
      <c r="D20" s="7">
        <v>1340.9359999999999</v>
      </c>
      <c r="E20" s="7">
        <v>1750.6220000000001</v>
      </c>
      <c r="F20" s="7">
        <v>1549.6289999999999</v>
      </c>
      <c r="G20" s="7">
        <v>1297.348</v>
      </c>
      <c r="H20" s="7">
        <v>0</v>
      </c>
      <c r="I20" s="7">
        <v>1473.239</v>
      </c>
      <c r="J20" s="7">
        <v>1348.1959999999999</v>
      </c>
      <c r="K20" s="7">
        <v>1698.2370000000001</v>
      </c>
      <c r="L20" s="7">
        <v>1753.5740000000001</v>
      </c>
      <c r="M20" s="7">
        <v>0</v>
      </c>
      <c r="N20" s="7">
        <v>661.91300000000001</v>
      </c>
      <c r="O20" s="7">
        <v>0</v>
      </c>
      <c r="P20" s="7">
        <v>1672.3520000000001</v>
      </c>
      <c r="Q20" s="7">
        <v>1933.588</v>
      </c>
      <c r="R20" s="7">
        <v>1671.952</v>
      </c>
      <c r="S20" s="7">
        <v>1089.8430000000001</v>
      </c>
      <c r="T20" s="7">
        <v>1635.7950000000001</v>
      </c>
      <c r="U20" s="7">
        <v>1459.06</v>
      </c>
      <c r="V20" s="7">
        <v>1817.211</v>
      </c>
      <c r="W20" s="7">
        <v>1434.0450000000001</v>
      </c>
      <c r="X20" s="7">
        <v>0</v>
      </c>
      <c r="Y20" s="7">
        <v>1654.2819999999999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-9.5344000000000002E-13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18.215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2.5616699999999999E-12</v>
      </c>
      <c r="Y22" s="7">
        <v>0</v>
      </c>
    </row>
    <row r="23" spans="1:25" x14ac:dyDescent="0.25"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70.397999999999996</v>
      </c>
      <c r="I23" s="7">
        <v>0</v>
      </c>
      <c r="J23" s="7">
        <v>0</v>
      </c>
      <c r="K23" s="7">
        <v>0</v>
      </c>
      <c r="L23" s="7">
        <v>0</v>
      </c>
      <c r="M23" s="7">
        <v>69.635999999999996</v>
      </c>
      <c r="N23" s="7">
        <v>29.056999999999999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58.512</v>
      </c>
      <c r="Y23" s="7">
        <v>0</v>
      </c>
    </row>
    <row r="24" spans="1:25" x14ac:dyDescent="0.25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74.516999999999996</v>
      </c>
      <c r="I24" s="7">
        <v>0</v>
      </c>
      <c r="J24" s="7">
        <v>0</v>
      </c>
      <c r="K24" s="7">
        <v>0</v>
      </c>
      <c r="L24" s="7">
        <v>0</v>
      </c>
      <c r="M24" s="7">
        <v>73.605000000000004</v>
      </c>
      <c r="N24" s="7">
        <v>41.456000000000003</v>
      </c>
      <c r="O24" s="7">
        <v>0</v>
      </c>
      <c r="P24" s="7">
        <v>0</v>
      </c>
      <c r="Q24" s="7">
        <v>0</v>
      </c>
      <c r="R24" s="7">
        <v>0</v>
      </c>
      <c r="S24" s="7">
        <v>12.848000000000001</v>
      </c>
      <c r="T24" s="7">
        <v>0</v>
      </c>
      <c r="U24" s="7">
        <v>0</v>
      </c>
      <c r="V24" s="7">
        <v>0</v>
      </c>
      <c r="W24" s="7">
        <v>0</v>
      </c>
      <c r="X24" s="7">
        <v>62.99</v>
      </c>
      <c r="Y24" s="7">
        <v>0</v>
      </c>
    </row>
    <row r="25" spans="1:25" x14ac:dyDescent="0.25">
      <c r="B25" s="7">
        <v>0</v>
      </c>
      <c r="C25" s="7">
        <v>5.2378599999999997E-11</v>
      </c>
      <c r="D25" s="7">
        <v>0</v>
      </c>
      <c r="E25" s="7">
        <v>0</v>
      </c>
      <c r="F25" s="7">
        <v>0</v>
      </c>
      <c r="G25" s="7">
        <v>0</v>
      </c>
      <c r="H25" s="7">
        <v>1540.8889999999999</v>
      </c>
      <c r="I25" s="7">
        <v>0</v>
      </c>
      <c r="J25" s="7">
        <v>0</v>
      </c>
      <c r="K25" s="7">
        <v>0</v>
      </c>
      <c r="L25" s="7">
        <v>0</v>
      </c>
      <c r="M25" s="7">
        <v>1533.607</v>
      </c>
      <c r="N25" s="7">
        <v>1049.586</v>
      </c>
      <c r="O25" s="7">
        <v>1.48386E-11</v>
      </c>
      <c r="P25" s="7">
        <v>0</v>
      </c>
      <c r="Q25" s="7">
        <v>0</v>
      </c>
      <c r="R25" s="7">
        <v>0</v>
      </c>
      <c r="S25" s="7">
        <v>485.66</v>
      </c>
      <c r="T25" s="7">
        <v>0</v>
      </c>
      <c r="U25" s="7">
        <v>0</v>
      </c>
      <c r="V25" s="7">
        <v>0</v>
      </c>
      <c r="W25" s="7">
        <v>0</v>
      </c>
      <c r="X25" s="7">
        <v>1326.723</v>
      </c>
      <c r="Y25" s="7">
        <v>0</v>
      </c>
    </row>
    <row r="26" spans="1:25" x14ac:dyDescent="0.25">
      <c r="B26" s="7">
        <v>0.224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1591.723</v>
      </c>
      <c r="I26" s="7">
        <v>0</v>
      </c>
      <c r="J26" s="7">
        <v>0</v>
      </c>
      <c r="K26" s="7">
        <v>0</v>
      </c>
      <c r="L26" s="7">
        <v>0</v>
      </c>
      <c r="M26" s="7">
        <v>1581.9390000000001</v>
      </c>
      <c r="N26" s="7">
        <v>1172.21</v>
      </c>
      <c r="O26" s="7">
        <v>1.27175E-10</v>
      </c>
      <c r="P26" s="7">
        <v>0</v>
      </c>
      <c r="Q26" s="7">
        <v>0</v>
      </c>
      <c r="R26" s="7">
        <v>0</v>
      </c>
      <c r="S26" s="7">
        <v>703.55</v>
      </c>
      <c r="T26" s="7">
        <v>0</v>
      </c>
      <c r="U26" s="7">
        <v>0</v>
      </c>
      <c r="V26" s="7">
        <v>0</v>
      </c>
      <c r="W26" s="7">
        <v>0</v>
      </c>
      <c r="X26" s="7">
        <v>1388.01</v>
      </c>
      <c r="Y26" s="7">
        <v>0</v>
      </c>
    </row>
    <row r="27" spans="1:25" x14ac:dyDescent="0.25">
      <c r="B27" s="7">
        <v>342.53199999999998</v>
      </c>
      <c r="C27" s="7">
        <v>1126.1769999999999</v>
      </c>
      <c r="D27" s="7">
        <v>0</v>
      </c>
      <c r="E27" s="7">
        <v>0</v>
      </c>
      <c r="F27" s="7">
        <v>0</v>
      </c>
      <c r="G27" s="7">
        <v>0</v>
      </c>
      <c r="H27" s="7">
        <v>1641.4010000000001</v>
      </c>
      <c r="I27" s="7">
        <v>0</v>
      </c>
      <c r="J27" s="7">
        <v>0</v>
      </c>
      <c r="K27" s="7">
        <v>0</v>
      </c>
      <c r="L27" s="7">
        <v>0</v>
      </c>
      <c r="M27" s="7">
        <v>1632.9459999999999</v>
      </c>
      <c r="N27" s="7">
        <v>1298.146</v>
      </c>
      <c r="O27" s="7">
        <v>0</v>
      </c>
      <c r="P27" s="7">
        <v>0</v>
      </c>
      <c r="Q27" s="7">
        <v>0</v>
      </c>
      <c r="R27" s="7">
        <v>0</v>
      </c>
      <c r="S27" s="7">
        <v>863.92200000000003</v>
      </c>
      <c r="T27" s="7">
        <v>0</v>
      </c>
      <c r="U27" s="7">
        <v>0</v>
      </c>
      <c r="V27" s="7">
        <v>0</v>
      </c>
      <c r="W27" s="7">
        <v>0</v>
      </c>
      <c r="X27" s="7">
        <v>1432.7850000000001</v>
      </c>
      <c r="Y27" s="7">
        <v>0</v>
      </c>
    </row>
    <row r="28" spans="1:25" x14ac:dyDescent="0.25">
      <c r="B28" s="7">
        <v>585.39499999999998</v>
      </c>
      <c r="C28" s="7">
        <v>1194.9659999999999</v>
      </c>
      <c r="D28" s="7">
        <v>0</v>
      </c>
      <c r="E28" s="7">
        <v>0</v>
      </c>
      <c r="F28" s="7">
        <v>0</v>
      </c>
      <c r="G28" s="7">
        <v>0</v>
      </c>
      <c r="H28" s="7">
        <v>1696.0070000000001</v>
      </c>
      <c r="I28" s="7">
        <v>0</v>
      </c>
      <c r="J28" s="7">
        <v>0</v>
      </c>
      <c r="K28" s="7">
        <v>0</v>
      </c>
      <c r="L28" s="7">
        <v>0</v>
      </c>
      <c r="M28" s="7">
        <v>1687.4079999999999</v>
      </c>
      <c r="N28" s="7">
        <v>1376.7170000000001</v>
      </c>
      <c r="O28" s="7">
        <v>0</v>
      </c>
      <c r="P28" s="7">
        <v>0</v>
      </c>
      <c r="Q28" s="7">
        <v>0</v>
      </c>
      <c r="R28" s="7">
        <v>0</v>
      </c>
      <c r="S28" s="7">
        <v>979.71400000000006</v>
      </c>
      <c r="T28" s="7">
        <v>0</v>
      </c>
      <c r="U28" s="7">
        <v>0</v>
      </c>
      <c r="V28" s="7">
        <v>0</v>
      </c>
      <c r="W28" s="7">
        <v>0</v>
      </c>
      <c r="X28" s="7">
        <v>1490.2819999999999</v>
      </c>
      <c r="Y28" s="7">
        <v>0</v>
      </c>
    </row>
    <row r="29" spans="1:25" x14ac:dyDescent="0.25">
      <c r="B29" s="7">
        <v>729.303</v>
      </c>
      <c r="C29" s="7">
        <v>1259.1210000000001</v>
      </c>
      <c r="D29" s="7">
        <v>0</v>
      </c>
      <c r="E29" s="7">
        <v>0</v>
      </c>
      <c r="F29" s="7">
        <v>0</v>
      </c>
      <c r="G29" s="7">
        <v>0</v>
      </c>
      <c r="H29" s="7">
        <v>1745.09</v>
      </c>
      <c r="I29" s="7">
        <v>0</v>
      </c>
      <c r="J29" s="7">
        <v>0</v>
      </c>
      <c r="K29" s="7">
        <v>0</v>
      </c>
      <c r="L29" s="7">
        <v>0</v>
      </c>
      <c r="M29" s="7">
        <v>1733.5409999999999</v>
      </c>
      <c r="N29" s="7">
        <v>1441.7570000000001</v>
      </c>
      <c r="O29" s="7">
        <v>1101.9559999999999</v>
      </c>
      <c r="P29" s="7">
        <v>0</v>
      </c>
      <c r="Q29" s="7">
        <v>22.463999999999999</v>
      </c>
      <c r="R29" s="7">
        <v>0</v>
      </c>
      <c r="S29" s="7">
        <v>1104.539</v>
      </c>
      <c r="T29" s="7">
        <v>0</v>
      </c>
      <c r="U29" s="7">
        <v>0</v>
      </c>
      <c r="V29" s="7">
        <v>0</v>
      </c>
      <c r="W29" s="7">
        <v>0</v>
      </c>
      <c r="X29" s="7">
        <v>1549.037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</row>
    <row r="46" spans="1:25" x14ac:dyDescent="0.25"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</row>
    <row r="47" spans="1:25" x14ac:dyDescent="0.25"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</row>
    <row r="49" spans="1:25" x14ac:dyDescent="0.25">
      <c r="A49" s="6" t="s">
        <v>20</v>
      </c>
      <c r="B49" s="7">
        <v>5.4820391898170541E-2</v>
      </c>
      <c r="C49" s="7">
        <v>5.5000002395620043E-2</v>
      </c>
      <c r="D49" s="7">
        <v>2.8788569037593144E-2</v>
      </c>
      <c r="E49" s="7">
        <v>4.0296465849648237E-2</v>
      </c>
      <c r="F49" s="7">
        <v>2.9060612815707119E-2</v>
      </c>
      <c r="G49" s="7">
        <v>2.84883658199271E-2</v>
      </c>
      <c r="H49" s="7">
        <v>5.5000002363668712E-2</v>
      </c>
      <c r="I49" s="7">
        <v>3.0869592323870172E-2</v>
      </c>
      <c r="J49" s="7">
        <v>2.8640174081570633E-2</v>
      </c>
      <c r="K49" s="7">
        <v>3.7275421535544542E-2</v>
      </c>
      <c r="L49" s="7">
        <v>3.8386374408070599E-2</v>
      </c>
      <c r="M49" s="7">
        <v>5.4999995285099058E-2</v>
      </c>
      <c r="N49" s="7">
        <v>5.8568770001801981E-2</v>
      </c>
      <c r="O49" s="7">
        <v>5.4999998403148224E-2</v>
      </c>
      <c r="P49" s="7">
        <v>4.7442904507589312E-2</v>
      </c>
      <c r="Q49" s="7">
        <v>4.977943652201116E-2</v>
      </c>
      <c r="R49" s="7">
        <v>4.1469050356214017E-2</v>
      </c>
      <c r="S49" s="7">
        <v>5.7235008464738814E-2</v>
      </c>
      <c r="T49" s="7">
        <v>3.539370017743617E-2</v>
      </c>
      <c r="U49" s="7">
        <v>4.0609556398032917E-2</v>
      </c>
      <c r="V49" s="7">
        <v>3.9491038280566153E-2</v>
      </c>
      <c r="W49" s="7">
        <v>2.8599725586722104E-2</v>
      </c>
      <c r="X49" s="7">
        <v>0.06</v>
      </c>
      <c r="Y49" s="7">
        <v>4.0781418214187827E-2</v>
      </c>
    </row>
    <row r="50" spans="1:25" x14ac:dyDescent="0.25">
      <c r="B50" s="7">
        <v>5.4441877318144122E-2</v>
      </c>
      <c r="C50" s="7">
        <v>5.5000002395620043E-2</v>
      </c>
      <c r="D50" s="7">
        <v>2.8499483799035916E-2</v>
      </c>
      <c r="E50" s="7">
        <v>3.9923434930900795E-2</v>
      </c>
      <c r="F50" s="7">
        <v>2.8732821889803778E-2</v>
      </c>
      <c r="G50" s="7">
        <v>2.8205627413011011E-2</v>
      </c>
      <c r="H50" s="7">
        <v>5.464537326819903E-2</v>
      </c>
      <c r="I50" s="7">
        <v>3.0558698037952695E-2</v>
      </c>
      <c r="J50" s="7">
        <v>2.8346804841205678E-2</v>
      </c>
      <c r="K50" s="7">
        <v>3.6913444850580207E-2</v>
      </c>
      <c r="L50" s="7">
        <v>3.8013051653508108E-2</v>
      </c>
      <c r="M50" s="7">
        <v>5.4717619867712453E-2</v>
      </c>
      <c r="N50" s="7">
        <v>5.8159428968471615E-2</v>
      </c>
      <c r="O50" s="7">
        <v>5.4999998403148224E-2</v>
      </c>
      <c r="P50" s="7">
        <v>4.7098415061072214E-2</v>
      </c>
      <c r="Q50" s="7">
        <v>4.9400538133934288E-2</v>
      </c>
      <c r="R50" s="7">
        <v>4.1116232478923292E-2</v>
      </c>
      <c r="S50" s="7">
        <v>5.6913258599149134E-2</v>
      </c>
      <c r="T50" s="7">
        <v>3.5041734795138613E-2</v>
      </c>
      <c r="U50" s="7">
        <v>4.0300341477635546E-2</v>
      </c>
      <c r="V50" s="7">
        <v>3.9107100336666353E-2</v>
      </c>
      <c r="W50" s="7">
        <v>2.8289261623830188E-2</v>
      </c>
      <c r="X50" s="7">
        <v>5.9959214537581684E-2</v>
      </c>
      <c r="Y50" s="7">
        <v>4.0432065854854878E-2</v>
      </c>
    </row>
    <row r="51" spans="1:25" x14ac:dyDescent="0.25">
      <c r="B51" s="7">
        <v>5.4054847349367212E-2</v>
      </c>
      <c r="C51" s="7">
        <v>5.5000002395620043E-2</v>
      </c>
      <c r="D51" s="7">
        <v>2.8208176293105638E-2</v>
      </c>
      <c r="E51" s="7">
        <v>3.9545331898301415E-2</v>
      </c>
      <c r="F51" s="7">
        <v>2.8402623135194923E-2</v>
      </c>
      <c r="G51" s="7">
        <v>2.7921048405881544E-2</v>
      </c>
      <c r="H51" s="7">
        <v>5.4187735490343863E-2</v>
      </c>
      <c r="I51" s="7">
        <v>3.0244529861484667E-2</v>
      </c>
      <c r="J51" s="7">
        <v>2.8051173891077332E-2</v>
      </c>
      <c r="K51" s="7">
        <v>3.6546884564972376E-2</v>
      </c>
      <c r="L51" s="7">
        <v>3.7634821548145701E-2</v>
      </c>
      <c r="M51" s="7">
        <v>5.4260180178367846E-2</v>
      </c>
      <c r="N51" s="7">
        <v>5.768280869955926E-2</v>
      </c>
      <c r="O51" s="7">
        <v>5.4999998403148224E-2</v>
      </c>
      <c r="P51" s="7">
        <v>4.6747042213931618E-2</v>
      </c>
      <c r="Q51" s="7">
        <v>4.9011232395065496E-2</v>
      </c>
      <c r="R51" s="7">
        <v>4.0758320388848718E-2</v>
      </c>
      <c r="S51" s="7">
        <v>5.6554899348608141E-2</v>
      </c>
      <c r="T51" s="7">
        <v>3.4686111758432531E-2</v>
      </c>
      <c r="U51" s="7">
        <v>3.9986693025448473E-2</v>
      </c>
      <c r="V51" s="7">
        <v>3.8717173593258943E-2</v>
      </c>
      <c r="W51" s="7">
        <v>2.7975235719088973E-2</v>
      </c>
      <c r="X51" s="7">
        <v>5.9519170918468874E-2</v>
      </c>
      <c r="Y51" s="7">
        <v>4.0078385096405614E-2</v>
      </c>
    </row>
    <row r="52" spans="1:25" x14ac:dyDescent="0.25">
      <c r="B52" s="7">
        <v>5.3865030723488604E-2</v>
      </c>
      <c r="C52" s="7">
        <v>5.499979238035918E-2</v>
      </c>
      <c r="D52" s="7">
        <v>2.8066692064096763E-2</v>
      </c>
      <c r="E52" s="7">
        <v>3.9360986119281953E-2</v>
      </c>
      <c r="F52" s="7">
        <v>2.8242141564463637E-2</v>
      </c>
      <c r="G52" s="7">
        <v>2.7783087126921919E-2</v>
      </c>
      <c r="H52" s="7">
        <v>5.3707227330386617E-2</v>
      </c>
      <c r="I52" s="7">
        <v>3.0091629659218182E-2</v>
      </c>
      <c r="J52" s="7">
        <v>2.7907509018945759E-2</v>
      </c>
      <c r="K52" s="7">
        <v>3.636807768168715E-2</v>
      </c>
      <c r="L52" s="7">
        <v>3.7450566324471073E-2</v>
      </c>
      <c r="M52" s="7">
        <v>5.3782674294335829E-2</v>
      </c>
      <c r="N52" s="7">
        <v>5.7273319588926834E-2</v>
      </c>
      <c r="O52" s="7">
        <v>5.5000191622886163E-2</v>
      </c>
      <c r="P52" s="7">
        <v>4.6575042522099513E-2</v>
      </c>
      <c r="Q52" s="7">
        <v>4.881997259599101E-2</v>
      </c>
      <c r="R52" s="7">
        <v>4.0583685776631621E-2</v>
      </c>
      <c r="S52" s="7">
        <v>5.6286739339329879E-2</v>
      </c>
      <c r="T52" s="7">
        <v>3.4512757852368292E-2</v>
      </c>
      <c r="U52" s="7">
        <v>3.9833782533809647E-2</v>
      </c>
      <c r="V52" s="7">
        <v>3.852706134116933E-2</v>
      </c>
      <c r="W52" s="7">
        <v>2.7822414605512207E-2</v>
      </c>
      <c r="X52" s="7">
        <v>5.905384731718577E-2</v>
      </c>
      <c r="Y52" s="7">
        <v>3.9905604789662416E-2</v>
      </c>
    </row>
    <row r="53" spans="1:25" x14ac:dyDescent="0.25">
      <c r="B53" s="7">
        <v>5.3673070366699702E-2</v>
      </c>
      <c r="C53" s="7">
        <v>5.499979238035918E-2</v>
      </c>
      <c r="D53" s="7">
        <v>2.7924402961975285E-2</v>
      </c>
      <c r="E53" s="7">
        <v>3.9175472628114417E-2</v>
      </c>
      <c r="F53" s="7">
        <v>2.8080910623160153E-2</v>
      </c>
      <c r="G53" s="7">
        <v>2.7644748742522571E-2</v>
      </c>
      <c r="H53" s="7">
        <v>5.3210524657070143E-2</v>
      </c>
      <c r="I53" s="7">
        <v>2.993777266069848E-2</v>
      </c>
      <c r="J53" s="7">
        <v>2.7763213850552287E-2</v>
      </c>
      <c r="K53" s="7">
        <v>3.6187975628648318E-2</v>
      </c>
      <c r="L53" s="7">
        <v>3.7265194988166946E-2</v>
      </c>
      <c r="M53" s="7">
        <v>5.3287868548437797E-2</v>
      </c>
      <c r="N53" s="7">
        <v>5.6819368596654131E-2</v>
      </c>
      <c r="O53" s="7">
        <v>5.5000191622886163E-2</v>
      </c>
      <c r="P53" s="7">
        <v>4.6400905541048795E-2</v>
      </c>
      <c r="Q53" s="7">
        <v>4.862600455707116E-2</v>
      </c>
      <c r="R53" s="7">
        <v>4.0407958738345566E-2</v>
      </c>
      <c r="S53" s="7">
        <v>5.5949228903136375E-2</v>
      </c>
      <c r="T53" s="7">
        <v>3.4338468418824923E-2</v>
      </c>
      <c r="U53" s="7">
        <v>3.9679789168155143E-2</v>
      </c>
      <c r="V53" s="7">
        <v>3.8335428078636789E-2</v>
      </c>
      <c r="W53" s="7">
        <v>2.7668980057981199E-2</v>
      </c>
      <c r="X53" s="7">
        <v>5.856699274872048E-2</v>
      </c>
      <c r="Y53" s="7">
        <v>3.9731616195125032E-2</v>
      </c>
    </row>
    <row r="54" spans="1:25" x14ac:dyDescent="0.25">
      <c r="B54" s="7">
        <v>5.3423952428146682E-2</v>
      </c>
      <c r="C54" s="7">
        <v>5.4879524710729946E-2</v>
      </c>
      <c r="D54" s="7">
        <v>2.7781455114010652E-2</v>
      </c>
      <c r="E54" s="7">
        <v>3.8988941535623996E-2</v>
      </c>
      <c r="F54" s="7">
        <v>2.7919019472298384E-2</v>
      </c>
      <c r="G54" s="7">
        <v>2.750586293892706E-2</v>
      </c>
      <c r="H54" s="7">
        <v>5.2698237486310383E-2</v>
      </c>
      <c r="I54" s="7">
        <v>2.9783249919719292E-2</v>
      </c>
      <c r="J54" s="7">
        <v>2.7618313437233713E-2</v>
      </c>
      <c r="K54" s="7">
        <v>3.6006619872393772E-2</v>
      </c>
      <c r="L54" s="7">
        <v>3.7078723454777147E-2</v>
      </c>
      <c r="M54" s="7">
        <v>5.2777118564154145E-2</v>
      </c>
      <c r="N54" s="7">
        <v>5.6334374655734092E-2</v>
      </c>
      <c r="O54" s="7">
        <v>5.5000191622886163E-2</v>
      </c>
      <c r="P54" s="7">
        <v>4.6224612509881899E-2</v>
      </c>
      <c r="Q54" s="7">
        <v>4.8429473165624903E-2</v>
      </c>
      <c r="R54" s="7">
        <v>4.0230962110692325E-2</v>
      </c>
      <c r="S54" s="7">
        <v>5.556160110899324E-2</v>
      </c>
      <c r="T54" s="7">
        <v>3.4163148773728808E-2</v>
      </c>
      <c r="U54" s="7">
        <v>3.9524567810665989E-2</v>
      </c>
      <c r="V54" s="7">
        <v>3.8142229745915648E-2</v>
      </c>
      <c r="W54" s="7">
        <v>2.7514730898548872E-2</v>
      </c>
      <c r="X54" s="7">
        <v>5.8059522577666695E-2</v>
      </c>
      <c r="Y54" s="7">
        <v>3.9556608691531207E-2</v>
      </c>
    </row>
    <row r="55" spans="1:25" x14ac:dyDescent="0.25">
      <c r="B55" s="7">
        <v>5.3089617443012882E-2</v>
      </c>
      <c r="C55" s="7">
        <v>5.4429740715010104E-2</v>
      </c>
      <c r="D55" s="7">
        <v>2.7637927887171915E-2</v>
      </c>
      <c r="E55" s="7">
        <v>3.8801400791821032E-2</v>
      </c>
      <c r="F55" s="7">
        <v>2.7756421508850691E-2</v>
      </c>
      <c r="G55" s="7">
        <v>2.7366382114466146E-2</v>
      </c>
      <c r="H55" s="7">
        <v>5.2169656715594738E-2</v>
      </c>
      <c r="I55" s="7">
        <v>2.962777947476836E-2</v>
      </c>
      <c r="J55" s="7">
        <v>2.7472871488982153E-2</v>
      </c>
      <c r="K55" s="7">
        <v>3.5823930559215518E-2</v>
      </c>
      <c r="L55" s="7">
        <v>3.6891167554475586E-2</v>
      </c>
      <c r="M55" s="7">
        <v>5.2250031432702584E-2</v>
      </c>
      <c r="N55" s="7">
        <v>5.582139878188886E-2</v>
      </c>
      <c r="O55" s="7">
        <v>5.5000191622886163E-2</v>
      </c>
      <c r="P55" s="7">
        <v>4.6046291194531616E-2</v>
      </c>
      <c r="Q55" s="7">
        <v>4.8230386119407581E-2</v>
      </c>
      <c r="R55" s="7">
        <v>4.005271176353898E-2</v>
      </c>
      <c r="S55" s="7">
        <v>5.5131622060143978E-2</v>
      </c>
      <c r="T55" s="7">
        <v>3.3986846833896356E-2</v>
      </c>
      <c r="U55" s="7">
        <v>3.9368222122990557E-2</v>
      </c>
      <c r="V55" s="7">
        <v>3.7947594103837613E-2</v>
      </c>
      <c r="W55" s="7">
        <v>2.7359938664515665E-2</v>
      </c>
      <c r="X55" s="7">
        <v>5.7534318212571538E-2</v>
      </c>
      <c r="Y55" s="7">
        <v>3.9380558583321484E-2</v>
      </c>
    </row>
    <row r="56" spans="1:25" x14ac:dyDescent="0.25">
      <c r="B56" s="7">
        <v>5.2699528245787906E-2</v>
      </c>
      <c r="C56" s="7">
        <v>5.3955042362392097E-2</v>
      </c>
      <c r="D56" s="7">
        <v>2.7493670484217879E-2</v>
      </c>
      <c r="E56" s="7">
        <v>3.8612643696436806E-2</v>
      </c>
      <c r="F56" s="7">
        <v>2.7593031293933062E-2</v>
      </c>
      <c r="G56" s="7">
        <v>2.7226591879155229E-2</v>
      </c>
      <c r="H56" s="7">
        <v>5.1624979317843385E-2</v>
      </c>
      <c r="I56" s="7">
        <v>2.9471361325845689E-2</v>
      </c>
      <c r="J56" s="7">
        <v>2.7326983570785782E-2</v>
      </c>
      <c r="K56" s="7">
        <v>3.5640115308754362E-2</v>
      </c>
      <c r="L56" s="7">
        <v>3.6702804315305405E-2</v>
      </c>
      <c r="M56" s="7">
        <v>5.1706764317596028E-2</v>
      </c>
      <c r="N56" s="7">
        <v>5.5289860090335374E-2</v>
      </c>
      <c r="O56" s="7">
        <v>5.4681155486003545E-2</v>
      </c>
      <c r="P56" s="7">
        <v>4.5865741960727943E-2</v>
      </c>
      <c r="Q56" s="7">
        <v>4.8027557964097668E-2</v>
      </c>
      <c r="R56" s="7">
        <v>3.9872985518746282E-2</v>
      </c>
      <c r="S56" s="7">
        <v>5.4668688268930864E-2</v>
      </c>
      <c r="T56" s="7">
        <v>3.3809666419096447E-2</v>
      </c>
      <c r="U56" s="7">
        <v>3.9210544781832099E-2</v>
      </c>
      <c r="V56" s="7">
        <v>3.7751089959595634E-2</v>
      </c>
      <c r="W56" s="7">
        <v>2.7204483560013738E-2</v>
      </c>
      <c r="X56" s="7">
        <v>5.6987566960909952E-2</v>
      </c>
      <c r="Y56" s="7">
        <v>3.9203347392698609E-2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</row>
    <row r="64" spans="1:25" x14ac:dyDescent="0.25"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</row>
    <row r="65" spans="1:25" x14ac:dyDescent="0.25"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55736220</v>
      </c>
      <c r="C76" s="7">
        <v>0</v>
      </c>
      <c r="D76" s="7">
        <v>86782520</v>
      </c>
      <c r="E76" s="7">
        <v>159445500</v>
      </c>
      <c r="F76" s="7">
        <v>126982400</v>
      </c>
      <c r="G76" s="7">
        <v>135200800</v>
      </c>
      <c r="H76" s="7">
        <v>0</v>
      </c>
      <c r="I76" s="7">
        <v>102117800</v>
      </c>
      <c r="J76" s="7">
        <v>74031130</v>
      </c>
      <c r="K76" s="7">
        <v>93850140</v>
      </c>
      <c r="L76" s="7">
        <v>77832690</v>
      </c>
      <c r="M76" s="7">
        <v>0</v>
      </c>
      <c r="N76" s="7">
        <v>39531300</v>
      </c>
      <c r="O76" s="7">
        <v>0</v>
      </c>
      <c r="P76" s="7">
        <v>112647000</v>
      </c>
      <c r="Q76" s="7">
        <v>53397130</v>
      </c>
      <c r="R76" s="7">
        <v>85930540</v>
      </c>
      <c r="S76" s="7">
        <v>43153820</v>
      </c>
      <c r="T76" s="7">
        <v>124807200</v>
      </c>
      <c r="U76" s="7">
        <v>74847530</v>
      </c>
      <c r="V76" s="7">
        <v>58073480</v>
      </c>
      <c r="W76" s="7">
        <v>223492400</v>
      </c>
      <c r="X76" s="7">
        <v>0</v>
      </c>
      <c r="Y76" s="7">
        <v>162401100</v>
      </c>
    </row>
    <row r="77" spans="1:25" x14ac:dyDescent="0.25">
      <c r="B77" s="7">
        <v>55653190</v>
      </c>
      <c r="C77" s="7">
        <v>0</v>
      </c>
      <c r="D77" s="7">
        <v>85413630</v>
      </c>
      <c r="E77" s="7">
        <v>160195800</v>
      </c>
      <c r="F77" s="7">
        <v>124861600</v>
      </c>
      <c r="G77" s="7">
        <v>134661900</v>
      </c>
      <c r="H77" s="7">
        <v>33997470</v>
      </c>
      <c r="I77" s="7">
        <v>100308500</v>
      </c>
      <c r="J77" s="7">
        <v>73481600</v>
      </c>
      <c r="K77" s="7">
        <v>92257010</v>
      </c>
      <c r="L77" s="7">
        <v>77381850</v>
      </c>
      <c r="M77" s="7">
        <v>35937080</v>
      </c>
      <c r="N77" s="7">
        <v>43104380</v>
      </c>
      <c r="O77" s="7">
        <v>0</v>
      </c>
      <c r="P77" s="7">
        <v>112905100</v>
      </c>
      <c r="Q77" s="7">
        <v>54229150</v>
      </c>
      <c r="R77" s="7">
        <v>85297710</v>
      </c>
      <c r="S77" s="7">
        <v>43648730</v>
      </c>
      <c r="T77" s="7">
        <v>123360800</v>
      </c>
      <c r="U77" s="7">
        <v>72446920</v>
      </c>
      <c r="V77" s="7">
        <v>56228680</v>
      </c>
      <c r="W77" s="7">
        <v>223370600</v>
      </c>
      <c r="X77" s="7">
        <v>30550280</v>
      </c>
      <c r="Y77" s="7">
        <v>163258300</v>
      </c>
    </row>
    <row r="78" spans="1:25" x14ac:dyDescent="0.25">
      <c r="B78" s="7">
        <v>55445280</v>
      </c>
      <c r="C78" s="7">
        <v>0</v>
      </c>
      <c r="D78" s="7">
        <v>84112700</v>
      </c>
      <c r="E78" s="7">
        <v>160860900</v>
      </c>
      <c r="F78" s="7">
        <v>122750700</v>
      </c>
      <c r="G78" s="7">
        <v>134129400</v>
      </c>
      <c r="H78" s="7">
        <v>35413490</v>
      </c>
      <c r="I78" s="7">
        <v>98418260</v>
      </c>
      <c r="J78" s="7">
        <v>72931720</v>
      </c>
      <c r="K78" s="7">
        <v>90524790</v>
      </c>
      <c r="L78" s="7">
        <v>77010520</v>
      </c>
      <c r="M78" s="7">
        <v>37757980</v>
      </c>
      <c r="N78" s="7">
        <v>44830660</v>
      </c>
      <c r="O78" s="7">
        <v>0</v>
      </c>
      <c r="P78" s="7">
        <v>112547400</v>
      </c>
      <c r="Q78" s="7">
        <v>54786730</v>
      </c>
      <c r="R78" s="7">
        <v>84550920</v>
      </c>
      <c r="S78" s="7">
        <v>45405600</v>
      </c>
      <c r="T78" s="7">
        <v>121948400</v>
      </c>
      <c r="U78" s="7">
        <v>69939300</v>
      </c>
      <c r="V78" s="7">
        <v>54361040</v>
      </c>
      <c r="W78" s="7">
        <v>223357700</v>
      </c>
      <c r="X78" s="7">
        <v>32570760</v>
      </c>
      <c r="Y78" s="7">
        <v>164253100</v>
      </c>
    </row>
    <row r="79" spans="1:25" x14ac:dyDescent="0.25">
      <c r="B79" s="7">
        <v>1116370000</v>
      </c>
      <c r="C79" s="7">
        <v>0</v>
      </c>
      <c r="D79" s="7">
        <v>1616241000</v>
      </c>
      <c r="E79" s="7">
        <v>3185483000</v>
      </c>
      <c r="F79" s="7">
        <v>2424458000</v>
      </c>
      <c r="G79" s="7">
        <v>2575354000</v>
      </c>
      <c r="H79" s="7">
        <v>718491700</v>
      </c>
      <c r="I79" s="7">
        <v>1963597000</v>
      </c>
      <c r="J79" s="7">
        <v>1412324000</v>
      </c>
      <c r="K79" s="7">
        <v>1772445000</v>
      </c>
      <c r="L79" s="7">
        <v>1551114000</v>
      </c>
      <c r="M79" s="7">
        <v>774071500</v>
      </c>
      <c r="N79" s="7">
        <v>877770000</v>
      </c>
      <c r="O79" s="7">
        <v>0</v>
      </c>
      <c r="P79" s="7">
        <v>2197475000</v>
      </c>
      <c r="Q79" s="7">
        <v>1075686000</v>
      </c>
      <c r="R79" s="7">
        <v>1673553000</v>
      </c>
      <c r="S79" s="7">
        <v>929142600</v>
      </c>
      <c r="T79" s="7">
        <v>2371059000</v>
      </c>
      <c r="U79" s="7">
        <v>1384332000</v>
      </c>
      <c r="V79" s="7">
        <v>1088322000</v>
      </c>
      <c r="W79" s="7">
        <v>4376854000</v>
      </c>
      <c r="X79" s="7">
        <v>682395700</v>
      </c>
      <c r="Y79" s="7">
        <v>3226280000</v>
      </c>
    </row>
    <row r="80" spans="1:25" x14ac:dyDescent="0.25">
      <c r="B80" s="7">
        <v>1126385000</v>
      </c>
      <c r="C80" s="7">
        <v>0</v>
      </c>
      <c r="D80" s="7">
        <v>1555297000</v>
      </c>
      <c r="E80" s="7">
        <v>3157286000</v>
      </c>
      <c r="F80" s="7">
        <v>2394658000</v>
      </c>
      <c r="G80" s="7">
        <v>2470708000</v>
      </c>
      <c r="H80" s="7">
        <v>728361500</v>
      </c>
      <c r="I80" s="7">
        <v>1958778000</v>
      </c>
      <c r="J80" s="7">
        <v>1368813000</v>
      </c>
      <c r="K80" s="7">
        <v>1733813000</v>
      </c>
      <c r="L80" s="7">
        <v>1565550000</v>
      </c>
      <c r="M80" s="7">
        <v>786094100</v>
      </c>
      <c r="N80" s="7">
        <v>851323800</v>
      </c>
      <c r="O80" s="7">
        <v>0</v>
      </c>
      <c r="P80" s="7">
        <v>2156524000</v>
      </c>
      <c r="Q80" s="7">
        <v>1060184000</v>
      </c>
      <c r="R80" s="7">
        <v>1656976000</v>
      </c>
      <c r="S80" s="7">
        <v>946323000</v>
      </c>
      <c r="T80" s="7">
        <v>2303123000</v>
      </c>
      <c r="U80" s="7">
        <v>1371218000</v>
      </c>
      <c r="V80" s="7">
        <v>1090154000</v>
      </c>
      <c r="W80" s="7">
        <v>4286060000</v>
      </c>
      <c r="X80" s="7">
        <v>709602600</v>
      </c>
      <c r="Y80" s="7">
        <v>3162552000</v>
      </c>
    </row>
    <row r="81" spans="1:25" x14ac:dyDescent="0.25">
      <c r="B81" s="7">
        <v>1180750000</v>
      </c>
      <c r="C81" s="7">
        <v>325823500</v>
      </c>
      <c r="D81" s="7">
        <v>1497253000</v>
      </c>
      <c r="E81" s="7">
        <v>3128044000</v>
      </c>
      <c r="F81" s="7">
        <v>2367875000</v>
      </c>
      <c r="G81" s="7">
        <v>2369170000</v>
      </c>
      <c r="H81" s="7">
        <v>737052400</v>
      </c>
      <c r="I81" s="7">
        <v>1955065000</v>
      </c>
      <c r="J81" s="7">
        <v>1328362000</v>
      </c>
      <c r="K81" s="7">
        <v>1698696000</v>
      </c>
      <c r="L81" s="7">
        <v>1579470000</v>
      </c>
      <c r="M81" s="7">
        <v>798650100</v>
      </c>
      <c r="N81" s="7">
        <v>826900200</v>
      </c>
      <c r="O81" s="7">
        <v>0</v>
      </c>
      <c r="P81" s="7">
        <v>2110812000</v>
      </c>
      <c r="Q81" s="7">
        <v>1044693000</v>
      </c>
      <c r="R81" s="7">
        <v>1643863000</v>
      </c>
      <c r="S81" s="7">
        <v>946123700</v>
      </c>
      <c r="T81" s="7">
        <v>2239442000</v>
      </c>
      <c r="U81" s="7">
        <v>1357359000</v>
      </c>
      <c r="V81" s="7">
        <v>1090857000</v>
      </c>
      <c r="W81" s="7">
        <v>4188253000</v>
      </c>
      <c r="X81" s="7">
        <v>728586200</v>
      </c>
      <c r="Y81" s="7">
        <v>3098371000</v>
      </c>
    </row>
    <row r="82" spans="1:25" x14ac:dyDescent="0.25">
      <c r="B82" s="7">
        <v>1214843000</v>
      </c>
      <c r="C82" s="7">
        <v>347144600</v>
      </c>
      <c r="D82" s="7">
        <v>1441722000</v>
      </c>
      <c r="E82" s="7">
        <v>3102409000</v>
      </c>
      <c r="F82" s="7">
        <v>2342640000</v>
      </c>
      <c r="G82" s="7">
        <v>2267474000</v>
      </c>
      <c r="H82" s="7">
        <v>746888100</v>
      </c>
      <c r="I82" s="7">
        <v>1954218000</v>
      </c>
      <c r="J82" s="7">
        <v>1290084000</v>
      </c>
      <c r="K82" s="7">
        <v>1665610000</v>
      </c>
      <c r="L82" s="7">
        <v>1592818000</v>
      </c>
      <c r="M82" s="7">
        <v>811942500</v>
      </c>
      <c r="N82" s="7">
        <v>806256600</v>
      </c>
      <c r="O82" s="7">
        <v>0</v>
      </c>
      <c r="P82" s="7">
        <v>2064236000</v>
      </c>
      <c r="Q82" s="7">
        <v>1030611000</v>
      </c>
      <c r="R82" s="7">
        <v>1630928000</v>
      </c>
      <c r="S82" s="7">
        <v>963194500</v>
      </c>
      <c r="T82" s="7">
        <v>2178066000</v>
      </c>
      <c r="U82" s="7">
        <v>1346269000</v>
      </c>
      <c r="V82" s="7">
        <v>1092213000</v>
      </c>
      <c r="W82" s="7">
        <v>4088693000</v>
      </c>
      <c r="X82" s="7">
        <v>752345800</v>
      </c>
      <c r="Y82" s="7">
        <v>3031588000</v>
      </c>
    </row>
    <row r="83" spans="1:25" x14ac:dyDescent="0.25">
      <c r="B83" s="7">
        <v>1229496000</v>
      </c>
      <c r="C83" s="7">
        <v>366513400</v>
      </c>
      <c r="D83" s="7">
        <v>1390832000</v>
      </c>
      <c r="E83" s="7">
        <v>3078911000</v>
      </c>
      <c r="F83" s="7">
        <v>2319994000</v>
      </c>
      <c r="G83" s="7">
        <v>2168031000</v>
      </c>
      <c r="H83" s="7">
        <v>754115400</v>
      </c>
      <c r="I83" s="7">
        <v>1953003000</v>
      </c>
      <c r="J83" s="7">
        <v>1253729000</v>
      </c>
      <c r="K83" s="7">
        <v>1634119000</v>
      </c>
      <c r="L83" s="7">
        <v>1605724000</v>
      </c>
      <c r="M83" s="7">
        <v>821462200</v>
      </c>
      <c r="N83" s="7">
        <v>787354100</v>
      </c>
      <c r="O83" s="7">
        <v>227627600</v>
      </c>
      <c r="P83" s="7">
        <v>2018903000</v>
      </c>
      <c r="Q83" s="7">
        <v>1020899000</v>
      </c>
      <c r="R83" s="7">
        <v>1621599000</v>
      </c>
      <c r="S83" s="7">
        <v>953304900</v>
      </c>
      <c r="T83" s="7">
        <v>2118957000</v>
      </c>
      <c r="U83" s="7">
        <v>1334752000</v>
      </c>
      <c r="V83" s="7">
        <v>1094066000</v>
      </c>
      <c r="W83" s="7">
        <v>3986871000</v>
      </c>
      <c r="X83" s="7">
        <v>775800300</v>
      </c>
      <c r="Y83" s="7">
        <v>2966295000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4" spans="1:25" ht="45" x14ac:dyDescent="0.25">
      <c r="A94" s="6" t="s">
        <v>46</v>
      </c>
      <c r="B94" s="7">
        <v>0</v>
      </c>
      <c r="C94" s="7">
        <v>-1.5525500000000001E-6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29536990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4.1710810000000003E-6</v>
      </c>
      <c r="Y94" s="7">
        <v>0</v>
      </c>
    </row>
    <row r="95" spans="1:25" x14ac:dyDescent="0.25"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114530500</v>
      </c>
      <c r="I95" s="7">
        <v>0</v>
      </c>
      <c r="J95" s="7">
        <v>0</v>
      </c>
      <c r="K95" s="7">
        <v>0</v>
      </c>
      <c r="L95" s="7">
        <v>0</v>
      </c>
      <c r="M95" s="7">
        <v>113322100</v>
      </c>
      <c r="N95" s="7">
        <v>46929710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95277860</v>
      </c>
      <c r="Y95" s="7">
        <v>0</v>
      </c>
    </row>
    <row r="96" spans="1:25" x14ac:dyDescent="0.25"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120903600</v>
      </c>
      <c r="I96" s="7">
        <v>0</v>
      </c>
      <c r="J96" s="7">
        <v>0</v>
      </c>
      <c r="K96" s="7">
        <v>0</v>
      </c>
      <c r="L96" s="7">
        <v>0</v>
      </c>
      <c r="M96" s="7">
        <v>119532100</v>
      </c>
      <c r="N96" s="7">
        <v>65165450</v>
      </c>
      <c r="O96" s="7">
        <v>0</v>
      </c>
      <c r="P96" s="7">
        <v>0</v>
      </c>
      <c r="Q96" s="7">
        <v>0</v>
      </c>
      <c r="R96" s="7">
        <v>0</v>
      </c>
      <c r="S96" s="7">
        <v>20288000</v>
      </c>
      <c r="T96" s="7">
        <v>0</v>
      </c>
      <c r="U96" s="7">
        <v>0</v>
      </c>
      <c r="V96" s="7">
        <v>0</v>
      </c>
      <c r="W96" s="7">
        <v>0</v>
      </c>
      <c r="X96" s="7">
        <v>102430500</v>
      </c>
      <c r="Y96" s="7">
        <v>0</v>
      </c>
    </row>
    <row r="97" spans="1:25" x14ac:dyDescent="0.25">
      <c r="B97" s="7">
        <v>0</v>
      </c>
      <c r="C97" s="7">
        <v>8.5286100000000003E-5</v>
      </c>
      <c r="D97" s="7">
        <v>0</v>
      </c>
      <c r="E97" s="7">
        <v>0</v>
      </c>
      <c r="F97" s="7">
        <v>0</v>
      </c>
      <c r="G97" s="7">
        <v>0</v>
      </c>
      <c r="H97" s="7">
        <v>2493563000</v>
      </c>
      <c r="I97" s="7">
        <v>0</v>
      </c>
      <c r="J97" s="7">
        <v>0</v>
      </c>
      <c r="K97" s="7">
        <v>0</v>
      </c>
      <c r="L97" s="7">
        <v>0</v>
      </c>
      <c r="M97" s="7">
        <v>2482878000</v>
      </c>
      <c r="N97" s="7">
        <v>1669998000</v>
      </c>
      <c r="O97" s="7">
        <v>2.4153849999999999E-5</v>
      </c>
      <c r="P97" s="7">
        <v>0</v>
      </c>
      <c r="Q97" s="7">
        <v>0</v>
      </c>
      <c r="R97" s="7">
        <v>0</v>
      </c>
      <c r="S97" s="7">
        <v>722206300</v>
      </c>
      <c r="T97" s="7">
        <v>0</v>
      </c>
      <c r="U97" s="7">
        <v>0</v>
      </c>
      <c r="V97" s="7">
        <v>0</v>
      </c>
      <c r="W97" s="7">
        <v>0</v>
      </c>
      <c r="X97" s="7">
        <v>2151049000</v>
      </c>
      <c r="Y97" s="7">
        <v>0</v>
      </c>
    </row>
    <row r="98" spans="1:25" x14ac:dyDescent="0.25">
      <c r="B98" s="7">
        <v>349181.78399999999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2566467000</v>
      </c>
      <c r="I98" s="7">
        <v>0</v>
      </c>
      <c r="J98" s="7">
        <v>0</v>
      </c>
      <c r="K98" s="7">
        <v>0</v>
      </c>
      <c r="L98" s="7">
        <v>0</v>
      </c>
      <c r="M98" s="7">
        <v>2552434000</v>
      </c>
      <c r="N98" s="7">
        <v>1894741000</v>
      </c>
      <c r="O98" s="7">
        <v>2.070877E-4</v>
      </c>
      <c r="P98" s="7">
        <v>0</v>
      </c>
      <c r="Q98" s="7">
        <v>0</v>
      </c>
      <c r="R98" s="7">
        <v>0</v>
      </c>
      <c r="S98" s="7">
        <v>1039997000</v>
      </c>
      <c r="T98" s="7">
        <v>0</v>
      </c>
      <c r="U98" s="7">
        <v>0</v>
      </c>
      <c r="V98" s="7">
        <v>0</v>
      </c>
      <c r="W98" s="7">
        <v>0</v>
      </c>
      <c r="X98" s="7">
        <v>2240845000</v>
      </c>
      <c r="Y98" s="7">
        <v>0</v>
      </c>
    </row>
    <row r="99" spans="1:25" x14ac:dyDescent="0.25">
      <c r="B99" s="7">
        <v>467542600</v>
      </c>
      <c r="C99" s="7">
        <v>1833508000</v>
      </c>
      <c r="D99" s="7">
        <v>0</v>
      </c>
      <c r="E99" s="7">
        <v>0</v>
      </c>
      <c r="F99" s="7">
        <v>0</v>
      </c>
      <c r="G99" s="7">
        <v>0</v>
      </c>
      <c r="H99" s="7">
        <v>2634709000</v>
      </c>
      <c r="I99" s="7">
        <v>0</v>
      </c>
      <c r="J99" s="7">
        <v>0</v>
      </c>
      <c r="K99" s="7">
        <v>0</v>
      </c>
      <c r="L99" s="7">
        <v>0</v>
      </c>
      <c r="M99" s="7">
        <v>2622826000</v>
      </c>
      <c r="N99" s="7">
        <v>2109361000</v>
      </c>
      <c r="O99" s="7">
        <v>0</v>
      </c>
      <c r="P99" s="7">
        <v>0</v>
      </c>
      <c r="Q99" s="7">
        <v>0</v>
      </c>
      <c r="R99" s="7">
        <v>0</v>
      </c>
      <c r="S99" s="7">
        <v>1287188000</v>
      </c>
      <c r="T99" s="7">
        <v>0</v>
      </c>
      <c r="U99" s="7">
        <v>0</v>
      </c>
      <c r="V99" s="7">
        <v>0</v>
      </c>
      <c r="W99" s="7">
        <v>0</v>
      </c>
      <c r="X99" s="7">
        <v>2303901000</v>
      </c>
      <c r="Y99" s="7">
        <v>0</v>
      </c>
    </row>
    <row r="100" spans="1:25" x14ac:dyDescent="0.25">
      <c r="B100" s="7">
        <v>795466300</v>
      </c>
      <c r="C100" s="7">
        <v>1941740000</v>
      </c>
      <c r="D100" s="7">
        <v>0</v>
      </c>
      <c r="E100" s="7">
        <v>0</v>
      </c>
      <c r="F100" s="7">
        <v>0</v>
      </c>
      <c r="G100" s="7">
        <v>0</v>
      </c>
      <c r="H100" s="7">
        <v>2706428000</v>
      </c>
      <c r="I100" s="7">
        <v>0</v>
      </c>
      <c r="J100" s="7">
        <v>0</v>
      </c>
      <c r="K100" s="7">
        <v>0</v>
      </c>
      <c r="L100" s="7">
        <v>0</v>
      </c>
      <c r="M100" s="7">
        <v>2694655000</v>
      </c>
      <c r="N100" s="7">
        <v>2238438000</v>
      </c>
      <c r="O100" s="7">
        <v>0</v>
      </c>
      <c r="P100" s="7">
        <v>0</v>
      </c>
      <c r="Q100" s="7">
        <v>0</v>
      </c>
      <c r="R100" s="7">
        <v>0</v>
      </c>
      <c r="S100" s="7">
        <v>1499052000</v>
      </c>
      <c r="T100" s="7">
        <v>0</v>
      </c>
      <c r="U100" s="7">
        <v>0</v>
      </c>
      <c r="V100" s="7">
        <v>0</v>
      </c>
      <c r="W100" s="7">
        <v>0</v>
      </c>
      <c r="X100" s="7">
        <v>2381239000</v>
      </c>
      <c r="Y100" s="7">
        <v>0</v>
      </c>
    </row>
    <row r="101" spans="1:25" x14ac:dyDescent="0.25">
      <c r="B101" s="7">
        <v>989607900</v>
      </c>
      <c r="C101" s="7">
        <v>2037940000</v>
      </c>
      <c r="D101" s="7">
        <v>0</v>
      </c>
      <c r="E101" s="7">
        <v>0</v>
      </c>
      <c r="F101" s="7">
        <v>0</v>
      </c>
      <c r="G101" s="7">
        <v>0</v>
      </c>
      <c r="H101" s="7">
        <v>2767925000</v>
      </c>
      <c r="I101" s="7">
        <v>0</v>
      </c>
      <c r="J101" s="7">
        <v>0</v>
      </c>
      <c r="K101" s="7">
        <v>0</v>
      </c>
      <c r="L101" s="7">
        <v>0</v>
      </c>
      <c r="M101" s="7">
        <v>2752767000</v>
      </c>
      <c r="N101" s="7">
        <v>2340940000</v>
      </c>
      <c r="O101" s="7">
        <v>1792851000</v>
      </c>
      <c r="P101" s="7">
        <v>0</v>
      </c>
      <c r="Q101" s="7">
        <v>34858070</v>
      </c>
      <c r="R101" s="7">
        <v>0</v>
      </c>
      <c r="S101" s="7">
        <v>1719378000</v>
      </c>
      <c r="T101" s="7">
        <v>0</v>
      </c>
      <c r="U101" s="7">
        <v>0</v>
      </c>
      <c r="V101" s="7">
        <v>0</v>
      </c>
      <c r="W101" s="7">
        <v>0</v>
      </c>
      <c r="X101" s="7">
        <v>2456783000</v>
      </c>
      <c r="Y101" s="7">
        <v>0</v>
      </c>
    </row>
    <row r="103" spans="1:25" ht="45" x14ac:dyDescent="0.25">
      <c r="A103" s="6" t="s">
        <v>47</v>
      </c>
      <c r="B103" s="7">
        <v>218763500</v>
      </c>
      <c r="C103" s="7">
        <v>0</v>
      </c>
      <c r="D103" s="7">
        <v>390125500</v>
      </c>
      <c r="E103" s="7">
        <v>339859800</v>
      </c>
      <c r="F103" s="7">
        <v>405504500</v>
      </c>
      <c r="G103" s="7">
        <v>390044800</v>
      </c>
      <c r="H103" s="7">
        <v>0</v>
      </c>
      <c r="I103" s="7">
        <v>386690200</v>
      </c>
      <c r="J103" s="7">
        <v>402096300</v>
      </c>
      <c r="K103" s="7">
        <v>345422500</v>
      </c>
      <c r="L103" s="7">
        <v>344279900</v>
      </c>
      <c r="M103" s="7">
        <v>0</v>
      </c>
      <c r="N103" s="7">
        <v>131892700</v>
      </c>
      <c r="O103" s="7">
        <v>0</v>
      </c>
      <c r="P103" s="7">
        <v>241688700</v>
      </c>
      <c r="Q103" s="7">
        <v>245513000</v>
      </c>
      <c r="R103" s="7">
        <v>303771700</v>
      </c>
      <c r="S103" s="7">
        <v>172106700</v>
      </c>
      <c r="T103" s="7">
        <v>357999000</v>
      </c>
      <c r="U103" s="7">
        <v>288435200</v>
      </c>
      <c r="V103" s="7">
        <v>336200600</v>
      </c>
      <c r="W103" s="7">
        <v>399904400</v>
      </c>
      <c r="X103" s="7">
        <v>0</v>
      </c>
      <c r="Y103" s="7">
        <v>310158700</v>
      </c>
    </row>
    <row r="104" spans="1:25" x14ac:dyDescent="0.25">
      <c r="B104" s="7">
        <v>222733100</v>
      </c>
      <c r="C104" s="7">
        <v>0</v>
      </c>
      <c r="D104" s="7">
        <v>391230300</v>
      </c>
      <c r="E104" s="7">
        <v>342295600</v>
      </c>
      <c r="F104" s="7">
        <v>406771100</v>
      </c>
      <c r="G104" s="7">
        <v>390878500</v>
      </c>
      <c r="H104" s="7">
        <v>0</v>
      </c>
      <c r="I104" s="7">
        <v>388433200</v>
      </c>
      <c r="J104" s="7">
        <v>403149300</v>
      </c>
      <c r="K104" s="7">
        <v>347937800</v>
      </c>
      <c r="L104" s="7">
        <v>346410100</v>
      </c>
      <c r="M104" s="7">
        <v>0</v>
      </c>
      <c r="N104" s="7">
        <v>129418000</v>
      </c>
      <c r="O104" s="7">
        <v>0</v>
      </c>
      <c r="P104" s="7">
        <v>245882400</v>
      </c>
      <c r="Q104" s="7">
        <v>251515500</v>
      </c>
      <c r="R104" s="7">
        <v>306549000</v>
      </c>
      <c r="S104" s="7">
        <v>177570100</v>
      </c>
      <c r="T104" s="7">
        <v>359804300</v>
      </c>
      <c r="U104" s="7">
        <v>290733800</v>
      </c>
      <c r="V104" s="7">
        <v>338751400</v>
      </c>
      <c r="W104" s="7">
        <v>401515400</v>
      </c>
      <c r="X104" s="7">
        <v>0</v>
      </c>
      <c r="Y104" s="7">
        <v>312295800</v>
      </c>
    </row>
    <row r="105" spans="1:25" x14ac:dyDescent="0.25">
      <c r="B105" s="7">
        <v>226498900</v>
      </c>
      <c r="C105" s="7">
        <v>0</v>
      </c>
      <c r="D105" s="7">
        <v>392607800</v>
      </c>
      <c r="E105" s="7">
        <v>344593600</v>
      </c>
      <c r="F105" s="7">
        <v>408262600</v>
      </c>
      <c r="G105" s="7">
        <v>391791000</v>
      </c>
      <c r="H105" s="7">
        <v>0</v>
      </c>
      <c r="I105" s="7">
        <v>389953300</v>
      </c>
      <c r="J105" s="7">
        <v>404198900</v>
      </c>
      <c r="K105" s="7">
        <v>350055200</v>
      </c>
      <c r="L105" s="7">
        <v>349072900</v>
      </c>
      <c r="M105" s="7">
        <v>0</v>
      </c>
      <c r="N105" s="7">
        <v>118599600</v>
      </c>
      <c r="O105" s="7">
        <v>0</v>
      </c>
      <c r="P105" s="7">
        <v>249028100</v>
      </c>
      <c r="Q105" s="7">
        <v>256377600</v>
      </c>
      <c r="R105" s="7">
        <v>309162700</v>
      </c>
      <c r="S105" s="7">
        <v>168307100</v>
      </c>
      <c r="T105" s="7">
        <v>361893400</v>
      </c>
      <c r="U105" s="7">
        <v>292826700</v>
      </c>
      <c r="V105" s="7">
        <v>341490200</v>
      </c>
      <c r="W105" s="7">
        <v>403393700</v>
      </c>
      <c r="X105" s="7">
        <v>0</v>
      </c>
      <c r="Y105" s="7">
        <v>314738000</v>
      </c>
    </row>
    <row r="106" spans="1:25" x14ac:dyDescent="0.25">
      <c r="B106" s="7">
        <v>4565883000</v>
      </c>
      <c r="C106" s="7">
        <v>0</v>
      </c>
      <c r="D106" s="7">
        <v>7861460000</v>
      </c>
      <c r="E106" s="7">
        <v>6914370000</v>
      </c>
      <c r="F106" s="7">
        <v>8184926000</v>
      </c>
      <c r="G106" s="7">
        <v>7842787000</v>
      </c>
      <c r="H106" s="7">
        <v>0</v>
      </c>
      <c r="I106" s="7">
        <v>7820856000</v>
      </c>
      <c r="J106" s="7">
        <v>8096648000</v>
      </c>
      <c r="K106" s="7">
        <v>7034140000</v>
      </c>
      <c r="L106" s="7">
        <v>6998638000</v>
      </c>
      <c r="M106" s="7">
        <v>0</v>
      </c>
      <c r="N106" s="7">
        <v>2043854000</v>
      </c>
      <c r="O106" s="7">
        <v>0</v>
      </c>
      <c r="P106" s="7">
        <v>5005584000</v>
      </c>
      <c r="Q106" s="7">
        <v>5172662000</v>
      </c>
      <c r="R106" s="7">
        <v>6205575000</v>
      </c>
      <c r="S106" s="7">
        <v>3207733000</v>
      </c>
      <c r="T106" s="7">
        <v>7261977000</v>
      </c>
      <c r="U106" s="7">
        <v>5878598000</v>
      </c>
      <c r="V106" s="7">
        <v>6858821000</v>
      </c>
      <c r="W106" s="7">
        <v>8081929000</v>
      </c>
      <c r="X106" s="7">
        <v>0</v>
      </c>
      <c r="Y106" s="7">
        <v>6323660000</v>
      </c>
    </row>
    <row r="107" spans="1:25" x14ac:dyDescent="0.25">
      <c r="B107" s="7">
        <v>4609080000</v>
      </c>
      <c r="C107" s="7">
        <v>0</v>
      </c>
      <c r="D107" s="7">
        <v>7876776000</v>
      </c>
      <c r="E107" s="7">
        <v>6936849000</v>
      </c>
      <c r="F107" s="7">
        <v>8198688000</v>
      </c>
      <c r="G107" s="7">
        <v>7852048000</v>
      </c>
      <c r="H107" s="7">
        <v>0</v>
      </c>
      <c r="I107" s="7">
        <v>7836730000</v>
      </c>
      <c r="J107" s="7">
        <v>8108109000</v>
      </c>
      <c r="K107" s="7">
        <v>7055306000</v>
      </c>
      <c r="L107" s="7">
        <v>7021627000</v>
      </c>
      <c r="M107" s="7">
        <v>0</v>
      </c>
      <c r="N107" s="7">
        <v>1818595000</v>
      </c>
      <c r="O107" s="7">
        <v>0</v>
      </c>
      <c r="P107" s="7">
        <v>5059067000</v>
      </c>
      <c r="Q107" s="7">
        <v>5231140000</v>
      </c>
      <c r="R107" s="7">
        <v>6225193000</v>
      </c>
      <c r="S107" s="7">
        <v>3031410000</v>
      </c>
      <c r="T107" s="7">
        <v>7277436000</v>
      </c>
      <c r="U107" s="7">
        <v>5902950000</v>
      </c>
      <c r="V107" s="7">
        <v>6891908000</v>
      </c>
      <c r="W107" s="7">
        <v>8100557000</v>
      </c>
      <c r="X107" s="7">
        <v>0</v>
      </c>
      <c r="Y107" s="7">
        <v>6345019000</v>
      </c>
    </row>
    <row r="108" spans="1:25" x14ac:dyDescent="0.25">
      <c r="B108" s="7">
        <v>4366501000</v>
      </c>
      <c r="C108" s="7">
        <v>0</v>
      </c>
      <c r="D108" s="7">
        <v>7890547000</v>
      </c>
      <c r="E108" s="7">
        <v>6953012000</v>
      </c>
      <c r="F108" s="7">
        <v>8215279000</v>
      </c>
      <c r="G108" s="7">
        <v>7865979000</v>
      </c>
      <c r="H108" s="7">
        <v>0</v>
      </c>
      <c r="I108" s="7">
        <v>7852104000</v>
      </c>
      <c r="J108" s="7">
        <v>8121049000</v>
      </c>
      <c r="K108" s="7">
        <v>7081085000</v>
      </c>
      <c r="L108" s="7">
        <v>7042310000</v>
      </c>
      <c r="M108" s="7">
        <v>0</v>
      </c>
      <c r="N108" s="7">
        <v>1605824000</v>
      </c>
      <c r="O108" s="7">
        <v>0</v>
      </c>
      <c r="P108" s="7">
        <v>5101568000</v>
      </c>
      <c r="Q108" s="7">
        <v>5283323000</v>
      </c>
      <c r="R108" s="7">
        <v>6252561000</v>
      </c>
      <c r="S108" s="7">
        <v>2849690000</v>
      </c>
      <c r="T108" s="7">
        <v>7298070000</v>
      </c>
      <c r="U108" s="7">
        <v>5921160000</v>
      </c>
      <c r="V108" s="7">
        <v>6918628000</v>
      </c>
      <c r="W108" s="7">
        <v>8111216000</v>
      </c>
      <c r="X108" s="7">
        <v>0</v>
      </c>
      <c r="Y108" s="7">
        <v>6367505000</v>
      </c>
    </row>
    <row r="109" spans="1:25" x14ac:dyDescent="0.25">
      <c r="B109" s="7">
        <v>4179842000</v>
      </c>
      <c r="C109" s="7">
        <v>0</v>
      </c>
      <c r="D109" s="7">
        <v>7900683000</v>
      </c>
      <c r="E109" s="7">
        <v>6973077000</v>
      </c>
      <c r="F109" s="7">
        <v>8230018000</v>
      </c>
      <c r="G109" s="7">
        <v>7872938000</v>
      </c>
      <c r="H109" s="7">
        <v>0</v>
      </c>
      <c r="I109" s="7">
        <v>7874381000</v>
      </c>
      <c r="J109" s="7">
        <v>8130593000</v>
      </c>
      <c r="K109" s="7">
        <v>7105767000</v>
      </c>
      <c r="L109" s="7">
        <v>7060495000</v>
      </c>
      <c r="M109" s="7">
        <v>0</v>
      </c>
      <c r="N109" s="7">
        <v>1489414000</v>
      </c>
      <c r="O109" s="7">
        <v>0</v>
      </c>
      <c r="P109" s="7">
        <v>5141182000</v>
      </c>
      <c r="Q109" s="7">
        <v>5336049000</v>
      </c>
      <c r="R109" s="7">
        <v>6275601000</v>
      </c>
      <c r="S109" s="7">
        <v>2777412000</v>
      </c>
      <c r="T109" s="7">
        <v>7317542000</v>
      </c>
      <c r="U109" s="7">
        <v>5948734000</v>
      </c>
      <c r="V109" s="7">
        <v>6950281000</v>
      </c>
      <c r="W109" s="7">
        <v>8123270000</v>
      </c>
      <c r="X109" s="7">
        <v>0</v>
      </c>
      <c r="Y109" s="7">
        <v>6386160000</v>
      </c>
    </row>
    <row r="110" spans="1:25" x14ac:dyDescent="0.25">
      <c r="B110" s="7">
        <v>4046975000</v>
      </c>
      <c r="C110" s="7">
        <v>0</v>
      </c>
      <c r="D110" s="7">
        <v>7919191000</v>
      </c>
      <c r="E110" s="7">
        <v>6993850000</v>
      </c>
      <c r="F110" s="7">
        <v>8246917000</v>
      </c>
      <c r="G110" s="7">
        <v>7879803000</v>
      </c>
      <c r="H110" s="7">
        <v>0</v>
      </c>
      <c r="I110" s="7">
        <v>7890842000</v>
      </c>
      <c r="J110" s="7">
        <v>8135442000</v>
      </c>
      <c r="K110" s="7">
        <v>7127700000</v>
      </c>
      <c r="L110" s="7">
        <v>7076806000</v>
      </c>
      <c r="M110" s="7">
        <v>0</v>
      </c>
      <c r="N110" s="7">
        <v>1401753000</v>
      </c>
      <c r="O110" s="7">
        <v>0</v>
      </c>
      <c r="P110" s="7">
        <v>5182491000</v>
      </c>
      <c r="Q110" s="7">
        <v>5370281000</v>
      </c>
      <c r="R110" s="7">
        <v>6307778000</v>
      </c>
      <c r="S110" s="7">
        <v>2574854000</v>
      </c>
      <c r="T110" s="7">
        <v>7335402000</v>
      </c>
      <c r="U110" s="7">
        <v>5971956000</v>
      </c>
      <c r="V110" s="7">
        <v>6985919000</v>
      </c>
      <c r="W110" s="7">
        <v>8135239000</v>
      </c>
      <c r="X110" s="7">
        <v>0</v>
      </c>
      <c r="Y110" s="7">
        <v>6409000000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1" spans="1:25" ht="45" x14ac:dyDescent="0.25">
      <c r="A121" s="6" t="s">
        <v>49</v>
      </c>
      <c r="B121" s="7">
        <v>293456800</v>
      </c>
      <c r="C121" s="7">
        <v>508581200</v>
      </c>
      <c r="D121" s="7">
        <v>121578300</v>
      </c>
      <c r="E121" s="7">
        <v>170984600</v>
      </c>
      <c r="F121" s="7">
        <v>117364700</v>
      </c>
      <c r="G121" s="7">
        <v>121855600</v>
      </c>
      <c r="H121" s="7">
        <v>515456000</v>
      </c>
      <c r="I121" s="7">
        <v>131834000</v>
      </c>
      <c r="J121" s="7">
        <v>107866500</v>
      </c>
      <c r="K121" s="7">
        <v>163160700</v>
      </c>
      <c r="L121" s="7">
        <v>168819600</v>
      </c>
      <c r="M121" s="7">
        <v>516815600</v>
      </c>
      <c r="N121" s="7">
        <v>354680100</v>
      </c>
      <c r="O121" s="7">
        <v>508653900</v>
      </c>
      <c r="P121" s="7">
        <v>266893600</v>
      </c>
      <c r="Q121" s="7">
        <v>282073200</v>
      </c>
      <c r="R121" s="7">
        <v>208045600</v>
      </c>
      <c r="S121" s="7">
        <v>343514400</v>
      </c>
      <c r="T121" s="7">
        <v>150534800</v>
      </c>
      <c r="U121" s="7">
        <v>220874400</v>
      </c>
      <c r="V121" s="7">
        <v>172401900</v>
      </c>
      <c r="W121" s="7">
        <v>108612100</v>
      </c>
      <c r="X121" s="7">
        <v>510223800</v>
      </c>
      <c r="Y121" s="7">
        <v>204015400</v>
      </c>
    </row>
    <row r="122" spans="1:25" x14ac:dyDescent="0.25">
      <c r="B122" s="7">
        <v>289487200</v>
      </c>
      <c r="C122" s="7">
        <v>508581200</v>
      </c>
      <c r="D122" s="7">
        <v>120473500</v>
      </c>
      <c r="E122" s="7">
        <v>168548800</v>
      </c>
      <c r="F122" s="7">
        <v>116098100</v>
      </c>
      <c r="G122" s="7">
        <v>121022000</v>
      </c>
      <c r="H122" s="7">
        <v>400925500</v>
      </c>
      <c r="I122" s="7">
        <v>130091100</v>
      </c>
      <c r="J122" s="7">
        <v>106813400</v>
      </c>
      <c r="K122" s="7">
        <v>160645400</v>
      </c>
      <c r="L122" s="7">
        <v>166689400</v>
      </c>
      <c r="M122" s="7">
        <v>403493500</v>
      </c>
      <c r="N122" s="7">
        <v>339762000</v>
      </c>
      <c r="O122" s="7">
        <v>508653900</v>
      </c>
      <c r="P122" s="7">
        <v>262699800</v>
      </c>
      <c r="Q122" s="7">
        <v>276070800</v>
      </c>
      <c r="R122" s="7">
        <v>205268200</v>
      </c>
      <c r="S122" s="7">
        <v>338051000</v>
      </c>
      <c r="T122" s="7">
        <v>148729500</v>
      </c>
      <c r="U122" s="7">
        <v>218575900</v>
      </c>
      <c r="V122" s="7">
        <v>169851100</v>
      </c>
      <c r="W122" s="7">
        <v>107001100</v>
      </c>
      <c r="X122" s="7">
        <v>414945900</v>
      </c>
      <c r="Y122" s="7">
        <v>201878300</v>
      </c>
    </row>
    <row r="123" spans="1:25" x14ac:dyDescent="0.25">
      <c r="B123" s="7">
        <v>285721400</v>
      </c>
      <c r="C123" s="7">
        <v>508581200</v>
      </c>
      <c r="D123" s="7">
        <v>119096000</v>
      </c>
      <c r="E123" s="7">
        <v>166250800</v>
      </c>
      <c r="F123" s="7">
        <v>114606600</v>
      </c>
      <c r="G123" s="7">
        <v>120109400</v>
      </c>
      <c r="H123" s="7">
        <v>394552400</v>
      </c>
      <c r="I123" s="7">
        <v>128570900</v>
      </c>
      <c r="J123" s="7">
        <v>105763800</v>
      </c>
      <c r="K123" s="7">
        <v>158528100</v>
      </c>
      <c r="L123" s="7">
        <v>164026600</v>
      </c>
      <c r="M123" s="7">
        <v>397283500</v>
      </c>
      <c r="N123" s="7">
        <v>332344700</v>
      </c>
      <c r="O123" s="7">
        <v>508653900</v>
      </c>
      <c r="P123" s="7">
        <v>259554100</v>
      </c>
      <c r="Q123" s="7">
        <v>271208600</v>
      </c>
      <c r="R123" s="7">
        <v>202654600</v>
      </c>
      <c r="S123" s="7">
        <v>327026000</v>
      </c>
      <c r="T123" s="7">
        <v>146640400</v>
      </c>
      <c r="U123" s="7">
        <v>216483000</v>
      </c>
      <c r="V123" s="7">
        <v>167112300</v>
      </c>
      <c r="W123" s="7">
        <v>105122800</v>
      </c>
      <c r="X123" s="7">
        <v>407793300</v>
      </c>
      <c r="Y123" s="7">
        <v>199436100</v>
      </c>
    </row>
    <row r="124" spans="1:25" x14ac:dyDescent="0.25">
      <c r="B124" s="7">
        <v>5678522000</v>
      </c>
      <c r="C124" s="7">
        <v>10171600000</v>
      </c>
      <c r="D124" s="7">
        <v>2372617000</v>
      </c>
      <c r="E124" s="7">
        <v>3302517000</v>
      </c>
      <c r="F124" s="7">
        <v>2272458000</v>
      </c>
      <c r="G124" s="7">
        <v>2395222000</v>
      </c>
      <c r="H124" s="7">
        <v>7815557000</v>
      </c>
      <c r="I124" s="7">
        <v>2549629000</v>
      </c>
      <c r="J124" s="7">
        <v>2102607000</v>
      </c>
      <c r="K124" s="7">
        <v>3137525000</v>
      </c>
      <c r="L124" s="7">
        <v>3263352000</v>
      </c>
      <c r="M124" s="7">
        <v>7853434000</v>
      </c>
      <c r="N124" s="7">
        <v>6608343000</v>
      </c>
      <c r="O124" s="7">
        <v>10173100000</v>
      </c>
      <c r="P124" s="7">
        <v>5166061000</v>
      </c>
      <c r="Q124" s="7">
        <v>5379064000</v>
      </c>
      <c r="R124" s="7">
        <v>4030770000</v>
      </c>
      <c r="S124" s="7">
        <v>6382482000</v>
      </c>
      <c r="T124" s="7">
        <v>2908698000</v>
      </c>
      <c r="U124" s="7">
        <v>4307596000</v>
      </c>
      <c r="V124" s="7">
        <v>3313229000</v>
      </c>
      <c r="W124" s="7">
        <v>2088400000</v>
      </c>
      <c r="X124" s="7">
        <v>8053427000</v>
      </c>
      <c r="Y124" s="7">
        <v>3959823000</v>
      </c>
    </row>
    <row r="125" spans="1:25" x14ac:dyDescent="0.25">
      <c r="B125" s="7">
        <v>5634976000</v>
      </c>
      <c r="C125" s="7">
        <v>10171600000</v>
      </c>
      <c r="D125" s="7">
        <v>2357301000</v>
      </c>
      <c r="E125" s="7">
        <v>3280039000</v>
      </c>
      <c r="F125" s="7">
        <v>2258696000</v>
      </c>
      <c r="G125" s="7">
        <v>2385961000</v>
      </c>
      <c r="H125" s="7">
        <v>7742653000</v>
      </c>
      <c r="I125" s="7">
        <v>2533755000</v>
      </c>
      <c r="J125" s="7">
        <v>2091145000</v>
      </c>
      <c r="K125" s="7">
        <v>3116359000</v>
      </c>
      <c r="L125" s="7">
        <v>3240363000</v>
      </c>
      <c r="M125" s="7">
        <v>7783878000</v>
      </c>
      <c r="N125" s="7">
        <v>6608859000</v>
      </c>
      <c r="O125" s="7">
        <v>10173100000</v>
      </c>
      <c r="P125" s="7">
        <v>5112577000</v>
      </c>
      <c r="Q125" s="7">
        <v>5320586000</v>
      </c>
      <c r="R125" s="7">
        <v>4011152000</v>
      </c>
      <c r="S125" s="7">
        <v>6241015000</v>
      </c>
      <c r="T125" s="7">
        <v>2893239000</v>
      </c>
      <c r="U125" s="7">
        <v>4283244000</v>
      </c>
      <c r="V125" s="7">
        <v>3280142000</v>
      </c>
      <c r="W125" s="7">
        <v>2069773000</v>
      </c>
      <c r="X125" s="7">
        <v>7963630000</v>
      </c>
      <c r="Y125" s="7">
        <v>3938464000</v>
      </c>
    </row>
    <row r="126" spans="1:25" x14ac:dyDescent="0.25">
      <c r="B126" s="7">
        <v>5410362000</v>
      </c>
      <c r="C126" s="7">
        <v>8338115000</v>
      </c>
      <c r="D126" s="7">
        <v>2343530000</v>
      </c>
      <c r="E126" s="7">
        <v>3263876000</v>
      </c>
      <c r="F126" s="7">
        <v>2242105000</v>
      </c>
      <c r="G126" s="7">
        <v>2372030000</v>
      </c>
      <c r="H126" s="7">
        <v>7674411000</v>
      </c>
      <c r="I126" s="7">
        <v>2518380000</v>
      </c>
      <c r="J126" s="7">
        <v>2078206000</v>
      </c>
      <c r="K126" s="7">
        <v>3090580000</v>
      </c>
      <c r="L126" s="7">
        <v>3219680000</v>
      </c>
      <c r="M126" s="7">
        <v>7713486000</v>
      </c>
      <c r="N126" s="7">
        <v>6607010000</v>
      </c>
      <c r="O126" s="7">
        <v>10173100000</v>
      </c>
      <c r="P126" s="7">
        <v>5070076000</v>
      </c>
      <c r="Q126" s="7">
        <v>5268403000</v>
      </c>
      <c r="R126" s="7">
        <v>3983784000</v>
      </c>
      <c r="S126" s="7">
        <v>6175544000</v>
      </c>
      <c r="T126" s="7">
        <v>2872605000</v>
      </c>
      <c r="U126" s="7">
        <v>4265034000</v>
      </c>
      <c r="V126" s="7">
        <v>3253422000</v>
      </c>
      <c r="W126" s="7">
        <v>2059113000</v>
      </c>
      <c r="X126" s="7">
        <v>7900575000</v>
      </c>
      <c r="Y126" s="7">
        <v>3915978000</v>
      </c>
    </row>
    <row r="127" spans="1:25" x14ac:dyDescent="0.25">
      <c r="B127" s="7">
        <v>5269097000</v>
      </c>
      <c r="C127" s="7">
        <v>8229883000</v>
      </c>
      <c r="D127" s="7">
        <v>2333393000</v>
      </c>
      <c r="E127" s="7">
        <v>3243811000</v>
      </c>
      <c r="F127" s="7">
        <v>2227366000</v>
      </c>
      <c r="G127" s="7">
        <v>2365071000</v>
      </c>
      <c r="H127" s="7">
        <v>7602692000</v>
      </c>
      <c r="I127" s="7">
        <v>2496104000</v>
      </c>
      <c r="J127" s="7">
        <v>2068662000</v>
      </c>
      <c r="K127" s="7">
        <v>3065899000</v>
      </c>
      <c r="L127" s="7">
        <v>3201495000</v>
      </c>
      <c r="M127" s="7">
        <v>7641657000</v>
      </c>
      <c r="N127" s="7">
        <v>6594343000</v>
      </c>
      <c r="O127" s="7">
        <v>10173100000</v>
      </c>
      <c r="P127" s="7">
        <v>5030462000</v>
      </c>
      <c r="Q127" s="7">
        <v>5215677000</v>
      </c>
      <c r="R127" s="7">
        <v>3960744000</v>
      </c>
      <c r="S127" s="7">
        <v>6035958000</v>
      </c>
      <c r="T127" s="7">
        <v>2853133000</v>
      </c>
      <c r="U127" s="7">
        <v>4237460000</v>
      </c>
      <c r="V127" s="7">
        <v>3221769000</v>
      </c>
      <c r="W127" s="7">
        <v>2047060000</v>
      </c>
      <c r="X127" s="7">
        <v>7823237000</v>
      </c>
      <c r="Y127" s="7">
        <v>3897323000</v>
      </c>
    </row>
    <row r="128" spans="1:25" x14ac:dyDescent="0.25">
      <c r="B128" s="7">
        <v>5207822000</v>
      </c>
      <c r="C128" s="7">
        <v>8133684000</v>
      </c>
      <c r="D128" s="7">
        <v>2314886000</v>
      </c>
      <c r="E128" s="7">
        <v>3223038000</v>
      </c>
      <c r="F128" s="7">
        <v>2210467000</v>
      </c>
      <c r="G128" s="7">
        <v>2358206000</v>
      </c>
      <c r="H128" s="7">
        <v>7541195000</v>
      </c>
      <c r="I128" s="7">
        <v>2479643000</v>
      </c>
      <c r="J128" s="7">
        <v>2063813000</v>
      </c>
      <c r="K128" s="7">
        <v>3043965000</v>
      </c>
      <c r="L128" s="7">
        <v>3185184000</v>
      </c>
      <c r="M128" s="7">
        <v>7583545000</v>
      </c>
      <c r="N128" s="7">
        <v>6579502000</v>
      </c>
      <c r="O128" s="7">
        <v>8380227000</v>
      </c>
      <c r="P128" s="7">
        <v>4989154000</v>
      </c>
      <c r="Q128" s="7">
        <v>5146586000</v>
      </c>
      <c r="R128" s="7">
        <v>3928567000</v>
      </c>
      <c r="S128" s="7">
        <v>6018190000</v>
      </c>
      <c r="T128" s="7">
        <v>2835273000</v>
      </c>
      <c r="U128" s="7">
        <v>4214238000</v>
      </c>
      <c r="V128" s="7">
        <v>3186132000</v>
      </c>
      <c r="W128" s="7">
        <v>2035090000</v>
      </c>
      <c r="X128" s="7">
        <v>7747692000</v>
      </c>
      <c r="Y128" s="7">
        <v>3874483000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